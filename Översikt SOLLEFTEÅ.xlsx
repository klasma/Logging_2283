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45937</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45937</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45937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45937</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45937</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45937</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45937</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45937</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23630-2025</t>
        </is>
      </c>
      <c r="B18" s="1" t="n">
        <v>45792.67766203704</v>
      </c>
      <c r="C18" s="1" t="n">
        <v>45937</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45937</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45937</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45937</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23629-2025</t>
        </is>
      </c>
      <c r="B23" s="1" t="n">
        <v>45792.67752314815</v>
      </c>
      <c r="C23" s="1" t="n">
        <v>45937</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45937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45937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45937</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45937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45937</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45937</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45937</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45937</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28161-2024</t>
        </is>
      </c>
      <c r="B32" s="1" t="n">
        <v>45476</v>
      </c>
      <c r="C32" s="1" t="n">
        <v>45937</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17415-2022</t>
        </is>
      </c>
      <c r="B33" s="1" t="n">
        <v>44678</v>
      </c>
      <c r="C33" s="1" t="n">
        <v>45937</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29918-2024</t>
        </is>
      </c>
      <c r="B34" s="1" t="n">
        <v>45487.92841435185</v>
      </c>
      <c r="C34" s="1" t="n">
        <v>45937</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45937</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44372-2024</t>
        </is>
      </c>
      <c r="B36" s="1" t="n">
        <v>45573</v>
      </c>
      <c r="C36" s="1" t="n">
        <v>45937</v>
      </c>
      <c r="D36" t="inlineStr">
        <is>
          <t>VÄSTERNORRLANDS LÄN</t>
        </is>
      </c>
      <c r="E36" t="inlineStr">
        <is>
          <t>SOLLEFTEÅ</t>
        </is>
      </c>
      <c r="F36" t="inlineStr">
        <is>
          <t>SCA</t>
        </is>
      </c>
      <c r="G36" t="n">
        <v>3.3</v>
      </c>
      <c r="H36" t="n">
        <v>4</v>
      </c>
      <c r="I36" t="n">
        <v>3</v>
      </c>
      <c r="J36" t="n">
        <v>7</v>
      </c>
      <c r="K36" t="n">
        <v>3</v>
      </c>
      <c r="L36" t="n">
        <v>0</v>
      </c>
      <c r="M36" t="n">
        <v>0</v>
      </c>
      <c r="N36" t="n">
        <v>0</v>
      </c>
      <c r="O36" t="n">
        <v>10</v>
      </c>
      <c r="P36" t="n">
        <v>3</v>
      </c>
      <c r="Q36" t="n">
        <v>13</v>
      </c>
      <c r="R36" s="2" t="inlineStr">
        <is>
          <t>Knärot
Lappticka
Ulltickeporing
Gammelgransskål
Garnlav
Granticka
Rosenticka
Talltita
Tretåig hackspett
Ullticka
Bollvitmossa
Fjällig taggsvamp s.str.
Spindelblomster</t>
        </is>
      </c>
      <c r="S36">
        <f>HYPERLINK("https://klasma.github.io/Logging_2283/artfynd/A 44372-2024 artfynd.xlsx", "A 44372-2024")</f>
        <v/>
      </c>
      <c r="T36">
        <f>HYPERLINK("https://klasma.github.io/Logging_2283/kartor/A 44372-2024 karta.png", "A 44372-2024")</f>
        <v/>
      </c>
      <c r="U36">
        <f>HYPERLINK("https://klasma.github.io/Logging_2283/knärot/A 44372-2024 karta knärot.png", "A 44372-2024")</f>
        <v/>
      </c>
      <c r="V36">
        <f>HYPERLINK("https://klasma.github.io/Logging_2283/klagomål/A 44372-2024 FSC-klagomål.docx", "A 44372-2024")</f>
        <v/>
      </c>
      <c r="W36">
        <f>HYPERLINK("https://klasma.github.io/Logging_2283/klagomålsmail/A 44372-2024 FSC-klagomål mail.docx", "A 44372-2024")</f>
        <v/>
      </c>
      <c r="X36">
        <f>HYPERLINK("https://klasma.github.io/Logging_2283/tillsyn/A 44372-2024 tillsynsbegäran.docx", "A 44372-2024")</f>
        <v/>
      </c>
      <c r="Y36">
        <f>HYPERLINK("https://klasma.github.io/Logging_2283/tillsynsmail/A 44372-2024 tillsynsbegäran mail.docx", "A 44372-2024")</f>
        <v/>
      </c>
      <c r="Z36">
        <f>HYPERLINK("https://klasma.github.io/Logging_2283/fåglar/A 44372-2024 prioriterade fågelarter.docx", "A 44372-2024")</f>
        <v/>
      </c>
    </row>
    <row r="37" ht="15" customHeight="1">
      <c r="A37" t="inlineStr">
        <is>
          <t>A 1963-2025</t>
        </is>
      </c>
      <c r="B37" s="1" t="n">
        <v>45672</v>
      </c>
      <c r="C37" s="1" t="n">
        <v>45937</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45937</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28663-2023</t>
        </is>
      </c>
      <c r="B39" s="1" t="n">
        <v>45096</v>
      </c>
      <c r="C39" s="1" t="n">
        <v>45937</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25521-2025</t>
        </is>
      </c>
      <c r="B40" s="1" t="n">
        <v>45803</v>
      </c>
      <c r="C40" s="1" t="n">
        <v>45937</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27635-2024</t>
        </is>
      </c>
      <c r="B41" s="1" t="n">
        <v>45474</v>
      </c>
      <c r="C41" s="1" t="n">
        <v>45937</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27590-2025</t>
        </is>
      </c>
      <c r="B42" s="1" t="n">
        <v>45813</v>
      </c>
      <c r="C42" s="1" t="n">
        <v>45937</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45937</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32199-2023</t>
        </is>
      </c>
      <c r="B44" s="1" t="n">
        <v>45119</v>
      </c>
      <c r="C44" s="1" t="n">
        <v>45937</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4839-2025</t>
        </is>
      </c>
      <c r="B45" s="1" t="n">
        <v>45688</v>
      </c>
      <c r="C45" s="1" t="n">
        <v>45937</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44369-2024</t>
        </is>
      </c>
      <c r="B46" s="1" t="n">
        <v>45573</v>
      </c>
      <c r="C46" s="1" t="n">
        <v>45937</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45937</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45937</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39198-2025</t>
        </is>
      </c>
      <c r="B49" s="1" t="n">
        <v>45888</v>
      </c>
      <c r="C49" s="1" t="n">
        <v>45937</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30571-2024</t>
        </is>
      </c>
      <c r="B50" s="1" t="n">
        <v>45492</v>
      </c>
      <c r="C50" s="1" t="n">
        <v>45937</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26948-2024</t>
        </is>
      </c>
      <c r="B51" s="1" t="n">
        <v>45470</v>
      </c>
      <c r="C51" s="1" t="n">
        <v>45937</v>
      </c>
      <c r="D51" t="inlineStr">
        <is>
          <t>VÄSTERNORRLANDS LÄN</t>
        </is>
      </c>
      <c r="E51" t="inlineStr">
        <is>
          <t>SOLLEFTEÅ</t>
        </is>
      </c>
      <c r="F51" t="inlineStr">
        <is>
          <t>SCA</t>
        </is>
      </c>
      <c r="G51" t="n">
        <v>8.1</v>
      </c>
      <c r="H51" t="n">
        <v>3</v>
      </c>
      <c r="I51" t="n">
        <v>2</v>
      </c>
      <c r="J51" t="n">
        <v>7</v>
      </c>
      <c r="K51" t="n">
        <v>2</v>
      </c>
      <c r="L51" t="n">
        <v>0</v>
      </c>
      <c r="M51" t="n">
        <v>0</v>
      </c>
      <c r="N51" t="n">
        <v>0</v>
      </c>
      <c r="O51" t="n">
        <v>9</v>
      </c>
      <c r="P51" t="n">
        <v>2</v>
      </c>
      <c r="Q51" t="n">
        <v>12</v>
      </c>
      <c r="R51" s="2" t="inlineStr">
        <is>
          <t>Goliatmusseron
Smalfotad taggsvamp
Garnlav
Kolflarnlav
Mörk kolflarnlav
Spillkråka
Tretåig hackspett
Vedskivlav
Violettgrå tagellav
Dropptaggsvamp
Luddlav
Vanlig groda</t>
        </is>
      </c>
      <c r="S51">
        <f>HYPERLINK("https://klasma.github.io/Logging_2283/artfynd/A 26948-2024 artfynd.xlsx", "A 26948-2024")</f>
        <v/>
      </c>
      <c r="T51">
        <f>HYPERLINK("https://klasma.github.io/Logging_2283/kartor/A 26948-2024 karta.png", "A 26948-2024")</f>
        <v/>
      </c>
      <c r="V51">
        <f>HYPERLINK("https://klasma.github.io/Logging_2283/klagomål/A 26948-2024 FSC-klagomål.docx", "A 26948-2024")</f>
        <v/>
      </c>
      <c r="W51">
        <f>HYPERLINK("https://klasma.github.io/Logging_2283/klagomålsmail/A 26948-2024 FSC-klagomål mail.docx", "A 26948-2024")</f>
        <v/>
      </c>
      <c r="X51">
        <f>HYPERLINK("https://klasma.github.io/Logging_2283/tillsyn/A 26948-2024 tillsynsbegäran.docx", "A 26948-2024")</f>
        <v/>
      </c>
      <c r="Y51">
        <f>HYPERLINK("https://klasma.github.io/Logging_2283/tillsynsmail/A 26948-2024 tillsynsbegäran mail.docx", "A 26948-2024")</f>
        <v/>
      </c>
      <c r="Z51">
        <f>HYPERLINK("https://klasma.github.io/Logging_2283/fåglar/A 26948-2024 prioriterade fågelarter.docx", "A 26948-2024")</f>
        <v/>
      </c>
    </row>
    <row r="52" ht="15" customHeight="1">
      <c r="A52" t="inlineStr">
        <is>
          <t>A 11491-2022</t>
        </is>
      </c>
      <c r="B52" s="1" t="n">
        <v>44630</v>
      </c>
      <c r="C52" s="1" t="n">
        <v>45937</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61326-2024</t>
        </is>
      </c>
      <c r="B53" s="1" t="n">
        <v>45646</v>
      </c>
      <c r="C53" s="1" t="n">
        <v>45937</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46041-2022</t>
        </is>
      </c>
      <c r="B54" s="1" t="n">
        <v>44846</v>
      </c>
      <c r="C54" s="1" t="n">
        <v>45937</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32460-2024</t>
        </is>
      </c>
      <c r="B55" s="1" t="n">
        <v>45512</v>
      </c>
      <c r="C55" s="1" t="n">
        <v>45937</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22449-2024</t>
        </is>
      </c>
      <c r="B56" s="1" t="n">
        <v>45446</v>
      </c>
      <c r="C56" s="1" t="n">
        <v>45937</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747-2022</t>
        </is>
      </c>
      <c r="B57" s="1" t="n">
        <v>44568</v>
      </c>
      <c r="C57" s="1" t="n">
        <v>45937</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6620-2025</t>
        </is>
      </c>
      <c r="B58" s="1" t="n">
        <v>45700</v>
      </c>
      <c r="C58" s="1" t="n">
        <v>45937</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38665-2025</t>
        </is>
      </c>
      <c r="B59" s="1" t="n">
        <v>45884.61528935185</v>
      </c>
      <c r="C59" s="1" t="n">
        <v>45937</v>
      </c>
      <c r="D59" t="inlineStr">
        <is>
          <t>VÄSTERNORRLANDS LÄN</t>
        </is>
      </c>
      <c r="E59" t="inlineStr">
        <is>
          <t>SOLLEFTEÅ</t>
        </is>
      </c>
      <c r="F59" t="inlineStr">
        <is>
          <t>SCA</t>
        </is>
      </c>
      <c r="G59" t="n">
        <v>3.9</v>
      </c>
      <c r="H59" t="n">
        <v>0</v>
      </c>
      <c r="I59" t="n">
        <v>1</v>
      </c>
      <c r="J59" t="n">
        <v>9</v>
      </c>
      <c r="K59" t="n">
        <v>0</v>
      </c>
      <c r="L59" t="n">
        <v>0</v>
      </c>
      <c r="M59" t="n">
        <v>0</v>
      </c>
      <c r="N59" t="n">
        <v>0</v>
      </c>
      <c r="O59" t="n">
        <v>9</v>
      </c>
      <c r="P59" t="n">
        <v>0</v>
      </c>
      <c r="Q59" t="n">
        <v>10</v>
      </c>
      <c r="R59" s="2" t="inlineStr">
        <is>
          <t>Blå taggsvamp
Gammelgransskål
Kolflarnlav
Lunglav
Nordtagging
Rosenticka
Ullticka
Vaddporing
Vitgrynig nållav
Luddlav</t>
        </is>
      </c>
      <c r="S59">
        <f>HYPERLINK("https://klasma.github.io/Logging_2283/artfynd/A 38665-2025 artfynd.xlsx", "A 38665-2025")</f>
        <v/>
      </c>
      <c r="T59">
        <f>HYPERLINK("https://klasma.github.io/Logging_2283/kartor/A 38665-2025 karta.png", "A 38665-2025")</f>
        <v/>
      </c>
      <c r="V59">
        <f>HYPERLINK("https://klasma.github.io/Logging_2283/klagomål/A 38665-2025 FSC-klagomål.docx", "A 38665-2025")</f>
        <v/>
      </c>
      <c r="W59">
        <f>HYPERLINK("https://klasma.github.io/Logging_2283/klagomålsmail/A 38665-2025 FSC-klagomål mail.docx", "A 38665-2025")</f>
        <v/>
      </c>
      <c r="X59">
        <f>HYPERLINK("https://klasma.github.io/Logging_2283/tillsyn/A 38665-2025 tillsynsbegäran.docx", "A 38665-2025")</f>
        <v/>
      </c>
      <c r="Y59">
        <f>HYPERLINK("https://klasma.github.io/Logging_2283/tillsynsmail/A 38665-2025 tillsynsbegäran mail.docx", "A 38665-2025")</f>
        <v/>
      </c>
    </row>
    <row r="60" ht="15" customHeight="1">
      <c r="A60" t="inlineStr">
        <is>
          <t>A 29232-2025</t>
        </is>
      </c>
      <c r="B60" s="1" t="n">
        <v>45824.34453703704</v>
      </c>
      <c r="C60" s="1" t="n">
        <v>45937</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44652-2025</t>
        </is>
      </c>
      <c r="B61" s="1" t="n">
        <v>45917</v>
      </c>
      <c r="C61" s="1" t="n">
        <v>45937</v>
      </c>
      <c r="D61" t="inlineStr">
        <is>
          <t>VÄSTERNORRLANDS LÄN</t>
        </is>
      </c>
      <c r="E61" t="inlineStr">
        <is>
          <t>SOLLEFTEÅ</t>
        </is>
      </c>
      <c r="G61" t="n">
        <v>8.1</v>
      </c>
      <c r="H61" t="n">
        <v>1</v>
      </c>
      <c r="I61" t="n">
        <v>2</v>
      </c>
      <c r="J61" t="n">
        <v>6</v>
      </c>
      <c r="K61" t="n">
        <v>2</v>
      </c>
      <c r="L61" t="n">
        <v>0</v>
      </c>
      <c r="M61" t="n">
        <v>0</v>
      </c>
      <c r="N61" t="n">
        <v>0</v>
      </c>
      <c r="O61" t="n">
        <v>8</v>
      </c>
      <c r="P61" t="n">
        <v>2</v>
      </c>
      <c r="Q61" t="n">
        <v>10</v>
      </c>
      <c r="R61" s="2" t="inlineStr">
        <is>
          <t>Knärot
Rynkskinn
Gammelgransskål
Garnlav
Granticka
Lunglav
Rosenticka
Ullticka
Korallblylav
Stor aspticka</t>
        </is>
      </c>
      <c r="S61">
        <f>HYPERLINK("https://klasma.github.io/Logging_2283/artfynd/A 44652-2025 artfynd.xlsx", "A 44652-2025")</f>
        <v/>
      </c>
      <c r="T61">
        <f>HYPERLINK("https://klasma.github.io/Logging_2283/kartor/A 44652-2025 karta.png", "A 44652-2025")</f>
        <v/>
      </c>
      <c r="U61">
        <f>HYPERLINK("https://klasma.github.io/Logging_2283/knärot/A 44652-2025 karta knärot.png", "A 44652-2025")</f>
        <v/>
      </c>
      <c r="V61">
        <f>HYPERLINK("https://klasma.github.io/Logging_2283/klagomål/A 44652-2025 FSC-klagomål.docx", "A 44652-2025")</f>
        <v/>
      </c>
      <c r="W61">
        <f>HYPERLINK("https://klasma.github.io/Logging_2283/klagomålsmail/A 44652-2025 FSC-klagomål mail.docx", "A 44652-2025")</f>
        <v/>
      </c>
      <c r="X61">
        <f>HYPERLINK("https://klasma.github.io/Logging_2283/tillsyn/A 44652-2025 tillsynsbegäran.docx", "A 44652-2025")</f>
        <v/>
      </c>
      <c r="Y61">
        <f>HYPERLINK("https://klasma.github.io/Logging_2283/tillsynsmail/A 44652-2025 tillsynsbegäran mail.docx", "A 44652-2025")</f>
        <v/>
      </c>
    </row>
    <row r="62" ht="15" customHeight="1">
      <c r="A62" t="inlineStr">
        <is>
          <t>A 19200-2025</t>
        </is>
      </c>
      <c r="B62" s="1" t="n">
        <v>45769</v>
      </c>
      <c r="C62" s="1" t="n">
        <v>45937</v>
      </c>
      <c r="D62" t="inlineStr">
        <is>
          <t>VÄSTERNORRLANDS LÄN</t>
        </is>
      </c>
      <c r="E62" t="inlineStr">
        <is>
          <t>SOLLEFTEÅ</t>
        </is>
      </c>
      <c r="F62" t="inlineStr">
        <is>
          <t>SCA</t>
        </is>
      </c>
      <c r="G62" t="n">
        <v>1.9</v>
      </c>
      <c r="H62" t="n">
        <v>3</v>
      </c>
      <c r="I62" t="n">
        <v>0</v>
      </c>
      <c r="J62" t="n">
        <v>8</v>
      </c>
      <c r="K62" t="n">
        <v>1</v>
      </c>
      <c r="L62" t="n">
        <v>0</v>
      </c>
      <c r="M62" t="n">
        <v>0</v>
      </c>
      <c r="N62" t="n">
        <v>0</v>
      </c>
      <c r="O62" t="n">
        <v>9</v>
      </c>
      <c r="P62" t="n">
        <v>1</v>
      </c>
      <c r="Q62" t="n">
        <v>10</v>
      </c>
      <c r="R62" s="2" t="inlineStr">
        <is>
          <t>Knärot
Garnlav
Järpe
Leptoporus mollis
Rosenticka
Stjärntagging
Ullticka
Vedskivlav
Vitgrynig nållav
Orre</t>
        </is>
      </c>
      <c r="S62">
        <f>HYPERLINK("https://klasma.github.io/Logging_2283/artfynd/A 19200-2025 artfynd.xlsx", "A 19200-2025")</f>
        <v/>
      </c>
      <c r="T62">
        <f>HYPERLINK("https://klasma.github.io/Logging_2283/kartor/A 19200-2025 karta.png", "A 19200-2025")</f>
        <v/>
      </c>
      <c r="U62">
        <f>HYPERLINK("https://klasma.github.io/Logging_2283/knärot/A 19200-2025 karta knärot.png", "A 19200-2025")</f>
        <v/>
      </c>
      <c r="V62">
        <f>HYPERLINK("https://klasma.github.io/Logging_2283/klagomål/A 19200-2025 FSC-klagomål.docx", "A 19200-2025")</f>
        <v/>
      </c>
      <c r="W62">
        <f>HYPERLINK("https://klasma.github.io/Logging_2283/klagomålsmail/A 19200-2025 FSC-klagomål mail.docx", "A 19200-2025")</f>
        <v/>
      </c>
      <c r="X62">
        <f>HYPERLINK("https://klasma.github.io/Logging_2283/tillsyn/A 19200-2025 tillsynsbegäran.docx", "A 19200-2025")</f>
        <v/>
      </c>
      <c r="Y62">
        <f>HYPERLINK("https://klasma.github.io/Logging_2283/tillsynsmail/A 19200-2025 tillsynsbegäran mail.docx", "A 19200-2025")</f>
        <v/>
      </c>
      <c r="Z62">
        <f>HYPERLINK("https://klasma.github.io/Logging_2283/fåglar/A 19200-2025 prioriterade fågelarter.docx", "A 19200-2025")</f>
        <v/>
      </c>
    </row>
    <row r="63" ht="15" customHeight="1">
      <c r="A63" t="inlineStr">
        <is>
          <t>A 14301-2022</t>
        </is>
      </c>
      <c r="B63" s="1" t="n">
        <v>44651</v>
      </c>
      <c r="C63" s="1" t="n">
        <v>45937</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43329-2025</t>
        </is>
      </c>
      <c r="B64" s="1" t="n">
        <v>45910.6775</v>
      </c>
      <c r="C64" s="1" t="n">
        <v>45937</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18009-2022</t>
        </is>
      </c>
      <c r="B65" s="1" t="n">
        <v>44683</v>
      </c>
      <c r="C65" s="1" t="n">
        <v>45937</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37488-2023</t>
        </is>
      </c>
      <c r="B66" s="1" t="n">
        <v>45156</v>
      </c>
      <c r="C66" s="1" t="n">
        <v>45937</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45937</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19825-2023</t>
        </is>
      </c>
      <c r="B68" s="1" t="n">
        <v>45051</v>
      </c>
      <c r="C68" s="1" t="n">
        <v>45937</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12146-2025</t>
        </is>
      </c>
      <c r="B69" s="1" t="n">
        <v>45729</v>
      </c>
      <c r="C69" s="1" t="n">
        <v>45937</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39197-2025</t>
        </is>
      </c>
      <c r="B70" s="1" t="n">
        <v>45888.69832175926</v>
      </c>
      <c r="C70" s="1" t="n">
        <v>45937</v>
      </c>
      <c r="D70" t="inlineStr">
        <is>
          <t>VÄSTERNORRLANDS LÄN</t>
        </is>
      </c>
      <c r="E70" t="inlineStr">
        <is>
          <t>SOLLEFTEÅ</t>
        </is>
      </c>
      <c r="G70" t="n">
        <v>1.8</v>
      </c>
      <c r="H70" t="n">
        <v>2</v>
      </c>
      <c r="I70" t="n">
        <v>3</v>
      </c>
      <c r="J70" t="n">
        <v>5</v>
      </c>
      <c r="K70" t="n">
        <v>1</v>
      </c>
      <c r="L70" t="n">
        <v>0</v>
      </c>
      <c r="M70" t="n">
        <v>0</v>
      </c>
      <c r="N70" t="n">
        <v>0</v>
      </c>
      <c r="O70" t="n">
        <v>6</v>
      </c>
      <c r="P70" t="n">
        <v>1</v>
      </c>
      <c r="Q70" t="n">
        <v>9</v>
      </c>
      <c r="R70" s="2" t="inlineStr">
        <is>
          <t>Knärot
Gammelgransskål
Lunglav
Skrovellav
Tretåig hackspett
Ullticka
Stuplav
Trådticka
Vedticka</t>
        </is>
      </c>
      <c r="S70">
        <f>HYPERLINK("https://klasma.github.io/Logging_2283/artfynd/A 39197-2025 artfynd.xlsx", "A 39197-2025")</f>
        <v/>
      </c>
      <c r="T70">
        <f>HYPERLINK("https://klasma.github.io/Logging_2283/kartor/A 39197-2025 karta.png", "A 39197-2025")</f>
        <v/>
      </c>
      <c r="U70">
        <f>HYPERLINK("https://klasma.github.io/Logging_2283/knärot/A 39197-2025 karta knärot.png", "A 39197-2025")</f>
        <v/>
      </c>
      <c r="V70">
        <f>HYPERLINK("https://klasma.github.io/Logging_2283/klagomål/A 39197-2025 FSC-klagomål.docx", "A 39197-2025")</f>
        <v/>
      </c>
      <c r="W70">
        <f>HYPERLINK("https://klasma.github.io/Logging_2283/klagomålsmail/A 39197-2025 FSC-klagomål mail.docx", "A 39197-2025")</f>
        <v/>
      </c>
      <c r="X70">
        <f>HYPERLINK("https://klasma.github.io/Logging_2283/tillsyn/A 39197-2025 tillsynsbegäran.docx", "A 39197-2025")</f>
        <v/>
      </c>
      <c r="Y70">
        <f>HYPERLINK("https://klasma.github.io/Logging_2283/tillsynsmail/A 39197-2025 tillsynsbegäran mail.docx", "A 39197-2025")</f>
        <v/>
      </c>
      <c r="Z70">
        <f>HYPERLINK("https://klasma.github.io/Logging_2283/fåglar/A 39197-2025 prioriterade fågelarter.docx", "A 39197-2025")</f>
        <v/>
      </c>
    </row>
    <row r="71" ht="15" customHeight="1">
      <c r="A71" t="inlineStr">
        <is>
          <t>A 24755-2024</t>
        </is>
      </c>
      <c r="B71" s="1" t="n">
        <v>45460</v>
      </c>
      <c r="C71" s="1" t="n">
        <v>45937</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40274-2022</t>
        </is>
      </c>
      <c r="B72" s="1" t="n">
        <v>44820</v>
      </c>
      <c r="C72" s="1" t="n">
        <v>45937</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45937</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57790-2024</t>
        </is>
      </c>
      <c r="B74" s="1" t="n">
        <v>45631</v>
      </c>
      <c r="C74" s="1" t="n">
        <v>45937</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24459-2024</t>
        </is>
      </c>
      <c r="B75" s="1" t="n">
        <v>45457.9678125</v>
      </c>
      <c r="C75" s="1" t="n">
        <v>45937</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5310-2024</t>
        </is>
      </c>
      <c r="B76" s="1" t="n">
        <v>45331</v>
      </c>
      <c r="C76" s="1" t="n">
        <v>45937</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11540-2024</t>
        </is>
      </c>
      <c r="B77" s="1" t="n">
        <v>45372</v>
      </c>
      <c r="C77" s="1" t="n">
        <v>45937</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57317-2024</t>
        </is>
      </c>
      <c r="B78" s="1" t="n">
        <v>45629</v>
      </c>
      <c r="C78" s="1" t="n">
        <v>45937</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29620-2023</t>
        </is>
      </c>
      <c r="B79" s="1" t="n">
        <v>45106</v>
      </c>
      <c r="C79" s="1" t="n">
        <v>45937</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21345-2023</t>
        </is>
      </c>
      <c r="B80" s="1" t="n">
        <v>45062</v>
      </c>
      <c r="C80" s="1" t="n">
        <v>45937</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38294-2024</t>
        </is>
      </c>
      <c r="B81" s="1" t="n">
        <v>45545</v>
      </c>
      <c r="C81" s="1" t="n">
        <v>45937</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4930-2025</t>
        </is>
      </c>
      <c r="B82" s="1" t="n">
        <v>45688</v>
      </c>
      <c r="C82" s="1" t="n">
        <v>45937</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47548-2025</t>
        </is>
      </c>
      <c r="B83" s="1" t="n">
        <v>45931.3653125</v>
      </c>
      <c r="C83" s="1" t="n">
        <v>45937</v>
      </c>
      <c r="D83" t="inlineStr">
        <is>
          <t>VÄSTERNORRLANDS LÄN</t>
        </is>
      </c>
      <c r="E83" t="inlineStr">
        <is>
          <t>SOLLEFTEÅ</t>
        </is>
      </c>
      <c r="G83" t="n">
        <v>6.6</v>
      </c>
      <c r="H83" t="n">
        <v>4</v>
      </c>
      <c r="I83" t="n">
        <v>0</v>
      </c>
      <c r="J83" t="n">
        <v>6</v>
      </c>
      <c r="K83" t="n">
        <v>1</v>
      </c>
      <c r="L83" t="n">
        <v>0</v>
      </c>
      <c r="M83" t="n">
        <v>0</v>
      </c>
      <c r="N83" t="n">
        <v>0</v>
      </c>
      <c r="O83" t="n">
        <v>7</v>
      </c>
      <c r="P83" t="n">
        <v>1</v>
      </c>
      <c r="Q83" t="n">
        <v>8</v>
      </c>
      <c r="R83" s="2" t="inlineStr">
        <is>
          <t>Knärot
Gammelgransskål
Garnlav
Rosenticka
Spillkråka
Talltita
Ullticka
Revlummer</t>
        </is>
      </c>
      <c r="S83">
        <f>HYPERLINK("https://klasma.github.io/Logging_2283/artfynd/A 47548-2025 artfynd.xlsx", "A 47548-2025")</f>
        <v/>
      </c>
      <c r="T83">
        <f>HYPERLINK("https://klasma.github.io/Logging_2283/kartor/A 47548-2025 karta.png", "A 47548-2025")</f>
        <v/>
      </c>
      <c r="U83">
        <f>HYPERLINK("https://klasma.github.io/Logging_2283/knärot/A 47548-2025 karta knärot.png", "A 47548-2025")</f>
        <v/>
      </c>
      <c r="V83">
        <f>HYPERLINK("https://klasma.github.io/Logging_2283/klagomål/A 47548-2025 FSC-klagomål.docx", "A 47548-2025")</f>
        <v/>
      </c>
      <c r="W83">
        <f>HYPERLINK("https://klasma.github.io/Logging_2283/klagomålsmail/A 47548-2025 FSC-klagomål mail.docx", "A 47548-2025")</f>
        <v/>
      </c>
      <c r="X83">
        <f>HYPERLINK("https://klasma.github.io/Logging_2283/tillsyn/A 47548-2025 tillsynsbegäran.docx", "A 47548-2025")</f>
        <v/>
      </c>
      <c r="Y83">
        <f>HYPERLINK("https://klasma.github.io/Logging_2283/tillsynsmail/A 47548-2025 tillsynsbegäran mail.docx", "A 47548-2025")</f>
        <v/>
      </c>
      <c r="Z83">
        <f>HYPERLINK("https://klasma.github.io/Logging_2283/fåglar/A 47548-2025 prioriterade fågelarter.docx", "A 47548-2025")</f>
        <v/>
      </c>
    </row>
    <row r="84" ht="15" customHeight="1">
      <c r="A84" t="inlineStr">
        <is>
          <t>A 29250-2024</t>
        </is>
      </c>
      <c r="B84" s="1" t="n">
        <v>45482</v>
      </c>
      <c r="C84" s="1" t="n">
        <v>45937</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26655-2022</t>
        </is>
      </c>
      <c r="B85" s="1" t="n">
        <v>44739</v>
      </c>
      <c r="C85" s="1" t="n">
        <v>45937</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31504-2025</t>
        </is>
      </c>
      <c r="B86" s="1" t="n">
        <v>45833.59438657408</v>
      </c>
      <c r="C86" s="1" t="n">
        <v>45937</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39071-2023</t>
        </is>
      </c>
      <c r="B87" s="1" t="n">
        <v>45163</v>
      </c>
      <c r="C87" s="1" t="n">
        <v>45937</v>
      </c>
      <c r="D87" t="inlineStr">
        <is>
          <t>VÄSTERNORRLANDS LÄN</t>
        </is>
      </c>
      <c r="E87" t="inlineStr">
        <is>
          <t>SOLLEFTEÅ</t>
        </is>
      </c>
      <c r="F87" t="inlineStr">
        <is>
          <t>SCA</t>
        </is>
      </c>
      <c r="G87" t="n">
        <v>16.5</v>
      </c>
      <c r="H87" t="n">
        <v>1</v>
      </c>
      <c r="I87" t="n">
        <v>1</v>
      </c>
      <c r="J87" t="n">
        <v>6</v>
      </c>
      <c r="K87" t="n">
        <v>1</v>
      </c>
      <c r="L87" t="n">
        <v>0</v>
      </c>
      <c r="M87" t="n">
        <v>0</v>
      </c>
      <c r="N87" t="n">
        <v>0</v>
      </c>
      <c r="O87" t="n">
        <v>7</v>
      </c>
      <c r="P87" t="n">
        <v>1</v>
      </c>
      <c r="Q87" t="n">
        <v>8</v>
      </c>
      <c r="R87" s="2" t="inlineStr">
        <is>
          <t>Rynkskinn
Gammelgransskål
Granticka
Leptoporus mollis
Rosenticka
Spillkråka
Ullticka
Vedticka</t>
        </is>
      </c>
      <c r="S87">
        <f>HYPERLINK("https://klasma.github.io/Logging_2283/artfynd/A 39071-2023 artfynd.xlsx", "A 39071-2023")</f>
        <v/>
      </c>
      <c r="T87">
        <f>HYPERLINK("https://klasma.github.io/Logging_2283/kartor/A 39071-2023 karta.png", "A 39071-2023")</f>
        <v/>
      </c>
      <c r="V87">
        <f>HYPERLINK("https://klasma.github.io/Logging_2283/klagomål/A 39071-2023 FSC-klagomål.docx", "A 39071-2023")</f>
        <v/>
      </c>
      <c r="W87">
        <f>HYPERLINK("https://klasma.github.io/Logging_2283/klagomålsmail/A 39071-2023 FSC-klagomål mail.docx", "A 39071-2023")</f>
        <v/>
      </c>
      <c r="X87">
        <f>HYPERLINK("https://klasma.github.io/Logging_2283/tillsyn/A 39071-2023 tillsynsbegäran.docx", "A 39071-2023")</f>
        <v/>
      </c>
      <c r="Y87">
        <f>HYPERLINK("https://klasma.github.io/Logging_2283/tillsynsmail/A 39071-2023 tillsynsbegäran mail.docx", "A 39071-2023")</f>
        <v/>
      </c>
      <c r="Z87">
        <f>HYPERLINK("https://klasma.github.io/Logging_2283/fåglar/A 39071-2023 prioriterade fågelarter.docx", "A 39071-2023")</f>
        <v/>
      </c>
    </row>
    <row r="88" ht="15" customHeight="1">
      <c r="A88" t="inlineStr">
        <is>
          <t>A 25941-2025</t>
        </is>
      </c>
      <c r="B88" s="1" t="n">
        <v>45804.59460648148</v>
      </c>
      <c r="C88" s="1" t="n">
        <v>45937</v>
      </c>
      <c r="D88" t="inlineStr">
        <is>
          <t>VÄSTERNORRLANDS LÄN</t>
        </is>
      </c>
      <c r="E88" t="inlineStr">
        <is>
          <t>SOLLEFTEÅ</t>
        </is>
      </c>
      <c r="G88" t="n">
        <v>4.4</v>
      </c>
      <c r="H88" t="n">
        <v>1</v>
      </c>
      <c r="I88" t="n">
        <v>3</v>
      </c>
      <c r="J88" t="n">
        <v>3</v>
      </c>
      <c r="K88" t="n">
        <v>1</v>
      </c>
      <c r="L88" t="n">
        <v>1</v>
      </c>
      <c r="M88" t="n">
        <v>0</v>
      </c>
      <c r="N88" t="n">
        <v>0</v>
      </c>
      <c r="O88" t="n">
        <v>5</v>
      </c>
      <c r="P88" t="n">
        <v>2</v>
      </c>
      <c r="Q88" t="n">
        <v>8</v>
      </c>
      <c r="R88" s="2" t="inlineStr">
        <is>
          <t>Trolldruvemätare
Rynkskinn
Rosenticka
Talltita
Vedtrappmossa
Dvärghäxört
Strutbräken
Svart trolldruva</t>
        </is>
      </c>
      <c r="S88">
        <f>HYPERLINK("https://klasma.github.io/Logging_2283/artfynd/A 25941-2025 artfynd.xlsx", "A 25941-2025")</f>
        <v/>
      </c>
      <c r="T88">
        <f>HYPERLINK("https://klasma.github.io/Logging_2283/kartor/A 25941-2025 karta.png", "A 25941-2025")</f>
        <v/>
      </c>
      <c r="V88">
        <f>HYPERLINK("https://klasma.github.io/Logging_2283/klagomål/A 25941-2025 FSC-klagomål.docx", "A 25941-2025")</f>
        <v/>
      </c>
      <c r="W88">
        <f>HYPERLINK("https://klasma.github.io/Logging_2283/klagomålsmail/A 25941-2025 FSC-klagomål mail.docx", "A 25941-2025")</f>
        <v/>
      </c>
      <c r="X88">
        <f>HYPERLINK("https://klasma.github.io/Logging_2283/tillsyn/A 25941-2025 tillsynsbegäran.docx", "A 25941-2025")</f>
        <v/>
      </c>
      <c r="Y88">
        <f>HYPERLINK("https://klasma.github.io/Logging_2283/tillsynsmail/A 25941-2025 tillsynsbegäran mail.docx", "A 25941-2025")</f>
        <v/>
      </c>
      <c r="Z88">
        <f>HYPERLINK("https://klasma.github.io/Logging_2283/fåglar/A 25941-2025 prioriterade fågelarter.docx", "A 25941-2025")</f>
        <v/>
      </c>
    </row>
    <row r="89" ht="15" customHeight="1">
      <c r="A89" t="inlineStr">
        <is>
          <t>A 64131-2023</t>
        </is>
      </c>
      <c r="B89" s="1" t="n">
        <v>45279</v>
      </c>
      <c r="C89" s="1" t="n">
        <v>45937</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45078-2025</t>
        </is>
      </c>
      <c r="B90" s="1" t="n">
        <v>45919.36510416667</v>
      </c>
      <c r="C90" s="1" t="n">
        <v>45937</v>
      </c>
      <c r="D90" t="inlineStr">
        <is>
          <t>VÄSTERNORRLANDS LÄN</t>
        </is>
      </c>
      <c r="E90" t="inlineStr">
        <is>
          <t>SOLLEFTEÅ</t>
        </is>
      </c>
      <c r="F90" t="inlineStr">
        <is>
          <t>SCA</t>
        </is>
      </c>
      <c r="G90" t="n">
        <v>10.5</v>
      </c>
      <c r="H90" t="n">
        <v>1</v>
      </c>
      <c r="I90" t="n">
        <v>3</v>
      </c>
      <c r="J90" t="n">
        <v>4</v>
      </c>
      <c r="K90" t="n">
        <v>1</v>
      </c>
      <c r="L90" t="n">
        <v>0</v>
      </c>
      <c r="M90" t="n">
        <v>0</v>
      </c>
      <c r="N90" t="n">
        <v>0</v>
      </c>
      <c r="O90" t="n">
        <v>5</v>
      </c>
      <c r="P90" t="n">
        <v>1</v>
      </c>
      <c r="Q90" t="n">
        <v>8</v>
      </c>
      <c r="R90" s="2" t="inlineStr">
        <is>
          <t>Knärot
Garnlav
Lunglav
Mörk kolflarnlav
Vedskivlav
Dropptaggsvamp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32200-2023</t>
        </is>
      </c>
      <c r="B91" s="1" t="n">
        <v>45119</v>
      </c>
      <c r="C91" s="1" t="n">
        <v>45937</v>
      </c>
      <c r="D91" t="inlineStr">
        <is>
          <t>VÄSTERNORRLANDS LÄN</t>
        </is>
      </c>
      <c r="E91" t="inlineStr">
        <is>
          <t>SOLLEFTEÅ</t>
        </is>
      </c>
      <c r="G91" t="n">
        <v>1.5</v>
      </c>
      <c r="H91" t="n">
        <v>3</v>
      </c>
      <c r="I91" t="n">
        <v>2</v>
      </c>
      <c r="J91" t="n">
        <v>5</v>
      </c>
      <c r="K91" t="n">
        <v>1</v>
      </c>
      <c r="L91" t="n">
        <v>0</v>
      </c>
      <c r="M91" t="n">
        <v>0</v>
      </c>
      <c r="N91" t="n">
        <v>0</v>
      </c>
      <c r="O91" t="n">
        <v>6</v>
      </c>
      <c r="P91" t="n">
        <v>1</v>
      </c>
      <c r="Q91" t="n">
        <v>8</v>
      </c>
      <c r="R91" s="2" t="inlineStr">
        <is>
          <t>Knärot
Garnlav
Rosenticka
Spillkråka
Tretåig hackspett
Ullticka
Grönpyrola
Vedticka</t>
        </is>
      </c>
      <c r="S91">
        <f>HYPERLINK("https://klasma.github.io/Logging_2283/artfynd/A 32200-2023 artfynd.xlsx", "A 32200-2023")</f>
        <v/>
      </c>
      <c r="T91">
        <f>HYPERLINK("https://klasma.github.io/Logging_2283/kartor/A 32200-2023 karta.png", "A 32200-2023")</f>
        <v/>
      </c>
      <c r="U91">
        <f>HYPERLINK("https://klasma.github.io/Logging_2283/knärot/A 32200-2023 karta knärot.png", "A 32200-2023")</f>
        <v/>
      </c>
      <c r="V91">
        <f>HYPERLINK("https://klasma.github.io/Logging_2283/klagomål/A 32200-2023 FSC-klagomål.docx", "A 32200-2023")</f>
        <v/>
      </c>
      <c r="W91">
        <f>HYPERLINK("https://klasma.github.io/Logging_2283/klagomålsmail/A 32200-2023 FSC-klagomål mail.docx", "A 32200-2023")</f>
        <v/>
      </c>
      <c r="X91">
        <f>HYPERLINK("https://klasma.github.io/Logging_2283/tillsyn/A 32200-2023 tillsynsbegäran.docx", "A 32200-2023")</f>
        <v/>
      </c>
      <c r="Y91">
        <f>HYPERLINK("https://klasma.github.io/Logging_2283/tillsynsmail/A 32200-2023 tillsynsbegäran mail.docx", "A 32200-2023")</f>
        <v/>
      </c>
      <c r="Z91">
        <f>HYPERLINK("https://klasma.github.io/Logging_2283/fåglar/A 32200-2023 prioriterade fågelarter.docx", "A 32200-2023")</f>
        <v/>
      </c>
    </row>
    <row r="92" ht="15" customHeight="1">
      <c r="A92" t="inlineStr">
        <is>
          <t>A 11132-2025</t>
        </is>
      </c>
      <c r="B92" s="1" t="n">
        <v>45723.64934027778</v>
      </c>
      <c r="C92" s="1" t="n">
        <v>45937</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66843-2020</t>
        </is>
      </c>
      <c r="B93" s="1" t="n">
        <v>44179</v>
      </c>
      <c r="C93" s="1" t="n">
        <v>45937</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47647-2022</t>
        </is>
      </c>
      <c r="B94" s="1" t="n">
        <v>44852</v>
      </c>
      <c r="C94" s="1" t="n">
        <v>45937</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59045-2022</t>
        </is>
      </c>
      <c r="B95" s="1" t="n">
        <v>44903</v>
      </c>
      <c r="C95" s="1" t="n">
        <v>45937</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12174-2025</t>
        </is>
      </c>
      <c r="B96" s="1" t="n">
        <v>45729</v>
      </c>
      <c r="C96" s="1" t="n">
        <v>45937</v>
      </c>
      <c r="D96" t="inlineStr">
        <is>
          <t>VÄSTERNORRLANDS LÄN</t>
        </is>
      </c>
      <c r="E96" t="inlineStr">
        <is>
          <t>SOLLEFTEÅ</t>
        </is>
      </c>
      <c r="F96" t="inlineStr">
        <is>
          <t>SCA</t>
        </is>
      </c>
      <c r="G96" t="n">
        <v>1.8</v>
      </c>
      <c r="H96" t="n">
        <v>4</v>
      </c>
      <c r="I96" t="n">
        <v>0</v>
      </c>
      <c r="J96" t="n">
        <v>5</v>
      </c>
      <c r="K96" t="n">
        <v>0</v>
      </c>
      <c r="L96" t="n">
        <v>0</v>
      </c>
      <c r="M96" t="n">
        <v>0</v>
      </c>
      <c r="N96" t="n">
        <v>0</v>
      </c>
      <c r="O96" t="n">
        <v>5</v>
      </c>
      <c r="P96" t="n">
        <v>0</v>
      </c>
      <c r="Q96" t="n">
        <v>7</v>
      </c>
      <c r="R96" s="2" t="inlineStr">
        <is>
          <t>Garnlav
Lunglav
Mörk kolflarnlav
Spillkråka
Tretåig hackspett
Tjäder
Revlummer</t>
        </is>
      </c>
      <c r="S96">
        <f>HYPERLINK("https://klasma.github.io/Logging_2283/artfynd/A 12174-2025 artfynd.xlsx", "A 12174-2025")</f>
        <v/>
      </c>
      <c r="T96">
        <f>HYPERLINK("https://klasma.github.io/Logging_2283/kartor/A 12174-2025 karta.png", "A 12174-2025")</f>
        <v/>
      </c>
      <c r="V96">
        <f>HYPERLINK("https://klasma.github.io/Logging_2283/klagomål/A 12174-2025 FSC-klagomål.docx", "A 12174-2025")</f>
        <v/>
      </c>
      <c r="W96">
        <f>HYPERLINK("https://klasma.github.io/Logging_2283/klagomålsmail/A 12174-2025 FSC-klagomål mail.docx", "A 12174-2025")</f>
        <v/>
      </c>
      <c r="X96">
        <f>HYPERLINK("https://klasma.github.io/Logging_2283/tillsyn/A 12174-2025 tillsynsbegäran.docx", "A 12174-2025")</f>
        <v/>
      </c>
      <c r="Y96">
        <f>HYPERLINK("https://klasma.github.io/Logging_2283/tillsynsmail/A 12174-2025 tillsynsbegäran mail.docx", "A 12174-2025")</f>
        <v/>
      </c>
      <c r="Z96">
        <f>HYPERLINK("https://klasma.github.io/Logging_2283/fåglar/A 12174-2025 prioriterade fågelarter.docx", "A 12174-2025")</f>
        <v/>
      </c>
    </row>
    <row r="97" ht="15" customHeight="1">
      <c r="A97" t="inlineStr">
        <is>
          <t>A 54049-2023</t>
        </is>
      </c>
      <c r="B97" s="1" t="n">
        <v>45231</v>
      </c>
      <c r="C97" s="1" t="n">
        <v>45937</v>
      </c>
      <c r="D97" t="inlineStr">
        <is>
          <t>VÄSTERNORRLANDS LÄN</t>
        </is>
      </c>
      <c r="E97" t="inlineStr">
        <is>
          <t>SOLLEFTEÅ</t>
        </is>
      </c>
      <c r="F97" t="inlineStr">
        <is>
          <t>SCA</t>
        </is>
      </c>
      <c r="G97" t="n">
        <v>9.800000000000001</v>
      </c>
      <c r="H97" t="n">
        <v>0</v>
      </c>
      <c r="I97" t="n">
        <v>1</v>
      </c>
      <c r="J97" t="n">
        <v>6</v>
      </c>
      <c r="K97" t="n">
        <v>0</v>
      </c>
      <c r="L97" t="n">
        <v>0</v>
      </c>
      <c r="M97" t="n">
        <v>0</v>
      </c>
      <c r="N97" t="n">
        <v>0</v>
      </c>
      <c r="O97" t="n">
        <v>6</v>
      </c>
      <c r="P97" t="n">
        <v>0</v>
      </c>
      <c r="Q97" t="n">
        <v>7</v>
      </c>
      <c r="R97" s="2" t="inlineStr">
        <is>
          <t>Doftskinn
Gammelgransskål
Garnlav
Rosenticka
Ullticka
Violettgrå tagellav
Vedticka</t>
        </is>
      </c>
      <c r="S97">
        <f>HYPERLINK("https://klasma.github.io/Logging_2283/artfynd/A 54049-2023 artfynd.xlsx", "A 54049-2023")</f>
        <v/>
      </c>
      <c r="T97">
        <f>HYPERLINK("https://klasma.github.io/Logging_2283/kartor/A 54049-2023 karta.png", "A 54049-2023")</f>
        <v/>
      </c>
      <c r="V97">
        <f>HYPERLINK("https://klasma.github.io/Logging_2283/klagomål/A 54049-2023 FSC-klagomål.docx", "A 54049-2023")</f>
        <v/>
      </c>
      <c r="W97">
        <f>HYPERLINK("https://klasma.github.io/Logging_2283/klagomålsmail/A 54049-2023 FSC-klagomål mail.docx", "A 54049-2023")</f>
        <v/>
      </c>
      <c r="X97">
        <f>HYPERLINK("https://klasma.github.io/Logging_2283/tillsyn/A 54049-2023 tillsynsbegäran.docx", "A 54049-2023")</f>
        <v/>
      </c>
      <c r="Y97">
        <f>HYPERLINK("https://klasma.github.io/Logging_2283/tillsynsmail/A 54049-2023 tillsynsbegäran mail.docx", "A 54049-2023")</f>
        <v/>
      </c>
    </row>
    <row r="98" ht="15" customHeight="1">
      <c r="A98" t="inlineStr">
        <is>
          <t>A 22783-2025</t>
        </is>
      </c>
      <c r="B98" s="1" t="n">
        <v>45789</v>
      </c>
      <c r="C98" s="1" t="n">
        <v>45937</v>
      </c>
      <c r="D98" t="inlineStr">
        <is>
          <t>VÄSTERNORRLANDS LÄN</t>
        </is>
      </c>
      <c r="E98" t="inlineStr">
        <is>
          <t>SOLLEFTEÅ</t>
        </is>
      </c>
      <c r="G98" t="n">
        <v>27.7</v>
      </c>
      <c r="H98" t="n">
        <v>3</v>
      </c>
      <c r="I98" t="n">
        <v>2</v>
      </c>
      <c r="J98" t="n">
        <v>3</v>
      </c>
      <c r="K98" t="n">
        <v>0</v>
      </c>
      <c r="L98" t="n">
        <v>0</v>
      </c>
      <c r="M98" t="n">
        <v>0</v>
      </c>
      <c r="N98" t="n">
        <v>0</v>
      </c>
      <c r="O98" t="n">
        <v>3</v>
      </c>
      <c r="P98" t="n">
        <v>0</v>
      </c>
      <c r="Q98" t="n">
        <v>7</v>
      </c>
      <c r="R98" s="2" t="inlineStr">
        <is>
          <t>Lunglav
Nordfladdermus
Skrovellav
Bårdlav
Stuplav
Lavskrika
Vattenfladdermus</t>
        </is>
      </c>
      <c r="S98">
        <f>HYPERLINK("https://klasma.github.io/Logging_2283/artfynd/A 22783-2025 artfynd.xlsx", "A 22783-2025")</f>
        <v/>
      </c>
      <c r="T98">
        <f>HYPERLINK("https://klasma.github.io/Logging_2283/kartor/A 22783-2025 karta.png", "A 22783-2025")</f>
        <v/>
      </c>
      <c r="V98">
        <f>HYPERLINK("https://klasma.github.io/Logging_2283/klagomål/A 22783-2025 FSC-klagomål.docx", "A 22783-2025")</f>
        <v/>
      </c>
      <c r="W98">
        <f>HYPERLINK("https://klasma.github.io/Logging_2283/klagomålsmail/A 22783-2025 FSC-klagomål mail.docx", "A 22783-2025")</f>
        <v/>
      </c>
      <c r="X98">
        <f>HYPERLINK("https://klasma.github.io/Logging_2283/tillsyn/A 22783-2025 tillsynsbegäran.docx", "A 22783-2025")</f>
        <v/>
      </c>
      <c r="Y98">
        <f>HYPERLINK("https://klasma.github.io/Logging_2283/tillsynsmail/A 22783-2025 tillsynsbegäran mail.docx", "A 22783-2025")</f>
        <v/>
      </c>
      <c r="Z98">
        <f>HYPERLINK("https://klasma.github.io/Logging_2283/fåglar/A 22783-2025 prioriterade fågelarter.docx", "A 22783-2025")</f>
        <v/>
      </c>
    </row>
    <row r="99" ht="15" customHeight="1">
      <c r="A99" t="inlineStr">
        <is>
          <t>A 53121-2022</t>
        </is>
      </c>
      <c r="B99" s="1" t="n">
        <v>44873</v>
      </c>
      <c r="C99" s="1" t="n">
        <v>45937</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41666-2024</t>
        </is>
      </c>
      <c r="B100" s="1" t="n">
        <v>45560.65010416666</v>
      </c>
      <c r="C100" s="1" t="n">
        <v>45937</v>
      </c>
      <c r="D100" t="inlineStr">
        <is>
          <t>VÄSTERNORRLANDS LÄN</t>
        </is>
      </c>
      <c r="E100" t="inlineStr">
        <is>
          <t>SOLLEFTEÅ</t>
        </is>
      </c>
      <c r="G100" t="n">
        <v>1</v>
      </c>
      <c r="H100" t="n">
        <v>1</v>
      </c>
      <c r="I100" t="n">
        <v>1</v>
      </c>
      <c r="J100" t="n">
        <v>4</v>
      </c>
      <c r="K100" t="n">
        <v>1</v>
      </c>
      <c r="L100" t="n">
        <v>0</v>
      </c>
      <c r="M100" t="n">
        <v>0</v>
      </c>
      <c r="N100" t="n">
        <v>0</v>
      </c>
      <c r="O100" t="n">
        <v>5</v>
      </c>
      <c r="P100" t="n">
        <v>1</v>
      </c>
      <c r="Q100" t="n">
        <v>7</v>
      </c>
      <c r="R100" s="2" t="inlineStr">
        <is>
          <t>Rynkskinn
Granticka
Lunglav
Rosenticka
Vedtrappmossa
Stor aspticka
Revlummer</t>
        </is>
      </c>
      <c r="S100">
        <f>HYPERLINK("https://klasma.github.io/Logging_2283/artfynd/A 41666-2024 artfynd.xlsx", "A 41666-2024")</f>
        <v/>
      </c>
      <c r="T100">
        <f>HYPERLINK("https://klasma.github.io/Logging_2283/kartor/A 41666-2024 karta.png", "A 41666-2024")</f>
        <v/>
      </c>
      <c r="V100">
        <f>HYPERLINK("https://klasma.github.io/Logging_2283/klagomål/A 41666-2024 FSC-klagomål.docx", "A 41666-2024")</f>
        <v/>
      </c>
      <c r="W100">
        <f>HYPERLINK("https://klasma.github.io/Logging_2283/klagomålsmail/A 41666-2024 FSC-klagomål mail.docx", "A 41666-2024")</f>
        <v/>
      </c>
      <c r="X100">
        <f>HYPERLINK("https://klasma.github.io/Logging_2283/tillsyn/A 41666-2024 tillsynsbegäran.docx", "A 41666-2024")</f>
        <v/>
      </c>
      <c r="Y100">
        <f>HYPERLINK("https://klasma.github.io/Logging_2283/tillsynsmail/A 41666-2024 tillsynsbegäran mail.docx", "A 41666-2024")</f>
        <v/>
      </c>
    </row>
    <row r="101" ht="15" customHeight="1">
      <c r="A101" t="inlineStr">
        <is>
          <t>A 715-2023</t>
        </is>
      </c>
      <c r="B101" s="1" t="n">
        <v>44930</v>
      </c>
      <c r="C101" s="1" t="n">
        <v>45937</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28997-2025</t>
        </is>
      </c>
      <c r="B102" s="1" t="n">
        <v>45821.38616898148</v>
      </c>
      <c r="C102" s="1" t="n">
        <v>45937</v>
      </c>
      <c r="D102" t="inlineStr">
        <is>
          <t>VÄSTERNORRLANDS LÄN</t>
        </is>
      </c>
      <c r="E102" t="inlineStr">
        <is>
          <t>SOLLEFTEÅ</t>
        </is>
      </c>
      <c r="F102" t="inlineStr">
        <is>
          <t>SCA</t>
        </is>
      </c>
      <c r="G102" t="n">
        <v>4.2</v>
      </c>
      <c r="H102" t="n">
        <v>0</v>
      </c>
      <c r="I102" t="n">
        <v>3</v>
      </c>
      <c r="J102" t="n">
        <v>4</v>
      </c>
      <c r="K102" t="n">
        <v>0</v>
      </c>
      <c r="L102" t="n">
        <v>0</v>
      </c>
      <c r="M102" t="n">
        <v>0</v>
      </c>
      <c r="N102" t="n">
        <v>0</v>
      </c>
      <c r="O102" t="n">
        <v>4</v>
      </c>
      <c r="P102" t="n">
        <v>0</v>
      </c>
      <c r="Q102" t="n">
        <v>7</v>
      </c>
      <c r="R102" s="2" t="inlineStr">
        <is>
          <t>Dvärgbägarlav
Garnlav
Vaddporing
Vedtrappmossa
Bollvitmossa
Norrlandslav
Skuggblåslav</t>
        </is>
      </c>
      <c r="S102">
        <f>HYPERLINK("https://klasma.github.io/Logging_2283/artfynd/A 28997-2025 artfynd.xlsx", "A 28997-2025")</f>
        <v/>
      </c>
      <c r="T102">
        <f>HYPERLINK("https://klasma.github.io/Logging_2283/kartor/A 28997-2025 karta.png", "A 28997-2025")</f>
        <v/>
      </c>
      <c r="V102">
        <f>HYPERLINK("https://klasma.github.io/Logging_2283/klagomål/A 28997-2025 FSC-klagomål.docx", "A 28997-2025")</f>
        <v/>
      </c>
      <c r="W102">
        <f>HYPERLINK("https://klasma.github.io/Logging_2283/klagomålsmail/A 28997-2025 FSC-klagomål mail.docx", "A 28997-2025")</f>
        <v/>
      </c>
      <c r="X102">
        <f>HYPERLINK("https://klasma.github.io/Logging_2283/tillsyn/A 28997-2025 tillsynsbegäran.docx", "A 28997-2025")</f>
        <v/>
      </c>
      <c r="Y102">
        <f>HYPERLINK("https://klasma.github.io/Logging_2283/tillsynsmail/A 28997-2025 tillsynsbegäran mail.docx", "A 28997-2025")</f>
        <v/>
      </c>
    </row>
    <row r="103" ht="15" customHeight="1">
      <c r="A103" t="inlineStr">
        <is>
          <t>A 24359-2025</t>
        </is>
      </c>
      <c r="B103" s="1" t="n">
        <v>45797</v>
      </c>
      <c r="C103" s="1" t="n">
        <v>45937</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26654-2024</t>
        </is>
      </c>
      <c r="B104" s="1" t="n">
        <v>45469</v>
      </c>
      <c r="C104" s="1" t="n">
        <v>45937</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21253-2025</t>
        </is>
      </c>
      <c r="B105" s="1" t="n">
        <v>45779</v>
      </c>
      <c r="C105" s="1" t="n">
        <v>45937</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62992-2023</t>
        </is>
      </c>
      <c r="B106" s="1" t="n">
        <v>45272</v>
      </c>
      <c r="C106" s="1" t="n">
        <v>45937</v>
      </c>
      <c r="D106" t="inlineStr">
        <is>
          <t>VÄSTERNORRLANDS LÄN</t>
        </is>
      </c>
      <c r="E106" t="inlineStr">
        <is>
          <t>SOLLEFTEÅ</t>
        </is>
      </c>
      <c r="F106" t="inlineStr">
        <is>
          <t>Övriga Aktiebolag</t>
        </is>
      </c>
      <c r="G106" t="n">
        <v>16.7</v>
      </c>
      <c r="H106" t="n">
        <v>2</v>
      </c>
      <c r="I106" t="n">
        <v>2</v>
      </c>
      <c r="J106" t="n">
        <v>5</v>
      </c>
      <c r="K106" t="n">
        <v>0</v>
      </c>
      <c r="L106" t="n">
        <v>0</v>
      </c>
      <c r="M106" t="n">
        <v>0</v>
      </c>
      <c r="N106" t="n">
        <v>0</v>
      </c>
      <c r="O106" t="n">
        <v>5</v>
      </c>
      <c r="P106" t="n">
        <v>0</v>
      </c>
      <c r="Q106" t="n">
        <v>7</v>
      </c>
      <c r="R106" s="2" t="inlineStr">
        <is>
          <t>Gammelgransskål
Garnlav
Harticka
Rosenticka
Tretåig hackspett
Mörk husmossa
Spindelblomster</t>
        </is>
      </c>
      <c r="S106">
        <f>HYPERLINK("https://klasma.github.io/Logging_2283/artfynd/A 62992-2023 artfynd.xlsx", "A 62992-2023")</f>
        <v/>
      </c>
      <c r="T106">
        <f>HYPERLINK("https://klasma.github.io/Logging_2283/kartor/A 62992-2023 karta.png", "A 62992-2023")</f>
        <v/>
      </c>
      <c r="V106">
        <f>HYPERLINK("https://klasma.github.io/Logging_2283/klagomål/A 62992-2023 FSC-klagomål.docx", "A 62992-2023")</f>
        <v/>
      </c>
      <c r="W106">
        <f>HYPERLINK("https://klasma.github.io/Logging_2283/klagomålsmail/A 62992-2023 FSC-klagomål mail.docx", "A 62992-2023")</f>
        <v/>
      </c>
      <c r="X106">
        <f>HYPERLINK("https://klasma.github.io/Logging_2283/tillsyn/A 62992-2023 tillsynsbegäran.docx", "A 62992-2023")</f>
        <v/>
      </c>
      <c r="Y106">
        <f>HYPERLINK("https://klasma.github.io/Logging_2283/tillsynsmail/A 62992-2023 tillsynsbegäran mail.docx", "A 62992-2023")</f>
        <v/>
      </c>
      <c r="Z106">
        <f>HYPERLINK("https://klasma.github.io/Logging_2283/fåglar/A 62992-2023 prioriterade fågelarter.docx", "A 62992-2023")</f>
        <v/>
      </c>
    </row>
    <row r="107" ht="15" customHeight="1">
      <c r="A107" t="inlineStr">
        <is>
          <t>A 14580-2024</t>
        </is>
      </c>
      <c r="B107" s="1" t="n">
        <v>45394</v>
      </c>
      <c r="C107" s="1" t="n">
        <v>45937</v>
      </c>
      <c r="D107" t="inlineStr">
        <is>
          <t>VÄSTERNORRLANDS LÄN</t>
        </is>
      </c>
      <c r="E107" t="inlineStr">
        <is>
          <t>SOLLEFTEÅ</t>
        </is>
      </c>
      <c r="F107" t="inlineStr">
        <is>
          <t>SCA</t>
        </is>
      </c>
      <c r="G107" t="n">
        <v>4.1</v>
      </c>
      <c r="H107" t="n">
        <v>2</v>
      </c>
      <c r="I107" t="n">
        <v>1</v>
      </c>
      <c r="J107" t="n">
        <v>6</v>
      </c>
      <c r="K107" t="n">
        <v>0</v>
      </c>
      <c r="L107" t="n">
        <v>0</v>
      </c>
      <c r="M107" t="n">
        <v>0</v>
      </c>
      <c r="N107" t="n">
        <v>0</v>
      </c>
      <c r="O107" t="n">
        <v>6</v>
      </c>
      <c r="P107" t="n">
        <v>0</v>
      </c>
      <c r="Q107" t="n">
        <v>7</v>
      </c>
      <c r="R107" s="2" t="inlineStr">
        <is>
          <t>Garnlav
Lunglav
Rosenticka
Talltita
Tretåig hackspett
Ullticka
Vedticka</t>
        </is>
      </c>
      <c r="S107">
        <f>HYPERLINK("https://klasma.github.io/Logging_2283/artfynd/A 14580-2024 artfynd.xlsx", "A 14580-2024")</f>
        <v/>
      </c>
      <c r="T107">
        <f>HYPERLINK("https://klasma.github.io/Logging_2283/kartor/A 14580-2024 karta.png", "A 14580-2024")</f>
        <v/>
      </c>
      <c r="V107">
        <f>HYPERLINK("https://klasma.github.io/Logging_2283/klagomål/A 14580-2024 FSC-klagomål.docx", "A 14580-2024")</f>
        <v/>
      </c>
      <c r="W107">
        <f>HYPERLINK("https://klasma.github.io/Logging_2283/klagomålsmail/A 14580-2024 FSC-klagomål mail.docx", "A 14580-2024")</f>
        <v/>
      </c>
      <c r="X107">
        <f>HYPERLINK("https://klasma.github.io/Logging_2283/tillsyn/A 14580-2024 tillsynsbegäran.docx", "A 14580-2024")</f>
        <v/>
      </c>
      <c r="Y107">
        <f>HYPERLINK("https://klasma.github.io/Logging_2283/tillsynsmail/A 14580-2024 tillsynsbegäran mail.docx", "A 14580-2024")</f>
        <v/>
      </c>
      <c r="Z107">
        <f>HYPERLINK("https://klasma.github.io/Logging_2283/fåglar/A 14580-2024 prioriterade fågelarter.docx", "A 14580-2024")</f>
        <v/>
      </c>
    </row>
    <row r="108" ht="15" customHeight="1">
      <c r="A108" t="inlineStr">
        <is>
          <t>A 38157-2025</t>
        </is>
      </c>
      <c r="B108" s="1" t="n">
        <v>45882.61505787037</v>
      </c>
      <c r="C108" s="1" t="n">
        <v>45937</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55422-2024</t>
        </is>
      </c>
      <c r="B109" s="1" t="n">
        <v>45622.38619212963</v>
      </c>
      <c r="C109" s="1" t="n">
        <v>45937</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18014-2022</t>
        </is>
      </c>
      <c r="B110" s="1" t="n">
        <v>44683</v>
      </c>
      <c r="C110" s="1" t="n">
        <v>45937</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16087-2022</t>
        </is>
      </c>
      <c r="B111" s="1" t="n">
        <v>44665</v>
      </c>
      <c r="C111" s="1" t="n">
        <v>45937</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45937</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29871-2024</t>
        </is>
      </c>
      <c r="B113" s="1" t="n">
        <v>45485.94521990741</v>
      </c>
      <c r="C113" s="1" t="n">
        <v>45937</v>
      </c>
      <c r="D113" t="inlineStr">
        <is>
          <t>VÄSTERNORRLANDS LÄN</t>
        </is>
      </c>
      <c r="E113" t="inlineStr">
        <is>
          <t>SOLLEFTEÅ</t>
        </is>
      </c>
      <c r="F113" t="inlineStr">
        <is>
          <t>SCA</t>
        </is>
      </c>
      <c r="G113" t="n">
        <v>6</v>
      </c>
      <c r="H113" t="n">
        <v>0</v>
      </c>
      <c r="I113" t="n">
        <v>1</v>
      </c>
      <c r="J113" t="n">
        <v>5</v>
      </c>
      <c r="K113" t="n">
        <v>0</v>
      </c>
      <c r="L113" t="n">
        <v>0</v>
      </c>
      <c r="M113" t="n">
        <v>0</v>
      </c>
      <c r="N113" t="n">
        <v>0</v>
      </c>
      <c r="O113" t="n">
        <v>5</v>
      </c>
      <c r="P113" t="n">
        <v>0</v>
      </c>
      <c r="Q113" t="n">
        <v>6</v>
      </c>
      <c r="R113" s="2" t="inlineStr">
        <is>
          <t>Dvärgbägarlav
Garnlav
Lunglav
Nordtagging
Tallticka
Dropptaggsvamp</t>
        </is>
      </c>
      <c r="S113">
        <f>HYPERLINK("https://klasma.github.io/Logging_2283/artfynd/A 29871-2024 artfynd.xlsx", "A 29871-2024")</f>
        <v/>
      </c>
      <c r="T113">
        <f>HYPERLINK("https://klasma.github.io/Logging_2283/kartor/A 29871-2024 karta.png", "A 29871-2024")</f>
        <v/>
      </c>
      <c r="V113">
        <f>HYPERLINK("https://klasma.github.io/Logging_2283/klagomål/A 29871-2024 FSC-klagomål.docx", "A 29871-2024")</f>
        <v/>
      </c>
      <c r="W113">
        <f>HYPERLINK("https://klasma.github.io/Logging_2283/klagomålsmail/A 29871-2024 FSC-klagomål mail.docx", "A 29871-2024")</f>
        <v/>
      </c>
      <c r="X113">
        <f>HYPERLINK("https://klasma.github.io/Logging_2283/tillsyn/A 29871-2024 tillsynsbegäran.docx", "A 29871-2024")</f>
        <v/>
      </c>
      <c r="Y113">
        <f>HYPERLINK("https://klasma.github.io/Logging_2283/tillsynsmail/A 29871-2024 tillsynsbegäran mail.docx", "A 29871-2024")</f>
        <v/>
      </c>
    </row>
    <row r="114" ht="15" customHeight="1">
      <c r="A114" t="inlineStr">
        <is>
          <t>A 36470-2024</t>
        </is>
      </c>
      <c r="B114" s="1" t="n">
        <v>45537</v>
      </c>
      <c r="C114" s="1" t="n">
        <v>45937</v>
      </c>
      <c r="D114" t="inlineStr">
        <is>
          <t>VÄSTERNORRLANDS LÄN</t>
        </is>
      </c>
      <c r="E114" t="inlineStr">
        <is>
          <t>SOLLEFTEÅ</t>
        </is>
      </c>
      <c r="F114" t="inlineStr">
        <is>
          <t>SCA</t>
        </is>
      </c>
      <c r="G114" t="n">
        <v>10.3</v>
      </c>
      <c r="H114" t="n">
        <v>3</v>
      </c>
      <c r="I114" t="n">
        <v>0</v>
      </c>
      <c r="J114" t="n">
        <v>6</v>
      </c>
      <c r="K114" t="n">
        <v>0</v>
      </c>
      <c r="L114" t="n">
        <v>0</v>
      </c>
      <c r="M114" t="n">
        <v>0</v>
      </c>
      <c r="N114" t="n">
        <v>0</v>
      </c>
      <c r="O114" t="n">
        <v>6</v>
      </c>
      <c r="P114" t="n">
        <v>0</v>
      </c>
      <c r="Q114" t="n">
        <v>6</v>
      </c>
      <c r="R114" s="2" t="inlineStr">
        <is>
          <t>Gammelgransskål
Granticka
Harticka
Spillkråka
Talltita
Tretåig hackspett</t>
        </is>
      </c>
      <c r="S114">
        <f>HYPERLINK("https://klasma.github.io/Logging_2283/artfynd/A 36470-2024 artfynd.xlsx", "A 36470-2024")</f>
        <v/>
      </c>
      <c r="T114">
        <f>HYPERLINK("https://klasma.github.io/Logging_2283/kartor/A 36470-2024 karta.png", "A 36470-2024")</f>
        <v/>
      </c>
      <c r="V114">
        <f>HYPERLINK("https://klasma.github.io/Logging_2283/klagomål/A 36470-2024 FSC-klagomål.docx", "A 36470-2024")</f>
        <v/>
      </c>
      <c r="W114">
        <f>HYPERLINK("https://klasma.github.io/Logging_2283/klagomålsmail/A 36470-2024 FSC-klagomål mail.docx", "A 36470-2024")</f>
        <v/>
      </c>
      <c r="X114">
        <f>HYPERLINK("https://klasma.github.io/Logging_2283/tillsyn/A 36470-2024 tillsynsbegäran.docx", "A 36470-2024")</f>
        <v/>
      </c>
      <c r="Y114">
        <f>HYPERLINK("https://klasma.github.io/Logging_2283/tillsynsmail/A 36470-2024 tillsynsbegäran mail.docx", "A 36470-2024")</f>
        <v/>
      </c>
      <c r="Z114">
        <f>HYPERLINK("https://klasma.github.io/Logging_2283/fåglar/A 36470-2024 prioriterade fågelarter.docx", "A 36470-2024")</f>
        <v/>
      </c>
    </row>
    <row r="115" ht="15" customHeight="1">
      <c r="A115" t="inlineStr">
        <is>
          <t>A 14860-2023</t>
        </is>
      </c>
      <c r="B115" s="1" t="n">
        <v>45015.07157407407</v>
      </c>
      <c r="C115" s="1" t="n">
        <v>45937</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31885-2024</t>
        </is>
      </c>
      <c r="B116" s="1" t="n">
        <v>45509.95769675926</v>
      </c>
      <c r="C116" s="1" t="n">
        <v>45937</v>
      </c>
      <c r="D116" t="inlineStr">
        <is>
          <t>VÄSTERNORRLANDS LÄN</t>
        </is>
      </c>
      <c r="E116" t="inlineStr">
        <is>
          <t>SOLLEFTEÅ</t>
        </is>
      </c>
      <c r="F116" t="inlineStr">
        <is>
          <t>SCA</t>
        </is>
      </c>
      <c r="G116" t="n">
        <v>4.1</v>
      </c>
      <c r="H116" t="n">
        <v>3</v>
      </c>
      <c r="I116" t="n">
        <v>1</v>
      </c>
      <c r="J116" t="n">
        <v>4</v>
      </c>
      <c r="K116" t="n">
        <v>1</v>
      </c>
      <c r="L116" t="n">
        <v>0</v>
      </c>
      <c r="M116" t="n">
        <v>0</v>
      </c>
      <c r="N116" t="n">
        <v>0</v>
      </c>
      <c r="O116" t="n">
        <v>5</v>
      </c>
      <c r="P116" t="n">
        <v>1</v>
      </c>
      <c r="Q116" t="n">
        <v>6</v>
      </c>
      <c r="R116" s="2" t="inlineStr">
        <is>
          <t>Knärot
Garnlav
Lunglav
Spillkråka
Talltita
Luddlav</t>
        </is>
      </c>
      <c r="S116">
        <f>HYPERLINK("https://klasma.github.io/Logging_2283/artfynd/A 31885-2024 artfynd.xlsx", "A 31885-2024")</f>
        <v/>
      </c>
      <c r="T116">
        <f>HYPERLINK("https://klasma.github.io/Logging_2283/kartor/A 31885-2024 karta.png", "A 31885-2024")</f>
        <v/>
      </c>
      <c r="U116">
        <f>HYPERLINK("https://klasma.github.io/Logging_2283/knärot/A 31885-2024 karta knärot.png", "A 31885-2024")</f>
        <v/>
      </c>
      <c r="V116">
        <f>HYPERLINK("https://klasma.github.io/Logging_2283/klagomål/A 31885-2024 FSC-klagomål.docx", "A 31885-2024")</f>
        <v/>
      </c>
      <c r="W116">
        <f>HYPERLINK("https://klasma.github.io/Logging_2283/klagomålsmail/A 31885-2024 FSC-klagomål mail.docx", "A 31885-2024")</f>
        <v/>
      </c>
      <c r="X116">
        <f>HYPERLINK("https://klasma.github.io/Logging_2283/tillsyn/A 31885-2024 tillsynsbegäran.docx", "A 31885-2024")</f>
        <v/>
      </c>
      <c r="Y116">
        <f>HYPERLINK("https://klasma.github.io/Logging_2283/tillsynsmail/A 31885-2024 tillsynsbegäran mail.docx", "A 31885-2024")</f>
        <v/>
      </c>
      <c r="Z116">
        <f>HYPERLINK("https://klasma.github.io/Logging_2283/fåglar/A 31885-2024 prioriterade fågelarter.docx", "A 31885-2024")</f>
        <v/>
      </c>
    </row>
    <row r="117" ht="15" customHeight="1">
      <c r="A117" t="inlineStr">
        <is>
          <t>A 26594-2022</t>
        </is>
      </c>
      <c r="B117" s="1" t="n">
        <v>44739</v>
      </c>
      <c r="C117" s="1" t="n">
        <v>45937</v>
      </c>
      <c r="D117" t="inlineStr">
        <is>
          <t>VÄSTERNORRLANDS LÄN</t>
        </is>
      </c>
      <c r="E117" t="inlineStr">
        <is>
          <t>SOLLEFTEÅ</t>
        </is>
      </c>
      <c r="F117" t="inlineStr">
        <is>
          <t>Holmen skog AB</t>
        </is>
      </c>
      <c r="G117" t="n">
        <v>1.6</v>
      </c>
      <c r="H117" t="n">
        <v>4</v>
      </c>
      <c r="I117" t="n">
        <v>0</v>
      </c>
      <c r="J117" t="n">
        <v>4</v>
      </c>
      <c r="K117" t="n">
        <v>1</v>
      </c>
      <c r="L117" t="n">
        <v>0</v>
      </c>
      <c r="M117" t="n">
        <v>0</v>
      </c>
      <c r="N117" t="n">
        <v>0</v>
      </c>
      <c r="O117" t="n">
        <v>5</v>
      </c>
      <c r="P117" t="n">
        <v>1</v>
      </c>
      <c r="Q117" t="n">
        <v>6</v>
      </c>
      <c r="R117" s="2" t="inlineStr">
        <is>
          <t>Knärot
Garnlav
Granticka
Spillkråka
Talltita
Tjäder</t>
        </is>
      </c>
      <c r="S117">
        <f>HYPERLINK("https://klasma.github.io/Logging_2283/artfynd/A 26594-2022 artfynd.xlsx", "A 26594-2022")</f>
        <v/>
      </c>
      <c r="T117">
        <f>HYPERLINK("https://klasma.github.io/Logging_2283/kartor/A 26594-2022 karta.png", "A 26594-2022")</f>
        <v/>
      </c>
      <c r="U117">
        <f>HYPERLINK("https://klasma.github.io/Logging_2283/knärot/A 26594-2022 karta knärot.png", "A 26594-2022")</f>
        <v/>
      </c>
      <c r="V117">
        <f>HYPERLINK("https://klasma.github.io/Logging_2283/klagomål/A 26594-2022 FSC-klagomål.docx", "A 26594-2022")</f>
        <v/>
      </c>
      <c r="W117">
        <f>HYPERLINK("https://klasma.github.io/Logging_2283/klagomålsmail/A 26594-2022 FSC-klagomål mail.docx", "A 26594-2022")</f>
        <v/>
      </c>
      <c r="X117">
        <f>HYPERLINK("https://klasma.github.io/Logging_2283/tillsyn/A 26594-2022 tillsynsbegäran.docx", "A 26594-2022")</f>
        <v/>
      </c>
      <c r="Y117">
        <f>HYPERLINK("https://klasma.github.io/Logging_2283/tillsynsmail/A 26594-2022 tillsynsbegäran mail.docx", "A 26594-2022")</f>
        <v/>
      </c>
      <c r="Z117">
        <f>HYPERLINK("https://klasma.github.io/Logging_2283/fåglar/A 26594-2022 prioriterade fågelarter.docx", "A 26594-2022")</f>
        <v/>
      </c>
    </row>
    <row r="118" ht="15" customHeight="1">
      <c r="A118" t="inlineStr">
        <is>
          <t>A 7334-2025</t>
        </is>
      </c>
      <c r="B118" s="1" t="n">
        <v>45703.35998842592</v>
      </c>
      <c r="C118" s="1" t="n">
        <v>45937</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53829-2024</t>
        </is>
      </c>
      <c r="B119" s="1" t="n">
        <v>45615.6153125</v>
      </c>
      <c r="C119" s="1" t="n">
        <v>45937</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13250-2025</t>
        </is>
      </c>
      <c r="B120" s="1" t="n">
        <v>45735.49013888889</v>
      </c>
      <c r="C120" s="1" t="n">
        <v>45937</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15666-2025</t>
        </is>
      </c>
      <c r="B121" s="1" t="n">
        <v>45748.4315625</v>
      </c>
      <c r="C121" s="1" t="n">
        <v>45937</v>
      </c>
      <c r="D121" t="inlineStr">
        <is>
          <t>VÄSTERNORRLANDS LÄN</t>
        </is>
      </c>
      <c r="E121" t="inlineStr">
        <is>
          <t>SOLLEFTEÅ</t>
        </is>
      </c>
      <c r="G121" t="n">
        <v>3.9</v>
      </c>
      <c r="H121" t="n">
        <v>1</v>
      </c>
      <c r="I121" t="n">
        <v>2</v>
      </c>
      <c r="J121" t="n">
        <v>3</v>
      </c>
      <c r="K121" t="n">
        <v>1</v>
      </c>
      <c r="L121" t="n">
        <v>0</v>
      </c>
      <c r="M121" t="n">
        <v>0</v>
      </c>
      <c r="N121" t="n">
        <v>0</v>
      </c>
      <c r="O121" t="n">
        <v>4</v>
      </c>
      <c r="P121" t="n">
        <v>1</v>
      </c>
      <c r="Q121" t="n">
        <v>6</v>
      </c>
      <c r="R121" s="2" t="inlineStr">
        <is>
          <t>Knärot
Garnlav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4827-2025</t>
        </is>
      </c>
      <c r="B122" s="1" t="n">
        <v>45688</v>
      </c>
      <c r="C122" s="1" t="n">
        <v>45937</v>
      </c>
      <c r="D122" t="inlineStr">
        <is>
          <t>VÄSTERNORRLANDS LÄN</t>
        </is>
      </c>
      <c r="E122" t="inlineStr">
        <is>
          <t>SOLLEFTEÅ</t>
        </is>
      </c>
      <c r="G122" t="n">
        <v>33</v>
      </c>
      <c r="H122" t="n">
        <v>2</v>
      </c>
      <c r="I122" t="n">
        <v>0</v>
      </c>
      <c r="J122" t="n">
        <v>6</v>
      </c>
      <c r="K122" t="n">
        <v>0</v>
      </c>
      <c r="L122" t="n">
        <v>0</v>
      </c>
      <c r="M122" t="n">
        <v>0</v>
      </c>
      <c r="N122" t="n">
        <v>0</v>
      </c>
      <c r="O122" t="n">
        <v>6</v>
      </c>
      <c r="P122" t="n">
        <v>0</v>
      </c>
      <c r="Q122" t="n">
        <v>6</v>
      </c>
      <c r="R122" s="2" t="inlineStr">
        <is>
          <t>Garnlav
Granticka
Lunglav
Talltita
Tretåig hackspett
Ullticka</t>
        </is>
      </c>
      <c r="S122">
        <f>HYPERLINK("https://klasma.github.io/Logging_2283/artfynd/A 4827-2025 artfynd.xlsx", "A 4827-2025")</f>
        <v/>
      </c>
      <c r="T122">
        <f>HYPERLINK("https://klasma.github.io/Logging_2283/kartor/A 4827-2025 karta.png", "A 4827-2025")</f>
        <v/>
      </c>
      <c r="V122">
        <f>HYPERLINK("https://klasma.github.io/Logging_2283/klagomål/A 4827-2025 FSC-klagomål.docx", "A 4827-2025")</f>
        <v/>
      </c>
      <c r="W122">
        <f>HYPERLINK("https://klasma.github.io/Logging_2283/klagomålsmail/A 4827-2025 FSC-klagomål mail.docx", "A 4827-2025")</f>
        <v/>
      </c>
      <c r="X122">
        <f>HYPERLINK("https://klasma.github.io/Logging_2283/tillsyn/A 4827-2025 tillsynsbegäran.docx", "A 4827-2025")</f>
        <v/>
      </c>
      <c r="Y122">
        <f>HYPERLINK("https://klasma.github.io/Logging_2283/tillsynsmail/A 4827-2025 tillsynsbegäran mail.docx", "A 4827-2025")</f>
        <v/>
      </c>
      <c r="Z122">
        <f>HYPERLINK("https://klasma.github.io/Logging_2283/fåglar/A 4827-2025 prioriterade fågelarter.docx", "A 4827-2025")</f>
        <v/>
      </c>
    </row>
    <row r="123" ht="15" customHeight="1">
      <c r="A123" t="inlineStr">
        <is>
          <t>A 35406-2024</t>
        </is>
      </c>
      <c r="B123" s="1" t="n">
        <v>45531.40607638889</v>
      </c>
      <c r="C123" s="1" t="n">
        <v>45937</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40420-2023</t>
        </is>
      </c>
      <c r="B124" s="1" t="n">
        <v>45169</v>
      </c>
      <c r="C124" s="1" t="n">
        <v>45937</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10970-2025</t>
        </is>
      </c>
      <c r="B125" s="1" t="n">
        <v>45723.38648148148</v>
      </c>
      <c r="C125" s="1" t="n">
        <v>45937</v>
      </c>
      <c r="D125" t="inlineStr">
        <is>
          <t>VÄSTERNORRLANDS LÄN</t>
        </is>
      </c>
      <c r="E125" t="inlineStr">
        <is>
          <t>SOLLEFTEÅ</t>
        </is>
      </c>
      <c r="F125" t="inlineStr">
        <is>
          <t>SCA</t>
        </is>
      </c>
      <c r="G125" t="n">
        <v>1.1</v>
      </c>
      <c r="H125" t="n">
        <v>3</v>
      </c>
      <c r="I125" t="n">
        <v>0</v>
      </c>
      <c r="J125" t="n">
        <v>6</v>
      </c>
      <c r="K125" t="n">
        <v>0</v>
      </c>
      <c r="L125" t="n">
        <v>0</v>
      </c>
      <c r="M125" t="n">
        <v>0</v>
      </c>
      <c r="N125" t="n">
        <v>0</v>
      </c>
      <c r="O125" t="n">
        <v>6</v>
      </c>
      <c r="P125" t="n">
        <v>0</v>
      </c>
      <c r="Q125" t="n">
        <v>6</v>
      </c>
      <c r="R125" s="2" t="inlineStr">
        <is>
          <t>Garnlav
Granticka
Harticka
Spillkråka
Talltita
Tretåig hackspett</t>
        </is>
      </c>
      <c r="S125">
        <f>HYPERLINK("https://klasma.github.io/Logging_2283/artfynd/A 10970-2025 artfynd.xlsx", "A 10970-2025")</f>
        <v/>
      </c>
      <c r="T125">
        <f>HYPERLINK("https://klasma.github.io/Logging_2283/kartor/A 10970-2025 karta.png", "A 10970-2025")</f>
        <v/>
      </c>
      <c r="V125">
        <f>HYPERLINK("https://klasma.github.io/Logging_2283/klagomål/A 10970-2025 FSC-klagomål.docx", "A 10970-2025")</f>
        <v/>
      </c>
      <c r="W125">
        <f>HYPERLINK("https://klasma.github.io/Logging_2283/klagomålsmail/A 10970-2025 FSC-klagomål mail.docx", "A 10970-2025")</f>
        <v/>
      </c>
      <c r="X125">
        <f>HYPERLINK("https://klasma.github.io/Logging_2283/tillsyn/A 10970-2025 tillsynsbegäran.docx", "A 10970-2025")</f>
        <v/>
      </c>
      <c r="Y125">
        <f>HYPERLINK("https://klasma.github.io/Logging_2283/tillsynsmail/A 10970-2025 tillsynsbegäran mail.docx", "A 10970-2025")</f>
        <v/>
      </c>
      <c r="Z125">
        <f>HYPERLINK("https://klasma.github.io/Logging_2283/fåglar/A 10970-2025 prioriterade fågelarter.docx", "A 10970-2025")</f>
        <v/>
      </c>
    </row>
    <row r="126" ht="15" customHeight="1">
      <c r="A126" t="inlineStr">
        <is>
          <t>A 24887-2022</t>
        </is>
      </c>
      <c r="B126" s="1" t="n">
        <v>44728</v>
      </c>
      <c r="C126" s="1" t="n">
        <v>45937</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61323-2024</t>
        </is>
      </c>
      <c r="B127" s="1" t="n">
        <v>45646</v>
      </c>
      <c r="C127" s="1" t="n">
        <v>45937</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33321-2025</t>
        </is>
      </c>
      <c r="B128" s="1" t="n">
        <v>45841.34490740741</v>
      </c>
      <c r="C128" s="1" t="n">
        <v>45937</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3056-2025</t>
        </is>
      </c>
      <c r="B129" s="1" t="n">
        <v>45678.61554398148</v>
      </c>
      <c r="C129" s="1" t="n">
        <v>45937</v>
      </c>
      <c r="D129" t="inlineStr">
        <is>
          <t>VÄSTERNORRLANDS LÄN</t>
        </is>
      </c>
      <c r="E129" t="inlineStr">
        <is>
          <t>SOLLEFTEÅ</t>
        </is>
      </c>
      <c r="F129" t="inlineStr">
        <is>
          <t>SCA</t>
        </is>
      </c>
      <c r="G129" t="n">
        <v>9.800000000000001</v>
      </c>
      <c r="H129" t="n">
        <v>3</v>
      </c>
      <c r="I129" t="n">
        <v>0</v>
      </c>
      <c r="J129" t="n">
        <v>5</v>
      </c>
      <c r="K129" t="n">
        <v>0</v>
      </c>
      <c r="L129" t="n">
        <v>0</v>
      </c>
      <c r="M129" t="n">
        <v>0</v>
      </c>
      <c r="N129" t="n">
        <v>0</v>
      </c>
      <c r="O129" t="n">
        <v>5</v>
      </c>
      <c r="P129" t="n">
        <v>0</v>
      </c>
      <c r="Q129" t="n">
        <v>6</v>
      </c>
      <c r="R129" s="2" t="inlineStr">
        <is>
          <t>Garnlav
Granticka
Lunglav
Talltita
Tretåig hackspett
Tjäder</t>
        </is>
      </c>
      <c r="S129">
        <f>HYPERLINK("https://klasma.github.io/Logging_2283/artfynd/A 3056-2025 artfynd.xlsx", "A 3056-2025")</f>
        <v/>
      </c>
      <c r="T129">
        <f>HYPERLINK("https://klasma.github.io/Logging_2283/kartor/A 3056-2025 karta.png", "A 3056-2025")</f>
        <v/>
      </c>
      <c r="V129">
        <f>HYPERLINK("https://klasma.github.io/Logging_2283/klagomål/A 3056-2025 FSC-klagomål.docx", "A 3056-2025")</f>
        <v/>
      </c>
      <c r="W129">
        <f>HYPERLINK("https://klasma.github.io/Logging_2283/klagomålsmail/A 3056-2025 FSC-klagomål mail.docx", "A 3056-2025")</f>
        <v/>
      </c>
      <c r="X129">
        <f>HYPERLINK("https://klasma.github.io/Logging_2283/tillsyn/A 3056-2025 tillsynsbegäran.docx", "A 3056-2025")</f>
        <v/>
      </c>
      <c r="Y129">
        <f>HYPERLINK("https://klasma.github.io/Logging_2283/tillsynsmail/A 3056-2025 tillsynsbegäran mail.docx", "A 3056-2025")</f>
        <v/>
      </c>
      <c r="Z129">
        <f>HYPERLINK("https://klasma.github.io/Logging_2283/fåglar/A 3056-2025 prioriterade fågelarter.docx", "A 3056-2025")</f>
        <v/>
      </c>
    </row>
    <row r="130" ht="15" customHeight="1">
      <c r="A130" t="inlineStr">
        <is>
          <t>A 35632-2025</t>
        </is>
      </c>
      <c r="B130" s="1" t="n">
        <v>45859.44893518519</v>
      </c>
      <c r="C130" s="1" t="n">
        <v>45937</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41372-2025</t>
        </is>
      </c>
      <c r="B131" s="1" t="n">
        <v>45900.67743055556</v>
      </c>
      <c r="C131" s="1" t="n">
        <v>45937</v>
      </c>
      <c r="D131" t="inlineStr">
        <is>
          <t>VÄSTERNORRLANDS LÄN</t>
        </is>
      </c>
      <c r="E131" t="inlineStr">
        <is>
          <t>SOLLEFTEÅ</t>
        </is>
      </c>
      <c r="G131" t="n">
        <v>15.3</v>
      </c>
      <c r="H131" t="n">
        <v>3</v>
      </c>
      <c r="I131" t="n">
        <v>1</v>
      </c>
      <c r="J131" t="n">
        <v>3</v>
      </c>
      <c r="K131" t="n">
        <v>1</v>
      </c>
      <c r="L131" t="n">
        <v>0</v>
      </c>
      <c r="M131" t="n">
        <v>0</v>
      </c>
      <c r="N131" t="n">
        <v>0</v>
      </c>
      <c r="O131" t="n">
        <v>4</v>
      </c>
      <c r="P131" t="n">
        <v>1</v>
      </c>
      <c r="Q131" t="n">
        <v>6</v>
      </c>
      <c r="R131" s="2" t="inlineStr">
        <is>
          <t>Knärot
Garnlav
Lunglav
Tretåig hackspett
Dropptaggsvamp
Lavskrika</t>
        </is>
      </c>
      <c r="S131">
        <f>HYPERLINK("https://klasma.github.io/Logging_2283/artfynd/A 41372-2025 artfynd.xlsx", "A 41372-2025")</f>
        <v/>
      </c>
      <c r="T131">
        <f>HYPERLINK("https://klasma.github.io/Logging_2283/kartor/A 41372-2025 karta.png", "A 41372-2025")</f>
        <v/>
      </c>
      <c r="U131">
        <f>HYPERLINK("https://klasma.github.io/Logging_2283/knärot/A 41372-2025 karta knärot.png", "A 41372-2025")</f>
        <v/>
      </c>
      <c r="V131">
        <f>HYPERLINK("https://klasma.github.io/Logging_2283/klagomål/A 41372-2025 FSC-klagomål.docx", "A 41372-2025")</f>
        <v/>
      </c>
      <c r="W131">
        <f>HYPERLINK("https://klasma.github.io/Logging_2283/klagomålsmail/A 41372-2025 FSC-klagomål mail.docx", "A 41372-2025")</f>
        <v/>
      </c>
      <c r="X131">
        <f>HYPERLINK("https://klasma.github.io/Logging_2283/tillsyn/A 41372-2025 tillsynsbegäran.docx", "A 41372-2025")</f>
        <v/>
      </c>
      <c r="Y131">
        <f>HYPERLINK("https://klasma.github.io/Logging_2283/tillsynsmail/A 41372-2025 tillsynsbegäran mail.docx", "A 41372-2025")</f>
        <v/>
      </c>
      <c r="Z131">
        <f>HYPERLINK("https://klasma.github.io/Logging_2283/fåglar/A 41372-2025 prioriterade fågelarter.docx", "A 41372-2025")</f>
        <v/>
      </c>
    </row>
    <row r="132" ht="15" customHeight="1">
      <c r="A132" t="inlineStr">
        <is>
          <t>A 11552-2024</t>
        </is>
      </c>
      <c r="B132" s="1" t="n">
        <v>45372</v>
      </c>
      <c r="C132" s="1" t="n">
        <v>45937</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21987-2025</t>
        </is>
      </c>
      <c r="B133" s="1" t="n">
        <v>45784.65710648148</v>
      </c>
      <c r="C133" s="1" t="n">
        <v>45937</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21987-2025 artfynd.xlsx", "A 21987-2025")</f>
        <v/>
      </c>
      <c r="T133">
        <f>HYPERLINK("https://klasma.github.io/Logging_2283/kartor/A 21987-2025 karta.png", "A 21987-2025")</f>
        <v/>
      </c>
      <c r="V133">
        <f>HYPERLINK("https://klasma.github.io/Logging_2283/klagomål/A 21987-2025 FSC-klagomål.docx", "A 21987-2025")</f>
        <v/>
      </c>
      <c r="W133">
        <f>HYPERLINK("https://klasma.github.io/Logging_2283/klagomålsmail/A 21987-2025 FSC-klagomål mail.docx", "A 21987-2025")</f>
        <v/>
      </c>
      <c r="X133">
        <f>HYPERLINK("https://klasma.github.io/Logging_2283/tillsyn/A 21987-2025 tillsynsbegäran.docx", "A 21987-2025")</f>
        <v/>
      </c>
      <c r="Y133">
        <f>HYPERLINK("https://klasma.github.io/Logging_2283/tillsynsmail/A 21987-2025 tillsynsbegäran mail.docx", "A 21987-2025")</f>
        <v/>
      </c>
      <c r="Z133">
        <f>HYPERLINK("https://klasma.github.io/Logging_2283/fåglar/A 21987-2025 prioriterade fågelarter.docx", "A 21987-2025")</f>
        <v/>
      </c>
    </row>
    <row r="134" ht="15" customHeight="1">
      <c r="A134" t="inlineStr">
        <is>
          <t>A 61541-2024</t>
        </is>
      </c>
      <c r="B134" s="1" t="n">
        <v>45646</v>
      </c>
      <c r="C134" s="1" t="n">
        <v>45937</v>
      </c>
      <c r="D134" t="inlineStr">
        <is>
          <t>VÄSTERNORRLANDS LÄN</t>
        </is>
      </c>
      <c r="E134" t="inlineStr">
        <is>
          <t>SOLLEFTEÅ</t>
        </is>
      </c>
      <c r="F134" t="inlineStr">
        <is>
          <t>SCA</t>
        </is>
      </c>
      <c r="G134" t="n">
        <v>6.8</v>
      </c>
      <c r="H134" t="n">
        <v>1</v>
      </c>
      <c r="I134" t="n">
        <v>0</v>
      </c>
      <c r="J134" t="n">
        <v>6</v>
      </c>
      <c r="K134" t="n">
        <v>0</v>
      </c>
      <c r="L134" t="n">
        <v>0</v>
      </c>
      <c r="M134" t="n">
        <v>0</v>
      </c>
      <c r="N134" t="n">
        <v>0</v>
      </c>
      <c r="O134" t="n">
        <v>6</v>
      </c>
      <c r="P134" t="n">
        <v>0</v>
      </c>
      <c r="Q134" t="n">
        <v>6</v>
      </c>
      <c r="R134" s="2" t="inlineStr">
        <is>
          <t>Gammelgransskål
Garnlav
Skogshare
Tretåig hackspett
Ullticka
Vitgrynig nållav</t>
        </is>
      </c>
      <c r="S134">
        <f>HYPERLINK("https://klasma.github.io/Logging_2283/artfynd/A 61541-2024 artfynd.xlsx", "A 61541-2024")</f>
        <v/>
      </c>
      <c r="T134">
        <f>HYPERLINK("https://klasma.github.io/Logging_2283/kartor/A 61541-2024 karta.png", "A 61541-2024")</f>
        <v/>
      </c>
      <c r="V134">
        <f>HYPERLINK("https://klasma.github.io/Logging_2283/klagomål/A 61541-2024 FSC-klagomål.docx", "A 61541-2024")</f>
        <v/>
      </c>
      <c r="W134">
        <f>HYPERLINK("https://klasma.github.io/Logging_2283/klagomålsmail/A 61541-2024 FSC-klagomål mail.docx", "A 61541-2024")</f>
        <v/>
      </c>
      <c r="X134">
        <f>HYPERLINK("https://klasma.github.io/Logging_2283/tillsyn/A 61541-2024 tillsynsbegäran.docx", "A 61541-2024")</f>
        <v/>
      </c>
      <c r="Y134">
        <f>HYPERLINK("https://klasma.github.io/Logging_2283/tillsynsmail/A 61541-2024 tillsynsbegäran mail.docx", "A 61541-2024")</f>
        <v/>
      </c>
      <c r="Z134">
        <f>HYPERLINK("https://klasma.github.io/Logging_2283/fåglar/A 61541-2024 prioriterade fågelarter.docx", "A 61541-2024")</f>
        <v/>
      </c>
    </row>
    <row r="135" ht="15" customHeight="1">
      <c r="A135" t="inlineStr">
        <is>
          <t>A 20949-2022</t>
        </is>
      </c>
      <c r="B135" s="1" t="n">
        <v>44701.93967592593</v>
      </c>
      <c r="C135" s="1" t="n">
        <v>45937</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11490-2022</t>
        </is>
      </c>
      <c r="B136" s="1" t="n">
        <v>44630.93877314815</v>
      </c>
      <c r="C136" s="1" t="n">
        <v>45937</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32217-2023</t>
        </is>
      </c>
      <c r="B137" s="1" t="n">
        <v>45119</v>
      </c>
      <c r="C137" s="1" t="n">
        <v>45937</v>
      </c>
      <c r="D137" t="inlineStr">
        <is>
          <t>VÄSTERNORRLANDS LÄN</t>
        </is>
      </c>
      <c r="E137" t="inlineStr">
        <is>
          <t>SOLLEFTEÅ</t>
        </is>
      </c>
      <c r="F137" t="inlineStr">
        <is>
          <t>SCA</t>
        </is>
      </c>
      <c r="G137" t="n">
        <v>1.8</v>
      </c>
      <c r="H137" t="n">
        <v>1</v>
      </c>
      <c r="I137" t="n">
        <v>0</v>
      </c>
      <c r="J137" t="n">
        <v>5</v>
      </c>
      <c r="K137" t="n">
        <v>0</v>
      </c>
      <c r="L137" t="n">
        <v>0</v>
      </c>
      <c r="M137" t="n">
        <v>0</v>
      </c>
      <c r="N137" t="n">
        <v>0</v>
      </c>
      <c r="O137" t="n">
        <v>5</v>
      </c>
      <c r="P137" t="n">
        <v>0</v>
      </c>
      <c r="Q137" t="n">
        <v>5</v>
      </c>
      <c r="R137" s="2" t="inlineStr">
        <is>
          <t>Garnlav
Lunglav
Rosenticka
Skogshare
Tretåig hackspett</t>
        </is>
      </c>
      <c r="S137">
        <f>HYPERLINK("https://klasma.github.io/Logging_2283/artfynd/A 32217-2023 artfynd.xlsx", "A 32217-2023")</f>
        <v/>
      </c>
      <c r="T137">
        <f>HYPERLINK("https://klasma.github.io/Logging_2283/kartor/A 32217-2023 karta.png", "A 32217-2023")</f>
        <v/>
      </c>
      <c r="V137">
        <f>HYPERLINK("https://klasma.github.io/Logging_2283/klagomål/A 32217-2023 FSC-klagomål.docx", "A 32217-2023")</f>
        <v/>
      </c>
      <c r="W137">
        <f>HYPERLINK("https://klasma.github.io/Logging_2283/klagomålsmail/A 32217-2023 FSC-klagomål mail.docx", "A 32217-2023")</f>
        <v/>
      </c>
      <c r="X137">
        <f>HYPERLINK("https://klasma.github.io/Logging_2283/tillsyn/A 32217-2023 tillsynsbegäran.docx", "A 32217-2023")</f>
        <v/>
      </c>
      <c r="Y137">
        <f>HYPERLINK("https://klasma.github.io/Logging_2283/tillsynsmail/A 32217-2023 tillsynsbegäran mail.docx", "A 32217-2023")</f>
        <v/>
      </c>
      <c r="Z137">
        <f>HYPERLINK("https://klasma.github.io/Logging_2283/fåglar/A 32217-2023 prioriterade fågelarter.docx", "A 32217-2023")</f>
        <v/>
      </c>
    </row>
    <row r="138" ht="15" customHeight="1">
      <c r="A138" t="inlineStr">
        <is>
          <t>A 48562-2024</t>
        </is>
      </c>
      <c r="B138" s="1" t="n">
        <v>45593.38597222222</v>
      </c>
      <c r="C138" s="1" t="n">
        <v>45937</v>
      </c>
      <c r="D138" t="inlineStr">
        <is>
          <t>VÄSTERNORRLANDS LÄN</t>
        </is>
      </c>
      <c r="E138" t="inlineStr">
        <is>
          <t>SOLLEFTEÅ</t>
        </is>
      </c>
      <c r="F138" t="inlineStr">
        <is>
          <t>SCA</t>
        </is>
      </c>
      <c r="G138" t="n">
        <v>5.3</v>
      </c>
      <c r="H138" t="n">
        <v>1</v>
      </c>
      <c r="I138" t="n">
        <v>1</v>
      </c>
      <c r="J138" t="n">
        <v>4</v>
      </c>
      <c r="K138" t="n">
        <v>0</v>
      </c>
      <c r="L138" t="n">
        <v>0</v>
      </c>
      <c r="M138" t="n">
        <v>0</v>
      </c>
      <c r="N138" t="n">
        <v>0</v>
      </c>
      <c r="O138" t="n">
        <v>4</v>
      </c>
      <c r="P138" t="n">
        <v>0</v>
      </c>
      <c r="Q138" t="n">
        <v>5</v>
      </c>
      <c r="R138" s="2" t="inlineStr">
        <is>
          <t>Gammelgransskål
Garnlav
Lunglav
Vitgrynig nållav
Lappranunkel</t>
        </is>
      </c>
      <c r="S138">
        <f>HYPERLINK("https://klasma.github.io/Logging_2283/artfynd/A 48562-2024 artfynd.xlsx", "A 48562-2024")</f>
        <v/>
      </c>
      <c r="T138">
        <f>HYPERLINK("https://klasma.github.io/Logging_2283/kartor/A 48562-2024 karta.png", "A 48562-2024")</f>
        <v/>
      </c>
      <c r="V138">
        <f>HYPERLINK("https://klasma.github.io/Logging_2283/klagomål/A 48562-2024 FSC-klagomål.docx", "A 48562-2024")</f>
        <v/>
      </c>
      <c r="W138">
        <f>HYPERLINK("https://klasma.github.io/Logging_2283/klagomålsmail/A 48562-2024 FSC-klagomål mail.docx", "A 48562-2024")</f>
        <v/>
      </c>
      <c r="X138">
        <f>HYPERLINK("https://klasma.github.io/Logging_2283/tillsyn/A 48562-2024 tillsynsbegäran.docx", "A 48562-2024")</f>
        <v/>
      </c>
      <c r="Y138">
        <f>HYPERLINK("https://klasma.github.io/Logging_2283/tillsynsmail/A 48562-2024 tillsynsbegäran mail.docx", "A 48562-2024")</f>
        <v/>
      </c>
    </row>
    <row r="139" ht="15" customHeight="1">
      <c r="A139" t="inlineStr">
        <is>
          <t>A 30235-2022</t>
        </is>
      </c>
      <c r="B139" s="1" t="n">
        <v>44757</v>
      </c>
      <c r="C139" s="1" t="n">
        <v>45937</v>
      </c>
      <c r="D139" t="inlineStr">
        <is>
          <t>VÄSTERNORRLANDS LÄN</t>
        </is>
      </c>
      <c r="E139" t="inlineStr">
        <is>
          <t>SOLLEFTEÅ</t>
        </is>
      </c>
      <c r="F139" t="inlineStr">
        <is>
          <t>SCA</t>
        </is>
      </c>
      <c r="G139" t="n">
        <v>4.7</v>
      </c>
      <c r="H139" t="n">
        <v>3</v>
      </c>
      <c r="I139" t="n">
        <v>0</v>
      </c>
      <c r="J139" t="n">
        <v>3</v>
      </c>
      <c r="K139" t="n">
        <v>2</v>
      </c>
      <c r="L139" t="n">
        <v>0</v>
      </c>
      <c r="M139" t="n">
        <v>0</v>
      </c>
      <c r="N139" t="n">
        <v>0</v>
      </c>
      <c r="O139" t="n">
        <v>5</v>
      </c>
      <c r="P139" t="n">
        <v>2</v>
      </c>
      <c r="Q139" t="n">
        <v>5</v>
      </c>
      <c r="R139" s="2" t="inlineStr">
        <is>
          <t>Doftticka
Knärot
Lunglav
Skrovellav
Tretåig hackspett</t>
        </is>
      </c>
      <c r="S139">
        <f>HYPERLINK("https://klasma.github.io/Logging_2283/artfynd/A 30235-2022 artfynd.xlsx", "A 30235-2022")</f>
        <v/>
      </c>
      <c r="T139">
        <f>HYPERLINK("https://klasma.github.io/Logging_2283/kartor/A 30235-2022 karta.png", "A 30235-2022")</f>
        <v/>
      </c>
      <c r="U139">
        <f>HYPERLINK("https://klasma.github.io/Logging_2283/knärot/A 30235-2022 karta knärot.png", "A 30235-2022")</f>
        <v/>
      </c>
      <c r="V139">
        <f>HYPERLINK("https://klasma.github.io/Logging_2283/klagomål/A 30235-2022 FSC-klagomål.docx", "A 30235-2022")</f>
        <v/>
      </c>
      <c r="W139">
        <f>HYPERLINK("https://klasma.github.io/Logging_2283/klagomålsmail/A 30235-2022 FSC-klagomål mail.docx", "A 30235-2022")</f>
        <v/>
      </c>
      <c r="X139">
        <f>HYPERLINK("https://klasma.github.io/Logging_2283/tillsyn/A 30235-2022 tillsynsbegäran.docx", "A 30235-2022")</f>
        <v/>
      </c>
      <c r="Y139">
        <f>HYPERLINK("https://klasma.github.io/Logging_2283/tillsynsmail/A 30235-2022 tillsynsbegäran mail.docx", "A 30235-2022")</f>
        <v/>
      </c>
      <c r="Z139">
        <f>HYPERLINK("https://klasma.github.io/Logging_2283/fåglar/A 30235-2022 prioriterade fågelarter.docx", "A 30235-2022")</f>
        <v/>
      </c>
    </row>
    <row r="140" ht="15" customHeight="1">
      <c r="A140" t="inlineStr">
        <is>
          <t>A 21002-2025</t>
        </is>
      </c>
      <c r="B140" s="1" t="n">
        <v>45777.48998842593</v>
      </c>
      <c r="C140" s="1" t="n">
        <v>45937</v>
      </c>
      <c r="D140" t="inlineStr">
        <is>
          <t>VÄSTERNORRLANDS LÄN</t>
        </is>
      </c>
      <c r="E140" t="inlineStr">
        <is>
          <t>SOLLEFTEÅ</t>
        </is>
      </c>
      <c r="F140" t="inlineStr">
        <is>
          <t>SCA</t>
        </is>
      </c>
      <c r="G140" t="n">
        <v>3.1</v>
      </c>
      <c r="H140" t="n">
        <v>1</v>
      </c>
      <c r="I140" t="n">
        <v>2</v>
      </c>
      <c r="J140" t="n">
        <v>3</v>
      </c>
      <c r="K140" t="n">
        <v>0</v>
      </c>
      <c r="L140" t="n">
        <v>0</v>
      </c>
      <c r="M140" t="n">
        <v>0</v>
      </c>
      <c r="N140" t="n">
        <v>0</v>
      </c>
      <c r="O140" t="n">
        <v>3</v>
      </c>
      <c r="P140" t="n">
        <v>0</v>
      </c>
      <c r="Q140" t="n">
        <v>5</v>
      </c>
      <c r="R140" s="2" t="inlineStr">
        <is>
          <t>Granticka
Tretåig hackspett
Ullticka
Norrlandslav
Vedticka</t>
        </is>
      </c>
      <c r="S140">
        <f>HYPERLINK("https://klasma.github.io/Logging_2283/artfynd/A 21002-2025 artfynd.xlsx", "A 21002-2025")</f>
        <v/>
      </c>
      <c r="T140">
        <f>HYPERLINK("https://klasma.github.io/Logging_2283/kartor/A 21002-2025 karta.png", "A 21002-2025")</f>
        <v/>
      </c>
      <c r="V140">
        <f>HYPERLINK("https://klasma.github.io/Logging_2283/klagomål/A 21002-2025 FSC-klagomål.docx", "A 21002-2025")</f>
        <v/>
      </c>
      <c r="W140">
        <f>HYPERLINK("https://klasma.github.io/Logging_2283/klagomålsmail/A 21002-2025 FSC-klagomål mail.docx", "A 21002-2025")</f>
        <v/>
      </c>
      <c r="X140">
        <f>HYPERLINK("https://klasma.github.io/Logging_2283/tillsyn/A 21002-2025 tillsynsbegäran.docx", "A 21002-2025")</f>
        <v/>
      </c>
      <c r="Y140">
        <f>HYPERLINK("https://klasma.github.io/Logging_2283/tillsynsmail/A 21002-2025 tillsynsbegäran mail.docx", "A 21002-2025")</f>
        <v/>
      </c>
      <c r="Z140">
        <f>HYPERLINK("https://klasma.github.io/Logging_2283/fåglar/A 21002-2025 prioriterade fågelarter.docx", "A 21002-2025")</f>
        <v/>
      </c>
    </row>
    <row r="141" ht="15" customHeight="1">
      <c r="A141" t="inlineStr">
        <is>
          <t>A 19081-2024</t>
        </is>
      </c>
      <c r="B141" s="1" t="n">
        <v>45428</v>
      </c>
      <c r="C141" s="1" t="n">
        <v>45937</v>
      </c>
      <c r="D141" t="inlineStr">
        <is>
          <t>VÄSTERNORRLANDS LÄN</t>
        </is>
      </c>
      <c r="E141" t="inlineStr">
        <is>
          <t>SOLLEFTEÅ</t>
        </is>
      </c>
      <c r="F141" t="inlineStr">
        <is>
          <t>SCA</t>
        </is>
      </c>
      <c r="G141" t="n">
        <v>21.5</v>
      </c>
      <c r="H141" t="n">
        <v>2</v>
      </c>
      <c r="I141" t="n">
        <v>0</v>
      </c>
      <c r="J141" t="n">
        <v>4</v>
      </c>
      <c r="K141" t="n">
        <v>0</v>
      </c>
      <c r="L141" t="n">
        <v>0</v>
      </c>
      <c r="M141" t="n">
        <v>0</v>
      </c>
      <c r="N141" t="n">
        <v>0</v>
      </c>
      <c r="O141" t="n">
        <v>4</v>
      </c>
      <c r="P141" t="n">
        <v>0</v>
      </c>
      <c r="Q141" t="n">
        <v>5</v>
      </c>
      <c r="R141" s="2" t="inlineStr">
        <is>
          <t>Garnlav
Granticka
Järpe
Ullticka
Fläcknycklar</t>
        </is>
      </c>
      <c r="S141">
        <f>HYPERLINK("https://klasma.github.io/Logging_2283/artfynd/A 19081-2024 artfynd.xlsx", "A 19081-2024")</f>
        <v/>
      </c>
      <c r="T141">
        <f>HYPERLINK("https://klasma.github.io/Logging_2283/kartor/A 19081-2024 karta.png", "A 19081-2024")</f>
        <v/>
      </c>
      <c r="V141">
        <f>HYPERLINK("https://klasma.github.io/Logging_2283/klagomål/A 19081-2024 FSC-klagomål.docx", "A 19081-2024")</f>
        <v/>
      </c>
      <c r="W141">
        <f>HYPERLINK("https://klasma.github.io/Logging_2283/klagomålsmail/A 19081-2024 FSC-klagomål mail.docx", "A 19081-2024")</f>
        <v/>
      </c>
      <c r="X141">
        <f>HYPERLINK("https://klasma.github.io/Logging_2283/tillsyn/A 19081-2024 tillsynsbegäran.docx", "A 19081-2024")</f>
        <v/>
      </c>
      <c r="Y141">
        <f>HYPERLINK("https://klasma.github.io/Logging_2283/tillsynsmail/A 19081-2024 tillsynsbegäran mail.docx", "A 19081-2024")</f>
        <v/>
      </c>
      <c r="Z141">
        <f>HYPERLINK("https://klasma.github.io/Logging_2283/fåglar/A 19081-2024 prioriterade fågelarter.docx", "A 19081-2024")</f>
        <v/>
      </c>
    </row>
    <row r="142" ht="15" customHeight="1">
      <c r="A142" t="inlineStr">
        <is>
          <t>A 2438-2025</t>
        </is>
      </c>
      <c r="B142" s="1" t="n">
        <v>45674.41815972222</v>
      </c>
      <c r="C142" s="1" t="n">
        <v>45937</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41169-2022</t>
        </is>
      </c>
      <c r="B143" s="1" t="n">
        <v>44825</v>
      </c>
      <c r="C143" s="1" t="n">
        <v>45937</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22797-2025</t>
        </is>
      </c>
      <c r="B144" s="1" t="n">
        <v>45789</v>
      </c>
      <c r="C144" s="1" t="n">
        <v>45937</v>
      </c>
      <c r="D144" t="inlineStr">
        <is>
          <t>VÄSTERNORRLANDS LÄN</t>
        </is>
      </c>
      <c r="E144" t="inlineStr">
        <is>
          <t>SOLLEFTEÅ</t>
        </is>
      </c>
      <c r="G144" t="n">
        <v>0.9</v>
      </c>
      <c r="H144" t="n">
        <v>2</v>
      </c>
      <c r="I144" t="n">
        <v>0</v>
      </c>
      <c r="J144" t="n">
        <v>5</v>
      </c>
      <c r="K144" t="n">
        <v>0</v>
      </c>
      <c r="L144" t="n">
        <v>0</v>
      </c>
      <c r="M144" t="n">
        <v>0</v>
      </c>
      <c r="N144" t="n">
        <v>0</v>
      </c>
      <c r="O144" t="n">
        <v>5</v>
      </c>
      <c r="P144" t="n">
        <v>0</v>
      </c>
      <c r="Q144" t="n">
        <v>5</v>
      </c>
      <c r="R144" s="2" t="inlineStr">
        <is>
          <t>Blanksvart spiklav
Talltita
Tretåig hackspett
Vedskivlav
Vedtrappmossa</t>
        </is>
      </c>
      <c r="S144">
        <f>HYPERLINK("https://klasma.github.io/Logging_2283/artfynd/A 22797-2025 artfynd.xlsx", "A 22797-2025")</f>
        <v/>
      </c>
      <c r="T144">
        <f>HYPERLINK("https://klasma.github.io/Logging_2283/kartor/A 22797-2025 karta.png", "A 22797-2025")</f>
        <v/>
      </c>
      <c r="V144">
        <f>HYPERLINK("https://klasma.github.io/Logging_2283/klagomål/A 22797-2025 FSC-klagomål.docx", "A 22797-2025")</f>
        <v/>
      </c>
      <c r="W144">
        <f>HYPERLINK("https://klasma.github.io/Logging_2283/klagomålsmail/A 22797-2025 FSC-klagomål mail.docx", "A 22797-2025")</f>
        <v/>
      </c>
      <c r="X144">
        <f>HYPERLINK("https://klasma.github.io/Logging_2283/tillsyn/A 22797-2025 tillsynsbegäran.docx", "A 22797-2025")</f>
        <v/>
      </c>
      <c r="Y144">
        <f>HYPERLINK("https://klasma.github.io/Logging_2283/tillsynsmail/A 22797-2025 tillsynsbegäran mail.docx", "A 22797-2025")</f>
        <v/>
      </c>
      <c r="Z144">
        <f>HYPERLINK("https://klasma.github.io/Logging_2283/fåglar/A 22797-2025 prioriterade fågelarter.docx", "A 22797-2025")</f>
        <v/>
      </c>
    </row>
    <row r="145" ht="15" customHeight="1">
      <c r="A145" t="inlineStr">
        <is>
          <t>A 33519-2024</t>
        </is>
      </c>
      <c r="B145" s="1" t="n">
        <v>45519</v>
      </c>
      <c r="C145" s="1" t="n">
        <v>45937</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57076-2020</t>
        </is>
      </c>
      <c r="B146" s="1" t="n">
        <v>44138</v>
      </c>
      <c r="C146" s="1" t="n">
        <v>45937</v>
      </c>
      <c r="D146" t="inlineStr">
        <is>
          <t>VÄSTERNORRLANDS LÄN</t>
        </is>
      </c>
      <c r="E146" t="inlineStr">
        <is>
          <t>SOLLEFTEÅ</t>
        </is>
      </c>
      <c r="G146" t="n">
        <v>3.8</v>
      </c>
      <c r="H146" t="n">
        <v>3</v>
      </c>
      <c r="I146" t="n">
        <v>1</v>
      </c>
      <c r="J146" t="n">
        <v>3</v>
      </c>
      <c r="K146" t="n">
        <v>0</v>
      </c>
      <c r="L146" t="n">
        <v>0</v>
      </c>
      <c r="M146" t="n">
        <v>0</v>
      </c>
      <c r="N146" t="n">
        <v>0</v>
      </c>
      <c r="O146" t="n">
        <v>3</v>
      </c>
      <c r="P146" t="n">
        <v>0</v>
      </c>
      <c r="Q146" t="n">
        <v>5</v>
      </c>
      <c r="R146" s="2" t="inlineStr">
        <is>
          <t>Kråka
Nipsippa
Rosenticka
Strutbräken
Revlummer</t>
        </is>
      </c>
      <c r="S146">
        <f>HYPERLINK("https://klasma.github.io/Logging_2283/artfynd/A 57076-2020 artfynd.xlsx", "A 57076-2020")</f>
        <v/>
      </c>
      <c r="T146">
        <f>HYPERLINK("https://klasma.github.io/Logging_2283/kartor/A 57076-2020 karta.png", "A 57076-2020")</f>
        <v/>
      </c>
      <c r="V146">
        <f>HYPERLINK("https://klasma.github.io/Logging_2283/klagomål/A 57076-2020 FSC-klagomål.docx", "A 57076-2020")</f>
        <v/>
      </c>
      <c r="W146">
        <f>HYPERLINK("https://klasma.github.io/Logging_2283/klagomålsmail/A 57076-2020 FSC-klagomål mail.docx", "A 57076-2020")</f>
        <v/>
      </c>
      <c r="X146">
        <f>HYPERLINK("https://klasma.github.io/Logging_2283/tillsyn/A 57076-2020 tillsynsbegäran.docx", "A 57076-2020")</f>
        <v/>
      </c>
      <c r="Y146">
        <f>HYPERLINK("https://klasma.github.io/Logging_2283/tillsynsmail/A 57076-2020 tillsynsbegäran mail.docx", "A 57076-2020")</f>
        <v/>
      </c>
      <c r="Z146">
        <f>HYPERLINK("https://klasma.github.io/Logging_2283/fåglar/A 57076-2020 prioriterade fågelarter.docx", "A 57076-2020")</f>
        <v/>
      </c>
    </row>
    <row r="147" ht="15" customHeight="1">
      <c r="A147" t="inlineStr">
        <is>
          <t>A 23319-2025</t>
        </is>
      </c>
      <c r="B147" s="1" t="n">
        <v>45791.61511574074</v>
      </c>
      <c r="C147" s="1" t="n">
        <v>45937</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16314-2025</t>
        </is>
      </c>
      <c r="B148" s="1" t="n">
        <v>45751.34763888889</v>
      </c>
      <c r="C148" s="1" t="n">
        <v>45937</v>
      </c>
      <c r="D148" t="inlineStr">
        <is>
          <t>VÄSTERNORRLANDS LÄN</t>
        </is>
      </c>
      <c r="E148" t="inlineStr">
        <is>
          <t>SOLLEFTEÅ</t>
        </is>
      </c>
      <c r="F148" t="inlineStr">
        <is>
          <t>SCA</t>
        </is>
      </c>
      <c r="G148" t="n">
        <v>2.7</v>
      </c>
      <c r="H148" t="n">
        <v>0</v>
      </c>
      <c r="I148" t="n">
        <v>0</v>
      </c>
      <c r="J148" t="n">
        <v>5</v>
      </c>
      <c r="K148" t="n">
        <v>0</v>
      </c>
      <c r="L148" t="n">
        <v>0</v>
      </c>
      <c r="M148" t="n">
        <v>0</v>
      </c>
      <c r="N148" t="n">
        <v>0</v>
      </c>
      <c r="O148" t="n">
        <v>5</v>
      </c>
      <c r="P148" t="n">
        <v>0</v>
      </c>
      <c r="Q148" t="n">
        <v>5</v>
      </c>
      <c r="R148" s="2" t="inlineStr">
        <is>
          <t>Gammelgransskål
Garnlav
Lunglav
Rosenticka
Ullticka</t>
        </is>
      </c>
      <c r="S148">
        <f>HYPERLINK("https://klasma.github.io/Logging_2283/artfynd/A 16314-2025 artfynd.xlsx", "A 16314-2025")</f>
        <v/>
      </c>
      <c r="T148">
        <f>HYPERLINK("https://klasma.github.io/Logging_2283/kartor/A 16314-2025 karta.png", "A 16314-2025")</f>
        <v/>
      </c>
      <c r="V148">
        <f>HYPERLINK("https://klasma.github.io/Logging_2283/klagomål/A 16314-2025 FSC-klagomål.docx", "A 16314-2025")</f>
        <v/>
      </c>
      <c r="W148">
        <f>HYPERLINK("https://klasma.github.io/Logging_2283/klagomålsmail/A 16314-2025 FSC-klagomål mail.docx", "A 16314-2025")</f>
        <v/>
      </c>
      <c r="X148">
        <f>HYPERLINK("https://klasma.github.io/Logging_2283/tillsyn/A 16314-2025 tillsynsbegäran.docx", "A 16314-2025")</f>
        <v/>
      </c>
      <c r="Y148">
        <f>HYPERLINK("https://klasma.github.io/Logging_2283/tillsynsmail/A 16314-2025 tillsynsbegäran mail.docx", "A 16314-2025")</f>
        <v/>
      </c>
    </row>
    <row r="149" ht="15" customHeight="1">
      <c r="A149" t="inlineStr">
        <is>
          <t>A 22517-2025</t>
        </is>
      </c>
      <c r="B149" s="1" t="n">
        <v>45786.67818287037</v>
      </c>
      <c r="C149" s="1" t="n">
        <v>45937</v>
      </c>
      <c r="D149" t="inlineStr">
        <is>
          <t>VÄSTERNORRLANDS LÄN</t>
        </is>
      </c>
      <c r="E149" t="inlineStr">
        <is>
          <t>SOLLEFTEÅ</t>
        </is>
      </c>
      <c r="F149" t="inlineStr">
        <is>
          <t>SCA</t>
        </is>
      </c>
      <c r="G149" t="n">
        <v>3.7</v>
      </c>
      <c r="H149" t="n">
        <v>1</v>
      </c>
      <c r="I149" t="n">
        <v>1</v>
      </c>
      <c r="J149" t="n">
        <v>4</v>
      </c>
      <c r="K149" t="n">
        <v>0</v>
      </c>
      <c r="L149" t="n">
        <v>0</v>
      </c>
      <c r="M149" t="n">
        <v>0</v>
      </c>
      <c r="N149" t="n">
        <v>0</v>
      </c>
      <c r="O149" t="n">
        <v>4</v>
      </c>
      <c r="P149" t="n">
        <v>0</v>
      </c>
      <c r="Q149" t="n">
        <v>5</v>
      </c>
      <c r="R149" s="2" t="inlineStr">
        <is>
          <t>Garnlav
Kolflarnlav
Tretåig hackspett
Vedskivlav
Dropptaggsvamp</t>
        </is>
      </c>
      <c r="S149">
        <f>HYPERLINK("https://klasma.github.io/Logging_2283/artfynd/A 22517-2025 artfynd.xlsx", "A 22517-2025")</f>
        <v/>
      </c>
      <c r="T149">
        <f>HYPERLINK("https://klasma.github.io/Logging_2283/kartor/A 22517-2025 karta.png", "A 22517-2025")</f>
        <v/>
      </c>
      <c r="V149">
        <f>HYPERLINK("https://klasma.github.io/Logging_2283/klagomål/A 22517-2025 FSC-klagomål.docx", "A 22517-2025")</f>
        <v/>
      </c>
      <c r="W149">
        <f>HYPERLINK("https://klasma.github.io/Logging_2283/klagomålsmail/A 22517-2025 FSC-klagomål mail.docx", "A 22517-2025")</f>
        <v/>
      </c>
      <c r="X149">
        <f>HYPERLINK("https://klasma.github.io/Logging_2283/tillsyn/A 22517-2025 tillsynsbegäran.docx", "A 22517-2025")</f>
        <v/>
      </c>
      <c r="Y149">
        <f>HYPERLINK("https://klasma.github.io/Logging_2283/tillsynsmail/A 22517-2025 tillsynsbegäran mail.docx", "A 22517-2025")</f>
        <v/>
      </c>
      <c r="Z149">
        <f>HYPERLINK("https://klasma.github.io/Logging_2283/fåglar/A 22517-2025 prioriterade fågelarter.docx", "A 22517-2025")</f>
        <v/>
      </c>
    </row>
    <row r="150" ht="15" customHeight="1">
      <c r="A150" t="inlineStr">
        <is>
          <t>A 4552-2022</t>
        </is>
      </c>
      <c r="B150" s="1" t="n">
        <v>44590</v>
      </c>
      <c r="C150" s="1" t="n">
        <v>45937</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50418-2024</t>
        </is>
      </c>
      <c r="B151" s="1" t="n">
        <v>45601.38575231482</v>
      </c>
      <c r="C151" s="1" t="n">
        <v>45937</v>
      </c>
      <c r="D151" t="inlineStr">
        <is>
          <t>VÄSTERNORRLANDS LÄN</t>
        </is>
      </c>
      <c r="E151" t="inlineStr">
        <is>
          <t>SOLLEFTEÅ</t>
        </is>
      </c>
      <c r="F151" t="inlineStr">
        <is>
          <t>SCA</t>
        </is>
      </c>
      <c r="G151" t="n">
        <v>3.4</v>
      </c>
      <c r="H151" t="n">
        <v>0</v>
      </c>
      <c r="I151" t="n">
        <v>0</v>
      </c>
      <c r="J151" t="n">
        <v>4</v>
      </c>
      <c r="K151" t="n">
        <v>1</v>
      </c>
      <c r="L151" t="n">
        <v>0</v>
      </c>
      <c r="M151" t="n">
        <v>0</v>
      </c>
      <c r="N151" t="n">
        <v>0</v>
      </c>
      <c r="O151" t="n">
        <v>5</v>
      </c>
      <c r="P151" t="n">
        <v>1</v>
      </c>
      <c r="Q151" t="n">
        <v>5</v>
      </c>
      <c r="R151" s="2" t="inlineStr">
        <is>
          <t>Rynkskinn
Garnlav
Granticka
Harticka
Lunglav</t>
        </is>
      </c>
      <c r="S151">
        <f>HYPERLINK("https://klasma.github.io/Logging_2283/artfynd/A 50418-2024 artfynd.xlsx", "A 50418-2024")</f>
        <v/>
      </c>
      <c r="T151">
        <f>HYPERLINK("https://klasma.github.io/Logging_2283/kartor/A 50418-2024 karta.png", "A 50418-2024")</f>
        <v/>
      </c>
      <c r="V151">
        <f>HYPERLINK("https://klasma.github.io/Logging_2283/klagomål/A 50418-2024 FSC-klagomål.docx", "A 50418-2024")</f>
        <v/>
      </c>
      <c r="W151">
        <f>HYPERLINK("https://klasma.github.io/Logging_2283/klagomålsmail/A 50418-2024 FSC-klagomål mail.docx", "A 50418-2024")</f>
        <v/>
      </c>
      <c r="X151">
        <f>HYPERLINK("https://klasma.github.io/Logging_2283/tillsyn/A 50418-2024 tillsynsbegäran.docx", "A 50418-2024")</f>
        <v/>
      </c>
      <c r="Y151">
        <f>HYPERLINK("https://klasma.github.io/Logging_2283/tillsynsmail/A 50418-2024 tillsynsbegäran mail.docx", "A 50418-2024")</f>
        <v/>
      </c>
    </row>
    <row r="152" ht="15" customHeight="1">
      <c r="A152" t="inlineStr">
        <is>
          <t>A 29249-2024</t>
        </is>
      </c>
      <c r="B152" s="1" t="n">
        <v>45482</v>
      </c>
      <c r="C152" s="1" t="n">
        <v>45937</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10968-2025</t>
        </is>
      </c>
      <c r="B153" s="1" t="n">
        <v>45723.38619212963</v>
      </c>
      <c r="C153" s="1" t="n">
        <v>45937</v>
      </c>
      <c r="D153" t="inlineStr">
        <is>
          <t>VÄSTERNORRLANDS LÄN</t>
        </is>
      </c>
      <c r="E153" t="inlineStr">
        <is>
          <t>SOLLEFTEÅ</t>
        </is>
      </c>
      <c r="F153" t="inlineStr">
        <is>
          <t>SCA</t>
        </is>
      </c>
      <c r="G153" t="n">
        <v>1.3</v>
      </c>
      <c r="H153" t="n">
        <v>2</v>
      </c>
      <c r="I153" t="n">
        <v>2</v>
      </c>
      <c r="J153" t="n">
        <v>3</v>
      </c>
      <c r="K153" t="n">
        <v>0</v>
      </c>
      <c r="L153" t="n">
        <v>0</v>
      </c>
      <c r="M153" t="n">
        <v>0</v>
      </c>
      <c r="N153" t="n">
        <v>0</v>
      </c>
      <c r="O153" t="n">
        <v>3</v>
      </c>
      <c r="P153" t="n">
        <v>0</v>
      </c>
      <c r="Q153" t="n">
        <v>5</v>
      </c>
      <c r="R153" s="2" t="inlineStr">
        <is>
          <t>Gammelgransskål
Garnlav
Harticka
Lappranunkel
Spindelblomster</t>
        </is>
      </c>
      <c r="S153">
        <f>HYPERLINK("https://klasma.github.io/Logging_2283/artfynd/A 10968-2025 artfynd.xlsx", "A 10968-2025")</f>
        <v/>
      </c>
      <c r="T153">
        <f>HYPERLINK("https://klasma.github.io/Logging_2283/kartor/A 10968-2025 karta.png", "A 10968-2025")</f>
        <v/>
      </c>
      <c r="V153">
        <f>HYPERLINK("https://klasma.github.io/Logging_2283/klagomål/A 10968-2025 FSC-klagomål.docx", "A 10968-2025")</f>
        <v/>
      </c>
      <c r="W153">
        <f>HYPERLINK("https://klasma.github.io/Logging_2283/klagomålsmail/A 10968-2025 FSC-klagomål mail.docx", "A 10968-2025")</f>
        <v/>
      </c>
      <c r="X153">
        <f>HYPERLINK("https://klasma.github.io/Logging_2283/tillsyn/A 10968-2025 tillsynsbegäran.docx", "A 10968-2025")</f>
        <v/>
      </c>
      <c r="Y153">
        <f>HYPERLINK("https://klasma.github.io/Logging_2283/tillsynsmail/A 10968-2025 tillsynsbegäran mail.docx", "A 10968-2025")</f>
        <v/>
      </c>
    </row>
    <row r="154" ht="15" customHeight="1">
      <c r="A154" t="inlineStr">
        <is>
          <t>A 11547-2025</t>
        </is>
      </c>
      <c r="B154" s="1" t="n">
        <v>45727.34447916667</v>
      </c>
      <c r="C154" s="1" t="n">
        <v>45937</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32216-2023</t>
        </is>
      </c>
      <c r="B155" s="1" t="n">
        <v>45119</v>
      </c>
      <c r="C155" s="1" t="n">
        <v>45937</v>
      </c>
      <c r="D155" t="inlineStr">
        <is>
          <t>VÄSTERNORRLANDS LÄN</t>
        </is>
      </c>
      <c r="E155" t="inlineStr">
        <is>
          <t>SOLLEFTEÅ</t>
        </is>
      </c>
      <c r="F155" t="inlineStr">
        <is>
          <t>SCA</t>
        </is>
      </c>
      <c r="G155" t="n">
        <v>2.2</v>
      </c>
      <c r="H155" t="n">
        <v>1</v>
      </c>
      <c r="I155" t="n">
        <v>0</v>
      </c>
      <c r="J155" t="n">
        <v>4</v>
      </c>
      <c r="K155" t="n">
        <v>1</v>
      </c>
      <c r="L155" t="n">
        <v>0</v>
      </c>
      <c r="M155" t="n">
        <v>0</v>
      </c>
      <c r="N155" t="n">
        <v>0</v>
      </c>
      <c r="O155" t="n">
        <v>5</v>
      </c>
      <c r="P155" t="n">
        <v>1</v>
      </c>
      <c r="Q155" t="n">
        <v>5</v>
      </c>
      <c r="R155" s="2" t="inlineStr">
        <is>
          <t>Rynkskinn
Lunglav
Rosenticka
Tretåig hackspett
Ullticka</t>
        </is>
      </c>
      <c r="S155">
        <f>HYPERLINK("https://klasma.github.io/Logging_2283/artfynd/A 32216-2023 artfynd.xlsx", "A 32216-2023")</f>
        <v/>
      </c>
      <c r="T155">
        <f>HYPERLINK("https://klasma.github.io/Logging_2283/kartor/A 32216-2023 karta.png", "A 32216-2023")</f>
        <v/>
      </c>
      <c r="V155">
        <f>HYPERLINK("https://klasma.github.io/Logging_2283/klagomål/A 32216-2023 FSC-klagomål.docx", "A 32216-2023")</f>
        <v/>
      </c>
      <c r="W155">
        <f>HYPERLINK("https://klasma.github.io/Logging_2283/klagomålsmail/A 32216-2023 FSC-klagomål mail.docx", "A 32216-2023")</f>
        <v/>
      </c>
      <c r="X155">
        <f>HYPERLINK("https://klasma.github.io/Logging_2283/tillsyn/A 32216-2023 tillsynsbegäran.docx", "A 32216-2023")</f>
        <v/>
      </c>
      <c r="Y155">
        <f>HYPERLINK("https://klasma.github.io/Logging_2283/tillsynsmail/A 32216-2023 tillsynsbegäran mail.docx", "A 32216-2023")</f>
        <v/>
      </c>
      <c r="Z155">
        <f>HYPERLINK("https://klasma.github.io/Logging_2283/fåglar/A 32216-2023 prioriterade fågelarter.docx", "A 32216-2023")</f>
        <v/>
      </c>
    </row>
    <row r="156" ht="15" customHeight="1">
      <c r="A156" t="inlineStr">
        <is>
          <t>A 46629-2022</t>
        </is>
      </c>
      <c r="B156" s="1" t="n">
        <v>44848</v>
      </c>
      <c r="C156" s="1" t="n">
        <v>45937</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44407-2025</t>
        </is>
      </c>
      <c r="B157" s="1" t="n">
        <v>45916.52679398148</v>
      </c>
      <c r="C157" s="1" t="n">
        <v>45937</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27910-2024</t>
        </is>
      </c>
      <c r="B158" s="1" t="n">
        <v>45475</v>
      </c>
      <c r="C158" s="1" t="n">
        <v>45937</v>
      </c>
      <c r="D158" t="inlineStr">
        <is>
          <t>VÄSTERNORRLANDS LÄN</t>
        </is>
      </c>
      <c r="E158" t="inlineStr">
        <is>
          <t>SOLLEFTEÅ</t>
        </is>
      </c>
      <c r="F158" t="inlineStr">
        <is>
          <t>SCA</t>
        </is>
      </c>
      <c r="G158" t="n">
        <v>3.2</v>
      </c>
      <c r="H158" t="n">
        <v>0</v>
      </c>
      <c r="I158" t="n">
        <v>1</v>
      </c>
      <c r="J158" t="n">
        <v>3</v>
      </c>
      <c r="K158" t="n">
        <v>1</v>
      </c>
      <c r="L158" t="n">
        <v>0</v>
      </c>
      <c r="M158" t="n">
        <v>0</v>
      </c>
      <c r="N158" t="n">
        <v>0</v>
      </c>
      <c r="O158" t="n">
        <v>4</v>
      </c>
      <c r="P158" t="n">
        <v>1</v>
      </c>
      <c r="Q158" t="n">
        <v>5</v>
      </c>
      <c r="R158" s="2" t="inlineStr">
        <is>
          <t>Rynkskinn
Gammelgransskål
Rosenticka
Ullticka
Vedticka</t>
        </is>
      </c>
      <c r="S158">
        <f>HYPERLINK("https://klasma.github.io/Logging_2283/artfynd/A 27910-2024 artfynd.xlsx", "A 27910-2024")</f>
        <v/>
      </c>
      <c r="T158">
        <f>HYPERLINK("https://klasma.github.io/Logging_2283/kartor/A 27910-2024 karta.png", "A 27910-2024")</f>
        <v/>
      </c>
      <c r="V158">
        <f>HYPERLINK("https://klasma.github.io/Logging_2283/klagomål/A 27910-2024 FSC-klagomål.docx", "A 27910-2024")</f>
        <v/>
      </c>
      <c r="W158">
        <f>HYPERLINK("https://klasma.github.io/Logging_2283/klagomålsmail/A 27910-2024 FSC-klagomål mail.docx", "A 27910-2024")</f>
        <v/>
      </c>
      <c r="X158">
        <f>HYPERLINK("https://klasma.github.io/Logging_2283/tillsyn/A 27910-2024 tillsynsbegäran.docx", "A 27910-2024")</f>
        <v/>
      </c>
      <c r="Y158">
        <f>HYPERLINK("https://klasma.github.io/Logging_2283/tillsynsmail/A 27910-2024 tillsynsbegäran mail.docx", "A 27910-2024")</f>
        <v/>
      </c>
    </row>
    <row r="159" ht="15" customHeight="1">
      <c r="A159" t="inlineStr">
        <is>
          <t>A 44797-2025</t>
        </is>
      </c>
      <c r="B159" s="1" t="n">
        <v>45918.34486111111</v>
      </c>
      <c r="C159" s="1" t="n">
        <v>45937</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59662-2023</t>
        </is>
      </c>
      <c r="B160" s="1" t="n">
        <v>45254.96438657407</v>
      </c>
      <c r="C160" s="1" t="n">
        <v>45937</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27675-2023</t>
        </is>
      </c>
      <c r="B161" s="1" t="n">
        <v>45097</v>
      </c>
      <c r="C161" s="1" t="n">
        <v>45937</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3795-2022</t>
        </is>
      </c>
      <c r="B162" s="1" t="n">
        <v>44586</v>
      </c>
      <c r="C162" s="1" t="n">
        <v>45937</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45937</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2409-2023</t>
        </is>
      </c>
      <c r="B164" s="1" t="n">
        <v>44942</v>
      </c>
      <c r="C164" s="1" t="n">
        <v>45937</v>
      </c>
      <c r="D164" t="inlineStr">
        <is>
          <t>VÄSTERNORRLANDS LÄN</t>
        </is>
      </c>
      <c r="E164" t="inlineStr">
        <is>
          <t>SOLLEFTEÅ</t>
        </is>
      </c>
      <c r="F164" t="inlineStr">
        <is>
          <t>SCA</t>
        </is>
      </c>
      <c r="G164" t="n">
        <v>2</v>
      </c>
      <c r="H164" t="n">
        <v>0</v>
      </c>
      <c r="I164" t="n">
        <v>1</v>
      </c>
      <c r="J164" t="n">
        <v>3</v>
      </c>
      <c r="K164" t="n">
        <v>0</v>
      </c>
      <c r="L164" t="n">
        <v>0</v>
      </c>
      <c r="M164" t="n">
        <v>0</v>
      </c>
      <c r="N164" t="n">
        <v>0</v>
      </c>
      <c r="O164" t="n">
        <v>3</v>
      </c>
      <c r="P164" t="n">
        <v>0</v>
      </c>
      <c r="Q164" t="n">
        <v>4</v>
      </c>
      <c r="R164" s="2" t="inlineStr">
        <is>
          <t>Rosenticka
Tallticka
Ullticka
Dropptaggsvamp</t>
        </is>
      </c>
      <c r="S164">
        <f>HYPERLINK("https://klasma.github.io/Logging_2283/artfynd/A 2409-2023 artfynd.xlsx", "A 2409-2023")</f>
        <v/>
      </c>
      <c r="T164">
        <f>HYPERLINK("https://klasma.github.io/Logging_2283/kartor/A 2409-2023 karta.png", "A 2409-2023")</f>
        <v/>
      </c>
      <c r="V164">
        <f>HYPERLINK("https://klasma.github.io/Logging_2283/klagomål/A 2409-2023 FSC-klagomål.docx", "A 2409-2023")</f>
        <v/>
      </c>
      <c r="W164">
        <f>HYPERLINK("https://klasma.github.io/Logging_2283/klagomålsmail/A 2409-2023 FSC-klagomål mail.docx", "A 2409-2023")</f>
        <v/>
      </c>
      <c r="X164">
        <f>HYPERLINK("https://klasma.github.io/Logging_2283/tillsyn/A 2409-2023 tillsynsbegäran.docx", "A 2409-2023")</f>
        <v/>
      </c>
      <c r="Y164">
        <f>HYPERLINK("https://klasma.github.io/Logging_2283/tillsynsmail/A 2409-2023 tillsynsbegäran mail.docx", "A 2409-2023")</f>
        <v/>
      </c>
    </row>
    <row r="165" ht="15" customHeight="1">
      <c r="A165" t="inlineStr">
        <is>
          <t>A 32218-2023</t>
        </is>
      </c>
      <c r="B165" s="1" t="n">
        <v>45119</v>
      </c>
      <c r="C165" s="1" t="n">
        <v>45937</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20933-2025</t>
        </is>
      </c>
      <c r="B166" s="1" t="n">
        <v>45777.42752314815</v>
      </c>
      <c r="C166" s="1" t="n">
        <v>45937</v>
      </c>
      <c r="D166" t="inlineStr">
        <is>
          <t>VÄSTERNORRLANDS LÄN</t>
        </is>
      </c>
      <c r="E166" t="inlineStr">
        <is>
          <t>SOLLEFTEÅ</t>
        </is>
      </c>
      <c r="F166" t="inlineStr">
        <is>
          <t>SCA</t>
        </is>
      </c>
      <c r="G166" t="n">
        <v>5.9</v>
      </c>
      <c r="H166" t="n">
        <v>0</v>
      </c>
      <c r="I166" t="n">
        <v>1</v>
      </c>
      <c r="J166" t="n">
        <v>3</v>
      </c>
      <c r="K166" t="n">
        <v>0</v>
      </c>
      <c r="L166" t="n">
        <v>0</v>
      </c>
      <c r="M166" t="n">
        <v>0</v>
      </c>
      <c r="N166" t="n">
        <v>0</v>
      </c>
      <c r="O166" t="n">
        <v>3</v>
      </c>
      <c r="P166" t="n">
        <v>0</v>
      </c>
      <c r="Q166" t="n">
        <v>4</v>
      </c>
      <c r="R166" s="2" t="inlineStr">
        <is>
          <t>Orange taggsvamp
Skrovlig taggsvamp
Vitgrynig nållav
Dropptaggsvamp</t>
        </is>
      </c>
      <c r="S166">
        <f>HYPERLINK("https://klasma.github.io/Logging_2283/artfynd/A 20933-2025 artfynd.xlsx", "A 20933-2025")</f>
        <v/>
      </c>
      <c r="T166">
        <f>HYPERLINK("https://klasma.github.io/Logging_2283/kartor/A 20933-2025 karta.png", "A 20933-2025")</f>
        <v/>
      </c>
      <c r="V166">
        <f>HYPERLINK("https://klasma.github.io/Logging_2283/klagomål/A 20933-2025 FSC-klagomål.docx", "A 20933-2025")</f>
        <v/>
      </c>
      <c r="W166">
        <f>HYPERLINK("https://klasma.github.io/Logging_2283/klagomålsmail/A 20933-2025 FSC-klagomål mail.docx", "A 20933-2025")</f>
        <v/>
      </c>
      <c r="X166">
        <f>HYPERLINK("https://klasma.github.io/Logging_2283/tillsyn/A 20933-2025 tillsynsbegäran.docx", "A 20933-2025")</f>
        <v/>
      </c>
      <c r="Y166">
        <f>HYPERLINK("https://klasma.github.io/Logging_2283/tillsynsmail/A 20933-2025 tillsynsbegäran mail.docx", "A 20933-2025")</f>
        <v/>
      </c>
    </row>
    <row r="167" ht="15" customHeight="1">
      <c r="A167" t="inlineStr">
        <is>
          <t>A 19898-2025</t>
        </is>
      </c>
      <c r="B167" s="1" t="n">
        <v>45771.58626157408</v>
      </c>
      <c r="C167" s="1" t="n">
        <v>45937</v>
      </c>
      <c r="D167" t="inlineStr">
        <is>
          <t>VÄSTERNORRLANDS LÄN</t>
        </is>
      </c>
      <c r="E167" t="inlineStr">
        <is>
          <t>SOLLEFTEÅ</t>
        </is>
      </c>
      <c r="G167" t="n">
        <v>12.4</v>
      </c>
      <c r="H167" t="n">
        <v>0</v>
      </c>
      <c r="I167" t="n">
        <v>1</v>
      </c>
      <c r="J167" t="n">
        <v>3</v>
      </c>
      <c r="K167" t="n">
        <v>0</v>
      </c>
      <c r="L167" t="n">
        <v>0</v>
      </c>
      <c r="M167" t="n">
        <v>0</v>
      </c>
      <c r="N167" t="n">
        <v>0</v>
      </c>
      <c r="O167" t="n">
        <v>3</v>
      </c>
      <c r="P167" t="n">
        <v>0</v>
      </c>
      <c r="Q167" t="n">
        <v>4</v>
      </c>
      <c r="R167" s="2" t="inlineStr">
        <is>
          <t>Garnlav
Rosenticka
Vitgrynig nållav
Barkticka</t>
        </is>
      </c>
      <c r="S167">
        <f>HYPERLINK("https://klasma.github.io/Logging_2283/artfynd/A 19898-2025 artfynd.xlsx", "A 19898-2025")</f>
        <v/>
      </c>
      <c r="T167">
        <f>HYPERLINK("https://klasma.github.io/Logging_2283/kartor/A 19898-2025 karta.png", "A 19898-2025")</f>
        <v/>
      </c>
      <c r="V167">
        <f>HYPERLINK("https://klasma.github.io/Logging_2283/klagomål/A 19898-2025 FSC-klagomål.docx", "A 19898-2025")</f>
        <v/>
      </c>
      <c r="W167">
        <f>HYPERLINK("https://klasma.github.io/Logging_2283/klagomålsmail/A 19898-2025 FSC-klagomål mail.docx", "A 19898-2025")</f>
        <v/>
      </c>
      <c r="X167">
        <f>HYPERLINK("https://klasma.github.io/Logging_2283/tillsyn/A 19898-2025 tillsynsbegäran.docx", "A 19898-2025")</f>
        <v/>
      </c>
      <c r="Y167">
        <f>HYPERLINK("https://klasma.github.io/Logging_2283/tillsynsmail/A 19898-2025 tillsynsbegäran mail.docx", "A 19898-2025")</f>
        <v/>
      </c>
    </row>
    <row r="168" ht="15" customHeight="1">
      <c r="A168" t="inlineStr">
        <is>
          <t>A 9819-2024</t>
        </is>
      </c>
      <c r="B168" s="1" t="n">
        <v>45363</v>
      </c>
      <c r="C168" s="1" t="n">
        <v>45937</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2349-2025</t>
        </is>
      </c>
      <c r="B169" s="1" t="n">
        <v>45673.67807870371</v>
      </c>
      <c r="C169" s="1" t="n">
        <v>45937</v>
      </c>
      <c r="D169" t="inlineStr">
        <is>
          <t>VÄSTERNORRLANDS LÄN</t>
        </is>
      </c>
      <c r="E169" t="inlineStr">
        <is>
          <t>SOLLEFTEÅ</t>
        </is>
      </c>
      <c r="F169" t="inlineStr">
        <is>
          <t>SCA</t>
        </is>
      </c>
      <c r="G169" t="n">
        <v>3.5</v>
      </c>
      <c r="H169" t="n">
        <v>2</v>
      </c>
      <c r="I169" t="n">
        <v>0</v>
      </c>
      <c r="J169" t="n">
        <v>3</v>
      </c>
      <c r="K169" t="n">
        <v>0</v>
      </c>
      <c r="L169" t="n">
        <v>0</v>
      </c>
      <c r="M169" t="n">
        <v>0</v>
      </c>
      <c r="N169" t="n">
        <v>0</v>
      </c>
      <c r="O169" t="n">
        <v>3</v>
      </c>
      <c r="P169" t="n">
        <v>0</v>
      </c>
      <c r="Q169" t="n">
        <v>4</v>
      </c>
      <c r="R169" s="2" t="inlineStr">
        <is>
          <t>Garnlav
Spillkråka
Ullticka
Tjäder</t>
        </is>
      </c>
      <c r="S169">
        <f>HYPERLINK("https://klasma.github.io/Logging_2283/artfynd/A 2349-2025 artfynd.xlsx", "A 2349-2025")</f>
        <v/>
      </c>
      <c r="T169">
        <f>HYPERLINK("https://klasma.github.io/Logging_2283/kartor/A 2349-2025 karta.png", "A 2349-2025")</f>
        <v/>
      </c>
      <c r="V169">
        <f>HYPERLINK("https://klasma.github.io/Logging_2283/klagomål/A 2349-2025 FSC-klagomål.docx", "A 2349-2025")</f>
        <v/>
      </c>
      <c r="W169">
        <f>HYPERLINK("https://klasma.github.io/Logging_2283/klagomålsmail/A 2349-2025 FSC-klagomål mail.docx", "A 2349-2025")</f>
        <v/>
      </c>
      <c r="X169">
        <f>HYPERLINK("https://klasma.github.io/Logging_2283/tillsyn/A 2349-2025 tillsynsbegäran.docx", "A 2349-2025")</f>
        <v/>
      </c>
      <c r="Y169">
        <f>HYPERLINK("https://klasma.github.io/Logging_2283/tillsynsmail/A 2349-2025 tillsynsbegäran mail.docx", "A 2349-2025")</f>
        <v/>
      </c>
      <c r="Z169">
        <f>HYPERLINK("https://klasma.github.io/Logging_2283/fåglar/A 2349-2025 prioriterade fågelarter.docx", "A 2349-2025")</f>
        <v/>
      </c>
    </row>
    <row r="170" ht="15" customHeight="1">
      <c r="A170" t="inlineStr">
        <is>
          <t>A 62638-2022</t>
        </is>
      </c>
      <c r="B170" s="1" t="n">
        <v>44925</v>
      </c>
      <c r="C170" s="1" t="n">
        <v>45937</v>
      </c>
      <c r="D170" t="inlineStr">
        <is>
          <t>VÄSTERNORRLANDS LÄN</t>
        </is>
      </c>
      <c r="E170" t="inlineStr">
        <is>
          <t>SOLLEFTEÅ</t>
        </is>
      </c>
      <c r="F170" t="inlineStr">
        <is>
          <t>Holmen skog AB</t>
        </is>
      </c>
      <c r="G170" t="n">
        <v>4</v>
      </c>
      <c r="H170" t="n">
        <v>1</v>
      </c>
      <c r="I170" t="n">
        <v>1</v>
      </c>
      <c r="J170" t="n">
        <v>2</v>
      </c>
      <c r="K170" t="n">
        <v>1</v>
      </c>
      <c r="L170" t="n">
        <v>0</v>
      </c>
      <c r="M170" t="n">
        <v>0</v>
      </c>
      <c r="N170" t="n">
        <v>0</v>
      </c>
      <c r="O170" t="n">
        <v>3</v>
      </c>
      <c r="P170" t="n">
        <v>1</v>
      </c>
      <c r="Q170" t="n">
        <v>4</v>
      </c>
      <c r="R170" s="2" t="inlineStr">
        <is>
          <t>Knärot
Koralltaggsvamp
Lunglav
Skinnlav</t>
        </is>
      </c>
      <c r="S170">
        <f>HYPERLINK("https://klasma.github.io/Logging_2283/artfynd/A 62638-2022 artfynd.xlsx", "A 62638-2022")</f>
        <v/>
      </c>
      <c r="T170">
        <f>HYPERLINK("https://klasma.github.io/Logging_2283/kartor/A 62638-2022 karta.png", "A 62638-2022")</f>
        <v/>
      </c>
      <c r="U170">
        <f>HYPERLINK("https://klasma.github.io/Logging_2283/knärot/A 62638-2022 karta knärot.png", "A 62638-2022")</f>
        <v/>
      </c>
      <c r="V170">
        <f>HYPERLINK("https://klasma.github.io/Logging_2283/klagomål/A 62638-2022 FSC-klagomål.docx", "A 62638-2022")</f>
        <v/>
      </c>
      <c r="W170">
        <f>HYPERLINK("https://klasma.github.io/Logging_2283/klagomålsmail/A 62638-2022 FSC-klagomål mail.docx", "A 62638-2022")</f>
        <v/>
      </c>
      <c r="X170">
        <f>HYPERLINK("https://klasma.github.io/Logging_2283/tillsyn/A 62638-2022 tillsynsbegäran.docx", "A 62638-2022")</f>
        <v/>
      </c>
      <c r="Y170">
        <f>HYPERLINK("https://klasma.github.io/Logging_2283/tillsynsmail/A 62638-2022 tillsynsbegäran mail.docx", "A 62638-2022")</f>
        <v/>
      </c>
    </row>
    <row r="171" ht="15" customHeight="1">
      <c r="A171" t="inlineStr">
        <is>
          <t>A 53130-2022</t>
        </is>
      </c>
      <c r="B171" s="1" t="n">
        <v>44873</v>
      </c>
      <c r="C171" s="1" t="n">
        <v>45937</v>
      </c>
      <c r="D171" t="inlineStr">
        <is>
          <t>VÄSTERNORRLANDS LÄN</t>
        </is>
      </c>
      <c r="E171" t="inlineStr">
        <is>
          <t>SOLLEFTEÅ</t>
        </is>
      </c>
      <c r="G171" t="n">
        <v>19.8</v>
      </c>
      <c r="H171" t="n">
        <v>2</v>
      </c>
      <c r="I171" t="n">
        <v>1</v>
      </c>
      <c r="J171" t="n">
        <v>2</v>
      </c>
      <c r="K171" t="n">
        <v>0</v>
      </c>
      <c r="L171" t="n">
        <v>0</v>
      </c>
      <c r="M171" t="n">
        <v>0</v>
      </c>
      <c r="N171" t="n">
        <v>0</v>
      </c>
      <c r="O171" t="n">
        <v>2</v>
      </c>
      <c r="P171" t="n">
        <v>0</v>
      </c>
      <c r="Q171" t="n">
        <v>4</v>
      </c>
      <c r="R171" s="2" t="inlineStr">
        <is>
          <t>Lunglav
Myrbräcka
Bårdlav
Fläcknycklar</t>
        </is>
      </c>
      <c r="S171">
        <f>HYPERLINK("https://klasma.github.io/Logging_2283/artfynd/A 53130-2022 artfynd.xlsx", "A 53130-2022")</f>
        <v/>
      </c>
      <c r="T171">
        <f>HYPERLINK("https://klasma.github.io/Logging_2283/kartor/A 53130-2022 karta.png", "A 53130-2022")</f>
        <v/>
      </c>
      <c r="V171">
        <f>HYPERLINK("https://klasma.github.io/Logging_2283/klagomål/A 53130-2022 FSC-klagomål.docx", "A 53130-2022")</f>
        <v/>
      </c>
      <c r="W171">
        <f>HYPERLINK("https://klasma.github.io/Logging_2283/klagomålsmail/A 53130-2022 FSC-klagomål mail.docx", "A 53130-2022")</f>
        <v/>
      </c>
      <c r="X171">
        <f>HYPERLINK("https://klasma.github.io/Logging_2283/tillsyn/A 53130-2022 tillsynsbegäran.docx", "A 53130-2022")</f>
        <v/>
      </c>
      <c r="Y171">
        <f>HYPERLINK("https://klasma.github.io/Logging_2283/tillsynsmail/A 53130-2022 tillsynsbegäran mail.docx", "A 53130-2022")</f>
        <v/>
      </c>
    </row>
    <row r="172" ht="15" customHeight="1">
      <c r="A172" t="inlineStr">
        <is>
          <t>A 13342-2024</t>
        </is>
      </c>
      <c r="B172" s="1" t="n">
        <v>45386</v>
      </c>
      <c r="C172" s="1" t="n">
        <v>45937</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31560-2024</t>
        </is>
      </c>
      <c r="B173" s="1" t="n">
        <v>45505</v>
      </c>
      <c r="C173" s="1" t="n">
        <v>45937</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20572-2025</t>
        </is>
      </c>
      <c r="B174" s="1" t="n">
        <v>45775.67054398148</v>
      </c>
      <c r="C174" s="1" t="n">
        <v>45937</v>
      </c>
      <c r="D174" t="inlineStr">
        <is>
          <t>VÄSTERNORRLANDS LÄN</t>
        </is>
      </c>
      <c r="E174" t="inlineStr">
        <is>
          <t>SOLLEFTEÅ</t>
        </is>
      </c>
      <c r="G174" t="n">
        <v>1.6</v>
      </c>
      <c r="H174" t="n">
        <v>4</v>
      </c>
      <c r="I174" t="n">
        <v>0</v>
      </c>
      <c r="J174" t="n">
        <v>2</v>
      </c>
      <c r="K174" t="n">
        <v>0</v>
      </c>
      <c r="L174" t="n">
        <v>0</v>
      </c>
      <c r="M174" t="n">
        <v>0</v>
      </c>
      <c r="N174" t="n">
        <v>0</v>
      </c>
      <c r="O174" t="n">
        <v>2</v>
      </c>
      <c r="P174" t="n">
        <v>0</v>
      </c>
      <c r="Q174" t="n">
        <v>4</v>
      </c>
      <c r="R174" s="2" t="inlineStr">
        <is>
          <t>Blå kärrhök
Spillkråka
Göktyta
Sångsvan</t>
        </is>
      </c>
      <c r="S174">
        <f>HYPERLINK("https://klasma.github.io/Logging_2283/artfynd/A 20572-2025 artfynd.xlsx", "A 20572-2025")</f>
        <v/>
      </c>
      <c r="T174">
        <f>HYPERLINK("https://klasma.github.io/Logging_2283/kartor/A 20572-2025 karta.png", "A 20572-2025")</f>
        <v/>
      </c>
      <c r="V174">
        <f>HYPERLINK("https://klasma.github.io/Logging_2283/klagomål/A 20572-2025 FSC-klagomål.docx", "A 20572-2025")</f>
        <v/>
      </c>
      <c r="W174">
        <f>HYPERLINK("https://klasma.github.io/Logging_2283/klagomålsmail/A 20572-2025 FSC-klagomål mail.docx", "A 20572-2025")</f>
        <v/>
      </c>
      <c r="X174">
        <f>HYPERLINK("https://klasma.github.io/Logging_2283/tillsyn/A 20572-2025 tillsynsbegäran.docx", "A 20572-2025")</f>
        <v/>
      </c>
      <c r="Y174">
        <f>HYPERLINK("https://klasma.github.io/Logging_2283/tillsynsmail/A 20572-2025 tillsynsbegäran mail.docx", "A 20572-2025")</f>
        <v/>
      </c>
      <c r="Z174">
        <f>HYPERLINK("https://klasma.github.io/Logging_2283/fåglar/A 20572-2025 prioriterade fågelarter.docx", "A 20572-2025")</f>
        <v/>
      </c>
    </row>
    <row r="175" ht="15" customHeight="1">
      <c r="A175" t="inlineStr">
        <is>
          <t>A 29561-2025</t>
        </is>
      </c>
      <c r="B175" s="1" t="n">
        <v>45825.36510416667</v>
      </c>
      <c r="C175" s="1" t="n">
        <v>45937</v>
      </c>
      <c r="D175" t="inlineStr">
        <is>
          <t>VÄSTERNORRLANDS LÄN</t>
        </is>
      </c>
      <c r="E175" t="inlineStr">
        <is>
          <t>SOLLEFTEÅ</t>
        </is>
      </c>
      <c r="F175" t="inlineStr">
        <is>
          <t>SCA</t>
        </is>
      </c>
      <c r="G175" t="n">
        <v>11.9</v>
      </c>
      <c r="H175" t="n">
        <v>0</v>
      </c>
      <c r="I175" t="n">
        <v>1</v>
      </c>
      <c r="J175" t="n">
        <v>3</v>
      </c>
      <c r="K175" t="n">
        <v>0</v>
      </c>
      <c r="L175" t="n">
        <v>0</v>
      </c>
      <c r="M175" t="n">
        <v>0</v>
      </c>
      <c r="N175" t="n">
        <v>0</v>
      </c>
      <c r="O175" t="n">
        <v>3</v>
      </c>
      <c r="P175" t="n">
        <v>0</v>
      </c>
      <c r="Q175" t="n">
        <v>4</v>
      </c>
      <c r="R175" s="2" t="inlineStr">
        <is>
          <t>Garnlav
Kolflarnlav
Vedskivlav
Stuplav</t>
        </is>
      </c>
      <c r="S175">
        <f>HYPERLINK("https://klasma.github.io/Logging_2283/artfynd/A 29561-2025 artfynd.xlsx", "A 29561-2025")</f>
        <v/>
      </c>
      <c r="T175">
        <f>HYPERLINK("https://klasma.github.io/Logging_2283/kartor/A 29561-2025 karta.png", "A 29561-2025")</f>
        <v/>
      </c>
      <c r="V175">
        <f>HYPERLINK("https://klasma.github.io/Logging_2283/klagomål/A 29561-2025 FSC-klagomål.docx", "A 29561-2025")</f>
        <v/>
      </c>
      <c r="W175">
        <f>HYPERLINK("https://klasma.github.io/Logging_2283/klagomålsmail/A 29561-2025 FSC-klagomål mail.docx", "A 29561-2025")</f>
        <v/>
      </c>
      <c r="X175">
        <f>HYPERLINK("https://klasma.github.io/Logging_2283/tillsyn/A 29561-2025 tillsynsbegäran.docx", "A 29561-2025")</f>
        <v/>
      </c>
      <c r="Y175">
        <f>HYPERLINK("https://klasma.github.io/Logging_2283/tillsynsmail/A 29561-2025 tillsynsbegäran mail.docx", "A 29561-2025")</f>
        <v/>
      </c>
    </row>
    <row r="176" ht="15" customHeight="1">
      <c r="A176" t="inlineStr">
        <is>
          <t>A 54093-2024</t>
        </is>
      </c>
      <c r="B176" s="1" t="n">
        <v>45616.51100694444</v>
      </c>
      <c r="C176" s="1" t="n">
        <v>45937</v>
      </c>
      <c r="D176" t="inlineStr">
        <is>
          <t>VÄSTERNORRLANDS LÄN</t>
        </is>
      </c>
      <c r="E176" t="inlineStr">
        <is>
          <t>SOLLEFTEÅ</t>
        </is>
      </c>
      <c r="F176" t="inlineStr">
        <is>
          <t>SCA</t>
        </is>
      </c>
      <c r="G176" t="n">
        <v>3.9</v>
      </c>
      <c r="H176" t="n">
        <v>0</v>
      </c>
      <c r="I176" t="n">
        <v>0</v>
      </c>
      <c r="J176" t="n">
        <v>4</v>
      </c>
      <c r="K176" t="n">
        <v>0</v>
      </c>
      <c r="L176" t="n">
        <v>0</v>
      </c>
      <c r="M176" t="n">
        <v>0</v>
      </c>
      <c r="N176" t="n">
        <v>0</v>
      </c>
      <c r="O176" t="n">
        <v>4</v>
      </c>
      <c r="P176" t="n">
        <v>0</v>
      </c>
      <c r="Q176" t="n">
        <v>4</v>
      </c>
      <c r="R176" s="2" t="inlineStr">
        <is>
          <t>Garnlav
Lunglav
Rosenticka
Ullticka</t>
        </is>
      </c>
      <c r="S176">
        <f>HYPERLINK("https://klasma.github.io/Logging_2283/artfynd/A 54093-2024 artfynd.xlsx", "A 54093-2024")</f>
        <v/>
      </c>
      <c r="T176">
        <f>HYPERLINK("https://klasma.github.io/Logging_2283/kartor/A 54093-2024 karta.png", "A 54093-2024")</f>
        <v/>
      </c>
      <c r="V176">
        <f>HYPERLINK("https://klasma.github.io/Logging_2283/klagomål/A 54093-2024 FSC-klagomål.docx", "A 54093-2024")</f>
        <v/>
      </c>
      <c r="W176">
        <f>HYPERLINK("https://klasma.github.io/Logging_2283/klagomålsmail/A 54093-2024 FSC-klagomål mail.docx", "A 54093-2024")</f>
        <v/>
      </c>
      <c r="X176">
        <f>HYPERLINK("https://klasma.github.io/Logging_2283/tillsyn/A 54093-2024 tillsynsbegäran.docx", "A 54093-2024")</f>
        <v/>
      </c>
      <c r="Y176">
        <f>HYPERLINK("https://klasma.github.io/Logging_2283/tillsynsmail/A 54093-2024 tillsynsbegäran mail.docx", "A 54093-2024")</f>
        <v/>
      </c>
    </row>
    <row r="177" ht="15" customHeight="1">
      <c r="A177" t="inlineStr">
        <is>
          <t>A 62364-2023</t>
        </is>
      </c>
      <c r="B177" s="1" t="n">
        <v>45267.95166666667</v>
      </c>
      <c r="C177" s="1" t="n">
        <v>45937</v>
      </c>
      <c r="D177" t="inlineStr">
        <is>
          <t>VÄSTERNORRLANDS LÄN</t>
        </is>
      </c>
      <c r="E177" t="inlineStr">
        <is>
          <t>SOLLEFTEÅ</t>
        </is>
      </c>
      <c r="F177" t="inlineStr">
        <is>
          <t>SCA</t>
        </is>
      </c>
      <c r="G177" t="n">
        <v>22.1</v>
      </c>
      <c r="H177" t="n">
        <v>1</v>
      </c>
      <c r="I177" t="n">
        <v>0</v>
      </c>
      <c r="J177" t="n">
        <v>3</v>
      </c>
      <c r="K177" t="n">
        <v>0</v>
      </c>
      <c r="L177" t="n">
        <v>0</v>
      </c>
      <c r="M177" t="n">
        <v>0</v>
      </c>
      <c r="N177" t="n">
        <v>0</v>
      </c>
      <c r="O177" t="n">
        <v>3</v>
      </c>
      <c r="P177" t="n">
        <v>0</v>
      </c>
      <c r="Q177" t="n">
        <v>4</v>
      </c>
      <c r="R177" s="2" t="inlineStr">
        <is>
          <t>Granticka
Harticka
Skogshare
Tjäder</t>
        </is>
      </c>
      <c r="S177">
        <f>HYPERLINK("https://klasma.github.io/Logging_2283/artfynd/A 62364-2023 artfynd.xlsx", "A 62364-2023")</f>
        <v/>
      </c>
      <c r="T177">
        <f>HYPERLINK("https://klasma.github.io/Logging_2283/kartor/A 62364-2023 karta.png", "A 62364-2023")</f>
        <v/>
      </c>
      <c r="V177">
        <f>HYPERLINK("https://klasma.github.io/Logging_2283/klagomål/A 62364-2023 FSC-klagomål.docx", "A 62364-2023")</f>
        <v/>
      </c>
      <c r="W177">
        <f>HYPERLINK("https://klasma.github.io/Logging_2283/klagomålsmail/A 62364-2023 FSC-klagomål mail.docx", "A 62364-2023")</f>
        <v/>
      </c>
      <c r="X177">
        <f>HYPERLINK("https://klasma.github.io/Logging_2283/tillsyn/A 62364-2023 tillsynsbegäran.docx", "A 62364-2023")</f>
        <v/>
      </c>
      <c r="Y177">
        <f>HYPERLINK("https://klasma.github.io/Logging_2283/tillsynsmail/A 62364-2023 tillsynsbegäran mail.docx", "A 62364-2023")</f>
        <v/>
      </c>
      <c r="Z177">
        <f>HYPERLINK("https://klasma.github.io/Logging_2283/fåglar/A 62364-2023 prioriterade fågelarter.docx", "A 62364-2023")</f>
        <v/>
      </c>
    </row>
    <row r="178" ht="15" customHeight="1">
      <c r="A178" t="inlineStr">
        <is>
          <t>A 62632-2022</t>
        </is>
      </c>
      <c r="B178" s="1" t="n">
        <v>44925</v>
      </c>
      <c r="C178" s="1" t="n">
        <v>45937</v>
      </c>
      <c r="D178" t="inlineStr">
        <is>
          <t>VÄSTERNORRLANDS LÄN</t>
        </is>
      </c>
      <c r="E178" t="inlineStr">
        <is>
          <t>SOLLEFTEÅ</t>
        </is>
      </c>
      <c r="F178" t="inlineStr">
        <is>
          <t>Holmen skog AB</t>
        </is>
      </c>
      <c r="G178" t="n">
        <v>4.4</v>
      </c>
      <c r="H178" t="n">
        <v>1</v>
      </c>
      <c r="I178" t="n">
        <v>1</v>
      </c>
      <c r="J178" t="n">
        <v>2</v>
      </c>
      <c r="K178" t="n">
        <v>1</v>
      </c>
      <c r="L178" t="n">
        <v>0</v>
      </c>
      <c r="M178" t="n">
        <v>0</v>
      </c>
      <c r="N178" t="n">
        <v>0</v>
      </c>
      <c r="O178" t="n">
        <v>3</v>
      </c>
      <c r="P178" t="n">
        <v>1</v>
      </c>
      <c r="Q178" t="n">
        <v>4</v>
      </c>
      <c r="R178" s="2" t="inlineStr">
        <is>
          <t>Bitter taggsvamp
Blå taggsvamp
Orange taggsvamp
Plattlummer</t>
        </is>
      </c>
      <c r="S178">
        <f>HYPERLINK("https://klasma.github.io/Logging_2283/artfynd/A 62632-2022 artfynd.xlsx", "A 62632-2022")</f>
        <v/>
      </c>
      <c r="T178">
        <f>HYPERLINK("https://klasma.github.io/Logging_2283/kartor/A 62632-2022 karta.png", "A 62632-2022")</f>
        <v/>
      </c>
      <c r="V178">
        <f>HYPERLINK("https://klasma.github.io/Logging_2283/klagomål/A 62632-2022 FSC-klagomål.docx", "A 62632-2022")</f>
        <v/>
      </c>
      <c r="W178">
        <f>HYPERLINK("https://klasma.github.io/Logging_2283/klagomålsmail/A 62632-2022 FSC-klagomål mail.docx", "A 62632-2022")</f>
        <v/>
      </c>
      <c r="X178">
        <f>HYPERLINK("https://klasma.github.io/Logging_2283/tillsyn/A 62632-2022 tillsynsbegäran.docx", "A 62632-2022")</f>
        <v/>
      </c>
      <c r="Y178">
        <f>HYPERLINK("https://klasma.github.io/Logging_2283/tillsynsmail/A 62632-2022 tillsynsbegäran mail.docx", "A 62632-2022")</f>
        <v/>
      </c>
    </row>
    <row r="179" ht="15" customHeight="1">
      <c r="A179" t="inlineStr">
        <is>
          <t>A 5018-2025</t>
        </is>
      </c>
      <c r="B179" s="1" t="n">
        <v>45691</v>
      </c>
      <c r="C179" s="1" t="n">
        <v>45937</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40740-2025</t>
        </is>
      </c>
      <c r="B180" s="1" t="n">
        <v>45897.36840277778</v>
      </c>
      <c r="C180" s="1" t="n">
        <v>45937</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50839-2023</t>
        </is>
      </c>
      <c r="B181" s="1" t="n">
        <v>45217</v>
      </c>
      <c r="C181" s="1" t="n">
        <v>45937</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59381-2024</t>
        </is>
      </c>
      <c r="B182" s="1" t="n">
        <v>45638</v>
      </c>
      <c r="C182" s="1" t="n">
        <v>45937</v>
      </c>
      <c r="D182" t="inlineStr">
        <is>
          <t>VÄSTERNORRLANDS LÄN</t>
        </is>
      </c>
      <c r="E182" t="inlineStr">
        <is>
          <t>SOLLEFTEÅ</t>
        </is>
      </c>
      <c r="G182" t="n">
        <v>5.4</v>
      </c>
      <c r="H182" t="n">
        <v>2</v>
      </c>
      <c r="I182" t="n">
        <v>0</v>
      </c>
      <c r="J182" t="n">
        <v>3</v>
      </c>
      <c r="K182" t="n">
        <v>0</v>
      </c>
      <c r="L182" t="n">
        <v>0</v>
      </c>
      <c r="M182" t="n">
        <v>0</v>
      </c>
      <c r="N182" t="n">
        <v>0</v>
      </c>
      <c r="O182" t="n">
        <v>3</v>
      </c>
      <c r="P182" t="n">
        <v>0</v>
      </c>
      <c r="Q182" t="n">
        <v>4</v>
      </c>
      <c r="R182" s="2" t="inlineStr">
        <is>
          <t>Rosenticka
Talltita
Ullticka
Fläcknycklar</t>
        </is>
      </c>
      <c r="S182">
        <f>HYPERLINK("https://klasma.github.io/Logging_2283/artfynd/A 59381-2024 artfynd.xlsx", "A 59381-2024")</f>
        <v/>
      </c>
      <c r="T182">
        <f>HYPERLINK("https://klasma.github.io/Logging_2283/kartor/A 59381-2024 karta.png", "A 59381-2024")</f>
        <v/>
      </c>
      <c r="U182">
        <f>HYPERLINK("https://klasma.github.io/Logging_2283/knärot/A 59381-2024 karta knärot.png", "A 59381-2024")</f>
        <v/>
      </c>
      <c r="V182">
        <f>HYPERLINK("https://klasma.github.io/Logging_2283/klagomål/A 59381-2024 FSC-klagomål.docx", "A 59381-2024")</f>
        <v/>
      </c>
      <c r="W182">
        <f>HYPERLINK("https://klasma.github.io/Logging_2283/klagomålsmail/A 59381-2024 FSC-klagomål mail.docx", "A 59381-2024")</f>
        <v/>
      </c>
      <c r="X182">
        <f>HYPERLINK("https://klasma.github.io/Logging_2283/tillsyn/A 59381-2024 tillsynsbegäran.docx", "A 59381-2024")</f>
        <v/>
      </c>
      <c r="Y182">
        <f>HYPERLINK("https://klasma.github.io/Logging_2283/tillsynsmail/A 59381-2024 tillsynsbegäran mail.docx", "A 59381-2024")</f>
        <v/>
      </c>
      <c r="Z182">
        <f>HYPERLINK("https://klasma.github.io/Logging_2283/fåglar/A 59381-2024 prioriterade fågelarter.docx", "A 59381-2024")</f>
        <v/>
      </c>
    </row>
    <row r="183" ht="15" customHeight="1">
      <c r="A183" t="inlineStr">
        <is>
          <t>A 25954-2025</t>
        </is>
      </c>
      <c r="B183" s="1" t="n">
        <v>45804.60334490741</v>
      </c>
      <c r="C183" s="1" t="n">
        <v>45937</v>
      </c>
      <c r="D183" t="inlineStr">
        <is>
          <t>VÄSTERNORRLANDS LÄN</t>
        </is>
      </c>
      <c r="E183" t="inlineStr">
        <is>
          <t>SOLLEFTEÅ</t>
        </is>
      </c>
      <c r="G183" t="n">
        <v>3.2</v>
      </c>
      <c r="H183" t="n">
        <v>1</v>
      </c>
      <c r="I183" t="n">
        <v>3</v>
      </c>
      <c r="J183" t="n">
        <v>0</v>
      </c>
      <c r="K183" t="n">
        <v>0</v>
      </c>
      <c r="L183" t="n">
        <v>0</v>
      </c>
      <c r="M183" t="n">
        <v>0</v>
      </c>
      <c r="N183" t="n">
        <v>0</v>
      </c>
      <c r="O183" t="n">
        <v>0</v>
      </c>
      <c r="P183" t="n">
        <v>0</v>
      </c>
      <c r="Q183" t="n">
        <v>4</v>
      </c>
      <c r="R183" s="2" t="inlineStr">
        <is>
          <t>Dvärghäxört
Springkorn
Svart trolldruva
Revlummer</t>
        </is>
      </c>
      <c r="S183">
        <f>HYPERLINK("https://klasma.github.io/Logging_2283/artfynd/A 25954-2025 artfynd.xlsx", "A 25954-2025")</f>
        <v/>
      </c>
      <c r="T183">
        <f>HYPERLINK("https://klasma.github.io/Logging_2283/kartor/A 25954-2025 karta.png", "A 25954-2025")</f>
        <v/>
      </c>
      <c r="V183">
        <f>HYPERLINK("https://klasma.github.io/Logging_2283/klagomål/A 25954-2025 FSC-klagomål.docx", "A 25954-2025")</f>
        <v/>
      </c>
      <c r="W183">
        <f>HYPERLINK("https://klasma.github.io/Logging_2283/klagomålsmail/A 25954-2025 FSC-klagomål mail.docx", "A 25954-2025")</f>
        <v/>
      </c>
      <c r="X183">
        <f>HYPERLINK("https://klasma.github.io/Logging_2283/tillsyn/A 25954-2025 tillsynsbegäran.docx", "A 25954-2025")</f>
        <v/>
      </c>
      <c r="Y183">
        <f>HYPERLINK("https://klasma.github.io/Logging_2283/tillsynsmail/A 25954-2025 tillsynsbegäran mail.docx", "A 25954-2025")</f>
        <v/>
      </c>
    </row>
    <row r="184" ht="15" customHeight="1">
      <c r="A184" t="inlineStr">
        <is>
          <t>A 36943-2025</t>
        </is>
      </c>
      <c r="B184" s="1" t="n">
        <v>45874.59422453704</v>
      </c>
      <c r="C184" s="1" t="n">
        <v>45937</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44735-2025</t>
        </is>
      </c>
      <c r="B185" s="1" t="n">
        <v>45917.65675925926</v>
      </c>
      <c r="C185" s="1" t="n">
        <v>45937</v>
      </c>
      <c r="D185" t="inlineStr">
        <is>
          <t>VÄSTERNORRLANDS LÄN</t>
        </is>
      </c>
      <c r="E185" t="inlineStr">
        <is>
          <t>SOLLEFTEÅ</t>
        </is>
      </c>
      <c r="F185" t="inlineStr">
        <is>
          <t>SCA</t>
        </is>
      </c>
      <c r="G185" t="n">
        <v>3.5</v>
      </c>
      <c r="H185" t="n">
        <v>2</v>
      </c>
      <c r="I185" t="n">
        <v>1</v>
      </c>
      <c r="J185" t="n">
        <v>2</v>
      </c>
      <c r="K185" t="n">
        <v>1</v>
      </c>
      <c r="L185" t="n">
        <v>0</v>
      </c>
      <c r="M185" t="n">
        <v>0</v>
      </c>
      <c r="N185" t="n">
        <v>0</v>
      </c>
      <c r="O185" t="n">
        <v>3</v>
      </c>
      <c r="P185" t="n">
        <v>1</v>
      </c>
      <c r="Q185" t="n">
        <v>4</v>
      </c>
      <c r="R185" s="2" t="inlineStr">
        <is>
          <t>Knärot
Rosenticka
Skogsfru
Svavelriska</t>
        </is>
      </c>
      <c r="S185">
        <f>HYPERLINK("https://klasma.github.io/Logging_2283/artfynd/A 44735-2025 artfynd.xlsx", "A 44735-2025")</f>
        <v/>
      </c>
      <c r="T185">
        <f>HYPERLINK("https://klasma.github.io/Logging_2283/kartor/A 44735-2025 karta.png", "A 44735-2025")</f>
        <v/>
      </c>
      <c r="U185">
        <f>HYPERLINK("https://klasma.github.io/Logging_2283/knärot/A 44735-2025 karta knärot.png", "A 44735-2025")</f>
        <v/>
      </c>
      <c r="V185">
        <f>HYPERLINK("https://klasma.github.io/Logging_2283/klagomål/A 44735-2025 FSC-klagomål.docx", "A 44735-2025")</f>
        <v/>
      </c>
      <c r="W185">
        <f>HYPERLINK("https://klasma.github.io/Logging_2283/klagomålsmail/A 44735-2025 FSC-klagomål mail.docx", "A 44735-2025")</f>
        <v/>
      </c>
      <c r="X185">
        <f>HYPERLINK("https://klasma.github.io/Logging_2283/tillsyn/A 44735-2025 tillsynsbegäran.docx", "A 44735-2025")</f>
        <v/>
      </c>
      <c r="Y185">
        <f>HYPERLINK("https://klasma.github.io/Logging_2283/tillsynsmail/A 44735-2025 tillsynsbegäran mail.docx", "A 44735-2025")</f>
        <v/>
      </c>
    </row>
    <row r="186" ht="15" customHeight="1">
      <c r="A186" t="inlineStr">
        <is>
          <t>A 45030-2025</t>
        </is>
      </c>
      <c r="B186" s="1" t="n">
        <v>45918.69851851852</v>
      </c>
      <c r="C186" s="1" t="n">
        <v>45937</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53898-2024</t>
        </is>
      </c>
      <c r="B187" s="1" t="n">
        <v>45615.69824074074</v>
      </c>
      <c r="C187" s="1" t="n">
        <v>45937</v>
      </c>
      <c r="D187" t="inlineStr">
        <is>
          <t>VÄSTERNORRLANDS LÄN</t>
        </is>
      </c>
      <c r="E187" t="inlineStr">
        <is>
          <t>SOLLEFTEÅ</t>
        </is>
      </c>
      <c r="F187" t="inlineStr">
        <is>
          <t>SCA</t>
        </is>
      </c>
      <c r="G187" t="n">
        <v>2</v>
      </c>
      <c r="H187" t="n">
        <v>0</v>
      </c>
      <c r="I187" t="n">
        <v>2</v>
      </c>
      <c r="J187" t="n">
        <v>2</v>
      </c>
      <c r="K187" t="n">
        <v>0</v>
      </c>
      <c r="L187" t="n">
        <v>0</v>
      </c>
      <c r="M187" t="n">
        <v>0</v>
      </c>
      <c r="N187" t="n">
        <v>0</v>
      </c>
      <c r="O187" t="n">
        <v>2</v>
      </c>
      <c r="P187" t="n">
        <v>0</v>
      </c>
      <c r="Q187" t="n">
        <v>4</v>
      </c>
      <c r="R187" s="2" t="inlineStr">
        <is>
          <t>Garnlav
Lunglav
Norrlandslav
Stuplav</t>
        </is>
      </c>
      <c r="S187">
        <f>HYPERLINK("https://klasma.github.io/Logging_2283/artfynd/A 53898-2024 artfynd.xlsx", "A 53898-2024")</f>
        <v/>
      </c>
      <c r="T187">
        <f>HYPERLINK("https://klasma.github.io/Logging_2283/kartor/A 53898-2024 karta.png", "A 53898-2024")</f>
        <v/>
      </c>
      <c r="V187">
        <f>HYPERLINK("https://klasma.github.io/Logging_2283/klagomål/A 53898-2024 FSC-klagomål.docx", "A 53898-2024")</f>
        <v/>
      </c>
      <c r="W187">
        <f>HYPERLINK("https://klasma.github.io/Logging_2283/klagomålsmail/A 53898-2024 FSC-klagomål mail.docx", "A 53898-2024")</f>
        <v/>
      </c>
      <c r="X187">
        <f>HYPERLINK("https://klasma.github.io/Logging_2283/tillsyn/A 53898-2024 tillsynsbegäran.docx", "A 53898-2024")</f>
        <v/>
      </c>
      <c r="Y187">
        <f>HYPERLINK("https://klasma.github.io/Logging_2283/tillsynsmail/A 53898-2024 tillsynsbegäran mail.docx", "A 53898-2024")</f>
        <v/>
      </c>
    </row>
    <row r="188" ht="15" customHeight="1">
      <c r="A188" t="inlineStr">
        <is>
          <t>A 44424-2025</t>
        </is>
      </c>
      <c r="B188" s="1" t="n">
        <v>45916</v>
      </c>
      <c r="C188" s="1" t="n">
        <v>45937</v>
      </c>
      <c r="D188" t="inlineStr">
        <is>
          <t>VÄSTERNORRLANDS LÄN</t>
        </is>
      </c>
      <c r="E188" t="inlineStr">
        <is>
          <t>SOLLEFTEÅ</t>
        </is>
      </c>
      <c r="G188" t="n">
        <v>4.7</v>
      </c>
      <c r="H188" t="n">
        <v>1</v>
      </c>
      <c r="I188" t="n">
        <v>0</v>
      </c>
      <c r="J188" t="n">
        <v>2</v>
      </c>
      <c r="K188" t="n">
        <v>2</v>
      </c>
      <c r="L188" t="n">
        <v>0</v>
      </c>
      <c r="M188" t="n">
        <v>0</v>
      </c>
      <c r="N188" t="n">
        <v>0</v>
      </c>
      <c r="O188" t="n">
        <v>4</v>
      </c>
      <c r="P188" t="n">
        <v>2</v>
      </c>
      <c r="Q188" t="n">
        <v>4</v>
      </c>
      <c r="R188" s="2" t="inlineStr">
        <is>
          <t>Knärot
Rynkskinn
Rosenticka
Ullticka</t>
        </is>
      </c>
      <c r="S188">
        <f>HYPERLINK("https://klasma.github.io/Logging_2283/artfynd/A 44424-2025 artfynd.xlsx", "A 44424-2025")</f>
        <v/>
      </c>
      <c r="T188">
        <f>HYPERLINK("https://klasma.github.io/Logging_2283/kartor/A 44424-2025 karta.png", "A 44424-2025")</f>
        <v/>
      </c>
      <c r="U188">
        <f>HYPERLINK("https://klasma.github.io/Logging_2283/knärot/A 44424-2025 karta knärot.png", "A 44424-2025")</f>
        <v/>
      </c>
      <c r="V188">
        <f>HYPERLINK("https://klasma.github.io/Logging_2283/klagomål/A 44424-2025 FSC-klagomål.docx", "A 44424-2025")</f>
        <v/>
      </c>
      <c r="W188">
        <f>HYPERLINK("https://klasma.github.io/Logging_2283/klagomålsmail/A 44424-2025 FSC-klagomål mail.docx", "A 44424-2025")</f>
        <v/>
      </c>
      <c r="X188">
        <f>HYPERLINK("https://klasma.github.io/Logging_2283/tillsyn/A 44424-2025 tillsynsbegäran.docx", "A 44424-2025")</f>
        <v/>
      </c>
      <c r="Y188">
        <f>HYPERLINK("https://klasma.github.io/Logging_2283/tillsynsmail/A 44424-2025 tillsynsbegäran mail.docx", "A 44424-2025")</f>
        <v/>
      </c>
    </row>
    <row r="189" ht="15" customHeight="1">
      <c r="A189" t="inlineStr">
        <is>
          <t>A 56248-2023</t>
        </is>
      </c>
      <c r="B189" s="1" t="n">
        <v>45240</v>
      </c>
      <c r="C189" s="1" t="n">
        <v>45937</v>
      </c>
      <c r="D189" t="inlineStr">
        <is>
          <t>VÄSTERNORRLANDS LÄN</t>
        </is>
      </c>
      <c r="E189" t="inlineStr">
        <is>
          <t>SOLLEFTEÅ</t>
        </is>
      </c>
      <c r="F189" t="inlineStr">
        <is>
          <t>SCA</t>
        </is>
      </c>
      <c r="G189" t="n">
        <v>12.2</v>
      </c>
      <c r="H189" t="n">
        <v>3</v>
      </c>
      <c r="I189" t="n">
        <v>0</v>
      </c>
      <c r="J189" t="n">
        <v>3</v>
      </c>
      <c r="K189" t="n">
        <v>0</v>
      </c>
      <c r="L189" t="n">
        <v>0</v>
      </c>
      <c r="M189" t="n">
        <v>0</v>
      </c>
      <c r="N189" t="n">
        <v>0</v>
      </c>
      <c r="O189" t="n">
        <v>3</v>
      </c>
      <c r="P189" t="n">
        <v>0</v>
      </c>
      <c r="Q189" t="n">
        <v>4</v>
      </c>
      <c r="R189" s="2" t="inlineStr">
        <is>
          <t>Granticka
Mindre hackspett
Tretåig hackspett
Lavskrika</t>
        </is>
      </c>
      <c r="S189">
        <f>HYPERLINK("https://klasma.github.io/Logging_2283/artfynd/A 56248-2023 artfynd.xlsx", "A 56248-2023")</f>
        <v/>
      </c>
      <c r="T189">
        <f>HYPERLINK("https://klasma.github.io/Logging_2283/kartor/A 56248-2023 karta.png", "A 56248-2023")</f>
        <v/>
      </c>
      <c r="V189">
        <f>HYPERLINK("https://klasma.github.io/Logging_2283/klagomål/A 56248-2023 FSC-klagomål.docx", "A 56248-2023")</f>
        <v/>
      </c>
      <c r="W189">
        <f>HYPERLINK("https://klasma.github.io/Logging_2283/klagomålsmail/A 56248-2023 FSC-klagomål mail.docx", "A 56248-2023")</f>
        <v/>
      </c>
      <c r="X189">
        <f>HYPERLINK("https://klasma.github.io/Logging_2283/tillsyn/A 56248-2023 tillsynsbegäran.docx", "A 56248-2023")</f>
        <v/>
      </c>
      <c r="Y189">
        <f>HYPERLINK("https://klasma.github.io/Logging_2283/tillsynsmail/A 56248-2023 tillsynsbegäran mail.docx", "A 56248-2023")</f>
        <v/>
      </c>
      <c r="Z189">
        <f>HYPERLINK("https://klasma.github.io/Logging_2283/fåglar/A 56248-2023 prioriterade fågelarter.docx", "A 56248-2023")</f>
        <v/>
      </c>
    </row>
    <row r="190" ht="15" customHeight="1">
      <c r="A190" t="inlineStr">
        <is>
          <t>A 8885-2024</t>
        </is>
      </c>
      <c r="B190" s="1" t="n">
        <v>45357</v>
      </c>
      <c r="C190" s="1" t="n">
        <v>45937</v>
      </c>
      <c r="D190" t="inlineStr">
        <is>
          <t>VÄSTERNORRLANDS LÄN</t>
        </is>
      </c>
      <c r="E190" t="inlineStr">
        <is>
          <t>SOLLEFTEÅ</t>
        </is>
      </c>
      <c r="F190" t="inlineStr">
        <is>
          <t>SCA</t>
        </is>
      </c>
      <c r="G190" t="n">
        <v>4.5</v>
      </c>
      <c r="H190" t="n">
        <v>1</v>
      </c>
      <c r="I190" t="n">
        <v>1</v>
      </c>
      <c r="J190" t="n">
        <v>3</v>
      </c>
      <c r="K190" t="n">
        <v>0</v>
      </c>
      <c r="L190" t="n">
        <v>0</v>
      </c>
      <c r="M190" t="n">
        <v>0</v>
      </c>
      <c r="N190" t="n">
        <v>0</v>
      </c>
      <c r="O190" t="n">
        <v>3</v>
      </c>
      <c r="P190" t="n">
        <v>0</v>
      </c>
      <c r="Q190" t="n">
        <v>4</v>
      </c>
      <c r="R190" s="2" t="inlineStr">
        <is>
          <t>Gammelgransskål
Granticka
Tretåig hackspett
Vedticka</t>
        </is>
      </c>
      <c r="S190">
        <f>HYPERLINK("https://klasma.github.io/Logging_2283/artfynd/A 8885-2024 artfynd.xlsx", "A 8885-2024")</f>
        <v/>
      </c>
      <c r="T190">
        <f>HYPERLINK("https://klasma.github.io/Logging_2283/kartor/A 8885-2024 karta.png", "A 8885-2024")</f>
        <v/>
      </c>
      <c r="V190">
        <f>HYPERLINK("https://klasma.github.io/Logging_2283/klagomål/A 8885-2024 FSC-klagomål.docx", "A 8885-2024")</f>
        <v/>
      </c>
      <c r="W190">
        <f>HYPERLINK("https://klasma.github.io/Logging_2283/klagomålsmail/A 8885-2024 FSC-klagomål mail.docx", "A 8885-2024")</f>
        <v/>
      </c>
      <c r="X190">
        <f>HYPERLINK("https://klasma.github.io/Logging_2283/tillsyn/A 8885-2024 tillsynsbegäran.docx", "A 8885-2024")</f>
        <v/>
      </c>
      <c r="Y190">
        <f>HYPERLINK("https://klasma.github.io/Logging_2283/tillsynsmail/A 8885-2024 tillsynsbegäran mail.docx", "A 8885-2024")</f>
        <v/>
      </c>
      <c r="Z190">
        <f>HYPERLINK("https://klasma.github.io/Logging_2283/fåglar/A 8885-2024 prioriterade fågelarter.docx", "A 8885-2024")</f>
        <v/>
      </c>
    </row>
    <row r="191" ht="15" customHeight="1">
      <c r="A191" t="inlineStr">
        <is>
          <t>A 45692-2025</t>
        </is>
      </c>
      <c r="B191" s="1" t="n">
        <v>45923.3858912037</v>
      </c>
      <c r="C191" s="1" t="n">
        <v>45937</v>
      </c>
      <c r="D191" t="inlineStr">
        <is>
          <t>VÄSTERNORRLANDS LÄN</t>
        </is>
      </c>
      <c r="E191" t="inlineStr">
        <is>
          <t>SOLLEFTEÅ</t>
        </is>
      </c>
      <c r="F191" t="inlineStr">
        <is>
          <t>SCA</t>
        </is>
      </c>
      <c r="G191" t="n">
        <v>4.9</v>
      </c>
      <c r="H191" t="n">
        <v>1</v>
      </c>
      <c r="I191" t="n">
        <v>1</v>
      </c>
      <c r="J191" t="n">
        <v>2</v>
      </c>
      <c r="K191" t="n">
        <v>1</v>
      </c>
      <c r="L191" t="n">
        <v>0</v>
      </c>
      <c r="M191" t="n">
        <v>0</v>
      </c>
      <c r="N191" t="n">
        <v>0</v>
      </c>
      <c r="O191" t="n">
        <v>3</v>
      </c>
      <c r="P191" t="n">
        <v>1</v>
      </c>
      <c r="Q191" t="n">
        <v>4</v>
      </c>
      <c r="R191" s="2" t="inlineStr">
        <is>
          <t>Knärot
Granticka
Rosenticka
Vedticka</t>
        </is>
      </c>
      <c r="S191">
        <f>HYPERLINK("https://klasma.github.io/Logging_2283/artfynd/A 45692-2025 artfynd.xlsx", "A 45692-2025")</f>
        <v/>
      </c>
      <c r="T191">
        <f>HYPERLINK("https://klasma.github.io/Logging_2283/kartor/A 45692-2025 karta.png", "A 45692-2025")</f>
        <v/>
      </c>
      <c r="U191">
        <f>HYPERLINK("https://klasma.github.io/Logging_2283/knärot/A 45692-2025 karta knärot.png", "A 45692-2025")</f>
        <v/>
      </c>
      <c r="V191">
        <f>HYPERLINK("https://klasma.github.io/Logging_2283/klagomål/A 45692-2025 FSC-klagomål.docx", "A 45692-2025")</f>
        <v/>
      </c>
      <c r="W191">
        <f>HYPERLINK("https://klasma.github.io/Logging_2283/klagomålsmail/A 45692-2025 FSC-klagomål mail.docx", "A 45692-2025")</f>
        <v/>
      </c>
      <c r="X191">
        <f>HYPERLINK("https://klasma.github.io/Logging_2283/tillsyn/A 45692-2025 tillsynsbegäran.docx", "A 45692-2025")</f>
        <v/>
      </c>
      <c r="Y191">
        <f>HYPERLINK("https://klasma.github.io/Logging_2283/tillsynsmail/A 45692-2025 tillsynsbegäran mail.docx", "A 45692-2025")</f>
        <v/>
      </c>
    </row>
    <row r="192" ht="15" customHeight="1">
      <c r="A192" t="inlineStr">
        <is>
          <t>A 26467-2024</t>
        </is>
      </c>
      <c r="B192" s="1" t="n">
        <v>45469</v>
      </c>
      <c r="C192" s="1" t="n">
        <v>45937</v>
      </c>
      <c r="D192" t="inlineStr">
        <is>
          <t>VÄSTERNORRLANDS LÄN</t>
        </is>
      </c>
      <c r="E192" t="inlineStr">
        <is>
          <t>SOLLEFTEÅ</t>
        </is>
      </c>
      <c r="G192" t="n">
        <v>1.1</v>
      </c>
      <c r="H192" t="n">
        <v>2</v>
      </c>
      <c r="I192" t="n">
        <v>1</v>
      </c>
      <c r="J192" t="n">
        <v>1</v>
      </c>
      <c r="K192" t="n">
        <v>0</v>
      </c>
      <c r="L192" t="n">
        <v>0</v>
      </c>
      <c r="M192" t="n">
        <v>0</v>
      </c>
      <c r="N192" t="n">
        <v>0</v>
      </c>
      <c r="O192" t="n">
        <v>1</v>
      </c>
      <c r="P192" t="n">
        <v>0</v>
      </c>
      <c r="Q192" t="n">
        <v>4</v>
      </c>
      <c r="R192" s="2" t="inlineStr">
        <is>
          <t>Rosenticka
Springkorn
Skogsrör
Revlummer</t>
        </is>
      </c>
      <c r="S192">
        <f>HYPERLINK("https://klasma.github.io/Logging_2283/artfynd/A 26467-2024 artfynd.xlsx", "A 26467-2024")</f>
        <v/>
      </c>
      <c r="T192">
        <f>HYPERLINK("https://klasma.github.io/Logging_2283/kartor/A 26467-2024 karta.png", "A 26467-2024")</f>
        <v/>
      </c>
      <c r="V192">
        <f>HYPERLINK("https://klasma.github.io/Logging_2283/klagomål/A 26467-2024 FSC-klagomål.docx", "A 26467-2024")</f>
        <v/>
      </c>
      <c r="W192">
        <f>HYPERLINK("https://klasma.github.io/Logging_2283/klagomålsmail/A 26467-2024 FSC-klagomål mail.docx", "A 26467-2024")</f>
        <v/>
      </c>
      <c r="X192">
        <f>HYPERLINK("https://klasma.github.io/Logging_2283/tillsyn/A 26467-2024 tillsynsbegäran.docx", "A 26467-2024")</f>
        <v/>
      </c>
      <c r="Y192">
        <f>HYPERLINK("https://klasma.github.io/Logging_2283/tillsynsmail/A 26467-2024 tillsynsbegäran mail.docx", "A 26467-2024")</f>
        <v/>
      </c>
    </row>
    <row r="193" ht="15" customHeight="1">
      <c r="A193" t="inlineStr">
        <is>
          <t>A 47527-2024</t>
        </is>
      </c>
      <c r="B193" s="1" t="n">
        <v>45587.63574074074</v>
      </c>
      <c r="C193" s="1" t="n">
        <v>45937</v>
      </c>
      <c r="D193" t="inlineStr">
        <is>
          <t>VÄSTERNORRLANDS LÄN</t>
        </is>
      </c>
      <c r="E193" t="inlineStr">
        <is>
          <t>SOLLEFTEÅ</t>
        </is>
      </c>
      <c r="F193" t="inlineStr">
        <is>
          <t>SCA</t>
        </is>
      </c>
      <c r="G193" t="n">
        <v>3.6</v>
      </c>
      <c r="H193" t="n">
        <v>1</v>
      </c>
      <c r="I193" t="n">
        <v>1</v>
      </c>
      <c r="J193" t="n">
        <v>3</v>
      </c>
      <c r="K193" t="n">
        <v>0</v>
      </c>
      <c r="L193" t="n">
        <v>0</v>
      </c>
      <c r="M193" t="n">
        <v>0</v>
      </c>
      <c r="N193" t="n">
        <v>0</v>
      </c>
      <c r="O193" t="n">
        <v>3</v>
      </c>
      <c r="P193" t="n">
        <v>0</v>
      </c>
      <c r="Q193" t="n">
        <v>4</v>
      </c>
      <c r="R193" s="2" t="inlineStr">
        <is>
          <t>Garnlav
Lunglav
Ullticka
Lappranunkel</t>
        </is>
      </c>
      <c r="S193">
        <f>HYPERLINK("https://klasma.github.io/Logging_2283/artfynd/A 47527-2024 artfynd.xlsx", "A 47527-2024")</f>
        <v/>
      </c>
      <c r="T193">
        <f>HYPERLINK("https://klasma.github.io/Logging_2283/kartor/A 47527-2024 karta.png", "A 47527-2024")</f>
        <v/>
      </c>
      <c r="V193">
        <f>HYPERLINK("https://klasma.github.io/Logging_2283/klagomål/A 47527-2024 FSC-klagomål.docx", "A 47527-2024")</f>
        <v/>
      </c>
      <c r="W193">
        <f>HYPERLINK("https://klasma.github.io/Logging_2283/klagomålsmail/A 47527-2024 FSC-klagomål mail.docx", "A 47527-2024")</f>
        <v/>
      </c>
      <c r="X193">
        <f>HYPERLINK("https://klasma.github.io/Logging_2283/tillsyn/A 47527-2024 tillsynsbegäran.docx", "A 47527-2024")</f>
        <v/>
      </c>
      <c r="Y193">
        <f>HYPERLINK("https://klasma.github.io/Logging_2283/tillsynsmail/A 47527-2024 tillsynsbegäran mail.docx", "A 47527-2024")</f>
        <v/>
      </c>
    </row>
    <row r="194" ht="15" customHeight="1">
      <c r="A194" t="inlineStr">
        <is>
          <t>A 37270-2023</t>
        </is>
      </c>
      <c r="B194" s="1" t="n">
        <v>45155</v>
      </c>
      <c r="C194" s="1" t="n">
        <v>45937</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51192-2024</t>
        </is>
      </c>
      <c r="B195" s="1" t="n">
        <v>45603.61493055556</v>
      </c>
      <c r="C195" s="1" t="n">
        <v>45937</v>
      </c>
      <c r="D195" t="inlineStr">
        <is>
          <t>VÄSTERNORRLANDS LÄN</t>
        </is>
      </c>
      <c r="E195" t="inlineStr">
        <is>
          <t>SOLLEFTEÅ</t>
        </is>
      </c>
      <c r="F195" t="inlineStr">
        <is>
          <t>SCA</t>
        </is>
      </c>
      <c r="G195" t="n">
        <v>3.9</v>
      </c>
      <c r="H195" t="n">
        <v>1</v>
      </c>
      <c r="I195" t="n">
        <v>0</v>
      </c>
      <c r="J195" t="n">
        <v>3</v>
      </c>
      <c r="K195" t="n">
        <v>1</v>
      </c>
      <c r="L195" t="n">
        <v>0</v>
      </c>
      <c r="M195" t="n">
        <v>0</v>
      </c>
      <c r="N195" t="n">
        <v>0</v>
      </c>
      <c r="O195" t="n">
        <v>4</v>
      </c>
      <c r="P195" t="n">
        <v>1</v>
      </c>
      <c r="Q195" t="n">
        <v>4</v>
      </c>
      <c r="R195" s="2" t="inlineStr">
        <is>
          <t>Rynkskinn
Garnlav
Lunglav
Talltita</t>
        </is>
      </c>
      <c r="S195">
        <f>HYPERLINK("https://klasma.github.io/Logging_2283/artfynd/A 51192-2024 artfynd.xlsx", "A 51192-2024")</f>
        <v/>
      </c>
      <c r="T195">
        <f>HYPERLINK("https://klasma.github.io/Logging_2283/kartor/A 51192-2024 karta.png", "A 51192-2024")</f>
        <v/>
      </c>
      <c r="V195">
        <f>HYPERLINK("https://klasma.github.io/Logging_2283/klagomål/A 51192-2024 FSC-klagomål.docx", "A 51192-2024")</f>
        <v/>
      </c>
      <c r="W195">
        <f>HYPERLINK("https://klasma.github.io/Logging_2283/klagomålsmail/A 51192-2024 FSC-klagomål mail.docx", "A 51192-2024")</f>
        <v/>
      </c>
      <c r="X195">
        <f>HYPERLINK("https://klasma.github.io/Logging_2283/tillsyn/A 51192-2024 tillsynsbegäran.docx", "A 51192-2024")</f>
        <v/>
      </c>
      <c r="Y195">
        <f>HYPERLINK("https://klasma.github.io/Logging_2283/tillsynsmail/A 51192-2024 tillsynsbegäran mail.docx", "A 51192-2024")</f>
        <v/>
      </c>
      <c r="Z195">
        <f>HYPERLINK("https://klasma.github.io/Logging_2283/fåglar/A 51192-2024 prioriterade fågelarter.docx", "A 51192-2024")</f>
        <v/>
      </c>
    </row>
    <row r="196" ht="15" customHeight="1">
      <c r="A196" t="inlineStr">
        <is>
          <t>A 57081-2024</t>
        </is>
      </c>
      <c r="B196" s="1" t="n">
        <v>45629</v>
      </c>
      <c r="C196" s="1" t="n">
        <v>45937</v>
      </c>
      <c r="D196" t="inlineStr">
        <is>
          <t>VÄSTERNORRLANDS LÄN</t>
        </is>
      </c>
      <c r="E196" t="inlineStr">
        <is>
          <t>SOLLEFTEÅ</t>
        </is>
      </c>
      <c r="F196" t="inlineStr">
        <is>
          <t>SCA</t>
        </is>
      </c>
      <c r="G196" t="n">
        <v>0.7</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57081-2024 artfynd.xlsx", "A 57081-2024")</f>
        <v/>
      </c>
      <c r="T196">
        <f>HYPERLINK("https://klasma.github.io/Logging_2283/kartor/A 57081-2024 karta.png", "A 57081-2024")</f>
        <v/>
      </c>
      <c r="V196">
        <f>HYPERLINK("https://klasma.github.io/Logging_2283/klagomål/A 57081-2024 FSC-klagomål.docx", "A 57081-2024")</f>
        <v/>
      </c>
      <c r="W196">
        <f>HYPERLINK("https://klasma.github.io/Logging_2283/klagomålsmail/A 57081-2024 FSC-klagomål mail.docx", "A 57081-2024")</f>
        <v/>
      </c>
      <c r="X196">
        <f>HYPERLINK("https://klasma.github.io/Logging_2283/tillsyn/A 57081-2024 tillsynsbegäran.docx", "A 57081-2024")</f>
        <v/>
      </c>
      <c r="Y196">
        <f>HYPERLINK("https://klasma.github.io/Logging_2283/tillsynsmail/A 57081-2024 tillsynsbegäran mail.docx", "A 57081-2024")</f>
        <v/>
      </c>
      <c r="Z196">
        <f>HYPERLINK("https://klasma.github.io/Logging_2283/fåglar/A 57081-2024 prioriterade fågelarter.docx", "A 57081-2024")</f>
        <v/>
      </c>
    </row>
    <row r="197" ht="15" customHeight="1">
      <c r="A197" t="inlineStr">
        <is>
          <t>A 44599-2021</t>
        </is>
      </c>
      <c r="B197" s="1" t="n">
        <v>44435.94106481481</v>
      </c>
      <c r="C197" s="1" t="n">
        <v>45937</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42301-2022</t>
        </is>
      </c>
      <c r="B198" s="1" t="n">
        <v>44830.95461805556</v>
      </c>
      <c r="C198" s="1" t="n">
        <v>45937</v>
      </c>
      <c r="D198" t="inlineStr">
        <is>
          <t>VÄSTERNORRLANDS LÄN</t>
        </is>
      </c>
      <c r="E198" t="inlineStr">
        <is>
          <t>SOLLEFTEÅ</t>
        </is>
      </c>
      <c r="F198" t="inlineStr">
        <is>
          <t>SCA</t>
        </is>
      </c>
      <c r="G198" t="n">
        <v>0.8</v>
      </c>
      <c r="H198" t="n">
        <v>1</v>
      </c>
      <c r="I198" t="n">
        <v>0</v>
      </c>
      <c r="J198" t="n">
        <v>3</v>
      </c>
      <c r="K198" t="n">
        <v>0</v>
      </c>
      <c r="L198" t="n">
        <v>0</v>
      </c>
      <c r="M198" t="n">
        <v>0</v>
      </c>
      <c r="N198" t="n">
        <v>0</v>
      </c>
      <c r="O198" t="n">
        <v>3</v>
      </c>
      <c r="P198" t="n">
        <v>0</v>
      </c>
      <c r="Q198" t="n">
        <v>3</v>
      </c>
      <c r="R198" s="2" t="inlineStr">
        <is>
          <t>Gammelgransskål
Harticka
Tretåig hackspett</t>
        </is>
      </c>
      <c r="S198">
        <f>HYPERLINK("https://klasma.github.io/Logging_2283/artfynd/A 42301-2022 artfynd.xlsx", "A 42301-2022")</f>
        <v/>
      </c>
      <c r="T198">
        <f>HYPERLINK("https://klasma.github.io/Logging_2283/kartor/A 42301-2022 karta.png", "A 42301-2022")</f>
        <v/>
      </c>
      <c r="V198">
        <f>HYPERLINK("https://klasma.github.io/Logging_2283/klagomål/A 42301-2022 FSC-klagomål.docx", "A 42301-2022")</f>
        <v/>
      </c>
      <c r="W198">
        <f>HYPERLINK("https://klasma.github.io/Logging_2283/klagomålsmail/A 42301-2022 FSC-klagomål mail.docx", "A 42301-2022")</f>
        <v/>
      </c>
      <c r="X198">
        <f>HYPERLINK("https://klasma.github.io/Logging_2283/tillsyn/A 42301-2022 tillsynsbegäran.docx", "A 42301-2022")</f>
        <v/>
      </c>
      <c r="Y198">
        <f>HYPERLINK("https://klasma.github.io/Logging_2283/tillsynsmail/A 42301-2022 tillsynsbegäran mail.docx", "A 42301-2022")</f>
        <v/>
      </c>
      <c r="Z198">
        <f>HYPERLINK("https://klasma.github.io/Logging_2283/fåglar/A 42301-2022 prioriterade fågelarter.docx", "A 42301-2022")</f>
        <v/>
      </c>
    </row>
    <row r="199" ht="15" customHeight="1">
      <c r="A199" t="inlineStr">
        <is>
          <t>A 15098-2021</t>
        </is>
      </c>
      <c r="B199" s="1" t="n">
        <v>44281</v>
      </c>
      <c r="C199" s="1" t="n">
        <v>45937</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59046-2022</t>
        </is>
      </c>
      <c r="B200" s="1" t="n">
        <v>44903</v>
      </c>
      <c r="C200" s="1" t="n">
        <v>45937</v>
      </c>
      <c r="D200" t="inlineStr">
        <is>
          <t>VÄSTERNORRLANDS LÄN</t>
        </is>
      </c>
      <c r="E200" t="inlineStr">
        <is>
          <t>SOLLEFTEÅ</t>
        </is>
      </c>
      <c r="F200" t="inlineStr">
        <is>
          <t>SCA</t>
        </is>
      </c>
      <c r="G200" t="n">
        <v>10.3</v>
      </c>
      <c r="H200" t="n">
        <v>1</v>
      </c>
      <c r="I200" t="n">
        <v>0</v>
      </c>
      <c r="J200" t="n">
        <v>3</v>
      </c>
      <c r="K200" t="n">
        <v>0</v>
      </c>
      <c r="L200" t="n">
        <v>0</v>
      </c>
      <c r="M200" t="n">
        <v>0</v>
      </c>
      <c r="N200" t="n">
        <v>0</v>
      </c>
      <c r="O200" t="n">
        <v>3</v>
      </c>
      <c r="P200" t="n">
        <v>0</v>
      </c>
      <c r="Q200" t="n">
        <v>3</v>
      </c>
      <c r="R200" s="2" t="inlineStr">
        <is>
          <t>Lunglav
Orange taggsvamp
Tretåig hackspett</t>
        </is>
      </c>
      <c r="S200">
        <f>HYPERLINK("https://klasma.github.io/Logging_2283/artfynd/A 59046-2022 artfynd.xlsx", "A 59046-2022")</f>
        <v/>
      </c>
      <c r="T200">
        <f>HYPERLINK("https://klasma.github.io/Logging_2283/kartor/A 59046-2022 karta.png", "A 59046-2022")</f>
        <v/>
      </c>
      <c r="V200">
        <f>HYPERLINK("https://klasma.github.io/Logging_2283/klagomål/A 59046-2022 FSC-klagomål.docx", "A 59046-2022")</f>
        <v/>
      </c>
      <c r="W200">
        <f>HYPERLINK("https://klasma.github.io/Logging_2283/klagomålsmail/A 59046-2022 FSC-klagomål mail.docx", "A 59046-2022")</f>
        <v/>
      </c>
      <c r="X200">
        <f>HYPERLINK("https://klasma.github.io/Logging_2283/tillsyn/A 59046-2022 tillsynsbegäran.docx", "A 59046-2022")</f>
        <v/>
      </c>
      <c r="Y200">
        <f>HYPERLINK("https://klasma.github.io/Logging_2283/tillsynsmail/A 59046-2022 tillsynsbegäran mail.docx", "A 59046-2022")</f>
        <v/>
      </c>
      <c r="Z200">
        <f>HYPERLINK("https://klasma.github.io/Logging_2283/fåglar/A 59046-2022 prioriterade fågelarter.docx", "A 59046-2022")</f>
        <v/>
      </c>
    </row>
    <row r="201" ht="15" customHeight="1">
      <c r="A201" t="inlineStr">
        <is>
          <t>A 31354-2021</t>
        </is>
      </c>
      <c r="B201" s="1" t="n">
        <v>44368.93938657407</v>
      </c>
      <c r="C201" s="1" t="n">
        <v>45937</v>
      </c>
      <c r="D201" t="inlineStr">
        <is>
          <t>VÄSTERNORRLANDS LÄN</t>
        </is>
      </c>
      <c r="E201" t="inlineStr">
        <is>
          <t>SOLLEFTEÅ</t>
        </is>
      </c>
      <c r="F201" t="inlineStr">
        <is>
          <t>SCA</t>
        </is>
      </c>
      <c r="G201" t="n">
        <v>1.5</v>
      </c>
      <c r="H201" t="n">
        <v>1</v>
      </c>
      <c r="I201" t="n">
        <v>1</v>
      </c>
      <c r="J201" t="n">
        <v>1</v>
      </c>
      <c r="K201" t="n">
        <v>1</v>
      </c>
      <c r="L201" t="n">
        <v>0</v>
      </c>
      <c r="M201" t="n">
        <v>0</v>
      </c>
      <c r="N201" t="n">
        <v>0</v>
      </c>
      <c r="O201" t="n">
        <v>2</v>
      </c>
      <c r="P201" t="n">
        <v>1</v>
      </c>
      <c r="Q201" t="n">
        <v>3</v>
      </c>
      <c r="R201" s="2" t="inlineStr">
        <is>
          <t>Knärot
Garnlav
Norrlandslav</t>
        </is>
      </c>
      <c r="S201">
        <f>HYPERLINK("https://klasma.github.io/Logging_2283/artfynd/A 31354-2021 artfynd.xlsx", "A 31354-2021")</f>
        <v/>
      </c>
      <c r="T201">
        <f>HYPERLINK("https://klasma.github.io/Logging_2283/kartor/A 31354-2021 karta.png", "A 31354-2021")</f>
        <v/>
      </c>
      <c r="U201">
        <f>HYPERLINK("https://klasma.github.io/Logging_2283/knärot/A 31354-2021 karta knärot.png", "A 31354-2021")</f>
        <v/>
      </c>
      <c r="V201">
        <f>HYPERLINK("https://klasma.github.io/Logging_2283/klagomål/A 31354-2021 FSC-klagomål.docx", "A 31354-2021")</f>
        <v/>
      </c>
      <c r="W201">
        <f>HYPERLINK("https://klasma.github.io/Logging_2283/klagomålsmail/A 31354-2021 FSC-klagomål mail.docx", "A 31354-2021")</f>
        <v/>
      </c>
      <c r="X201">
        <f>HYPERLINK("https://klasma.github.io/Logging_2283/tillsyn/A 31354-2021 tillsynsbegäran.docx", "A 31354-2021")</f>
        <v/>
      </c>
      <c r="Y201">
        <f>HYPERLINK("https://klasma.github.io/Logging_2283/tillsynsmail/A 31354-2021 tillsynsbegäran mail.docx", "A 31354-2021")</f>
        <v/>
      </c>
    </row>
    <row r="202" ht="15" customHeight="1">
      <c r="A202" t="inlineStr">
        <is>
          <t>A 53682-2024</t>
        </is>
      </c>
      <c r="B202" s="1" t="n">
        <v>45615</v>
      </c>
      <c r="C202" s="1" t="n">
        <v>45937</v>
      </c>
      <c r="D202" t="inlineStr">
        <is>
          <t>VÄSTERNORRLANDS LÄN</t>
        </is>
      </c>
      <c r="E202" t="inlineStr">
        <is>
          <t>SOLLEFTEÅ</t>
        </is>
      </c>
      <c r="F202" t="inlineStr">
        <is>
          <t>SCA</t>
        </is>
      </c>
      <c r="G202" t="n">
        <v>9.5</v>
      </c>
      <c r="H202" t="n">
        <v>0</v>
      </c>
      <c r="I202" t="n">
        <v>0</v>
      </c>
      <c r="J202" t="n">
        <v>2</v>
      </c>
      <c r="K202" t="n">
        <v>1</v>
      </c>
      <c r="L202" t="n">
        <v>0</v>
      </c>
      <c r="M202" t="n">
        <v>0</v>
      </c>
      <c r="N202" t="n">
        <v>0</v>
      </c>
      <c r="O202" t="n">
        <v>3</v>
      </c>
      <c r="P202" t="n">
        <v>1</v>
      </c>
      <c r="Q202" t="n">
        <v>3</v>
      </c>
      <c r="R202" s="2" t="inlineStr">
        <is>
          <t>Tallgråticka
Blå taggsvamp
Skrovlig taggsvamp</t>
        </is>
      </c>
      <c r="S202">
        <f>HYPERLINK("https://klasma.github.io/Logging_2283/artfynd/A 53682-2024 artfynd.xlsx", "A 53682-2024")</f>
        <v/>
      </c>
      <c r="T202">
        <f>HYPERLINK("https://klasma.github.io/Logging_2283/kartor/A 53682-2024 karta.png", "A 53682-2024")</f>
        <v/>
      </c>
      <c r="V202">
        <f>HYPERLINK("https://klasma.github.io/Logging_2283/klagomål/A 53682-2024 FSC-klagomål.docx", "A 53682-2024")</f>
        <v/>
      </c>
      <c r="W202">
        <f>HYPERLINK("https://klasma.github.io/Logging_2283/klagomålsmail/A 53682-2024 FSC-klagomål mail.docx", "A 53682-2024")</f>
        <v/>
      </c>
      <c r="X202">
        <f>HYPERLINK("https://klasma.github.io/Logging_2283/tillsyn/A 53682-2024 tillsynsbegäran.docx", "A 53682-2024")</f>
        <v/>
      </c>
      <c r="Y202">
        <f>HYPERLINK("https://klasma.github.io/Logging_2283/tillsynsmail/A 53682-2024 tillsynsbegäran mail.docx", "A 53682-2024")</f>
        <v/>
      </c>
    </row>
    <row r="203" ht="15" customHeight="1">
      <c r="A203" t="inlineStr">
        <is>
          <t>A 51212-2022</t>
        </is>
      </c>
      <c r="B203" s="1" t="n">
        <v>44868.62265046296</v>
      </c>
      <c r="C203" s="1" t="n">
        <v>45937</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48017-2024</t>
        </is>
      </c>
      <c r="B204" s="1" t="n">
        <v>45589.46935185185</v>
      </c>
      <c r="C204" s="1" t="n">
        <v>45937</v>
      </c>
      <c r="D204" t="inlineStr">
        <is>
          <t>VÄSTERNORRLANDS LÄN</t>
        </is>
      </c>
      <c r="E204" t="inlineStr">
        <is>
          <t>SOLLEFTEÅ</t>
        </is>
      </c>
      <c r="F204" t="inlineStr">
        <is>
          <t>SCA</t>
        </is>
      </c>
      <c r="G204" t="n">
        <v>1.4</v>
      </c>
      <c r="H204" t="n">
        <v>0</v>
      </c>
      <c r="I204" t="n">
        <v>1</v>
      </c>
      <c r="J204" t="n">
        <v>2</v>
      </c>
      <c r="K204" t="n">
        <v>0</v>
      </c>
      <c r="L204" t="n">
        <v>0</v>
      </c>
      <c r="M204" t="n">
        <v>0</v>
      </c>
      <c r="N204" t="n">
        <v>0</v>
      </c>
      <c r="O204" t="n">
        <v>2</v>
      </c>
      <c r="P204" t="n">
        <v>0</v>
      </c>
      <c r="Q204" t="n">
        <v>3</v>
      </c>
      <c r="R204" s="2" t="inlineStr">
        <is>
          <t>Garnlav
Kolflarnlav
Dropptaggsvamp</t>
        </is>
      </c>
      <c r="S204">
        <f>HYPERLINK("https://klasma.github.io/Logging_2283/artfynd/A 48017-2024 artfynd.xlsx", "A 48017-2024")</f>
        <v/>
      </c>
      <c r="T204">
        <f>HYPERLINK("https://klasma.github.io/Logging_2283/kartor/A 48017-2024 karta.png", "A 48017-2024")</f>
        <v/>
      </c>
      <c r="V204">
        <f>HYPERLINK("https://klasma.github.io/Logging_2283/klagomål/A 48017-2024 FSC-klagomål.docx", "A 48017-2024")</f>
        <v/>
      </c>
      <c r="W204">
        <f>HYPERLINK("https://klasma.github.io/Logging_2283/klagomålsmail/A 48017-2024 FSC-klagomål mail.docx", "A 48017-2024")</f>
        <v/>
      </c>
      <c r="X204">
        <f>HYPERLINK("https://klasma.github.io/Logging_2283/tillsyn/A 48017-2024 tillsynsbegäran.docx", "A 48017-2024")</f>
        <v/>
      </c>
      <c r="Y204">
        <f>HYPERLINK("https://klasma.github.io/Logging_2283/tillsynsmail/A 48017-2024 tillsynsbegäran mail.docx", "A 48017-2024")</f>
        <v/>
      </c>
    </row>
    <row r="205" ht="15" customHeight="1">
      <c r="A205" t="inlineStr">
        <is>
          <t>A 22183-2025</t>
        </is>
      </c>
      <c r="B205" s="1" t="n">
        <v>45785.61677083333</v>
      </c>
      <c r="C205" s="1" t="n">
        <v>45937</v>
      </c>
      <c r="D205" t="inlineStr">
        <is>
          <t>VÄSTERNORRLANDS LÄN</t>
        </is>
      </c>
      <c r="E205" t="inlineStr">
        <is>
          <t>SOLLEFTEÅ</t>
        </is>
      </c>
      <c r="F205" t="inlineStr">
        <is>
          <t>SCA</t>
        </is>
      </c>
      <c r="G205" t="n">
        <v>0.3</v>
      </c>
      <c r="H205" t="n">
        <v>0</v>
      </c>
      <c r="I205" t="n">
        <v>1</v>
      </c>
      <c r="J205" t="n">
        <v>2</v>
      </c>
      <c r="K205" t="n">
        <v>0</v>
      </c>
      <c r="L205" t="n">
        <v>0</v>
      </c>
      <c r="M205" t="n">
        <v>0</v>
      </c>
      <c r="N205" t="n">
        <v>0</v>
      </c>
      <c r="O205" t="n">
        <v>2</v>
      </c>
      <c r="P205" t="n">
        <v>0</v>
      </c>
      <c r="Q205" t="n">
        <v>3</v>
      </c>
      <c r="R205" s="2" t="inlineStr">
        <is>
          <t>Garnlav
Rosenticka
Trådticka</t>
        </is>
      </c>
      <c r="S205">
        <f>HYPERLINK("https://klasma.github.io/Logging_2283/artfynd/A 22183-2025 artfynd.xlsx", "A 22183-2025")</f>
        <v/>
      </c>
      <c r="T205">
        <f>HYPERLINK("https://klasma.github.io/Logging_2283/kartor/A 22183-2025 karta.png", "A 22183-2025")</f>
        <v/>
      </c>
      <c r="V205">
        <f>HYPERLINK("https://klasma.github.io/Logging_2283/klagomål/A 22183-2025 FSC-klagomål.docx", "A 22183-2025")</f>
        <v/>
      </c>
      <c r="W205">
        <f>HYPERLINK("https://klasma.github.io/Logging_2283/klagomålsmail/A 22183-2025 FSC-klagomål mail.docx", "A 22183-2025")</f>
        <v/>
      </c>
      <c r="X205">
        <f>HYPERLINK("https://klasma.github.io/Logging_2283/tillsyn/A 22183-2025 tillsynsbegäran.docx", "A 22183-2025")</f>
        <v/>
      </c>
      <c r="Y205">
        <f>HYPERLINK("https://klasma.github.io/Logging_2283/tillsynsmail/A 22183-2025 tillsynsbegäran mail.docx", "A 22183-2025")</f>
        <v/>
      </c>
    </row>
    <row r="206" ht="15" customHeight="1">
      <c r="A206" t="inlineStr">
        <is>
          <t>A 38096-2024</t>
        </is>
      </c>
      <c r="B206" s="1" t="n">
        <v>45545.345</v>
      </c>
      <c r="C206" s="1" t="n">
        <v>45937</v>
      </c>
      <c r="D206" t="inlineStr">
        <is>
          <t>VÄSTERNORRLANDS LÄN</t>
        </is>
      </c>
      <c r="E206" t="inlineStr">
        <is>
          <t>SOLLEFTEÅ</t>
        </is>
      </c>
      <c r="F206" t="inlineStr">
        <is>
          <t>SCA</t>
        </is>
      </c>
      <c r="G206" t="n">
        <v>5.2</v>
      </c>
      <c r="H206" t="n">
        <v>1</v>
      </c>
      <c r="I206" t="n">
        <v>2</v>
      </c>
      <c r="J206" t="n">
        <v>1</v>
      </c>
      <c r="K206" t="n">
        <v>0</v>
      </c>
      <c r="L206" t="n">
        <v>0</v>
      </c>
      <c r="M206" t="n">
        <v>0</v>
      </c>
      <c r="N206" t="n">
        <v>0</v>
      </c>
      <c r="O206" t="n">
        <v>1</v>
      </c>
      <c r="P206" t="n">
        <v>0</v>
      </c>
      <c r="Q206" t="n">
        <v>3</v>
      </c>
      <c r="R206" s="2" t="inlineStr">
        <is>
          <t>Lunglav
Bollvitmossa
Lappranunkel</t>
        </is>
      </c>
      <c r="S206">
        <f>HYPERLINK("https://klasma.github.io/Logging_2283/artfynd/A 38096-2024 artfynd.xlsx", "A 38096-2024")</f>
        <v/>
      </c>
      <c r="T206">
        <f>HYPERLINK("https://klasma.github.io/Logging_2283/kartor/A 38096-2024 karta.png", "A 38096-2024")</f>
        <v/>
      </c>
      <c r="V206">
        <f>HYPERLINK("https://klasma.github.io/Logging_2283/klagomål/A 38096-2024 FSC-klagomål.docx", "A 38096-2024")</f>
        <v/>
      </c>
      <c r="W206">
        <f>HYPERLINK("https://klasma.github.io/Logging_2283/klagomålsmail/A 38096-2024 FSC-klagomål mail.docx", "A 38096-2024")</f>
        <v/>
      </c>
      <c r="X206">
        <f>HYPERLINK("https://klasma.github.io/Logging_2283/tillsyn/A 38096-2024 tillsynsbegäran.docx", "A 38096-2024")</f>
        <v/>
      </c>
      <c r="Y206">
        <f>HYPERLINK("https://klasma.github.io/Logging_2283/tillsynsmail/A 38096-2024 tillsynsbegäran mail.docx", "A 38096-2024")</f>
        <v/>
      </c>
    </row>
    <row r="207" ht="15" customHeight="1">
      <c r="A207" t="inlineStr">
        <is>
          <t>A 26374-2023</t>
        </is>
      </c>
      <c r="B207" s="1" t="n">
        <v>45091.94403935185</v>
      </c>
      <c r="C207" s="1" t="n">
        <v>45937</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23939-2024</t>
        </is>
      </c>
      <c r="B208" s="1" t="n">
        <v>45455.96303240741</v>
      </c>
      <c r="C208" s="1" t="n">
        <v>45937</v>
      </c>
      <c r="D208" t="inlineStr">
        <is>
          <t>VÄSTERNORRLANDS LÄN</t>
        </is>
      </c>
      <c r="E208" t="inlineStr">
        <is>
          <t>SOLLEFTEÅ</t>
        </is>
      </c>
      <c r="F208" t="inlineStr">
        <is>
          <t>SCA</t>
        </is>
      </c>
      <c r="G208" t="n">
        <v>3</v>
      </c>
      <c r="H208" t="n">
        <v>1</v>
      </c>
      <c r="I208" t="n">
        <v>1</v>
      </c>
      <c r="J208" t="n">
        <v>2</v>
      </c>
      <c r="K208" t="n">
        <v>0</v>
      </c>
      <c r="L208" t="n">
        <v>0</v>
      </c>
      <c r="M208" t="n">
        <v>0</v>
      </c>
      <c r="N208" t="n">
        <v>0</v>
      </c>
      <c r="O208" t="n">
        <v>2</v>
      </c>
      <c r="P208" t="n">
        <v>0</v>
      </c>
      <c r="Q208" t="n">
        <v>3</v>
      </c>
      <c r="R208" s="2" t="inlineStr">
        <is>
          <t>Lunglav
Talltita
Stuplav</t>
        </is>
      </c>
      <c r="S208">
        <f>HYPERLINK("https://klasma.github.io/Logging_2283/artfynd/A 23939-2024 artfynd.xlsx", "A 23939-2024")</f>
        <v/>
      </c>
      <c r="T208">
        <f>HYPERLINK("https://klasma.github.io/Logging_2283/kartor/A 23939-2024 karta.png", "A 23939-2024")</f>
        <v/>
      </c>
      <c r="V208">
        <f>HYPERLINK("https://klasma.github.io/Logging_2283/klagomål/A 23939-2024 FSC-klagomål.docx", "A 23939-2024")</f>
        <v/>
      </c>
      <c r="W208">
        <f>HYPERLINK("https://klasma.github.io/Logging_2283/klagomålsmail/A 23939-2024 FSC-klagomål mail.docx", "A 23939-2024")</f>
        <v/>
      </c>
      <c r="X208">
        <f>HYPERLINK("https://klasma.github.io/Logging_2283/tillsyn/A 23939-2024 tillsynsbegäran.docx", "A 23939-2024")</f>
        <v/>
      </c>
      <c r="Y208">
        <f>HYPERLINK("https://klasma.github.io/Logging_2283/tillsynsmail/A 23939-2024 tillsynsbegäran mail.docx", "A 23939-2024")</f>
        <v/>
      </c>
      <c r="Z208">
        <f>HYPERLINK("https://klasma.github.io/Logging_2283/fåglar/A 23939-2024 prioriterade fågelarter.docx", "A 23939-2024")</f>
        <v/>
      </c>
    </row>
    <row r="209" ht="15" customHeight="1">
      <c r="A209" t="inlineStr">
        <is>
          <t>A 61481-2021</t>
        </is>
      </c>
      <c r="B209" s="1" t="n">
        <v>44500</v>
      </c>
      <c r="C209" s="1" t="n">
        <v>45937</v>
      </c>
      <c r="D209" t="inlineStr">
        <is>
          <t>VÄSTERNORRLANDS LÄN</t>
        </is>
      </c>
      <c r="E209" t="inlineStr">
        <is>
          <t>SOLLEFTEÅ</t>
        </is>
      </c>
      <c r="F209" t="inlineStr">
        <is>
          <t>SCA</t>
        </is>
      </c>
      <c r="G209" t="n">
        <v>6.8</v>
      </c>
      <c r="H209" t="n">
        <v>0</v>
      </c>
      <c r="I209" t="n">
        <v>1</v>
      </c>
      <c r="J209" t="n">
        <v>2</v>
      </c>
      <c r="K209" t="n">
        <v>0</v>
      </c>
      <c r="L209" t="n">
        <v>0</v>
      </c>
      <c r="M209" t="n">
        <v>0</v>
      </c>
      <c r="N209" t="n">
        <v>0</v>
      </c>
      <c r="O209" t="n">
        <v>2</v>
      </c>
      <c r="P209" t="n">
        <v>0</v>
      </c>
      <c r="Q209" t="n">
        <v>3</v>
      </c>
      <c r="R209" s="2" t="inlineStr">
        <is>
          <t>Lunglav
Skrovellav
Kambräken</t>
        </is>
      </c>
      <c r="S209">
        <f>HYPERLINK("https://klasma.github.io/Logging_2283/artfynd/A 61481-2021 artfynd.xlsx", "A 61481-2021")</f>
        <v/>
      </c>
      <c r="T209">
        <f>HYPERLINK("https://klasma.github.io/Logging_2283/kartor/A 61481-2021 karta.png", "A 61481-2021")</f>
        <v/>
      </c>
      <c r="V209">
        <f>HYPERLINK("https://klasma.github.io/Logging_2283/klagomål/A 61481-2021 FSC-klagomål.docx", "A 61481-2021")</f>
        <v/>
      </c>
      <c r="W209">
        <f>HYPERLINK("https://klasma.github.io/Logging_2283/klagomålsmail/A 61481-2021 FSC-klagomål mail.docx", "A 61481-2021")</f>
        <v/>
      </c>
      <c r="X209">
        <f>HYPERLINK("https://klasma.github.io/Logging_2283/tillsyn/A 61481-2021 tillsynsbegäran.docx", "A 61481-2021")</f>
        <v/>
      </c>
      <c r="Y209">
        <f>HYPERLINK("https://klasma.github.io/Logging_2283/tillsynsmail/A 61481-2021 tillsynsbegäran mail.docx", "A 61481-2021")</f>
        <v/>
      </c>
    </row>
    <row r="210" ht="15" customHeight="1">
      <c r="A210" t="inlineStr">
        <is>
          <t>A 25707-2025</t>
        </is>
      </c>
      <c r="B210" s="1" t="n">
        <v>45803.67806712963</v>
      </c>
      <c r="C210" s="1" t="n">
        <v>45937</v>
      </c>
      <c r="D210" t="inlineStr">
        <is>
          <t>VÄSTERNORRLANDS LÄN</t>
        </is>
      </c>
      <c r="E210" t="inlineStr">
        <is>
          <t>SOLLEFTEÅ</t>
        </is>
      </c>
      <c r="F210" t="inlineStr">
        <is>
          <t>SCA</t>
        </is>
      </c>
      <c r="G210" t="n">
        <v>2.6</v>
      </c>
      <c r="H210" t="n">
        <v>1</v>
      </c>
      <c r="I210" t="n">
        <v>1</v>
      </c>
      <c r="J210" t="n">
        <v>2</v>
      </c>
      <c r="K210" t="n">
        <v>0</v>
      </c>
      <c r="L210" t="n">
        <v>0</v>
      </c>
      <c r="M210" t="n">
        <v>0</v>
      </c>
      <c r="N210" t="n">
        <v>0</v>
      </c>
      <c r="O210" t="n">
        <v>2</v>
      </c>
      <c r="P210" t="n">
        <v>0</v>
      </c>
      <c r="Q210" t="n">
        <v>3</v>
      </c>
      <c r="R210" s="2" t="inlineStr">
        <is>
          <t>Kolflarnlav
Talltita
Norrlandslav</t>
        </is>
      </c>
      <c r="S210">
        <f>HYPERLINK("https://klasma.github.io/Logging_2283/artfynd/A 25707-2025 artfynd.xlsx", "A 25707-2025")</f>
        <v/>
      </c>
      <c r="T210">
        <f>HYPERLINK("https://klasma.github.io/Logging_2283/kartor/A 25707-2025 karta.png", "A 25707-2025")</f>
        <v/>
      </c>
      <c r="V210">
        <f>HYPERLINK("https://klasma.github.io/Logging_2283/klagomål/A 25707-2025 FSC-klagomål.docx", "A 25707-2025")</f>
        <v/>
      </c>
      <c r="W210">
        <f>HYPERLINK("https://klasma.github.io/Logging_2283/klagomålsmail/A 25707-2025 FSC-klagomål mail.docx", "A 25707-2025")</f>
        <v/>
      </c>
      <c r="X210">
        <f>HYPERLINK("https://klasma.github.io/Logging_2283/tillsyn/A 25707-2025 tillsynsbegäran.docx", "A 25707-2025")</f>
        <v/>
      </c>
      <c r="Y210">
        <f>HYPERLINK("https://klasma.github.io/Logging_2283/tillsynsmail/A 25707-2025 tillsynsbegäran mail.docx", "A 25707-2025")</f>
        <v/>
      </c>
      <c r="Z210">
        <f>HYPERLINK("https://klasma.github.io/Logging_2283/fåglar/A 25707-2025 prioriterade fågelarter.docx", "A 25707-2025")</f>
        <v/>
      </c>
    </row>
    <row r="211" ht="15" customHeight="1">
      <c r="A211" t="inlineStr">
        <is>
          <t>A 50838-2023</t>
        </is>
      </c>
      <c r="B211" s="1" t="n">
        <v>45217</v>
      </c>
      <c r="C211" s="1" t="n">
        <v>45937</v>
      </c>
      <c r="D211" t="inlineStr">
        <is>
          <t>VÄSTERNORRLANDS LÄN</t>
        </is>
      </c>
      <c r="E211" t="inlineStr">
        <is>
          <t>SOLLEFTEÅ</t>
        </is>
      </c>
      <c r="F211" t="inlineStr">
        <is>
          <t>SCA</t>
        </is>
      </c>
      <c r="G211" t="n">
        <v>2.1</v>
      </c>
      <c r="H211" t="n">
        <v>2</v>
      </c>
      <c r="I211" t="n">
        <v>0</v>
      </c>
      <c r="J211" t="n">
        <v>1</v>
      </c>
      <c r="K211" t="n">
        <v>2</v>
      </c>
      <c r="L211" t="n">
        <v>0</v>
      </c>
      <c r="M211" t="n">
        <v>0</v>
      </c>
      <c r="N211" t="n">
        <v>0</v>
      </c>
      <c r="O211" t="n">
        <v>3</v>
      </c>
      <c r="P211" t="n">
        <v>2</v>
      </c>
      <c r="Q211" t="n">
        <v>3</v>
      </c>
      <c r="R211" s="2" t="inlineStr">
        <is>
          <t>Doftticka
Knärot
Lunglav</t>
        </is>
      </c>
      <c r="S211">
        <f>HYPERLINK("https://klasma.github.io/Logging_2283/artfynd/A 50838-2023 artfynd.xlsx", "A 50838-2023")</f>
        <v/>
      </c>
      <c r="T211">
        <f>HYPERLINK("https://klasma.github.io/Logging_2283/kartor/A 50838-2023 karta.png", "A 50838-2023")</f>
        <v/>
      </c>
      <c r="U211">
        <f>HYPERLINK("https://klasma.github.io/Logging_2283/knärot/A 50838-2023 karta knärot.png", "A 50838-2023")</f>
        <v/>
      </c>
      <c r="V211">
        <f>HYPERLINK("https://klasma.github.io/Logging_2283/klagomål/A 50838-2023 FSC-klagomål.docx", "A 50838-2023")</f>
        <v/>
      </c>
      <c r="W211">
        <f>HYPERLINK("https://klasma.github.io/Logging_2283/klagomålsmail/A 50838-2023 FSC-klagomål mail.docx", "A 50838-2023")</f>
        <v/>
      </c>
      <c r="X211">
        <f>HYPERLINK("https://klasma.github.io/Logging_2283/tillsyn/A 50838-2023 tillsynsbegäran.docx", "A 50838-2023")</f>
        <v/>
      </c>
      <c r="Y211">
        <f>HYPERLINK("https://klasma.github.io/Logging_2283/tillsynsmail/A 50838-2023 tillsynsbegäran mail.docx", "A 50838-2023")</f>
        <v/>
      </c>
    </row>
    <row r="212" ht="15" customHeight="1">
      <c r="A212" t="inlineStr">
        <is>
          <t>A 53852-2024</t>
        </is>
      </c>
      <c r="B212" s="1" t="n">
        <v>45615.63590277778</v>
      </c>
      <c r="C212" s="1" t="n">
        <v>45937</v>
      </c>
      <c r="D212" t="inlineStr">
        <is>
          <t>VÄSTERNORRLANDS LÄN</t>
        </is>
      </c>
      <c r="E212" t="inlineStr">
        <is>
          <t>SOLLEFTEÅ</t>
        </is>
      </c>
      <c r="F212" t="inlineStr">
        <is>
          <t>SCA</t>
        </is>
      </c>
      <c r="G212" t="n">
        <v>0.7</v>
      </c>
      <c r="H212" t="n">
        <v>1</v>
      </c>
      <c r="I212" t="n">
        <v>2</v>
      </c>
      <c r="J212" t="n">
        <v>1</v>
      </c>
      <c r="K212" t="n">
        <v>0</v>
      </c>
      <c r="L212" t="n">
        <v>0</v>
      </c>
      <c r="M212" t="n">
        <v>0</v>
      </c>
      <c r="N212" t="n">
        <v>0</v>
      </c>
      <c r="O212" t="n">
        <v>1</v>
      </c>
      <c r="P212" t="n">
        <v>0</v>
      </c>
      <c r="Q212" t="n">
        <v>3</v>
      </c>
      <c r="R212" s="2" t="inlineStr">
        <is>
          <t>Garnlav
Korallrot
Ögonpyrola</t>
        </is>
      </c>
      <c r="S212">
        <f>HYPERLINK("https://klasma.github.io/Logging_2283/artfynd/A 53852-2024 artfynd.xlsx", "A 53852-2024")</f>
        <v/>
      </c>
      <c r="T212">
        <f>HYPERLINK("https://klasma.github.io/Logging_2283/kartor/A 53852-2024 karta.png", "A 53852-2024")</f>
        <v/>
      </c>
      <c r="V212">
        <f>HYPERLINK("https://klasma.github.io/Logging_2283/klagomål/A 53852-2024 FSC-klagomål.docx", "A 53852-2024")</f>
        <v/>
      </c>
      <c r="W212">
        <f>HYPERLINK("https://klasma.github.io/Logging_2283/klagomålsmail/A 53852-2024 FSC-klagomål mail.docx", "A 53852-2024")</f>
        <v/>
      </c>
      <c r="X212">
        <f>HYPERLINK("https://klasma.github.io/Logging_2283/tillsyn/A 53852-2024 tillsynsbegäran.docx", "A 53852-2024")</f>
        <v/>
      </c>
      <c r="Y212">
        <f>HYPERLINK("https://klasma.github.io/Logging_2283/tillsynsmail/A 53852-2024 tillsynsbegäran mail.docx", "A 53852-2024")</f>
        <v/>
      </c>
    </row>
    <row r="213" ht="15" customHeight="1">
      <c r="A213" t="inlineStr">
        <is>
          <t>A 5121-2025</t>
        </is>
      </c>
      <c r="B213" s="1" t="n">
        <v>45691</v>
      </c>
      <c r="C213" s="1" t="n">
        <v>45937</v>
      </c>
      <c r="D213" t="inlineStr">
        <is>
          <t>VÄSTERNORRLANDS LÄN</t>
        </is>
      </c>
      <c r="E213" t="inlineStr">
        <is>
          <t>SOLLEFTEÅ</t>
        </is>
      </c>
      <c r="G213" t="n">
        <v>3.4</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HYPERLINK("https://klasma.github.io/Logging_2283/artfynd/A 5121-2025 artfynd.xlsx", "A 5121-2025")</f>
        <v/>
      </c>
      <c r="T213">
        <f>HYPERLINK("https://klasma.github.io/Logging_2283/kartor/A 5121-2025 karta.png", "A 5121-2025")</f>
        <v/>
      </c>
      <c r="V213">
        <f>HYPERLINK("https://klasma.github.io/Logging_2283/klagomål/A 5121-2025 FSC-klagomål.docx", "A 5121-2025")</f>
        <v/>
      </c>
      <c r="W213">
        <f>HYPERLINK("https://klasma.github.io/Logging_2283/klagomålsmail/A 5121-2025 FSC-klagomål mail.docx", "A 5121-2025")</f>
        <v/>
      </c>
      <c r="X213">
        <f>HYPERLINK("https://klasma.github.io/Logging_2283/tillsyn/A 5121-2025 tillsynsbegäran.docx", "A 5121-2025")</f>
        <v/>
      </c>
      <c r="Y213">
        <f>HYPERLINK("https://klasma.github.io/Logging_2283/tillsynsmail/A 5121-2025 tillsynsbegäran mail.docx", "A 5121-2025")</f>
        <v/>
      </c>
      <c r="Z213">
        <f>HYPERLINK("https://klasma.github.io/Logging_2283/fåglar/A 5121-2025 prioriterade fågelarter.docx", "A 5121-2025")</f>
        <v/>
      </c>
    </row>
    <row r="214" ht="15" customHeight="1">
      <c r="A214" t="inlineStr">
        <is>
          <t>A 32256-2024</t>
        </is>
      </c>
      <c r="B214" s="1" t="n">
        <v>45511</v>
      </c>
      <c r="C214" s="1" t="n">
        <v>45937</v>
      </c>
      <c r="D214" t="inlineStr">
        <is>
          <t>VÄSTERNORRLANDS LÄN</t>
        </is>
      </c>
      <c r="E214" t="inlineStr">
        <is>
          <t>SOLLEFTEÅ</t>
        </is>
      </c>
      <c r="F214" t="inlineStr">
        <is>
          <t>SCA</t>
        </is>
      </c>
      <c r="G214" t="n">
        <v>3.9</v>
      </c>
      <c r="H214" t="n">
        <v>1</v>
      </c>
      <c r="I214" t="n">
        <v>1</v>
      </c>
      <c r="J214" t="n">
        <v>2</v>
      </c>
      <c r="K214" t="n">
        <v>0</v>
      </c>
      <c r="L214" t="n">
        <v>0</v>
      </c>
      <c r="M214" t="n">
        <v>0</v>
      </c>
      <c r="N214" t="n">
        <v>0</v>
      </c>
      <c r="O214" t="n">
        <v>2</v>
      </c>
      <c r="P214" t="n">
        <v>0</v>
      </c>
      <c r="Q214" t="n">
        <v>3</v>
      </c>
      <c r="R214" s="2" t="inlineStr">
        <is>
          <t>Tretåig hackspett
Vedtrappmossa
Fjällig taggsvamp s.str.</t>
        </is>
      </c>
      <c r="S214">
        <f>HYPERLINK("https://klasma.github.io/Logging_2283/artfynd/A 32256-2024 artfynd.xlsx", "A 32256-2024")</f>
        <v/>
      </c>
      <c r="T214">
        <f>HYPERLINK("https://klasma.github.io/Logging_2283/kartor/A 32256-2024 karta.png", "A 32256-2024")</f>
        <v/>
      </c>
      <c r="V214">
        <f>HYPERLINK("https://klasma.github.io/Logging_2283/klagomål/A 32256-2024 FSC-klagomål.docx", "A 32256-2024")</f>
        <v/>
      </c>
      <c r="W214">
        <f>HYPERLINK("https://klasma.github.io/Logging_2283/klagomålsmail/A 32256-2024 FSC-klagomål mail.docx", "A 32256-2024")</f>
        <v/>
      </c>
      <c r="X214">
        <f>HYPERLINK("https://klasma.github.io/Logging_2283/tillsyn/A 32256-2024 tillsynsbegäran.docx", "A 32256-2024")</f>
        <v/>
      </c>
      <c r="Y214">
        <f>HYPERLINK("https://klasma.github.io/Logging_2283/tillsynsmail/A 32256-2024 tillsynsbegäran mail.docx", "A 32256-2024")</f>
        <v/>
      </c>
      <c r="Z214">
        <f>HYPERLINK("https://klasma.github.io/Logging_2283/fåglar/A 32256-2024 prioriterade fågelarter.docx", "A 32256-2024")</f>
        <v/>
      </c>
    </row>
    <row r="215" ht="15" customHeight="1">
      <c r="A215" t="inlineStr">
        <is>
          <t>A 21097-2024</t>
        </is>
      </c>
      <c r="B215" s="1" t="n">
        <v>45439</v>
      </c>
      <c r="C215" s="1" t="n">
        <v>45937</v>
      </c>
      <c r="D215" t="inlineStr">
        <is>
          <t>VÄSTERNORRLANDS LÄN</t>
        </is>
      </c>
      <c r="E215" t="inlineStr">
        <is>
          <t>SOLLEFTEÅ</t>
        </is>
      </c>
      <c r="F215" t="inlineStr">
        <is>
          <t>SCA</t>
        </is>
      </c>
      <c r="G215" t="n">
        <v>7.7</v>
      </c>
      <c r="H215" t="n">
        <v>1</v>
      </c>
      <c r="I215" t="n">
        <v>1</v>
      </c>
      <c r="J215" t="n">
        <v>2</v>
      </c>
      <c r="K215" t="n">
        <v>0</v>
      </c>
      <c r="L215" t="n">
        <v>0</v>
      </c>
      <c r="M215" t="n">
        <v>0</v>
      </c>
      <c r="N215" t="n">
        <v>0</v>
      </c>
      <c r="O215" t="n">
        <v>2</v>
      </c>
      <c r="P215" t="n">
        <v>0</v>
      </c>
      <c r="Q215" t="n">
        <v>3</v>
      </c>
      <c r="R215" s="2" t="inlineStr">
        <is>
          <t>Lunglav
Ullticka
Lappranunkel</t>
        </is>
      </c>
      <c r="S215">
        <f>HYPERLINK("https://klasma.github.io/Logging_2283/artfynd/A 21097-2024 artfynd.xlsx", "A 21097-2024")</f>
        <v/>
      </c>
      <c r="T215">
        <f>HYPERLINK("https://klasma.github.io/Logging_2283/kartor/A 21097-2024 karta.png", "A 21097-2024")</f>
        <v/>
      </c>
      <c r="V215">
        <f>HYPERLINK("https://klasma.github.io/Logging_2283/klagomål/A 21097-2024 FSC-klagomål.docx", "A 21097-2024")</f>
        <v/>
      </c>
      <c r="W215">
        <f>HYPERLINK("https://klasma.github.io/Logging_2283/klagomålsmail/A 21097-2024 FSC-klagomål mail.docx", "A 21097-2024")</f>
        <v/>
      </c>
      <c r="X215">
        <f>HYPERLINK("https://klasma.github.io/Logging_2283/tillsyn/A 21097-2024 tillsynsbegäran.docx", "A 21097-2024")</f>
        <v/>
      </c>
      <c r="Y215">
        <f>HYPERLINK("https://klasma.github.io/Logging_2283/tillsynsmail/A 21097-2024 tillsynsbegäran mail.docx", "A 21097-2024")</f>
        <v/>
      </c>
    </row>
    <row r="216" ht="15" customHeight="1">
      <c r="A216" t="inlineStr">
        <is>
          <t>A 24757-2024</t>
        </is>
      </c>
      <c r="B216" s="1" t="n">
        <v>45460.67375</v>
      </c>
      <c r="C216" s="1" t="n">
        <v>45937</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39095-2025</t>
        </is>
      </c>
      <c r="B217" s="1" t="n">
        <v>45888.49751157407</v>
      </c>
      <c r="C217" s="1" t="n">
        <v>45937</v>
      </c>
      <c r="D217" t="inlineStr">
        <is>
          <t>VÄSTERNORRLANDS LÄN</t>
        </is>
      </c>
      <c r="E217" t="inlineStr">
        <is>
          <t>SOLLEFTEÅ</t>
        </is>
      </c>
      <c r="F217" t="inlineStr">
        <is>
          <t>Holmen skog AB</t>
        </is>
      </c>
      <c r="G217" t="n">
        <v>1.3</v>
      </c>
      <c r="H217" t="n">
        <v>3</v>
      </c>
      <c r="I217" t="n">
        <v>0</v>
      </c>
      <c r="J217" t="n">
        <v>2</v>
      </c>
      <c r="K217" t="n">
        <v>0</v>
      </c>
      <c r="L217" t="n">
        <v>0</v>
      </c>
      <c r="M217" t="n">
        <v>0</v>
      </c>
      <c r="N217" t="n">
        <v>0</v>
      </c>
      <c r="O217" t="n">
        <v>2</v>
      </c>
      <c r="P217" t="n">
        <v>0</v>
      </c>
      <c r="Q217" t="n">
        <v>3</v>
      </c>
      <c r="R217" s="2" t="inlineStr">
        <is>
          <t>Talltita
Tretåig hackspett
Tjäder</t>
        </is>
      </c>
      <c r="S217">
        <f>HYPERLINK("https://klasma.github.io/Logging_2283/artfynd/A 39095-2025 artfynd.xlsx", "A 39095-2025")</f>
        <v/>
      </c>
      <c r="T217">
        <f>HYPERLINK("https://klasma.github.io/Logging_2283/kartor/A 39095-2025 karta.png", "A 39095-2025")</f>
        <v/>
      </c>
      <c r="V217">
        <f>HYPERLINK("https://klasma.github.io/Logging_2283/klagomål/A 39095-2025 FSC-klagomål.docx", "A 39095-2025")</f>
        <v/>
      </c>
      <c r="W217">
        <f>HYPERLINK("https://klasma.github.io/Logging_2283/klagomålsmail/A 39095-2025 FSC-klagomål mail.docx", "A 39095-2025")</f>
        <v/>
      </c>
      <c r="X217">
        <f>HYPERLINK("https://klasma.github.io/Logging_2283/tillsyn/A 39095-2025 tillsynsbegäran.docx", "A 39095-2025")</f>
        <v/>
      </c>
      <c r="Y217">
        <f>HYPERLINK("https://klasma.github.io/Logging_2283/tillsynsmail/A 39095-2025 tillsynsbegäran mail.docx", "A 39095-2025")</f>
        <v/>
      </c>
      <c r="Z217">
        <f>HYPERLINK("https://klasma.github.io/Logging_2283/fåglar/A 39095-2025 prioriterade fågelarter.docx", "A 39095-2025")</f>
        <v/>
      </c>
    </row>
    <row r="218" ht="15" customHeight="1">
      <c r="A218" t="inlineStr">
        <is>
          <t>A 24551-2025</t>
        </is>
      </c>
      <c r="B218" s="1" t="n">
        <v>45798</v>
      </c>
      <c r="C218" s="1" t="n">
        <v>45937</v>
      </c>
      <c r="D218" t="inlineStr">
        <is>
          <t>VÄSTERNORRLANDS LÄN</t>
        </is>
      </c>
      <c r="E218" t="inlineStr">
        <is>
          <t>SOLLEFTEÅ</t>
        </is>
      </c>
      <c r="F218" t="inlineStr">
        <is>
          <t>SCA</t>
        </is>
      </c>
      <c r="G218" t="n">
        <v>2.2</v>
      </c>
      <c r="H218" t="n">
        <v>1</v>
      </c>
      <c r="I218" t="n">
        <v>0</v>
      </c>
      <c r="J218" t="n">
        <v>2</v>
      </c>
      <c r="K218" t="n">
        <v>0</v>
      </c>
      <c r="L218" t="n">
        <v>0</v>
      </c>
      <c r="M218" t="n">
        <v>0</v>
      </c>
      <c r="N218" t="n">
        <v>0</v>
      </c>
      <c r="O218" t="n">
        <v>2</v>
      </c>
      <c r="P218" t="n">
        <v>0</v>
      </c>
      <c r="Q218" t="n">
        <v>3</v>
      </c>
      <c r="R218" s="2" t="inlineStr">
        <is>
          <t>Dvärgbägarlav
Vedskivlav
Tjäder</t>
        </is>
      </c>
      <c r="S218">
        <f>HYPERLINK("https://klasma.github.io/Logging_2283/artfynd/A 24551-2025 artfynd.xlsx", "A 24551-2025")</f>
        <v/>
      </c>
      <c r="T218">
        <f>HYPERLINK("https://klasma.github.io/Logging_2283/kartor/A 24551-2025 karta.png", "A 24551-2025")</f>
        <v/>
      </c>
      <c r="V218">
        <f>HYPERLINK("https://klasma.github.io/Logging_2283/klagomål/A 24551-2025 FSC-klagomål.docx", "A 24551-2025")</f>
        <v/>
      </c>
      <c r="W218">
        <f>HYPERLINK("https://klasma.github.io/Logging_2283/klagomålsmail/A 24551-2025 FSC-klagomål mail.docx", "A 24551-2025")</f>
        <v/>
      </c>
      <c r="X218">
        <f>HYPERLINK("https://klasma.github.io/Logging_2283/tillsyn/A 24551-2025 tillsynsbegäran.docx", "A 24551-2025")</f>
        <v/>
      </c>
      <c r="Y218">
        <f>HYPERLINK("https://klasma.github.io/Logging_2283/tillsynsmail/A 24551-2025 tillsynsbegäran mail.docx", "A 24551-2025")</f>
        <v/>
      </c>
      <c r="Z218">
        <f>HYPERLINK("https://klasma.github.io/Logging_2283/fåglar/A 24551-2025 prioriterade fågelarter.docx", "A 24551-2025")</f>
        <v/>
      </c>
    </row>
    <row r="219" ht="15" customHeight="1">
      <c r="A219" t="inlineStr">
        <is>
          <t>A 48369-2025</t>
        </is>
      </c>
      <c r="B219" s="1" t="n">
        <v>45933.67747685185</v>
      </c>
      <c r="C219" s="1" t="n">
        <v>45937</v>
      </c>
      <c r="D219" t="inlineStr">
        <is>
          <t>VÄSTERNORRLANDS LÄN</t>
        </is>
      </c>
      <c r="E219" t="inlineStr">
        <is>
          <t>SOLLEFTEÅ</t>
        </is>
      </c>
      <c r="F219" t="inlineStr">
        <is>
          <t>SCA</t>
        </is>
      </c>
      <c r="G219" t="n">
        <v>12.6</v>
      </c>
      <c r="H219" t="n">
        <v>1</v>
      </c>
      <c r="I219" t="n">
        <v>0</v>
      </c>
      <c r="J219" t="n">
        <v>3</v>
      </c>
      <c r="K219" t="n">
        <v>0</v>
      </c>
      <c r="L219" t="n">
        <v>0</v>
      </c>
      <c r="M219" t="n">
        <v>0</v>
      </c>
      <c r="N219" t="n">
        <v>0</v>
      </c>
      <c r="O219" t="n">
        <v>3</v>
      </c>
      <c r="P219" t="n">
        <v>0</v>
      </c>
      <c r="Q219" t="n">
        <v>3</v>
      </c>
      <c r="R219" s="2" t="inlineStr">
        <is>
          <t>Gammelgransskål
Garnlav
Tretåig hackspett</t>
        </is>
      </c>
      <c r="S219">
        <f>HYPERLINK("https://klasma.github.io/Logging_2283/artfynd/A 48369-2025 artfynd.xlsx", "A 48369-2025")</f>
        <v/>
      </c>
      <c r="T219">
        <f>HYPERLINK("https://klasma.github.io/Logging_2283/kartor/A 48369-2025 karta.png", "A 48369-2025")</f>
        <v/>
      </c>
      <c r="V219">
        <f>HYPERLINK("https://klasma.github.io/Logging_2283/klagomål/A 48369-2025 FSC-klagomål.docx", "A 48369-2025")</f>
        <v/>
      </c>
      <c r="W219">
        <f>HYPERLINK("https://klasma.github.io/Logging_2283/klagomålsmail/A 48369-2025 FSC-klagomål mail.docx", "A 48369-2025")</f>
        <v/>
      </c>
      <c r="X219">
        <f>HYPERLINK("https://klasma.github.io/Logging_2283/tillsyn/A 48369-2025 tillsynsbegäran.docx", "A 48369-2025")</f>
        <v/>
      </c>
      <c r="Y219">
        <f>HYPERLINK("https://klasma.github.io/Logging_2283/tillsynsmail/A 48369-2025 tillsynsbegäran mail.docx", "A 48369-2025")</f>
        <v/>
      </c>
      <c r="Z219">
        <f>HYPERLINK("https://klasma.github.io/Logging_2283/fåglar/A 48369-2025 prioriterade fågelarter.docx", "A 48369-2025")</f>
        <v/>
      </c>
    </row>
    <row r="220" ht="15" customHeight="1">
      <c r="A220" t="inlineStr">
        <is>
          <t>A 8077-2025</t>
        </is>
      </c>
      <c r="B220" s="1" t="n">
        <v>45707.65659722222</v>
      </c>
      <c r="C220" s="1" t="n">
        <v>45937</v>
      </c>
      <c r="D220" t="inlineStr">
        <is>
          <t>VÄSTERNORRLANDS LÄN</t>
        </is>
      </c>
      <c r="E220" t="inlineStr">
        <is>
          <t>SOLLEFTEÅ</t>
        </is>
      </c>
      <c r="F220" t="inlineStr">
        <is>
          <t>SCA</t>
        </is>
      </c>
      <c r="G220" t="n">
        <v>2.7</v>
      </c>
      <c r="H220" t="n">
        <v>3</v>
      </c>
      <c r="I220" t="n">
        <v>0</v>
      </c>
      <c r="J220" t="n">
        <v>2</v>
      </c>
      <c r="K220" t="n">
        <v>0</v>
      </c>
      <c r="L220" t="n">
        <v>0</v>
      </c>
      <c r="M220" t="n">
        <v>0</v>
      </c>
      <c r="N220" t="n">
        <v>0</v>
      </c>
      <c r="O220" t="n">
        <v>2</v>
      </c>
      <c r="P220" t="n">
        <v>0</v>
      </c>
      <c r="Q220" t="n">
        <v>3</v>
      </c>
      <c r="R220" s="2" t="inlineStr">
        <is>
          <t>Spillkråka
Tretåig hackspett
Tjäder</t>
        </is>
      </c>
      <c r="S220">
        <f>HYPERLINK("https://klasma.github.io/Logging_2283/artfynd/A 8077-2025 artfynd.xlsx", "A 8077-2025")</f>
        <v/>
      </c>
      <c r="T220">
        <f>HYPERLINK("https://klasma.github.io/Logging_2283/kartor/A 8077-2025 karta.png", "A 8077-2025")</f>
        <v/>
      </c>
      <c r="V220">
        <f>HYPERLINK("https://klasma.github.io/Logging_2283/klagomål/A 8077-2025 FSC-klagomål.docx", "A 8077-2025")</f>
        <v/>
      </c>
      <c r="W220">
        <f>HYPERLINK("https://klasma.github.io/Logging_2283/klagomålsmail/A 8077-2025 FSC-klagomål mail.docx", "A 8077-2025")</f>
        <v/>
      </c>
      <c r="X220">
        <f>HYPERLINK("https://klasma.github.io/Logging_2283/tillsyn/A 8077-2025 tillsynsbegäran.docx", "A 8077-2025")</f>
        <v/>
      </c>
      <c r="Y220">
        <f>HYPERLINK("https://klasma.github.io/Logging_2283/tillsynsmail/A 8077-2025 tillsynsbegäran mail.docx", "A 8077-2025")</f>
        <v/>
      </c>
      <c r="Z220">
        <f>HYPERLINK("https://klasma.github.io/Logging_2283/fåglar/A 8077-2025 prioriterade fågelarter.docx", "A 8077-2025")</f>
        <v/>
      </c>
    </row>
    <row r="221" ht="15" customHeight="1">
      <c r="A221" t="inlineStr">
        <is>
          <t>A 32070-2025</t>
        </is>
      </c>
      <c r="B221" s="1" t="n">
        <v>45835.44885416667</v>
      </c>
      <c r="C221" s="1" t="n">
        <v>45937</v>
      </c>
      <c r="D221" t="inlineStr">
        <is>
          <t>VÄSTERNORRLANDS LÄN</t>
        </is>
      </c>
      <c r="E221" t="inlineStr">
        <is>
          <t>SOLLEFTEÅ</t>
        </is>
      </c>
      <c r="F221" t="inlineStr">
        <is>
          <t>SCA</t>
        </is>
      </c>
      <c r="G221" t="n">
        <v>6.4</v>
      </c>
      <c r="H221" t="n">
        <v>0</v>
      </c>
      <c r="I221" t="n">
        <v>1</v>
      </c>
      <c r="J221" t="n">
        <v>1</v>
      </c>
      <c r="K221" t="n">
        <v>1</v>
      </c>
      <c r="L221" t="n">
        <v>0</v>
      </c>
      <c r="M221" t="n">
        <v>0</v>
      </c>
      <c r="N221" t="n">
        <v>0</v>
      </c>
      <c r="O221" t="n">
        <v>2</v>
      </c>
      <c r="P221" t="n">
        <v>1</v>
      </c>
      <c r="Q221" t="n">
        <v>3</v>
      </c>
      <c r="R221" s="2" t="inlineStr">
        <is>
          <t>Rynkskinn
Garnlav
Vedticka</t>
        </is>
      </c>
      <c r="S221">
        <f>HYPERLINK("https://klasma.github.io/Logging_2283/artfynd/A 32070-2025 artfynd.xlsx", "A 32070-2025")</f>
        <v/>
      </c>
      <c r="T221">
        <f>HYPERLINK("https://klasma.github.io/Logging_2283/kartor/A 32070-2025 karta.png", "A 32070-2025")</f>
        <v/>
      </c>
      <c r="V221">
        <f>HYPERLINK("https://klasma.github.io/Logging_2283/klagomål/A 32070-2025 FSC-klagomål.docx", "A 32070-2025")</f>
        <v/>
      </c>
      <c r="W221">
        <f>HYPERLINK("https://klasma.github.io/Logging_2283/klagomålsmail/A 32070-2025 FSC-klagomål mail.docx", "A 32070-2025")</f>
        <v/>
      </c>
      <c r="X221">
        <f>HYPERLINK("https://klasma.github.io/Logging_2283/tillsyn/A 32070-2025 tillsynsbegäran.docx", "A 32070-2025")</f>
        <v/>
      </c>
      <c r="Y221">
        <f>HYPERLINK("https://klasma.github.io/Logging_2283/tillsynsmail/A 32070-2025 tillsynsbegäran mail.docx", "A 32070-2025")</f>
        <v/>
      </c>
    </row>
    <row r="222" ht="15" customHeight="1">
      <c r="A222" t="inlineStr">
        <is>
          <t>A 43279-2025</t>
        </is>
      </c>
      <c r="B222" s="1" t="n">
        <v>45910.59446759259</v>
      </c>
      <c r="C222" s="1" t="n">
        <v>45937</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18012-2022</t>
        </is>
      </c>
      <c r="B223" s="1" t="n">
        <v>44683</v>
      </c>
      <c r="C223" s="1" t="n">
        <v>45937</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25919-2025</t>
        </is>
      </c>
      <c r="B224" s="1" t="n">
        <v>45804.56901620371</v>
      </c>
      <c r="C224" s="1" t="n">
        <v>45937</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54624-2024</t>
        </is>
      </c>
      <c r="B225" s="1" t="n">
        <v>45617</v>
      </c>
      <c r="C225" s="1" t="n">
        <v>45937</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6235-2023</t>
        </is>
      </c>
      <c r="B226" s="1" t="n">
        <v>44964</v>
      </c>
      <c r="C226" s="1" t="n">
        <v>45937</v>
      </c>
      <c r="D226" t="inlineStr">
        <is>
          <t>VÄSTERNORRLANDS LÄN</t>
        </is>
      </c>
      <c r="E226" t="inlineStr">
        <is>
          <t>SOLLEFTEÅ</t>
        </is>
      </c>
      <c r="F226" t="inlineStr">
        <is>
          <t>SCA</t>
        </is>
      </c>
      <c r="G226" t="n">
        <v>0.6</v>
      </c>
      <c r="H226" t="n">
        <v>2</v>
      </c>
      <c r="I226" t="n">
        <v>0</v>
      </c>
      <c r="J226" t="n">
        <v>2</v>
      </c>
      <c r="K226" t="n">
        <v>0</v>
      </c>
      <c r="L226" t="n">
        <v>0</v>
      </c>
      <c r="M226" t="n">
        <v>0</v>
      </c>
      <c r="N226" t="n">
        <v>0</v>
      </c>
      <c r="O226" t="n">
        <v>2</v>
      </c>
      <c r="P226" t="n">
        <v>0</v>
      </c>
      <c r="Q226" t="n">
        <v>3</v>
      </c>
      <c r="R226" s="2" t="inlineStr">
        <is>
          <t>Harticka
Tretåig hackspett
Tjäder</t>
        </is>
      </c>
      <c r="S226">
        <f>HYPERLINK("https://klasma.github.io/Logging_2283/artfynd/A 6235-2023 artfynd.xlsx", "A 6235-2023")</f>
        <v/>
      </c>
      <c r="T226">
        <f>HYPERLINK("https://klasma.github.io/Logging_2283/kartor/A 6235-2023 karta.png", "A 6235-2023")</f>
        <v/>
      </c>
      <c r="V226">
        <f>HYPERLINK("https://klasma.github.io/Logging_2283/klagomål/A 6235-2023 FSC-klagomål.docx", "A 6235-2023")</f>
        <v/>
      </c>
      <c r="W226">
        <f>HYPERLINK("https://klasma.github.io/Logging_2283/klagomålsmail/A 6235-2023 FSC-klagomål mail.docx", "A 6235-2023")</f>
        <v/>
      </c>
      <c r="X226">
        <f>HYPERLINK("https://klasma.github.io/Logging_2283/tillsyn/A 6235-2023 tillsynsbegäran.docx", "A 6235-2023")</f>
        <v/>
      </c>
      <c r="Y226">
        <f>HYPERLINK("https://klasma.github.io/Logging_2283/tillsynsmail/A 6235-2023 tillsynsbegäran mail.docx", "A 6235-2023")</f>
        <v/>
      </c>
      <c r="Z226">
        <f>HYPERLINK("https://klasma.github.io/Logging_2283/fåglar/A 6235-2023 prioriterade fågelarter.docx", "A 6235-2023")</f>
        <v/>
      </c>
    </row>
    <row r="227" ht="15" customHeight="1">
      <c r="A227" t="inlineStr">
        <is>
          <t>A 45007-2023</t>
        </is>
      </c>
      <c r="B227" s="1" t="n">
        <v>45190</v>
      </c>
      <c r="C227" s="1" t="n">
        <v>45937</v>
      </c>
      <c r="D227" t="inlineStr">
        <is>
          <t>VÄSTERNORRLANDS LÄN</t>
        </is>
      </c>
      <c r="E227" t="inlineStr">
        <is>
          <t>SOLLEFTEÅ</t>
        </is>
      </c>
      <c r="F227" t="inlineStr">
        <is>
          <t>SCA</t>
        </is>
      </c>
      <c r="G227" t="n">
        <v>2.1</v>
      </c>
      <c r="H227" t="n">
        <v>2</v>
      </c>
      <c r="I227" t="n">
        <v>0</v>
      </c>
      <c r="J227" t="n">
        <v>3</v>
      </c>
      <c r="K227" t="n">
        <v>0</v>
      </c>
      <c r="L227" t="n">
        <v>0</v>
      </c>
      <c r="M227" t="n">
        <v>0</v>
      </c>
      <c r="N227" t="n">
        <v>0</v>
      </c>
      <c r="O227" t="n">
        <v>3</v>
      </c>
      <c r="P227" t="n">
        <v>0</v>
      </c>
      <c r="Q227" t="n">
        <v>3</v>
      </c>
      <c r="R227" s="2" t="inlineStr">
        <is>
          <t>Spillkråka
Tretåig hackspett
Ullticka</t>
        </is>
      </c>
      <c r="S227">
        <f>HYPERLINK("https://klasma.github.io/Logging_2283/artfynd/A 45007-2023 artfynd.xlsx", "A 45007-2023")</f>
        <v/>
      </c>
      <c r="T227">
        <f>HYPERLINK("https://klasma.github.io/Logging_2283/kartor/A 45007-2023 karta.png", "A 45007-2023")</f>
        <v/>
      </c>
      <c r="V227">
        <f>HYPERLINK("https://klasma.github.io/Logging_2283/klagomål/A 45007-2023 FSC-klagomål.docx", "A 45007-2023")</f>
        <v/>
      </c>
      <c r="W227">
        <f>HYPERLINK("https://klasma.github.io/Logging_2283/klagomålsmail/A 45007-2023 FSC-klagomål mail.docx", "A 45007-2023")</f>
        <v/>
      </c>
      <c r="X227">
        <f>HYPERLINK("https://klasma.github.io/Logging_2283/tillsyn/A 45007-2023 tillsynsbegäran.docx", "A 45007-2023")</f>
        <v/>
      </c>
      <c r="Y227">
        <f>HYPERLINK("https://klasma.github.io/Logging_2283/tillsynsmail/A 45007-2023 tillsynsbegäran mail.docx", "A 45007-2023")</f>
        <v/>
      </c>
      <c r="Z227">
        <f>HYPERLINK("https://klasma.github.io/Logging_2283/fåglar/A 45007-2023 prioriterade fågelarter.docx", "A 45007-2023")</f>
        <v/>
      </c>
    </row>
    <row r="228" ht="15" customHeight="1">
      <c r="A228" t="inlineStr">
        <is>
          <t>A 44441-2025</t>
        </is>
      </c>
      <c r="B228" s="1" t="n">
        <v>45916</v>
      </c>
      <c r="C228" s="1" t="n">
        <v>45937</v>
      </c>
      <c r="D228" t="inlineStr">
        <is>
          <t>VÄSTERNORRLANDS LÄN</t>
        </is>
      </c>
      <c r="E228" t="inlineStr">
        <is>
          <t>SOLLEFTEÅ</t>
        </is>
      </c>
      <c r="G228" t="n">
        <v>0.9</v>
      </c>
      <c r="H228" t="n">
        <v>1</v>
      </c>
      <c r="I228" t="n">
        <v>0</v>
      </c>
      <c r="J228" t="n">
        <v>3</v>
      </c>
      <c r="K228" t="n">
        <v>0</v>
      </c>
      <c r="L228" t="n">
        <v>0</v>
      </c>
      <c r="M228" t="n">
        <v>0</v>
      </c>
      <c r="N228" t="n">
        <v>0</v>
      </c>
      <c r="O228" t="n">
        <v>3</v>
      </c>
      <c r="P228" t="n">
        <v>0</v>
      </c>
      <c r="Q228" t="n">
        <v>3</v>
      </c>
      <c r="R228" s="2" t="inlineStr">
        <is>
          <t>Rosenticka
Talltita
Ullticka</t>
        </is>
      </c>
      <c r="S228">
        <f>HYPERLINK("https://klasma.github.io/Logging_2283/artfynd/A 44441-2025 artfynd.xlsx", "A 44441-2025")</f>
        <v/>
      </c>
      <c r="T228">
        <f>HYPERLINK("https://klasma.github.io/Logging_2283/kartor/A 44441-2025 karta.png", "A 44441-2025")</f>
        <v/>
      </c>
      <c r="V228">
        <f>HYPERLINK("https://klasma.github.io/Logging_2283/klagomål/A 44441-2025 FSC-klagomål.docx", "A 44441-2025")</f>
        <v/>
      </c>
      <c r="W228">
        <f>HYPERLINK("https://klasma.github.io/Logging_2283/klagomålsmail/A 44441-2025 FSC-klagomål mail.docx", "A 44441-2025")</f>
        <v/>
      </c>
      <c r="X228">
        <f>HYPERLINK("https://klasma.github.io/Logging_2283/tillsyn/A 44441-2025 tillsynsbegäran.docx", "A 44441-2025")</f>
        <v/>
      </c>
      <c r="Y228">
        <f>HYPERLINK("https://klasma.github.io/Logging_2283/tillsynsmail/A 44441-2025 tillsynsbegäran mail.docx", "A 44441-2025")</f>
        <v/>
      </c>
      <c r="Z228">
        <f>HYPERLINK("https://klasma.github.io/Logging_2283/fåglar/A 44441-2025 prioriterade fågelarter.docx", "A 44441-2025")</f>
        <v/>
      </c>
    </row>
    <row r="229" ht="15" customHeight="1">
      <c r="A229" t="inlineStr">
        <is>
          <t>A 20781-2023</t>
        </is>
      </c>
      <c r="B229" s="1" t="n">
        <v>45058</v>
      </c>
      <c r="C229" s="1" t="n">
        <v>45937</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13877-2025</t>
        </is>
      </c>
      <c r="B230" s="1" t="n">
        <v>45737.59407407408</v>
      </c>
      <c r="C230" s="1" t="n">
        <v>45937</v>
      </c>
      <c r="D230" t="inlineStr">
        <is>
          <t>VÄSTERNORRLANDS LÄN</t>
        </is>
      </c>
      <c r="E230" t="inlineStr">
        <is>
          <t>SOLLEFTEÅ</t>
        </is>
      </c>
      <c r="F230" t="inlineStr">
        <is>
          <t>SCA</t>
        </is>
      </c>
      <c r="G230" t="n">
        <v>3.9</v>
      </c>
      <c r="H230" t="n">
        <v>2</v>
      </c>
      <c r="I230" t="n">
        <v>0</v>
      </c>
      <c r="J230" t="n">
        <v>2</v>
      </c>
      <c r="K230" t="n">
        <v>0</v>
      </c>
      <c r="L230" t="n">
        <v>0</v>
      </c>
      <c r="M230" t="n">
        <v>0</v>
      </c>
      <c r="N230" t="n">
        <v>0</v>
      </c>
      <c r="O230" t="n">
        <v>2</v>
      </c>
      <c r="P230" t="n">
        <v>0</v>
      </c>
      <c r="Q230" t="n">
        <v>3</v>
      </c>
      <c r="R230" s="2" t="inlineStr">
        <is>
          <t>Granticka
Spillkråka
Revlummer</t>
        </is>
      </c>
      <c r="S230">
        <f>HYPERLINK("https://klasma.github.io/Logging_2283/artfynd/A 13877-2025 artfynd.xlsx", "A 13877-2025")</f>
        <v/>
      </c>
      <c r="T230">
        <f>HYPERLINK("https://klasma.github.io/Logging_2283/kartor/A 13877-2025 karta.png", "A 13877-2025")</f>
        <v/>
      </c>
      <c r="V230">
        <f>HYPERLINK("https://klasma.github.io/Logging_2283/klagomål/A 13877-2025 FSC-klagomål.docx", "A 13877-2025")</f>
        <v/>
      </c>
      <c r="W230">
        <f>HYPERLINK("https://klasma.github.io/Logging_2283/klagomålsmail/A 13877-2025 FSC-klagomål mail.docx", "A 13877-2025")</f>
        <v/>
      </c>
      <c r="X230">
        <f>HYPERLINK("https://klasma.github.io/Logging_2283/tillsyn/A 13877-2025 tillsynsbegäran.docx", "A 13877-2025")</f>
        <v/>
      </c>
      <c r="Y230">
        <f>HYPERLINK("https://klasma.github.io/Logging_2283/tillsynsmail/A 13877-2025 tillsynsbegäran mail.docx", "A 13877-2025")</f>
        <v/>
      </c>
      <c r="Z230">
        <f>HYPERLINK("https://klasma.github.io/Logging_2283/fåglar/A 13877-2025 prioriterade fågelarter.docx", "A 13877-2025")</f>
        <v/>
      </c>
    </row>
    <row r="231" ht="15" customHeight="1">
      <c r="A231" t="inlineStr">
        <is>
          <t>A 40866-2023</t>
        </is>
      </c>
      <c r="B231" s="1" t="n">
        <v>45173</v>
      </c>
      <c r="C231" s="1" t="n">
        <v>45937</v>
      </c>
      <c r="D231" t="inlineStr">
        <is>
          <t>VÄSTERNORRLANDS LÄN</t>
        </is>
      </c>
      <c r="E231" t="inlineStr">
        <is>
          <t>SOLLEFTEÅ</t>
        </is>
      </c>
      <c r="G231" t="n">
        <v>1.7</v>
      </c>
      <c r="H231" t="n">
        <v>2</v>
      </c>
      <c r="I231" t="n">
        <v>1</v>
      </c>
      <c r="J231" t="n">
        <v>1</v>
      </c>
      <c r="K231" t="n">
        <v>0</v>
      </c>
      <c r="L231" t="n">
        <v>0</v>
      </c>
      <c r="M231" t="n">
        <v>0</v>
      </c>
      <c r="N231" t="n">
        <v>0</v>
      </c>
      <c r="O231" t="n">
        <v>1</v>
      </c>
      <c r="P231" t="n">
        <v>0</v>
      </c>
      <c r="Q231" t="n">
        <v>3</v>
      </c>
      <c r="R231" s="2" t="inlineStr">
        <is>
          <t>Spillkråka
Tibast
Skogsödla</t>
        </is>
      </c>
      <c r="S231">
        <f>HYPERLINK("https://klasma.github.io/Logging_2283/artfynd/A 40866-2023 artfynd.xlsx", "A 40866-2023")</f>
        <v/>
      </c>
      <c r="T231">
        <f>HYPERLINK("https://klasma.github.io/Logging_2283/kartor/A 40866-2023 karta.png", "A 40866-2023")</f>
        <v/>
      </c>
      <c r="V231">
        <f>HYPERLINK("https://klasma.github.io/Logging_2283/klagomål/A 40866-2023 FSC-klagomål.docx", "A 40866-2023")</f>
        <v/>
      </c>
      <c r="W231">
        <f>HYPERLINK("https://klasma.github.io/Logging_2283/klagomålsmail/A 40866-2023 FSC-klagomål mail.docx", "A 40866-2023")</f>
        <v/>
      </c>
      <c r="X231">
        <f>HYPERLINK("https://klasma.github.io/Logging_2283/tillsyn/A 40866-2023 tillsynsbegäran.docx", "A 40866-2023")</f>
        <v/>
      </c>
      <c r="Y231">
        <f>HYPERLINK("https://klasma.github.io/Logging_2283/tillsynsmail/A 40866-2023 tillsynsbegäran mail.docx", "A 40866-2023")</f>
        <v/>
      </c>
      <c r="Z231">
        <f>HYPERLINK("https://klasma.github.io/Logging_2283/fåglar/A 40866-2023 prioriterade fågelarter.docx", "A 40866-2023")</f>
        <v/>
      </c>
    </row>
    <row r="232" ht="15" customHeight="1">
      <c r="A232" t="inlineStr">
        <is>
          <t>A 13059-2022</t>
        </is>
      </c>
      <c r="B232" s="1" t="n">
        <v>44643</v>
      </c>
      <c r="C232" s="1" t="n">
        <v>45937</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45937</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45937</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45937</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45937</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45937</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45937</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45937</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68863-2021</t>
        </is>
      </c>
      <c r="B240" s="1" t="n">
        <v>44530</v>
      </c>
      <c r="C240" s="1" t="n">
        <v>45937</v>
      </c>
      <c r="D240" t="inlineStr">
        <is>
          <t>VÄSTERNORRLANDS LÄN</t>
        </is>
      </c>
      <c r="E240" t="inlineStr">
        <is>
          <t>SOLLEFTEÅ</t>
        </is>
      </c>
      <c r="F240" t="inlineStr">
        <is>
          <t>Holmen skog AB</t>
        </is>
      </c>
      <c r="G240" t="n">
        <v>16.8</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HYPERLINK("https://klasma.github.io/Logging_2283/artfynd/A 68863-2021 artfynd.xlsx", "A 68863-2021")</f>
        <v/>
      </c>
      <c r="T240">
        <f>HYPERLINK("https://klasma.github.io/Logging_2283/kartor/A 68863-2021 karta.png", "A 68863-2021")</f>
        <v/>
      </c>
      <c r="V240">
        <f>HYPERLINK("https://klasma.github.io/Logging_2283/klagomål/A 68863-2021 FSC-klagomål.docx", "A 68863-2021")</f>
        <v/>
      </c>
      <c r="W240">
        <f>HYPERLINK("https://klasma.github.io/Logging_2283/klagomålsmail/A 68863-2021 FSC-klagomål mail.docx", "A 68863-2021")</f>
        <v/>
      </c>
      <c r="X240">
        <f>HYPERLINK("https://klasma.github.io/Logging_2283/tillsyn/A 68863-2021 tillsynsbegäran.docx", "A 68863-2021")</f>
        <v/>
      </c>
      <c r="Y240">
        <f>HYPERLINK("https://klasma.github.io/Logging_2283/tillsynsmail/A 68863-2021 tillsynsbegäran mail.docx", "A 68863-2021")</f>
        <v/>
      </c>
      <c r="Z240">
        <f>HYPERLINK("https://klasma.github.io/Logging_2283/fåglar/A 68863-2021 prioriterade fågelarter.docx", "A 68863-2021")</f>
        <v/>
      </c>
    </row>
    <row r="241" ht="15" customHeight="1">
      <c r="A241" t="inlineStr">
        <is>
          <t>A 35071-2021</t>
        </is>
      </c>
      <c r="B241" s="1" t="n">
        <v>44383</v>
      </c>
      <c r="C241" s="1" t="n">
        <v>45937</v>
      </c>
      <c r="D241" t="inlineStr">
        <is>
          <t>VÄSTERNORRLANDS LÄN</t>
        </is>
      </c>
      <c r="E241" t="inlineStr">
        <is>
          <t>SOLLEFTEÅ</t>
        </is>
      </c>
      <c r="F241" t="inlineStr">
        <is>
          <t>SCA</t>
        </is>
      </c>
      <c r="G241" t="n">
        <v>1.8</v>
      </c>
      <c r="H241" t="n">
        <v>0</v>
      </c>
      <c r="I241" t="n">
        <v>2</v>
      </c>
      <c r="J241" t="n">
        <v>0</v>
      </c>
      <c r="K241" t="n">
        <v>0</v>
      </c>
      <c r="L241" t="n">
        <v>0</v>
      </c>
      <c r="M241" t="n">
        <v>0</v>
      </c>
      <c r="N241" t="n">
        <v>0</v>
      </c>
      <c r="O241" t="n">
        <v>0</v>
      </c>
      <c r="P241" t="n">
        <v>0</v>
      </c>
      <c r="Q241" t="n">
        <v>2</v>
      </c>
      <c r="R241" s="2" t="inlineStr">
        <is>
          <t>Norrlandslav
Vedticka</t>
        </is>
      </c>
      <c r="S241">
        <f>HYPERLINK("https://klasma.github.io/Logging_2283/artfynd/A 35071-2021 artfynd.xlsx", "A 35071-2021")</f>
        <v/>
      </c>
      <c r="T241">
        <f>HYPERLINK("https://klasma.github.io/Logging_2283/kartor/A 35071-2021 karta.png", "A 35071-2021")</f>
        <v/>
      </c>
      <c r="V241">
        <f>HYPERLINK("https://klasma.github.io/Logging_2283/klagomål/A 35071-2021 FSC-klagomål.docx", "A 35071-2021")</f>
        <v/>
      </c>
      <c r="W241">
        <f>HYPERLINK("https://klasma.github.io/Logging_2283/klagomålsmail/A 35071-2021 FSC-klagomål mail.docx", "A 35071-2021")</f>
        <v/>
      </c>
      <c r="X241">
        <f>HYPERLINK("https://klasma.github.io/Logging_2283/tillsyn/A 35071-2021 tillsynsbegäran.docx", "A 35071-2021")</f>
        <v/>
      </c>
      <c r="Y241">
        <f>HYPERLINK("https://klasma.github.io/Logging_2283/tillsynsmail/A 35071-2021 tillsynsbegäran mail.docx", "A 35071-2021")</f>
        <v/>
      </c>
    </row>
    <row r="242" ht="15" customHeight="1">
      <c r="A242" t="inlineStr">
        <is>
          <t>A 51024-2021</t>
        </is>
      </c>
      <c r="B242" s="1" t="n">
        <v>44460.94056712963</v>
      </c>
      <c r="C242" s="1" t="n">
        <v>45937</v>
      </c>
      <c r="D242" t="inlineStr">
        <is>
          <t>VÄSTERNORRLANDS LÄN</t>
        </is>
      </c>
      <c r="E242" t="inlineStr">
        <is>
          <t>SOLLEFTEÅ</t>
        </is>
      </c>
      <c r="F242" t="inlineStr">
        <is>
          <t>SCA</t>
        </is>
      </c>
      <c r="G242" t="n">
        <v>7.1</v>
      </c>
      <c r="H242" t="n">
        <v>0</v>
      </c>
      <c r="I242" t="n">
        <v>0</v>
      </c>
      <c r="J242" t="n">
        <v>2</v>
      </c>
      <c r="K242" t="n">
        <v>0</v>
      </c>
      <c r="L242" t="n">
        <v>0</v>
      </c>
      <c r="M242" t="n">
        <v>0</v>
      </c>
      <c r="N242" t="n">
        <v>0</v>
      </c>
      <c r="O242" t="n">
        <v>2</v>
      </c>
      <c r="P242" t="n">
        <v>0</v>
      </c>
      <c r="Q242" t="n">
        <v>2</v>
      </c>
      <c r="R242" s="2" t="inlineStr">
        <is>
          <t>Tallticka
Ullticka</t>
        </is>
      </c>
      <c r="S242">
        <f>HYPERLINK("https://klasma.github.io/Logging_2283/artfynd/A 51024-2021 artfynd.xlsx", "A 51024-2021")</f>
        <v/>
      </c>
      <c r="T242">
        <f>HYPERLINK("https://klasma.github.io/Logging_2283/kartor/A 51024-2021 karta.png", "A 51024-2021")</f>
        <v/>
      </c>
      <c r="V242">
        <f>HYPERLINK("https://klasma.github.io/Logging_2283/klagomål/A 51024-2021 FSC-klagomål.docx", "A 51024-2021")</f>
        <v/>
      </c>
      <c r="W242">
        <f>HYPERLINK("https://klasma.github.io/Logging_2283/klagomålsmail/A 51024-2021 FSC-klagomål mail.docx", "A 51024-2021")</f>
        <v/>
      </c>
      <c r="X242">
        <f>HYPERLINK("https://klasma.github.io/Logging_2283/tillsyn/A 51024-2021 tillsynsbegäran.docx", "A 51024-2021")</f>
        <v/>
      </c>
      <c r="Y242">
        <f>HYPERLINK("https://klasma.github.io/Logging_2283/tillsynsmail/A 51024-2021 tillsynsbegäran mail.docx", "A 51024-2021")</f>
        <v/>
      </c>
    </row>
    <row r="243" ht="15" customHeight="1">
      <c r="A243" t="inlineStr">
        <is>
          <t>A 13658-2022</t>
        </is>
      </c>
      <c r="B243" s="1" t="n">
        <v>44648</v>
      </c>
      <c r="C243" s="1" t="n">
        <v>45937</v>
      </c>
      <c r="D243" t="inlineStr">
        <is>
          <t>VÄSTERNORRLANDS LÄN</t>
        </is>
      </c>
      <c r="E243" t="inlineStr">
        <is>
          <t>SOLLEFTEÅ</t>
        </is>
      </c>
      <c r="G243" t="n">
        <v>7.4</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HYPERLINK("https://klasma.github.io/Logging_2283/artfynd/A 13658-2022 artfynd.xlsx", "A 13658-2022")</f>
        <v/>
      </c>
      <c r="T243">
        <f>HYPERLINK("https://klasma.github.io/Logging_2283/kartor/A 13658-2022 karta.png", "A 13658-2022")</f>
        <v/>
      </c>
      <c r="V243">
        <f>HYPERLINK("https://klasma.github.io/Logging_2283/klagomål/A 13658-2022 FSC-klagomål.docx", "A 13658-2022")</f>
        <v/>
      </c>
      <c r="W243">
        <f>HYPERLINK("https://klasma.github.io/Logging_2283/klagomålsmail/A 13658-2022 FSC-klagomål mail.docx", "A 13658-2022")</f>
        <v/>
      </c>
      <c r="X243">
        <f>HYPERLINK("https://klasma.github.io/Logging_2283/tillsyn/A 13658-2022 tillsynsbegäran.docx", "A 13658-2022")</f>
        <v/>
      </c>
      <c r="Y243">
        <f>HYPERLINK("https://klasma.github.io/Logging_2283/tillsynsmail/A 13658-2022 tillsynsbegäran mail.docx", "A 13658-2022")</f>
        <v/>
      </c>
    </row>
    <row r="244" ht="15" customHeight="1">
      <c r="A244" t="inlineStr">
        <is>
          <t>A 45083-2022</t>
        </is>
      </c>
      <c r="B244" s="1" t="n">
        <v>44841</v>
      </c>
      <c r="C244" s="1" t="n">
        <v>45937</v>
      </c>
      <c r="D244" t="inlineStr">
        <is>
          <t>VÄSTERNORRLANDS LÄN</t>
        </is>
      </c>
      <c r="E244" t="inlineStr">
        <is>
          <t>SOLLEFTEÅ</t>
        </is>
      </c>
      <c r="F244" t="inlineStr">
        <is>
          <t>SCA</t>
        </is>
      </c>
      <c r="G244" t="n">
        <v>4.3</v>
      </c>
      <c r="H244" t="n">
        <v>2</v>
      </c>
      <c r="I244" t="n">
        <v>0</v>
      </c>
      <c r="J244" t="n">
        <v>1</v>
      </c>
      <c r="K244" t="n">
        <v>0</v>
      </c>
      <c r="L244" t="n">
        <v>0</v>
      </c>
      <c r="M244" t="n">
        <v>0</v>
      </c>
      <c r="N244" t="n">
        <v>0</v>
      </c>
      <c r="O244" t="n">
        <v>1</v>
      </c>
      <c r="P244" t="n">
        <v>0</v>
      </c>
      <c r="Q244" t="n">
        <v>2</v>
      </c>
      <c r="R244" s="2" t="inlineStr">
        <is>
          <t>Talltita
Blåsippa</t>
        </is>
      </c>
      <c r="S244">
        <f>HYPERLINK("https://klasma.github.io/Logging_2283/artfynd/A 45083-2022 artfynd.xlsx", "A 45083-2022")</f>
        <v/>
      </c>
      <c r="T244">
        <f>HYPERLINK("https://klasma.github.io/Logging_2283/kartor/A 45083-2022 karta.png", "A 45083-2022")</f>
        <v/>
      </c>
      <c r="V244">
        <f>HYPERLINK("https://klasma.github.io/Logging_2283/klagomål/A 45083-2022 FSC-klagomål.docx", "A 45083-2022")</f>
        <v/>
      </c>
      <c r="W244">
        <f>HYPERLINK("https://klasma.github.io/Logging_2283/klagomålsmail/A 45083-2022 FSC-klagomål mail.docx", "A 45083-2022")</f>
        <v/>
      </c>
      <c r="X244">
        <f>HYPERLINK("https://klasma.github.io/Logging_2283/tillsyn/A 45083-2022 tillsynsbegäran.docx", "A 45083-2022")</f>
        <v/>
      </c>
      <c r="Y244">
        <f>HYPERLINK("https://klasma.github.io/Logging_2283/tillsynsmail/A 45083-2022 tillsynsbegäran mail.docx", "A 45083-2022")</f>
        <v/>
      </c>
      <c r="Z244">
        <f>HYPERLINK("https://klasma.github.io/Logging_2283/fåglar/A 45083-2022 prioriterade fågelarter.docx", "A 45083-2022")</f>
        <v/>
      </c>
    </row>
    <row r="245" ht="15" customHeight="1">
      <c r="A245" t="inlineStr">
        <is>
          <t>A 16718-2025</t>
        </is>
      </c>
      <c r="B245" s="1" t="n">
        <v>45754.48990740741</v>
      </c>
      <c r="C245" s="1" t="n">
        <v>45937</v>
      </c>
      <c r="D245" t="inlineStr">
        <is>
          <t>VÄSTERNORRLANDS LÄN</t>
        </is>
      </c>
      <c r="E245" t="inlineStr">
        <is>
          <t>SOLLEFTEÅ</t>
        </is>
      </c>
      <c r="G245" t="n">
        <v>3.9</v>
      </c>
      <c r="H245" t="n">
        <v>1</v>
      </c>
      <c r="I245" t="n">
        <v>0</v>
      </c>
      <c r="J245" t="n">
        <v>1</v>
      </c>
      <c r="K245" t="n">
        <v>0</v>
      </c>
      <c r="L245" t="n">
        <v>0</v>
      </c>
      <c r="M245" t="n">
        <v>0</v>
      </c>
      <c r="N245" t="n">
        <v>0</v>
      </c>
      <c r="O245" t="n">
        <v>1</v>
      </c>
      <c r="P245" t="n">
        <v>0</v>
      </c>
      <c r="Q245" t="n">
        <v>2</v>
      </c>
      <c r="R245" s="2" t="inlineStr">
        <is>
          <t>Garnlav
Lavskrika</t>
        </is>
      </c>
      <c r="S245">
        <f>HYPERLINK("https://klasma.github.io/Logging_2283/artfynd/A 16718-2025 artfynd.xlsx", "A 16718-2025")</f>
        <v/>
      </c>
      <c r="T245">
        <f>HYPERLINK("https://klasma.github.io/Logging_2283/kartor/A 16718-2025 karta.png", "A 16718-2025")</f>
        <v/>
      </c>
      <c r="V245">
        <f>HYPERLINK("https://klasma.github.io/Logging_2283/klagomål/A 16718-2025 FSC-klagomål.docx", "A 16718-2025")</f>
        <v/>
      </c>
      <c r="W245">
        <f>HYPERLINK("https://klasma.github.io/Logging_2283/klagomålsmail/A 16718-2025 FSC-klagomål mail.docx", "A 16718-2025")</f>
        <v/>
      </c>
      <c r="X245">
        <f>HYPERLINK("https://klasma.github.io/Logging_2283/tillsyn/A 16718-2025 tillsynsbegäran.docx", "A 16718-2025")</f>
        <v/>
      </c>
      <c r="Y245">
        <f>HYPERLINK("https://klasma.github.io/Logging_2283/tillsynsmail/A 16718-2025 tillsynsbegäran mail.docx", "A 16718-2025")</f>
        <v/>
      </c>
      <c r="Z245">
        <f>HYPERLINK("https://klasma.github.io/Logging_2283/fåglar/A 16718-2025 prioriterade fågelarter.docx", "A 16718-2025")</f>
        <v/>
      </c>
    </row>
    <row r="246" ht="15" customHeight="1">
      <c r="A246" t="inlineStr">
        <is>
          <t>A 13743-2025</t>
        </is>
      </c>
      <c r="B246" s="1" t="n">
        <v>45737.40663194445</v>
      </c>
      <c r="C246" s="1" t="n">
        <v>45937</v>
      </c>
      <c r="D246" t="inlineStr">
        <is>
          <t>VÄSTERNORRLANDS LÄN</t>
        </is>
      </c>
      <c r="E246" t="inlineStr">
        <is>
          <t>SOLLEFTEÅ</t>
        </is>
      </c>
      <c r="F246" t="inlineStr">
        <is>
          <t>SCA</t>
        </is>
      </c>
      <c r="G246" t="n">
        <v>2.1</v>
      </c>
      <c r="H246" t="n">
        <v>2</v>
      </c>
      <c r="I246" t="n">
        <v>0</v>
      </c>
      <c r="J246" t="n">
        <v>0</v>
      </c>
      <c r="K246" t="n">
        <v>0</v>
      </c>
      <c r="L246" t="n">
        <v>0</v>
      </c>
      <c r="M246" t="n">
        <v>0</v>
      </c>
      <c r="N246" t="n">
        <v>0</v>
      </c>
      <c r="O246" t="n">
        <v>0</v>
      </c>
      <c r="P246" t="n">
        <v>0</v>
      </c>
      <c r="Q246" t="n">
        <v>2</v>
      </c>
      <c r="R246" s="2" t="inlineStr">
        <is>
          <t>Vanlig groda
Revlummer</t>
        </is>
      </c>
      <c r="S246">
        <f>HYPERLINK("https://klasma.github.io/Logging_2283/artfynd/A 13743-2025 artfynd.xlsx", "A 13743-2025")</f>
        <v/>
      </c>
      <c r="T246">
        <f>HYPERLINK("https://klasma.github.io/Logging_2283/kartor/A 13743-2025 karta.png", "A 13743-2025")</f>
        <v/>
      </c>
      <c r="V246">
        <f>HYPERLINK("https://klasma.github.io/Logging_2283/klagomål/A 13743-2025 FSC-klagomål.docx", "A 13743-2025")</f>
        <v/>
      </c>
      <c r="W246">
        <f>HYPERLINK("https://klasma.github.io/Logging_2283/klagomålsmail/A 13743-2025 FSC-klagomål mail.docx", "A 13743-2025")</f>
        <v/>
      </c>
      <c r="X246">
        <f>HYPERLINK("https://klasma.github.io/Logging_2283/tillsyn/A 13743-2025 tillsynsbegäran.docx", "A 13743-2025")</f>
        <v/>
      </c>
      <c r="Y246">
        <f>HYPERLINK("https://klasma.github.io/Logging_2283/tillsynsmail/A 13743-2025 tillsynsbegäran mail.docx", "A 13743-2025")</f>
        <v/>
      </c>
    </row>
    <row r="247" ht="15" customHeight="1">
      <c r="A247" t="inlineStr">
        <is>
          <t>A 21485-2025</t>
        </is>
      </c>
      <c r="B247" s="1" t="n">
        <v>45782.59512731482</v>
      </c>
      <c r="C247" s="1" t="n">
        <v>45937</v>
      </c>
      <c r="D247" t="inlineStr">
        <is>
          <t>VÄSTERNORRLANDS LÄN</t>
        </is>
      </c>
      <c r="E247" t="inlineStr">
        <is>
          <t>SOLLEFTEÅ</t>
        </is>
      </c>
      <c r="F247" t="inlineStr">
        <is>
          <t>SCA</t>
        </is>
      </c>
      <c r="G247" t="n">
        <v>5.4</v>
      </c>
      <c r="H247" t="n">
        <v>0</v>
      </c>
      <c r="I247" t="n">
        <v>1</v>
      </c>
      <c r="J247" t="n">
        <v>1</v>
      </c>
      <c r="K247" t="n">
        <v>0</v>
      </c>
      <c r="L247" t="n">
        <v>0</v>
      </c>
      <c r="M247" t="n">
        <v>0</v>
      </c>
      <c r="N247" t="n">
        <v>0</v>
      </c>
      <c r="O247" t="n">
        <v>1</v>
      </c>
      <c r="P247" t="n">
        <v>0</v>
      </c>
      <c r="Q247" t="n">
        <v>2</v>
      </c>
      <c r="R247" s="2" t="inlineStr">
        <is>
          <t>Garnlav
Vågbandad barkbock</t>
        </is>
      </c>
      <c r="S247">
        <f>HYPERLINK("https://klasma.github.io/Logging_2283/artfynd/A 21485-2025 artfynd.xlsx", "A 21485-2025")</f>
        <v/>
      </c>
      <c r="T247">
        <f>HYPERLINK("https://klasma.github.io/Logging_2283/kartor/A 21485-2025 karta.png", "A 21485-2025")</f>
        <v/>
      </c>
      <c r="V247">
        <f>HYPERLINK("https://klasma.github.io/Logging_2283/klagomål/A 21485-2025 FSC-klagomål.docx", "A 21485-2025")</f>
        <v/>
      </c>
      <c r="W247">
        <f>HYPERLINK("https://klasma.github.io/Logging_2283/klagomålsmail/A 21485-2025 FSC-klagomål mail.docx", "A 21485-2025")</f>
        <v/>
      </c>
      <c r="X247">
        <f>HYPERLINK("https://klasma.github.io/Logging_2283/tillsyn/A 21485-2025 tillsynsbegäran.docx", "A 21485-2025")</f>
        <v/>
      </c>
      <c r="Y247">
        <f>HYPERLINK("https://klasma.github.io/Logging_2283/tillsynsmail/A 21485-2025 tillsynsbegäran mail.docx", "A 21485-2025")</f>
        <v/>
      </c>
    </row>
    <row r="248" ht="15" customHeight="1">
      <c r="A248" t="inlineStr">
        <is>
          <t>A 21742-2025</t>
        </is>
      </c>
      <c r="B248" s="1" t="n">
        <v>45783.59428240741</v>
      </c>
      <c r="C248" s="1" t="n">
        <v>45937</v>
      </c>
      <c r="D248" t="inlineStr">
        <is>
          <t>VÄSTERNORRLANDS LÄN</t>
        </is>
      </c>
      <c r="E248" t="inlineStr">
        <is>
          <t>SOLLEFTEÅ</t>
        </is>
      </c>
      <c r="F248" t="inlineStr">
        <is>
          <t>SCA</t>
        </is>
      </c>
      <c r="G248" t="n">
        <v>1.5</v>
      </c>
      <c r="H248" t="n">
        <v>1</v>
      </c>
      <c r="I248" t="n">
        <v>0</v>
      </c>
      <c r="J248" t="n">
        <v>1</v>
      </c>
      <c r="K248" t="n">
        <v>0</v>
      </c>
      <c r="L248" t="n">
        <v>0</v>
      </c>
      <c r="M248" t="n">
        <v>0</v>
      </c>
      <c r="N248" t="n">
        <v>0</v>
      </c>
      <c r="O248" t="n">
        <v>1</v>
      </c>
      <c r="P248" t="n">
        <v>0</v>
      </c>
      <c r="Q248" t="n">
        <v>2</v>
      </c>
      <c r="R248" s="2" t="inlineStr">
        <is>
          <t>Garnlav
Revlummer</t>
        </is>
      </c>
      <c r="S248">
        <f>HYPERLINK("https://klasma.github.io/Logging_2283/artfynd/A 21742-2025 artfynd.xlsx", "A 21742-2025")</f>
        <v/>
      </c>
      <c r="T248">
        <f>HYPERLINK("https://klasma.github.io/Logging_2283/kartor/A 21742-2025 karta.png", "A 21742-2025")</f>
        <v/>
      </c>
      <c r="V248">
        <f>HYPERLINK("https://klasma.github.io/Logging_2283/klagomål/A 21742-2025 FSC-klagomål.docx", "A 21742-2025")</f>
        <v/>
      </c>
      <c r="W248">
        <f>HYPERLINK("https://klasma.github.io/Logging_2283/klagomålsmail/A 21742-2025 FSC-klagomål mail.docx", "A 21742-2025")</f>
        <v/>
      </c>
      <c r="X248">
        <f>HYPERLINK("https://klasma.github.io/Logging_2283/tillsyn/A 21742-2025 tillsynsbegäran.docx", "A 21742-2025")</f>
        <v/>
      </c>
      <c r="Y248">
        <f>HYPERLINK("https://klasma.github.io/Logging_2283/tillsynsmail/A 21742-2025 tillsynsbegäran mail.docx", "A 21742-2025")</f>
        <v/>
      </c>
    </row>
    <row r="249" ht="15" customHeight="1">
      <c r="A249" t="inlineStr">
        <is>
          <t>A 48489-2023</t>
        </is>
      </c>
      <c r="B249" s="1" t="n">
        <v>45206</v>
      </c>
      <c r="C249" s="1" t="n">
        <v>45937</v>
      </c>
      <c r="D249" t="inlineStr">
        <is>
          <t>VÄSTERNORRLANDS LÄN</t>
        </is>
      </c>
      <c r="E249" t="inlineStr">
        <is>
          <t>SOLLEFTEÅ</t>
        </is>
      </c>
      <c r="F249" t="inlineStr">
        <is>
          <t>SCA</t>
        </is>
      </c>
      <c r="G249" t="n">
        <v>51.8</v>
      </c>
      <c r="H249" t="n">
        <v>2</v>
      </c>
      <c r="I249" t="n">
        <v>0</v>
      </c>
      <c r="J249" t="n">
        <v>2</v>
      </c>
      <c r="K249" t="n">
        <v>0</v>
      </c>
      <c r="L249" t="n">
        <v>0</v>
      </c>
      <c r="M249" t="n">
        <v>0</v>
      </c>
      <c r="N249" t="n">
        <v>0</v>
      </c>
      <c r="O249" t="n">
        <v>2</v>
      </c>
      <c r="P249" t="n">
        <v>0</v>
      </c>
      <c r="Q249" t="n">
        <v>2</v>
      </c>
      <c r="R249" s="2" t="inlineStr">
        <is>
          <t>Spillkråka
Talltita</t>
        </is>
      </c>
      <c r="S249">
        <f>HYPERLINK("https://klasma.github.io/Logging_2283/artfynd/A 48489-2023 artfynd.xlsx", "A 48489-2023")</f>
        <v/>
      </c>
      <c r="T249">
        <f>HYPERLINK("https://klasma.github.io/Logging_2283/kartor/A 48489-2023 karta.png", "A 48489-2023")</f>
        <v/>
      </c>
      <c r="V249">
        <f>HYPERLINK("https://klasma.github.io/Logging_2283/klagomål/A 48489-2023 FSC-klagomål.docx", "A 48489-2023")</f>
        <v/>
      </c>
      <c r="W249">
        <f>HYPERLINK("https://klasma.github.io/Logging_2283/klagomålsmail/A 48489-2023 FSC-klagomål mail.docx", "A 48489-2023")</f>
        <v/>
      </c>
      <c r="X249">
        <f>HYPERLINK("https://klasma.github.io/Logging_2283/tillsyn/A 48489-2023 tillsynsbegäran.docx", "A 48489-2023")</f>
        <v/>
      </c>
      <c r="Y249">
        <f>HYPERLINK("https://klasma.github.io/Logging_2283/tillsynsmail/A 48489-2023 tillsynsbegäran mail.docx", "A 48489-2023")</f>
        <v/>
      </c>
      <c r="Z249">
        <f>HYPERLINK("https://klasma.github.io/Logging_2283/fåglar/A 48489-2023 prioriterade fågelarter.docx", "A 48489-2023")</f>
        <v/>
      </c>
    </row>
    <row r="250" ht="15" customHeight="1">
      <c r="A250" t="inlineStr">
        <is>
          <t>A 34812-2024</t>
        </is>
      </c>
      <c r="B250" s="1" t="n">
        <v>45526</v>
      </c>
      <c r="C250" s="1" t="n">
        <v>45937</v>
      </c>
      <c r="D250" t="inlineStr">
        <is>
          <t>VÄSTERNORRLANDS LÄN</t>
        </is>
      </c>
      <c r="E250" t="inlineStr">
        <is>
          <t>SOLLEFTEÅ</t>
        </is>
      </c>
      <c r="G250" t="n">
        <v>8.1</v>
      </c>
      <c r="H250" t="n">
        <v>0</v>
      </c>
      <c r="I250" t="n">
        <v>1</v>
      </c>
      <c r="J250" t="n">
        <v>1</v>
      </c>
      <c r="K250" t="n">
        <v>0</v>
      </c>
      <c r="L250" t="n">
        <v>0</v>
      </c>
      <c r="M250" t="n">
        <v>0</v>
      </c>
      <c r="N250" t="n">
        <v>0</v>
      </c>
      <c r="O250" t="n">
        <v>1</v>
      </c>
      <c r="P250" t="n">
        <v>0</v>
      </c>
      <c r="Q250" t="n">
        <v>2</v>
      </c>
      <c r="R250" s="2" t="inlineStr">
        <is>
          <t>Garnlav
Dropptaggsvamp</t>
        </is>
      </c>
      <c r="S250">
        <f>HYPERLINK("https://klasma.github.io/Logging_2283/artfynd/A 34812-2024 artfynd.xlsx", "A 34812-2024")</f>
        <v/>
      </c>
      <c r="T250">
        <f>HYPERLINK("https://klasma.github.io/Logging_2283/kartor/A 34812-2024 karta.png", "A 34812-2024")</f>
        <v/>
      </c>
      <c r="V250">
        <f>HYPERLINK("https://klasma.github.io/Logging_2283/klagomål/A 34812-2024 FSC-klagomål.docx", "A 34812-2024")</f>
        <v/>
      </c>
      <c r="W250">
        <f>HYPERLINK("https://klasma.github.io/Logging_2283/klagomålsmail/A 34812-2024 FSC-klagomål mail.docx", "A 34812-2024")</f>
        <v/>
      </c>
      <c r="X250">
        <f>HYPERLINK("https://klasma.github.io/Logging_2283/tillsyn/A 34812-2024 tillsynsbegäran.docx", "A 34812-2024")</f>
        <v/>
      </c>
      <c r="Y250">
        <f>HYPERLINK("https://klasma.github.io/Logging_2283/tillsynsmail/A 34812-2024 tillsynsbegäran mail.docx", "A 34812-2024")</f>
        <v/>
      </c>
    </row>
    <row r="251" ht="15" customHeight="1">
      <c r="A251" t="inlineStr">
        <is>
          <t>A 22220-2025</t>
        </is>
      </c>
      <c r="B251" s="1" t="n">
        <v>45785.65862268519</v>
      </c>
      <c r="C251" s="1" t="n">
        <v>45937</v>
      </c>
      <c r="D251" t="inlineStr">
        <is>
          <t>VÄSTERNORRLANDS LÄN</t>
        </is>
      </c>
      <c r="E251" t="inlineStr">
        <is>
          <t>SOLLEFTEÅ</t>
        </is>
      </c>
      <c r="F251" t="inlineStr">
        <is>
          <t>SCA</t>
        </is>
      </c>
      <c r="G251" t="n">
        <v>4.6</v>
      </c>
      <c r="H251" t="n">
        <v>0</v>
      </c>
      <c r="I251" t="n">
        <v>1</v>
      </c>
      <c r="J251" t="n">
        <v>1</v>
      </c>
      <c r="K251" t="n">
        <v>0</v>
      </c>
      <c r="L251" t="n">
        <v>0</v>
      </c>
      <c r="M251" t="n">
        <v>0</v>
      </c>
      <c r="N251" t="n">
        <v>0</v>
      </c>
      <c r="O251" t="n">
        <v>1</v>
      </c>
      <c r="P251" t="n">
        <v>0</v>
      </c>
      <c r="Q251" t="n">
        <v>2</v>
      </c>
      <c r="R251" s="2" t="inlineStr">
        <is>
          <t>Lunglav
Stor aspticka</t>
        </is>
      </c>
      <c r="S251">
        <f>HYPERLINK("https://klasma.github.io/Logging_2283/artfynd/A 22220-2025 artfynd.xlsx", "A 22220-2025")</f>
        <v/>
      </c>
      <c r="T251">
        <f>HYPERLINK("https://klasma.github.io/Logging_2283/kartor/A 22220-2025 karta.png", "A 22220-2025")</f>
        <v/>
      </c>
      <c r="V251">
        <f>HYPERLINK("https://klasma.github.io/Logging_2283/klagomål/A 22220-2025 FSC-klagomål.docx", "A 22220-2025")</f>
        <v/>
      </c>
      <c r="W251">
        <f>HYPERLINK("https://klasma.github.io/Logging_2283/klagomålsmail/A 22220-2025 FSC-klagomål mail.docx", "A 22220-2025")</f>
        <v/>
      </c>
      <c r="X251">
        <f>HYPERLINK("https://klasma.github.io/Logging_2283/tillsyn/A 22220-2025 tillsynsbegäran.docx", "A 22220-2025")</f>
        <v/>
      </c>
      <c r="Y251">
        <f>HYPERLINK("https://klasma.github.io/Logging_2283/tillsynsmail/A 22220-2025 tillsynsbegäran mail.docx", "A 22220-2025")</f>
        <v/>
      </c>
    </row>
    <row r="252" ht="15" customHeight="1">
      <c r="A252" t="inlineStr">
        <is>
          <t>A 22808-2025</t>
        </is>
      </c>
      <c r="B252" s="1" t="n">
        <v>45789</v>
      </c>
      <c r="C252" s="1" t="n">
        <v>45937</v>
      </c>
      <c r="D252" t="inlineStr">
        <is>
          <t>VÄSTERNORRLANDS LÄN</t>
        </is>
      </c>
      <c r="E252" t="inlineStr">
        <is>
          <t>SOLLEFTEÅ</t>
        </is>
      </c>
      <c r="G252" t="n">
        <v>0.7</v>
      </c>
      <c r="H252" t="n">
        <v>0</v>
      </c>
      <c r="I252" t="n">
        <v>1</v>
      </c>
      <c r="J252" t="n">
        <v>1</v>
      </c>
      <c r="K252" t="n">
        <v>0</v>
      </c>
      <c r="L252" t="n">
        <v>0</v>
      </c>
      <c r="M252" t="n">
        <v>0</v>
      </c>
      <c r="N252" t="n">
        <v>0</v>
      </c>
      <c r="O252" t="n">
        <v>1</v>
      </c>
      <c r="P252" t="n">
        <v>0</v>
      </c>
      <c r="Q252" t="n">
        <v>2</v>
      </c>
      <c r="R252" s="2" t="inlineStr">
        <is>
          <t>Lunglav
Bårdlav</t>
        </is>
      </c>
      <c r="S252">
        <f>HYPERLINK("https://klasma.github.io/Logging_2283/artfynd/A 22808-2025 artfynd.xlsx", "A 22808-2025")</f>
        <v/>
      </c>
      <c r="T252">
        <f>HYPERLINK("https://klasma.github.io/Logging_2283/kartor/A 22808-2025 karta.png", "A 22808-2025")</f>
        <v/>
      </c>
      <c r="V252">
        <f>HYPERLINK("https://klasma.github.io/Logging_2283/klagomål/A 22808-2025 FSC-klagomål.docx", "A 22808-2025")</f>
        <v/>
      </c>
      <c r="W252">
        <f>HYPERLINK("https://klasma.github.io/Logging_2283/klagomålsmail/A 22808-2025 FSC-klagomål mail.docx", "A 22808-2025")</f>
        <v/>
      </c>
      <c r="X252">
        <f>HYPERLINK("https://klasma.github.io/Logging_2283/tillsyn/A 22808-2025 tillsynsbegäran.docx", "A 22808-2025")</f>
        <v/>
      </c>
      <c r="Y252">
        <f>HYPERLINK("https://klasma.github.io/Logging_2283/tillsynsmail/A 22808-2025 tillsynsbegäran mail.docx", "A 22808-2025")</f>
        <v/>
      </c>
    </row>
    <row r="253" ht="15" customHeight="1">
      <c r="A253" t="inlineStr">
        <is>
          <t>A 22518-2025</t>
        </is>
      </c>
      <c r="B253" s="1" t="n">
        <v>45786.67831018518</v>
      </c>
      <c r="C253" s="1" t="n">
        <v>45937</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54153-2021</t>
        </is>
      </c>
      <c r="B254" s="1" t="n">
        <v>44469</v>
      </c>
      <c r="C254" s="1" t="n">
        <v>45937</v>
      </c>
      <c r="D254" t="inlineStr">
        <is>
          <t>VÄSTERNORRLANDS LÄN</t>
        </is>
      </c>
      <c r="E254" t="inlineStr">
        <is>
          <t>SOLLEFTEÅ</t>
        </is>
      </c>
      <c r="G254" t="n">
        <v>1.4</v>
      </c>
      <c r="H254" t="n">
        <v>0</v>
      </c>
      <c r="I254" t="n">
        <v>0</v>
      </c>
      <c r="J254" t="n">
        <v>2</v>
      </c>
      <c r="K254" t="n">
        <v>0</v>
      </c>
      <c r="L254" t="n">
        <v>0</v>
      </c>
      <c r="M254" t="n">
        <v>0</v>
      </c>
      <c r="N254" t="n">
        <v>0</v>
      </c>
      <c r="O254" t="n">
        <v>2</v>
      </c>
      <c r="P254" t="n">
        <v>0</v>
      </c>
      <c r="Q254" t="n">
        <v>2</v>
      </c>
      <c r="R254" s="2" t="inlineStr">
        <is>
          <t>Garnlav
Rosenticka</t>
        </is>
      </c>
      <c r="S254">
        <f>HYPERLINK("https://klasma.github.io/Logging_2283/artfynd/A 54153-2021 artfynd.xlsx", "A 54153-2021")</f>
        <v/>
      </c>
      <c r="T254">
        <f>HYPERLINK("https://klasma.github.io/Logging_2283/kartor/A 54153-2021 karta.png", "A 54153-2021")</f>
        <v/>
      </c>
      <c r="V254">
        <f>HYPERLINK("https://klasma.github.io/Logging_2283/klagomål/A 54153-2021 FSC-klagomål.docx", "A 54153-2021")</f>
        <v/>
      </c>
      <c r="W254">
        <f>HYPERLINK("https://klasma.github.io/Logging_2283/klagomålsmail/A 54153-2021 FSC-klagomål mail.docx", "A 54153-2021")</f>
        <v/>
      </c>
      <c r="X254">
        <f>HYPERLINK("https://klasma.github.io/Logging_2283/tillsyn/A 54153-2021 tillsynsbegäran.docx", "A 54153-2021")</f>
        <v/>
      </c>
      <c r="Y254">
        <f>HYPERLINK("https://klasma.github.io/Logging_2283/tillsynsmail/A 54153-2021 tillsynsbegäran mail.docx", "A 54153-2021")</f>
        <v/>
      </c>
    </row>
    <row r="255" ht="15" customHeight="1">
      <c r="A255" t="inlineStr">
        <is>
          <t>A 25522-2025</t>
        </is>
      </c>
      <c r="B255" s="1" t="n">
        <v>45803.38619212963</v>
      </c>
      <c r="C255" s="1" t="n">
        <v>45937</v>
      </c>
      <c r="D255" t="inlineStr">
        <is>
          <t>VÄSTERNORRLANDS LÄN</t>
        </is>
      </c>
      <c r="E255" t="inlineStr">
        <is>
          <t>SOLLEFTEÅ</t>
        </is>
      </c>
      <c r="F255" t="inlineStr">
        <is>
          <t>SCA</t>
        </is>
      </c>
      <c r="G255" t="n">
        <v>0.8</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25522-2025 artfynd.xlsx", "A 25522-2025")</f>
        <v/>
      </c>
      <c r="T255">
        <f>HYPERLINK("https://klasma.github.io/Logging_2283/kartor/A 25522-2025 karta.png", "A 25522-2025")</f>
        <v/>
      </c>
      <c r="V255">
        <f>HYPERLINK("https://klasma.github.io/Logging_2283/klagomål/A 25522-2025 FSC-klagomål.docx", "A 25522-2025")</f>
        <v/>
      </c>
      <c r="W255">
        <f>HYPERLINK("https://klasma.github.io/Logging_2283/klagomålsmail/A 25522-2025 FSC-klagomål mail.docx", "A 25522-2025")</f>
        <v/>
      </c>
      <c r="X255">
        <f>HYPERLINK("https://klasma.github.io/Logging_2283/tillsyn/A 25522-2025 tillsynsbegäran.docx", "A 25522-2025")</f>
        <v/>
      </c>
      <c r="Y255">
        <f>HYPERLINK("https://klasma.github.io/Logging_2283/tillsynsmail/A 25522-2025 tillsynsbegäran mail.docx", "A 25522-2025")</f>
        <v/>
      </c>
    </row>
    <row r="256" ht="15" customHeight="1">
      <c r="A256" t="inlineStr">
        <is>
          <t>A 45016-2023</t>
        </is>
      </c>
      <c r="B256" s="1" t="n">
        <v>45190.96188657408</v>
      </c>
      <c r="C256" s="1" t="n">
        <v>45937</v>
      </c>
      <c r="D256" t="inlineStr">
        <is>
          <t>VÄSTERNORRLANDS LÄN</t>
        </is>
      </c>
      <c r="E256" t="inlineStr">
        <is>
          <t>SOLLEFTEÅ</t>
        </is>
      </c>
      <c r="F256" t="inlineStr">
        <is>
          <t>SCA</t>
        </is>
      </c>
      <c r="G256" t="n">
        <v>1.5</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45016-2023 artfynd.xlsx", "A 45016-2023")</f>
        <v/>
      </c>
      <c r="T256">
        <f>HYPERLINK("https://klasma.github.io/Logging_2283/kartor/A 45016-2023 karta.png", "A 45016-2023")</f>
        <v/>
      </c>
      <c r="V256">
        <f>HYPERLINK("https://klasma.github.io/Logging_2283/klagomål/A 45016-2023 FSC-klagomål.docx", "A 45016-2023")</f>
        <v/>
      </c>
      <c r="W256">
        <f>HYPERLINK("https://klasma.github.io/Logging_2283/klagomålsmail/A 45016-2023 FSC-klagomål mail.docx", "A 45016-2023")</f>
        <v/>
      </c>
      <c r="X256">
        <f>HYPERLINK("https://klasma.github.io/Logging_2283/tillsyn/A 45016-2023 tillsynsbegäran.docx", "A 45016-2023")</f>
        <v/>
      </c>
      <c r="Y256">
        <f>HYPERLINK("https://klasma.github.io/Logging_2283/tillsynsmail/A 45016-2023 tillsynsbegäran mail.docx", "A 45016-2023")</f>
        <v/>
      </c>
    </row>
    <row r="257" ht="15" customHeight="1">
      <c r="A257" t="inlineStr">
        <is>
          <t>A 11578-2025</t>
        </is>
      </c>
      <c r="B257" s="1" t="n">
        <v>45727.38609953703</v>
      </c>
      <c r="C257" s="1" t="n">
        <v>45937</v>
      </c>
      <c r="D257" t="inlineStr">
        <is>
          <t>VÄSTERNORRLANDS LÄN</t>
        </is>
      </c>
      <c r="E257" t="inlineStr">
        <is>
          <t>SOLLEFTEÅ</t>
        </is>
      </c>
      <c r="F257" t="inlineStr">
        <is>
          <t>SCA</t>
        </is>
      </c>
      <c r="G257" t="n">
        <v>1</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HYPERLINK("https://klasma.github.io/Logging_2283/artfynd/A 11578-2025 artfynd.xlsx", "A 11578-2025")</f>
        <v/>
      </c>
      <c r="T257">
        <f>HYPERLINK("https://klasma.github.io/Logging_2283/kartor/A 11578-2025 karta.png", "A 11578-2025")</f>
        <v/>
      </c>
      <c r="U257">
        <f>HYPERLINK("https://klasma.github.io/Logging_2283/knärot/A 11578-2025 karta knärot.png", "A 11578-2025")</f>
        <v/>
      </c>
      <c r="V257">
        <f>HYPERLINK("https://klasma.github.io/Logging_2283/klagomål/A 11578-2025 FSC-klagomål.docx", "A 11578-2025")</f>
        <v/>
      </c>
      <c r="W257">
        <f>HYPERLINK("https://klasma.github.io/Logging_2283/klagomålsmail/A 11578-2025 FSC-klagomål mail.docx", "A 11578-2025")</f>
        <v/>
      </c>
      <c r="X257">
        <f>HYPERLINK("https://klasma.github.io/Logging_2283/tillsyn/A 11578-2025 tillsynsbegäran.docx", "A 11578-2025")</f>
        <v/>
      </c>
      <c r="Y257">
        <f>HYPERLINK("https://klasma.github.io/Logging_2283/tillsynsmail/A 11578-2025 tillsynsbegäran mail.docx", "A 11578-2025")</f>
        <v/>
      </c>
      <c r="Z257">
        <f>HYPERLINK("https://klasma.github.io/Logging_2283/fåglar/A 11578-2025 prioriterade fågelarter.docx", "A 11578-2025")</f>
        <v/>
      </c>
    </row>
    <row r="258" ht="15" customHeight="1">
      <c r="A258" t="inlineStr">
        <is>
          <t>A 34814-2024</t>
        </is>
      </c>
      <c r="B258" s="1" t="n">
        <v>45526.70703703703</v>
      </c>
      <c r="C258" s="1" t="n">
        <v>45937</v>
      </c>
      <c r="D258" t="inlineStr">
        <is>
          <t>VÄSTERNORRLANDS LÄN</t>
        </is>
      </c>
      <c r="E258" t="inlineStr">
        <is>
          <t>SOLLEFTEÅ</t>
        </is>
      </c>
      <c r="F258" t="inlineStr">
        <is>
          <t>SCA</t>
        </is>
      </c>
      <c r="G258" t="n">
        <v>6.9</v>
      </c>
      <c r="H258" t="n">
        <v>0</v>
      </c>
      <c r="I258" t="n">
        <v>0</v>
      </c>
      <c r="J258" t="n">
        <v>2</v>
      </c>
      <c r="K258" t="n">
        <v>0</v>
      </c>
      <c r="L258" t="n">
        <v>0</v>
      </c>
      <c r="M258" t="n">
        <v>0</v>
      </c>
      <c r="N258" t="n">
        <v>0</v>
      </c>
      <c r="O258" t="n">
        <v>2</v>
      </c>
      <c r="P258" t="n">
        <v>0</v>
      </c>
      <c r="Q258" t="n">
        <v>2</v>
      </c>
      <c r="R258" s="2" t="inlineStr">
        <is>
          <t>Kolflarnlav
Lunglav</t>
        </is>
      </c>
      <c r="S258">
        <f>HYPERLINK("https://klasma.github.io/Logging_2283/artfynd/A 34814-2024 artfynd.xlsx", "A 34814-2024")</f>
        <v/>
      </c>
      <c r="T258">
        <f>HYPERLINK("https://klasma.github.io/Logging_2283/kartor/A 34814-2024 karta.png", "A 34814-2024")</f>
        <v/>
      </c>
      <c r="V258">
        <f>HYPERLINK("https://klasma.github.io/Logging_2283/klagomål/A 34814-2024 FSC-klagomål.docx", "A 34814-2024")</f>
        <v/>
      </c>
      <c r="W258">
        <f>HYPERLINK("https://klasma.github.io/Logging_2283/klagomålsmail/A 34814-2024 FSC-klagomål mail.docx", "A 34814-2024")</f>
        <v/>
      </c>
      <c r="X258">
        <f>HYPERLINK("https://klasma.github.io/Logging_2283/tillsyn/A 34814-2024 tillsynsbegäran.docx", "A 34814-2024")</f>
        <v/>
      </c>
      <c r="Y258">
        <f>HYPERLINK("https://klasma.github.io/Logging_2283/tillsynsmail/A 34814-2024 tillsynsbegäran mail.docx", "A 34814-2024")</f>
        <v/>
      </c>
    </row>
    <row r="259" ht="15" customHeight="1">
      <c r="A259" t="inlineStr">
        <is>
          <t>A 17377-2021</t>
        </is>
      </c>
      <c r="B259" s="1" t="n">
        <v>44298</v>
      </c>
      <c r="C259" s="1" t="n">
        <v>45937</v>
      </c>
      <c r="D259" t="inlineStr">
        <is>
          <t>VÄSTERNORRLANDS LÄN</t>
        </is>
      </c>
      <c r="E259" t="inlineStr">
        <is>
          <t>SOLLEFTEÅ</t>
        </is>
      </c>
      <c r="G259" t="n">
        <v>5.1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17377-2021 artfynd.xlsx", "A 17377-2021")</f>
        <v/>
      </c>
      <c r="T259">
        <f>HYPERLINK("https://klasma.github.io/Logging_2283/kartor/A 17377-2021 karta.png", "A 17377-2021")</f>
        <v/>
      </c>
      <c r="V259">
        <f>HYPERLINK("https://klasma.github.io/Logging_2283/klagomål/A 17377-2021 FSC-klagomål.docx", "A 17377-2021")</f>
        <v/>
      </c>
      <c r="W259">
        <f>HYPERLINK("https://klasma.github.io/Logging_2283/klagomålsmail/A 17377-2021 FSC-klagomål mail.docx", "A 17377-2021")</f>
        <v/>
      </c>
      <c r="X259">
        <f>HYPERLINK("https://klasma.github.io/Logging_2283/tillsyn/A 17377-2021 tillsynsbegäran.docx", "A 17377-2021")</f>
        <v/>
      </c>
      <c r="Y259">
        <f>HYPERLINK("https://klasma.github.io/Logging_2283/tillsynsmail/A 17377-2021 tillsynsbegäran mail.docx", "A 17377-2021")</f>
        <v/>
      </c>
      <c r="Z259">
        <f>HYPERLINK("https://klasma.github.io/Logging_2283/fåglar/A 17377-2021 prioriterade fågelarter.docx", "A 17377-2021")</f>
        <v/>
      </c>
    </row>
    <row r="260" ht="15" customHeight="1">
      <c r="A260" t="inlineStr">
        <is>
          <t>A 47216-2025</t>
        </is>
      </c>
      <c r="B260" s="1" t="n">
        <v>45930.38612268519</v>
      </c>
      <c r="C260" s="1" t="n">
        <v>45937</v>
      </c>
      <c r="D260" t="inlineStr">
        <is>
          <t>VÄSTERNORRLANDS LÄN</t>
        </is>
      </c>
      <c r="E260" t="inlineStr">
        <is>
          <t>SOLLEFTEÅ</t>
        </is>
      </c>
      <c r="F260" t="inlineStr">
        <is>
          <t>SCA</t>
        </is>
      </c>
      <c r="G260" t="n">
        <v>13.6</v>
      </c>
      <c r="H260" t="n">
        <v>0</v>
      </c>
      <c r="I260" t="n">
        <v>0</v>
      </c>
      <c r="J260" t="n">
        <v>2</v>
      </c>
      <c r="K260" t="n">
        <v>0</v>
      </c>
      <c r="L260" t="n">
        <v>0</v>
      </c>
      <c r="M260" t="n">
        <v>0</v>
      </c>
      <c r="N260" t="n">
        <v>0</v>
      </c>
      <c r="O260" t="n">
        <v>2</v>
      </c>
      <c r="P260" t="n">
        <v>0</v>
      </c>
      <c r="Q260" t="n">
        <v>2</v>
      </c>
      <c r="R260" s="2" t="inlineStr">
        <is>
          <t>Lunglav
Skrovellav</t>
        </is>
      </c>
      <c r="S260">
        <f>HYPERLINK("https://klasma.github.io/Logging_2283/artfynd/A 47216-2025 artfynd.xlsx", "A 47216-2025")</f>
        <v/>
      </c>
      <c r="T260">
        <f>HYPERLINK("https://klasma.github.io/Logging_2283/kartor/A 47216-2025 karta.png", "A 47216-2025")</f>
        <v/>
      </c>
      <c r="V260">
        <f>HYPERLINK("https://klasma.github.io/Logging_2283/klagomål/A 47216-2025 FSC-klagomål.docx", "A 47216-2025")</f>
        <v/>
      </c>
      <c r="W260">
        <f>HYPERLINK("https://klasma.github.io/Logging_2283/klagomålsmail/A 47216-2025 FSC-klagomål mail.docx", "A 47216-2025")</f>
        <v/>
      </c>
      <c r="X260">
        <f>HYPERLINK("https://klasma.github.io/Logging_2283/tillsyn/A 47216-2025 tillsynsbegäran.docx", "A 47216-2025")</f>
        <v/>
      </c>
      <c r="Y260">
        <f>HYPERLINK("https://klasma.github.io/Logging_2283/tillsynsmail/A 47216-2025 tillsynsbegäran mail.docx", "A 47216-2025")</f>
        <v/>
      </c>
    </row>
    <row r="261" ht="15" customHeight="1">
      <c r="A261" t="inlineStr">
        <is>
          <t>A 38911-2025</t>
        </is>
      </c>
      <c r="B261" s="1" t="n">
        <v>45887.61534722222</v>
      </c>
      <c r="C261" s="1" t="n">
        <v>45937</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2347-2025</t>
        </is>
      </c>
      <c r="B262" s="1" t="n">
        <v>45673.67782407408</v>
      </c>
      <c r="C262" s="1" t="n">
        <v>45937</v>
      </c>
      <c r="D262" t="inlineStr">
        <is>
          <t>VÄSTERNORRLANDS LÄN</t>
        </is>
      </c>
      <c r="E262" t="inlineStr">
        <is>
          <t>SOLLEFTEÅ</t>
        </is>
      </c>
      <c r="F262" t="inlineStr">
        <is>
          <t>SCA</t>
        </is>
      </c>
      <c r="G262" t="n">
        <v>3.3</v>
      </c>
      <c r="H262" t="n">
        <v>1</v>
      </c>
      <c r="I262" t="n">
        <v>0</v>
      </c>
      <c r="J262" t="n">
        <v>2</v>
      </c>
      <c r="K262" t="n">
        <v>0</v>
      </c>
      <c r="L262" t="n">
        <v>0</v>
      </c>
      <c r="M262" t="n">
        <v>0</v>
      </c>
      <c r="N262" t="n">
        <v>0</v>
      </c>
      <c r="O262" t="n">
        <v>2</v>
      </c>
      <c r="P262" t="n">
        <v>0</v>
      </c>
      <c r="Q262" t="n">
        <v>2</v>
      </c>
      <c r="R262" s="2" t="inlineStr">
        <is>
          <t>Garnlav
Spillkråka</t>
        </is>
      </c>
      <c r="S262">
        <f>HYPERLINK("https://klasma.github.io/Logging_2283/artfynd/A 2347-2025 artfynd.xlsx", "A 2347-2025")</f>
        <v/>
      </c>
      <c r="T262">
        <f>HYPERLINK("https://klasma.github.io/Logging_2283/kartor/A 2347-2025 karta.png", "A 2347-2025")</f>
        <v/>
      </c>
      <c r="V262">
        <f>HYPERLINK("https://klasma.github.io/Logging_2283/klagomål/A 2347-2025 FSC-klagomål.docx", "A 2347-2025")</f>
        <v/>
      </c>
      <c r="W262">
        <f>HYPERLINK("https://klasma.github.io/Logging_2283/klagomålsmail/A 2347-2025 FSC-klagomål mail.docx", "A 2347-2025")</f>
        <v/>
      </c>
      <c r="X262">
        <f>HYPERLINK("https://klasma.github.io/Logging_2283/tillsyn/A 2347-2025 tillsynsbegäran.docx", "A 2347-2025")</f>
        <v/>
      </c>
      <c r="Y262">
        <f>HYPERLINK("https://klasma.github.io/Logging_2283/tillsynsmail/A 2347-2025 tillsynsbegäran mail.docx", "A 2347-2025")</f>
        <v/>
      </c>
      <c r="Z262">
        <f>HYPERLINK("https://klasma.github.io/Logging_2283/fåglar/A 2347-2025 prioriterade fågelarter.docx", "A 2347-2025")</f>
        <v/>
      </c>
    </row>
    <row r="263" ht="15" customHeight="1">
      <c r="A263" t="inlineStr">
        <is>
          <t>A 29264-2024</t>
        </is>
      </c>
      <c r="B263" s="1" t="n">
        <v>45482</v>
      </c>
      <c r="C263" s="1" t="n">
        <v>45937</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30972-2025</t>
        </is>
      </c>
      <c r="B264" s="1" t="n">
        <v>45832.4615625</v>
      </c>
      <c r="C264" s="1" t="n">
        <v>45937</v>
      </c>
      <c r="D264" t="inlineStr">
        <is>
          <t>VÄSTERNORRLANDS LÄN</t>
        </is>
      </c>
      <c r="E264" t="inlineStr">
        <is>
          <t>SOLLEFTEÅ</t>
        </is>
      </c>
      <c r="G264" t="n">
        <v>0.6</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30972-2025 artfynd.xlsx", "A 30972-2025")</f>
        <v/>
      </c>
      <c r="T264">
        <f>HYPERLINK("https://klasma.github.io/Logging_2283/kartor/A 30972-2025 karta.png", "A 30972-2025")</f>
        <v/>
      </c>
      <c r="V264">
        <f>HYPERLINK("https://klasma.github.io/Logging_2283/klagomål/A 30972-2025 FSC-klagomål.docx", "A 30972-2025")</f>
        <v/>
      </c>
      <c r="W264">
        <f>HYPERLINK("https://klasma.github.io/Logging_2283/klagomålsmail/A 30972-2025 FSC-klagomål mail.docx", "A 30972-2025")</f>
        <v/>
      </c>
      <c r="X264">
        <f>HYPERLINK("https://klasma.github.io/Logging_2283/tillsyn/A 30972-2025 tillsynsbegäran.docx", "A 30972-2025")</f>
        <v/>
      </c>
      <c r="Y264">
        <f>HYPERLINK("https://klasma.github.io/Logging_2283/tillsynsmail/A 30972-2025 tillsynsbegäran mail.docx", "A 30972-2025")</f>
        <v/>
      </c>
    </row>
    <row r="265" ht="15" customHeight="1">
      <c r="A265" t="inlineStr">
        <is>
          <t>A 58880-2024</t>
        </is>
      </c>
      <c r="B265" s="1" t="n">
        <v>45636.44836805556</v>
      </c>
      <c r="C265" s="1" t="n">
        <v>45937</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54486-2024</t>
        </is>
      </c>
      <c r="B266" s="1" t="n">
        <v>45617</v>
      </c>
      <c r="C266" s="1" t="n">
        <v>45937</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31503-2025</t>
        </is>
      </c>
      <c r="B267" s="1" t="n">
        <v>45833.59417824074</v>
      </c>
      <c r="C267" s="1" t="n">
        <v>45937</v>
      </c>
      <c r="D267" t="inlineStr">
        <is>
          <t>VÄSTERNORRLANDS LÄN</t>
        </is>
      </c>
      <c r="E267" t="inlineStr">
        <is>
          <t>SOLLEFTEÅ</t>
        </is>
      </c>
      <c r="F267" t="inlineStr">
        <is>
          <t>SCA</t>
        </is>
      </c>
      <c r="G267" t="n">
        <v>22.8</v>
      </c>
      <c r="H267" t="n">
        <v>2</v>
      </c>
      <c r="I267" t="n">
        <v>1</v>
      </c>
      <c r="J267" t="n">
        <v>0</v>
      </c>
      <c r="K267" t="n">
        <v>1</v>
      </c>
      <c r="L267" t="n">
        <v>0</v>
      </c>
      <c r="M267" t="n">
        <v>0</v>
      </c>
      <c r="N267" t="n">
        <v>0</v>
      </c>
      <c r="O267" t="n">
        <v>1</v>
      </c>
      <c r="P267" t="n">
        <v>1</v>
      </c>
      <c r="Q267" t="n">
        <v>2</v>
      </c>
      <c r="R267" s="2" t="inlineStr">
        <is>
          <t>Knärot
Plattlummer</t>
        </is>
      </c>
      <c r="S267">
        <f>HYPERLINK("https://klasma.github.io/Logging_2283/artfynd/A 31503-2025 artfynd.xlsx", "A 31503-2025")</f>
        <v/>
      </c>
      <c r="T267">
        <f>HYPERLINK("https://klasma.github.io/Logging_2283/kartor/A 31503-2025 karta.png", "A 31503-2025")</f>
        <v/>
      </c>
      <c r="U267">
        <f>HYPERLINK("https://klasma.github.io/Logging_2283/knärot/A 31503-2025 karta knärot.png", "A 31503-2025")</f>
        <v/>
      </c>
      <c r="V267">
        <f>HYPERLINK("https://klasma.github.io/Logging_2283/klagomål/A 31503-2025 FSC-klagomål.docx", "A 31503-2025")</f>
        <v/>
      </c>
      <c r="W267">
        <f>HYPERLINK("https://klasma.github.io/Logging_2283/klagomålsmail/A 31503-2025 FSC-klagomål mail.docx", "A 31503-2025")</f>
        <v/>
      </c>
      <c r="X267">
        <f>HYPERLINK("https://klasma.github.io/Logging_2283/tillsyn/A 31503-2025 tillsynsbegäran.docx", "A 31503-2025")</f>
        <v/>
      </c>
      <c r="Y267">
        <f>HYPERLINK("https://klasma.github.io/Logging_2283/tillsynsmail/A 31503-2025 tillsynsbegäran mail.docx", "A 31503-2025")</f>
        <v/>
      </c>
    </row>
    <row r="268" ht="15" customHeight="1">
      <c r="A268" t="inlineStr">
        <is>
          <t>A 7837-2025</t>
        </is>
      </c>
      <c r="B268" s="1" t="n">
        <v>45706</v>
      </c>
      <c r="C268" s="1" t="n">
        <v>45937</v>
      </c>
      <c r="D268" t="inlineStr">
        <is>
          <t>VÄSTERNORRLANDS LÄN</t>
        </is>
      </c>
      <c r="E268" t="inlineStr">
        <is>
          <t>SOLLEFTEÅ</t>
        </is>
      </c>
      <c r="F268" t="inlineStr">
        <is>
          <t>SCA</t>
        </is>
      </c>
      <c r="G268" t="n">
        <v>2</v>
      </c>
      <c r="H268" t="n">
        <v>0</v>
      </c>
      <c r="I268" t="n">
        <v>1</v>
      </c>
      <c r="J268" t="n">
        <v>1</v>
      </c>
      <c r="K268" t="n">
        <v>0</v>
      </c>
      <c r="L268" t="n">
        <v>0</v>
      </c>
      <c r="M268" t="n">
        <v>0</v>
      </c>
      <c r="N268" t="n">
        <v>0</v>
      </c>
      <c r="O268" t="n">
        <v>1</v>
      </c>
      <c r="P268" t="n">
        <v>0</v>
      </c>
      <c r="Q268" t="n">
        <v>2</v>
      </c>
      <c r="R268" s="2" t="inlineStr">
        <is>
          <t>Gammelgransskål
Norrlandslav</t>
        </is>
      </c>
      <c r="S268">
        <f>HYPERLINK("https://klasma.github.io/Logging_2283/artfynd/A 7837-2025 artfynd.xlsx", "A 7837-2025")</f>
        <v/>
      </c>
      <c r="T268">
        <f>HYPERLINK("https://klasma.github.io/Logging_2283/kartor/A 7837-2025 karta.png", "A 7837-2025")</f>
        <v/>
      </c>
      <c r="V268">
        <f>HYPERLINK("https://klasma.github.io/Logging_2283/klagomål/A 7837-2025 FSC-klagomål.docx", "A 7837-2025")</f>
        <v/>
      </c>
      <c r="W268">
        <f>HYPERLINK("https://klasma.github.io/Logging_2283/klagomålsmail/A 7837-2025 FSC-klagomål mail.docx", "A 7837-2025")</f>
        <v/>
      </c>
      <c r="X268">
        <f>HYPERLINK("https://klasma.github.io/Logging_2283/tillsyn/A 7837-2025 tillsynsbegäran.docx", "A 7837-2025")</f>
        <v/>
      </c>
      <c r="Y268">
        <f>HYPERLINK("https://klasma.github.io/Logging_2283/tillsynsmail/A 7837-2025 tillsynsbegäran mail.docx", "A 7837-2025")</f>
        <v/>
      </c>
    </row>
    <row r="269" ht="15" customHeight="1">
      <c r="A269" t="inlineStr">
        <is>
          <t>A 32738-2025</t>
        </is>
      </c>
      <c r="B269" s="1" t="n">
        <v>45839.41827546297</v>
      </c>
      <c r="C269" s="1" t="n">
        <v>45937</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12269-2025</t>
        </is>
      </c>
      <c r="B270" s="1" t="n">
        <v>45729.63542824074</v>
      </c>
      <c r="C270" s="1" t="n">
        <v>45937</v>
      </c>
      <c r="D270" t="inlineStr">
        <is>
          <t>VÄSTERNORRLANDS LÄN</t>
        </is>
      </c>
      <c r="E270" t="inlineStr">
        <is>
          <t>SOLLEFTEÅ</t>
        </is>
      </c>
      <c r="G270" t="n">
        <v>10.9</v>
      </c>
      <c r="H270" t="n">
        <v>0</v>
      </c>
      <c r="I270" t="n">
        <v>0</v>
      </c>
      <c r="J270" t="n">
        <v>2</v>
      </c>
      <c r="K270" t="n">
        <v>0</v>
      </c>
      <c r="L270" t="n">
        <v>0</v>
      </c>
      <c r="M270" t="n">
        <v>0</v>
      </c>
      <c r="N270" t="n">
        <v>0</v>
      </c>
      <c r="O270" t="n">
        <v>2</v>
      </c>
      <c r="P270" t="n">
        <v>0</v>
      </c>
      <c r="Q270" t="n">
        <v>2</v>
      </c>
      <c r="R270" s="2" t="inlineStr">
        <is>
          <t>Garnlav
Lunglav</t>
        </is>
      </c>
      <c r="S270">
        <f>HYPERLINK("https://klasma.github.io/Logging_2283/artfynd/A 12269-2025 artfynd.xlsx", "A 12269-2025")</f>
        <v/>
      </c>
      <c r="T270">
        <f>HYPERLINK("https://klasma.github.io/Logging_2283/kartor/A 12269-2025 karta.png", "A 12269-2025")</f>
        <v/>
      </c>
      <c r="V270">
        <f>HYPERLINK("https://klasma.github.io/Logging_2283/klagomål/A 12269-2025 FSC-klagomål.docx", "A 12269-2025")</f>
        <v/>
      </c>
      <c r="W270">
        <f>HYPERLINK("https://klasma.github.io/Logging_2283/klagomålsmail/A 12269-2025 FSC-klagomål mail.docx", "A 12269-2025")</f>
        <v/>
      </c>
      <c r="X270">
        <f>HYPERLINK("https://klasma.github.io/Logging_2283/tillsyn/A 12269-2025 tillsynsbegäran.docx", "A 12269-2025")</f>
        <v/>
      </c>
      <c r="Y270">
        <f>HYPERLINK("https://klasma.github.io/Logging_2283/tillsynsmail/A 12269-2025 tillsynsbegäran mail.docx", "A 12269-2025")</f>
        <v/>
      </c>
    </row>
    <row r="271" ht="15" customHeight="1">
      <c r="A271" t="inlineStr">
        <is>
          <t>A 38017-2024</t>
        </is>
      </c>
      <c r="B271" s="1" t="n">
        <v>45544</v>
      </c>
      <c r="C271" s="1" t="n">
        <v>45937</v>
      </c>
      <c r="D271" t="inlineStr">
        <is>
          <t>VÄSTERNORRLANDS LÄN</t>
        </is>
      </c>
      <c r="E271" t="inlineStr">
        <is>
          <t>SOLLEFTEÅ</t>
        </is>
      </c>
      <c r="F271" t="inlineStr">
        <is>
          <t>SCA</t>
        </is>
      </c>
      <c r="G271" t="n">
        <v>1.9</v>
      </c>
      <c r="H271" t="n">
        <v>0</v>
      </c>
      <c r="I271" t="n">
        <v>1</v>
      </c>
      <c r="J271" t="n">
        <v>1</v>
      </c>
      <c r="K271" t="n">
        <v>0</v>
      </c>
      <c r="L271" t="n">
        <v>0</v>
      </c>
      <c r="M271" t="n">
        <v>0</v>
      </c>
      <c r="N271" t="n">
        <v>0</v>
      </c>
      <c r="O271" t="n">
        <v>1</v>
      </c>
      <c r="P271" t="n">
        <v>0</v>
      </c>
      <c r="Q271" t="n">
        <v>2</v>
      </c>
      <c r="R271" s="2" t="inlineStr">
        <is>
          <t>Garnlav
Bårdlav</t>
        </is>
      </c>
      <c r="S271">
        <f>HYPERLINK("https://klasma.github.io/Logging_2283/artfynd/A 38017-2024 artfynd.xlsx", "A 38017-2024")</f>
        <v/>
      </c>
      <c r="T271">
        <f>HYPERLINK("https://klasma.github.io/Logging_2283/kartor/A 38017-2024 karta.png", "A 38017-2024")</f>
        <v/>
      </c>
      <c r="V271">
        <f>HYPERLINK("https://klasma.github.io/Logging_2283/klagomål/A 38017-2024 FSC-klagomål.docx", "A 38017-2024")</f>
        <v/>
      </c>
      <c r="W271">
        <f>HYPERLINK("https://klasma.github.io/Logging_2283/klagomålsmail/A 38017-2024 FSC-klagomål mail.docx", "A 38017-2024")</f>
        <v/>
      </c>
      <c r="X271">
        <f>HYPERLINK("https://klasma.github.io/Logging_2283/tillsyn/A 38017-2024 tillsynsbegäran.docx", "A 38017-2024")</f>
        <v/>
      </c>
      <c r="Y271">
        <f>HYPERLINK("https://klasma.github.io/Logging_2283/tillsynsmail/A 38017-2024 tillsynsbegäran mail.docx", "A 38017-2024")</f>
        <v/>
      </c>
    </row>
    <row r="272" ht="15" customHeight="1">
      <c r="A272" t="inlineStr">
        <is>
          <t>A 50751-2024</t>
        </is>
      </c>
      <c r="B272" s="1" t="n">
        <v>45602</v>
      </c>
      <c r="C272" s="1" t="n">
        <v>45937</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7108-2024</t>
        </is>
      </c>
      <c r="B273" s="1" t="n">
        <v>45343</v>
      </c>
      <c r="C273" s="1" t="n">
        <v>45937</v>
      </c>
      <c r="D273" t="inlineStr">
        <is>
          <t>VÄSTERNORRLANDS LÄN</t>
        </is>
      </c>
      <c r="E273" t="inlineStr">
        <is>
          <t>SOLLEFTEÅ</t>
        </is>
      </c>
      <c r="F273" t="inlineStr">
        <is>
          <t>SCA</t>
        </is>
      </c>
      <c r="G273" t="n">
        <v>3.8</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7108-2024 artfynd.xlsx", "A 7108-2024")</f>
        <v/>
      </c>
      <c r="T273">
        <f>HYPERLINK("https://klasma.github.io/Logging_2283/kartor/A 7108-2024 karta.png", "A 7108-2024")</f>
        <v/>
      </c>
      <c r="V273">
        <f>HYPERLINK("https://klasma.github.io/Logging_2283/klagomål/A 7108-2024 FSC-klagomål.docx", "A 7108-2024")</f>
        <v/>
      </c>
      <c r="W273">
        <f>HYPERLINK("https://klasma.github.io/Logging_2283/klagomålsmail/A 7108-2024 FSC-klagomål mail.docx", "A 7108-2024")</f>
        <v/>
      </c>
      <c r="X273">
        <f>HYPERLINK("https://klasma.github.io/Logging_2283/tillsyn/A 7108-2024 tillsynsbegäran.docx", "A 7108-2024")</f>
        <v/>
      </c>
      <c r="Y273">
        <f>HYPERLINK("https://klasma.github.io/Logging_2283/tillsynsmail/A 7108-2024 tillsynsbegäran mail.docx", "A 7108-2024")</f>
        <v/>
      </c>
    </row>
    <row r="274" ht="15" customHeight="1">
      <c r="A274" t="inlineStr">
        <is>
          <t>A 20329-2025</t>
        </is>
      </c>
      <c r="B274" s="1" t="n">
        <v>45775</v>
      </c>
      <c r="C274" s="1" t="n">
        <v>45937</v>
      </c>
      <c r="D274" t="inlineStr">
        <is>
          <t>VÄSTERNORRLANDS LÄN</t>
        </is>
      </c>
      <c r="E274" t="inlineStr">
        <is>
          <t>SOLLEFTEÅ</t>
        </is>
      </c>
      <c r="G274" t="n">
        <v>9.5</v>
      </c>
      <c r="H274" t="n">
        <v>2</v>
      </c>
      <c r="I274" t="n">
        <v>1</v>
      </c>
      <c r="J274" t="n">
        <v>0</v>
      </c>
      <c r="K274" t="n">
        <v>0</v>
      </c>
      <c r="L274" t="n">
        <v>0</v>
      </c>
      <c r="M274" t="n">
        <v>0</v>
      </c>
      <c r="N274" t="n">
        <v>0</v>
      </c>
      <c r="O274" t="n">
        <v>0</v>
      </c>
      <c r="P274" t="n">
        <v>0</v>
      </c>
      <c r="Q274" t="n">
        <v>2</v>
      </c>
      <c r="R274" s="2" t="inlineStr">
        <is>
          <t>Tvåblad
Fläcknycklar</t>
        </is>
      </c>
      <c r="S274">
        <f>HYPERLINK("https://klasma.github.io/Logging_2283/artfynd/A 20329-2025 artfynd.xlsx", "A 20329-2025")</f>
        <v/>
      </c>
      <c r="T274">
        <f>HYPERLINK("https://klasma.github.io/Logging_2283/kartor/A 20329-2025 karta.png", "A 20329-2025")</f>
        <v/>
      </c>
      <c r="V274">
        <f>HYPERLINK("https://klasma.github.io/Logging_2283/klagomål/A 20329-2025 FSC-klagomål.docx", "A 20329-2025")</f>
        <v/>
      </c>
      <c r="W274">
        <f>HYPERLINK("https://klasma.github.io/Logging_2283/klagomålsmail/A 20329-2025 FSC-klagomål mail.docx", "A 20329-2025")</f>
        <v/>
      </c>
      <c r="X274">
        <f>HYPERLINK("https://klasma.github.io/Logging_2283/tillsyn/A 20329-2025 tillsynsbegäran.docx", "A 20329-2025")</f>
        <v/>
      </c>
      <c r="Y274">
        <f>HYPERLINK("https://klasma.github.io/Logging_2283/tillsynsmail/A 20329-2025 tillsynsbegäran mail.docx", "A 20329-2025")</f>
        <v/>
      </c>
    </row>
    <row r="275" ht="15" customHeight="1">
      <c r="A275" t="inlineStr">
        <is>
          <t>A 31491-2024</t>
        </is>
      </c>
      <c r="B275" s="1" t="n">
        <v>45505</v>
      </c>
      <c r="C275" s="1" t="n">
        <v>45937</v>
      </c>
      <c r="D275" t="inlineStr">
        <is>
          <t>VÄSTERNORRLANDS LÄN</t>
        </is>
      </c>
      <c r="E275" t="inlineStr">
        <is>
          <t>SOLLEFTEÅ</t>
        </is>
      </c>
      <c r="F275" t="inlineStr">
        <is>
          <t>SCA</t>
        </is>
      </c>
      <c r="G275" t="n">
        <v>17.2</v>
      </c>
      <c r="H275" t="n">
        <v>1</v>
      </c>
      <c r="I275" t="n">
        <v>0</v>
      </c>
      <c r="J275" t="n">
        <v>2</v>
      </c>
      <c r="K275" t="n">
        <v>0</v>
      </c>
      <c r="L275" t="n">
        <v>0</v>
      </c>
      <c r="M275" t="n">
        <v>0</v>
      </c>
      <c r="N275" t="n">
        <v>0</v>
      </c>
      <c r="O275" t="n">
        <v>2</v>
      </c>
      <c r="P275" t="n">
        <v>0</v>
      </c>
      <c r="Q275" t="n">
        <v>2</v>
      </c>
      <c r="R275" s="2" t="inlineStr">
        <is>
          <t>Lunglav
Tretåig hackspett</t>
        </is>
      </c>
      <c r="S275">
        <f>HYPERLINK("https://klasma.github.io/Logging_2283/artfynd/A 31491-2024 artfynd.xlsx", "A 31491-2024")</f>
        <v/>
      </c>
      <c r="T275">
        <f>HYPERLINK("https://klasma.github.io/Logging_2283/kartor/A 31491-2024 karta.png", "A 31491-2024")</f>
        <v/>
      </c>
      <c r="V275">
        <f>HYPERLINK("https://klasma.github.io/Logging_2283/klagomål/A 31491-2024 FSC-klagomål.docx", "A 31491-2024")</f>
        <v/>
      </c>
      <c r="W275">
        <f>HYPERLINK("https://klasma.github.io/Logging_2283/klagomålsmail/A 31491-2024 FSC-klagomål mail.docx", "A 31491-2024")</f>
        <v/>
      </c>
      <c r="X275">
        <f>HYPERLINK("https://klasma.github.io/Logging_2283/tillsyn/A 31491-2024 tillsynsbegäran.docx", "A 31491-2024")</f>
        <v/>
      </c>
      <c r="Y275">
        <f>HYPERLINK("https://klasma.github.io/Logging_2283/tillsynsmail/A 31491-2024 tillsynsbegäran mail.docx", "A 31491-2024")</f>
        <v/>
      </c>
      <c r="Z275">
        <f>HYPERLINK("https://klasma.github.io/Logging_2283/fåglar/A 31491-2024 prioriterade fågelarter.docx", "A 31491-2024")</f>
        <v/>
      </c>
    </row>
    <row r="276" ht="15" customHeight="1">
      <c r="A276" t="inlineStr">
        <is>
          <t>A 36912-2024</t>
        </is>
      </c>
      <c r="B276" s="1" t="n">
        <v>45538.63604166666</v>
      </c>
      <c r="C276" s="1" t="n">
        <v>45937</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46630-2022</t>
        </is>
      </c>
      <c r="B277" s="1" t="n">
        <v>44848</v>
      </c>
      <c r="C277" s="1" t="n">
        <v>45937</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20347-2025</t>
        </is>
      </c>
      <c r="B278" s="1" t="n">
        <v>45775</v>
      </c>
      <c r="C278" s="1" t="n">
        <v>45937</v>
      </c>
      <c r="D278" t="inlineStr">
        <is>
          <t>VÄSTERNORRLANDS LÄN</t>
        </is>
      </c>
      <c r="E278" t="inlineStr">
        <is>
          <t>SOLLEFTEÅ</t>
        </is>
      </c>
      <c r="G278" t="n">
        <v>8.699999999999999</v>
      </c>
      <c r="H278" t="n">
        <v>1</v>
      </c>
      <c r="I278" t="n">
        <v>1</v>
      </c>
      <c r="J278" t="n">
        <v>0</v>
      </c>
      <c r="K278" t="n">
        <v>0</v>
      </c>
      <c r="L278" t="n">
        <v>0</v>
      </c>
      <c r="M278" t="n">
        <v>0</v>
      </c>
      <c r="N278" t="n">
        <v>0</v>
      </c>
      <c r="O278" t="n">
        <v>0</v>
      </c>
      <c r="P278" t="n">
        <v>0</v>
      </c>
      <c r="Q278" t="n">
        <v>2</v>
      </c>
      <c r="R278" s="2" t="inlineStr">
        <is>
          <t>Gräsull
Fläcknycklar</t>
        </is>
      </c>
      <c r="S278">
        <f>HYPERLINK("https://klasma.github.io/Logging_2283/artfynd/A 20347-2025 artfynd.xlsx", "A 20347-2025")</f>
        <v/>
      </c>
      <c r="T278">
        <f>HYPERLINK("https://klasma.github.io/Logging_2283/kartor/A 20347-2025 karta.png", "A 20347-2025")</f>
        <v/>
      </c>
      <c r="V278">
        <f>HYPERLINK("https://klasma.github.io/Logging_2283/klagomål/A 20347-2025 FSC-klagomål.docx", "A 20347-2025")</f>
        <v/>
      </c>
      <c r="W278">
        <f>HYPERLINK("https://klasma.github.io/Logging_2283/klagomålsmail/A 20347-2025 FSC-klagomål mail.docx", "A 20347-2025")</f>
        <v/>
      </c>
      <c r="X278">
        <f>HYPERLINK("https://klasma.github.io/Logging_2283/tillsyn/A 20347-2025 tillsynsbegäran.docx", "A 20347-2025")</f>
        <v/>
      </c>
      <c r="Y278">
        <f>HYPERLINK("https://klasma.github.io/Logging_2283/tillsynsmail/A 20347-2025 tillsynsbegäran mail.docx", "A 20347-2025")</f>
        <v/>
      </c>
    </row>
    <row r="279" ht="15" customHeight="1">
      <c r="A279" t="inlineStr">
        <is>
          <t>A 36563-2025</t>
        </is>
      </c>
      <c r="B279" s="1" t="n">
        <v>45870.37332175926</v>
      </c>
      <c r="C279" s="1" t="n">
        <v>45937</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53949-2023</t>
        </is>
      </c>
      <c r="B280" s="1" t="n">
        <v>45224</v>
      </c>
      <c r="C280" s="1" t="n">
        <v>45937</v>
      </c>
      <c r="D280" t="inlineStr">
        <is>
          <t>VÄSTERNORRLANDS LÄN</t>
        </is>
      </c>
      <c r="E280" t="inlineStr">
        <is>
          <t>SOLLEFTEÅ</t>
        </is>
      </c>
      <c r="G280" t="n">
        <v>4</v>
      </c>
      <c r="H280" t="n">
        <v>1</v>
      </c>
      <c r="I280" t="n">
        <v>0</v>
      </c>
      <c r="J280" t="n">
        <v>1</v>
      </c>
      <c r="K280" t="n">
        <v>0</v>
      </c>
      <c r="L280" t="n">
        <v>0</v>
      </c>
      <c r="M280" t="n">
        <v>0</v>
      </c>
      <c r="N280" t="n">
        <v>0</v>
      </c>
      <c r="O280" t="n">
        <v>1</v>
      </c>
      <c r="P280" t="n">
        <v>0</v>
      </c>
      <c r="Q280" t="n">
        <v>2</v>
      </c>
      <c r="R280" s="2" t="inlineStr">
        <is>
          <t>Granticka
Fläcknycklar</t>
        </is>
      </c>
      <c r="S280">
        <f>HYPERLINK("https://klasma.github.io/Logging_2283/artfynd/A 53949-2023 artfynd.xlsx", "A 53949-2023")</f>
        <v/>
      </c>
      <c r="T280">
        <f>HYPERLINK("https://klasma.github.io/Logging_2283/kartor/A 53949-2023 karta.png", "A 53949-2023")</f>
        <v/>
      </c>
      <c r="V280">
        <f>HYPERLINK("https://klasma.github.io/Logging_2283/klagomål/A 53949-2023 FSC-klagomål.docx", "A 53949-2023")</f>
        <v/>
      </c>
      <c r="W280">
        <f>HYPERLINK("https://klasma.github.io/Logging_2283/klagomålsmail/A 53949-2023 FSC-klagomål mail.docx", "A 53949-2023")</f>
        <v/>
      </c>
      <c r="X280">
        <f>HYPERLINK("https://klasma.github.io/Logging_2283/tillsyn/A 53949-2023 tillsynsbegäran.docx", "A 53949-2023")</f>
        <v/>
      </c>
      <c r="Y280">
        <f>HYPERLINK("https://klasma.github.io/Logging_2283/tillsynsmail/A 53949-2023 tillsynsbegäran mail.docx", "A 53949-2023")</f>
        <v/>
      </c>
    </row>
    <row r="281" ht="15" customHeight="1">
      <c r="A281" t="inlineStr">
        <is>
          <t>A 27983-2021</t>
        </is>
      </c>
      <c r="B281" s="1" t="n">
        <v>44354</v>
      </c>
      <c r="C281" s="1" t="n">
        <v>45937</v>
      </c>
      <c r="D281" t="inlineStr">
        <is>
          <t>VÄSTERNORRLANDS LÄN</t>
        </is>
      </c>
      <c r="E281" t="inlineStr">
        <is>
          <t>SOLLEFTEÅ</t>
        </is>
      </c>
      <c r="F281" t="inlineStr">
        <is>
          <t>SCA</t>
        </is>
      </c>
      <c r="G281" t="n">
        <v>5.4</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27983-2021 artfynd.xlsx", "A 27983-2021")</f>
        <v/>
      </c>
      <c r="T281">
        <f>HYPERLINK("https://klasma.github.io/Logging_2283/kartor/A 27983-2021 karta.png", "A 27983-2021")</f>
        <v/>
      </c>
      <c r="V281">
        <f>HYPERLINK("https://klasma.github.io/Logging_2283/klagomål/A 27983-2021 FSC-klagomål.docx", "A 27983-2021")</f>
        <v/>
      </c>
      <c r="W281">
        <f>HYPERLINK("https://klasma.github.io/Logging_2283/klagomålsmail/A 27983-2021 FSC-klagomål mail.docx", "A 27983-2021")</f>
        <v/>
      </c>
      <c r="X281">
        <f>HYPERLINK("https://klasma.github.io/Logging_2283/tillsyn/A 27983-2021 tillsynsbegäran.docx", "A 27983-2021")</f>
        <v/>
      </c>
      <c r="Y281">
        <f>HYPERLINK("https://klasma.github.io/Logging_2283/tillsynsmail/A 27983-2021 tillsynsbegäran mail.docx", "A 27983-2021")</f>
        <v/>
      </c>
    </row>
    <row r="282" ht="15" customHeight="1">
      <c r="A282" t="inlineStr">
        <is>
          <t>A 6698-2024</t>
        </is>
      </c>
      <c r="B282" s="1" t="n">
        <v>45341</v>
      </c>
      <c r="C282" s="1" t="n">
        <v>45937</v>
      </c>
      <c r="D282" t="inlineStr">
        <is>
          <t>VÄSTERNORRLANDS LÄN</t>
        </is>
      </c>
      <c r="E282" t="inlineStr">
        <is>
          <t>SOLLEFTEÅ</t>
        </is>
      </c>
      <c r="F282" t="inlineStr">
        <is>
          <t>SCA</t>
        </is>
      </c>
      <c r="G282" t="n">
        <v>3</v>
      </c>
      <c r="H282" t="n">
        <v>0</v>
      </c>
      <c r="I282" t="n">
        <v>0</v>
      </c>
      <c r="J282" t="n">
        <v>2</v>
      </c>
      <c r="K282" t="n">
        <v>0</v>
      </c>
      <c r="L282" t="n">
        <v>0</v>
      </c>
      <c r="M282" t="n">
        <v>0</v>
      </c>
      <c r="N282" t="n">
        <v>0</v>
      </c>
      <c r="O282" t="n">
        <v>2</v>
      </c>
      <c r="P282" t="n">
        <v>0</v>
      </c>
      <c r="Q282" t="n">
        <v>2</v>
      </c>
      <c r="R282" s="2" t="inlineStr">
        <is>
          <t>Granticka
Harticka</t>
        </is>
      </c>
      <c r="S282">
        <f>HYPERLINK("https://klasma.github.io/Logging_2283/artfynd/A 6698-2024 artfynd.xlsx", "A 6698-2024")</f>
        <v/>
      </c>
      <c r="T282">
        <f>HYPERLINK("https://klasma.github.io/Logging_2283/kartor/A 6698-2024 karta.png", "A 6698-2024")</f>
        <v/>
      </c>
      <c r="V282">
        <f>HYPERLINK("https://klasma.github.io/Logging_2283/klagomål/A 6698-2024 FSC-klagomål.docx", "A 6698-2024")</f>
        <v/>
      </c>
      <c r="W282">
        <f>HYPERLINK("https://klasma.github.io/Logging_2283/klagomålsmail/A 6698-2024 FSC-klagomål mail.docx", "A 6698-2024")</f>
        <v/>
      </c>
      <c r="X282">
        <f>HYPERLINK("https://klasma.github.io/Logging_2283/tillsyn/A 6698-2024 tillsynsbegäran.docx", "A 6698-2024")</f>
        <v/>
      </c>
      <c r="Y282">
        <f>HYPERLINK("https://klasma.github.io/Logging_2283/tillsynsmail/A 6698-2024 tillsynsbegäran mail.docx", "A 6698-2024")</f>
        <v/>
      </c>
    </row>
    <row r="283" ht="15" customHeight="1">
      <c r="A283" t="inlineStr">
        <is>
          <t>A 59020-2024</t>
        </is>
      </c>
      <c r="B283" s="1" t="n">
        <v>45636.67765046296</v>
      </c>
      <c r="C283" s="1" t="n">
        <v>45937</v>
      </c>
      <c r="D283" t="inlineStr">
        <is>
          <t>VÄSTERNORRLANDS LÄN</t>
        </is>
      </c>
      <c r="E283" t="inlineStr">
        <is>
          <t>SOLLEFTEÅ</t>
        </is>
      </c>
      <c r="F283" t="inlineStr">
        <is>
          <t>SCA</t>
        </is>
      </c>
      <c r="G283" t="n">
        <v>9.300000000000001</v>
      </c>
      <c r="H283" t="n">
        <v>0</v>
      </c>
      <c r="I283" t="n">
        <v>1</v>
      </c>
      <c r="J283" t="n">
        <v>1</v>
      </c>
      <c r="K283" t="n">
        <v>0</v>
      </c>
      <c r="L283" t="n">
        <v>0</v>
      </c>
      <c r="M283" t="n">
        <v>0</v>
      </c>
      <c r="N283" t="n">
        <v>0</v>
      </c>
      <c r="O283" t="n">
        <v>1</v>
      </c>
      <c r="P283" t="n">
        <v>0</v>
      </c>
      <c r="Q283" t="n">
        <v>2</v>
      </c>
      <c r="R283" s="2" t="inlineStr">
        <is>
          <t>Kortskaftad ärgspik
Bronshjon</t>
        </is>
      </c>
      <c r="S283">
        <f>HYPERLINK("https://klasma.github.io/Logging_2283/artfynd/A 59020-2024 artfynd.xlsx", "A 59020-2024")</f>
        <v/>
      </c>
      <c r="T283">
        <f>HYPERLINK("https://klasma.github.io/Logging_2283/kartor/A 59020-2024 karta.png", "A 59020-2024")</f>
        <v/>
      </c>
      <c r="V283">
        <f>HYPERLINK("https://klasma.github.io/Logging_2283/klagomål/A 59020-2024 FSC-klagomål.docx", "A 59020-2024")</f>
        <v/>
      </c>
      <c r="W283">
        <f>HYPERLINK("https://klasma.github.io/Logging_2283/klagomålsmail/A 59020-2024 FSC-klagomål mail.docx", "A 59020-2024")</f>
        <v/>
      </c>
      <c r="X283">
        <f>HYPERLINK("https://klasma.github.io/Logging_2283/tillsyn/A 59020-2024 tillsynsbegäran.docx", "A 59020-2024")</f>
        <v/>
      </c>
      <c r="Y283">
        <f>HYPERLINK("https://klasma.github.io/Logging_2283/tillsynsmail/A 59020-2024 tillsynsbegäran mail.docx", "A 59020-2024")</f>
        <v/>
      </c>
    </row>
    <row r="284" ht="15" customHeight="1">
      <c r="A284" t="inlineStr">
        <is>
          <t>A 2515-2024</t>
        </is>
      </c>
      <c r="B284" s="1" t="n">
        <v>45313</v>
      </c>
      <c r="C284" s="1" t="n">
        <v>45937</v>
      </c>
      <c r="D284" t="inlineStr">
        <is>
          <t>VÄSTERNORRLANDS LÄN</t>
        </is>
      </c>
      <c r="E284" t="inlineStr">
        <is>
          <t>SOLLEFTEÅ</t>
        </is>
      </c>
      <c r="F284" t="inlineStr">
        <is>
          <t>Kommuner</t>
        </is>
      </c>
      <c r="G284" t="n">
        <v>8.699999999999999</v>
      </c>
      <c r="H284" t="n">
        <v>1</v>
      </c>
      <c r="I284" t="n">
        <v>0</v>
      </c>
      <c r="J284" t="n">
        <v>2</v>
      </c>
      <c r="K284" t="n">
        <v>0</v>
      </c>
      <c r="L284" t="n">
        <v>0</v>
      </c>
      <c r="M284" t="n">
        <v>0</v>
      </c>
      <c r="N284" t="n">
        <v>0</v>
      </c>
      <c r="O284" t="n">
        <v>2</v>
      </c>
      <c r="P284" t="n">
        <v>0</v>
      </c>
      <c r="Q284" t="n">
        <v>2</v>
      </c>
      <c r="R284" s="2" t="inlineStr">
        <is>
          <t>Granticka
Talltita</t>
        </is>
      </c>
      <c r="S284">
        <f>HYPERLINK("https://klasma.github.io/Logging_2283/artfynd/A 2515-2024 artfynd.xlsx", "A 2515-2024")</f>
        <v/>
      </c>
      <c r="T284">
        <f>HYPERLINK("https://klasma.github.io/Logging_2283/kartor/A 2515-2024 karta.png", "A 2515-2024")</f>
        <v/>
      </c>
      <c r="V284">
        <f>HYPERLINK("https://klasma.github.io/Logging_2283/klagomål/A 2515-2024 FSC-klagomål.docx", "A 2515-2024")</f>
        <v/>
      </c>
      <c r="W284">
        <f>HYPERLINK("https://klasma.github.io/Logging_2283/klagomålsmail/A 2515-2024 FSC-klagomål mail.docx", "A 2515-2024")</f>
        <v/>
      </c>
      <c r="X284">
        <f>HYPERLINK("https://klasma.github.io/Logging_2283/tillsyn/A 2515-2024 tillsynsbegäran.docx", "A 2515-2024")</f>
        <v/>
      </c>
      <c r="Y284">
        <f>HYPERLINK("https://klasma.github.io/Logging_2283/tillsynsmail/A 2515-2024 tillsynsbegäran mail.docx", "A 2515-2024")</f>
        <v/>
      </c>
      <c r="Z284">
        <f>HYPERLINK("https://klasma.github.io/Logging_2283/fåglar/A 2515-2024 prioriterade fågelarter.docx", "A 2515-2024")</f>
        <v/>
      </c>
    </row>
    <row r="285" ht="15" customHeight="1">
      <c r="A285" t="inlineStr">
        <is>
          <t>A 27644-2024</t>
        </is>
      </c>
      <c r="B285" s="1" t="n">
        <v>45474</v>
      </c>
      <c r="C285" s="1" t="n">
        <v>45937</v>
      </c>
      <c r="D285" t="inlineStr">
        <is>
          <t>VÄSTERNORRLANDS LÄN</t>
        </is>
      </c>
      <c r="E285" t="inlineStr">
        <is>
          <t>SOLLEFTEÅ</t>
        </is>
      </c>
      <c r="F285" t="inlineStr">
        <is>
          <t>SCA</t>
        </is>
      </c>
      <c r="G285" t="n">
        <v>2.8</v>
      </c>
      <c r="H285" t="n">
        <v>1</v>
      </c>
      <c r="I285" t="n">
        <v>0</v>
      </c>
      <c r="J285" t="n">
        <v>1</v>
      </c>
      <c r="K285" t="n">
        <v>0</v>
      </c>
      <c r="L285" t="n">
        <v>0</v>
      </c>
      <c r="M285" t="n">
        <v>0</v>
      </c>
      <c r="N285" t="n">
        <v>0</v>
      </c>
      <c r="O285" t="n">
        <v>1</v>
      </c>
      <c r="P285" t="n">
        <v>0</v>
      </c>
      <c r="Q285" t="n">
        <v>2</v>
      </c>
      <c r="R285" s="2" t="inlineStr">
        <is>
          <t>Granticka
Fläcknycklar</t>
        </is>
      </c>
      <c r="S285">
        <f>HYPERLINK("https://klasma.github.io/Logging_2283/artfynd/A 27644-2024 artfynd.xlsx", "A 27644-2024")</f>
        <v/>
      </c>
      <c r="T285">
        <f>HYPERLINK("https://klasma.github.io/Logging_2283/kartor/A 27644-2024 karta.png", "A 27644-2024")</f>
        <v/>
      </c>
      <c r="V285">
        <f>HYPERLINK("https://klasma.github.io/Logging_2283/klagomål/A 27644-2024 FSC-klagomål.docx", "A 27644-2024")</f>
        <v/>
      </c>
      <c r="W285">
        <f>HYPERLINK("https://klasma.github.io/Logging_2283/klagomålsmail/A 27644-2024 FSC-klagomål mail.docx", "A 27644-2024")</f>
        <v/>
      </c>
      <c r="X285">
        <f>HYPERLINK("https://klasma.github.io/Logging_2283/tillsyn/A 27644-2024 tillsynsbegäran.docx", "A 27644-2024")</f>
        <v/>
      </c>
      <c r="Y285">
        <f>HYPERLINK("https://klasma.github.io/Logging_2283/tillsynsmail/A 27644-2024 tillsynsbegäran mail.docx", "A 27644-2024")</f>
        <v/>
      </c>
    </row>
    <row r="286" ht="15" customHeight="1">
      <c r="A286" t="inlineStr">
        <is>
          <t>A 48016-2024</t>
        </is>
      </c>
      <c r="B286" s="1" t="n">
        <v>45589.46909722222</v>
      </c>
      <c r="C286" s="1" t="n">
        <v>45937</v>
      </c>
      <c r="D286" t="inlineStr">
        <is>
          <t>VÄSTERNORRLANDS LÄN</t>
        </is>
      </c>
      <c r="E286" t="inlineStr">
        <is>
          <t>SOLLEFTEÅ</t>
        </is>
      </c>
      <c r="F286" t="inlineStr">
        <is>
          <t>SCA</t>
        </is>
      </c>
      <c r="G286" t="n">
        <v>2.6</v>
      </c>
      <c r="H286" t="n">
        <v>1</v>
      </c>
      <c r="I286" t="n">
        <v>0</v>
      </c>
      <c r="J286" t="n">
        <v>2</v>
      </c>
      <c r="K286" t="n">
        <v>0</v>
      </c>
      <c r="L286" t="n">
        <v>0</v>
      </c>
      <c r="M286" t="n">
        <v>0</v>
      </c>
      <c r="N286" t="n">
        <v>0</v>
      </c>
      <c r="O286" t="n">
        <v>2</v>
      </c>
      <c r="P286" t="n">
        <v>0</v>
      </c>
      <c r="Q286" t="n">
        <v>2</v>
      </c>
      <c r="R286" s="2" t="inlineStr">
        <is>
          <t>Järpe
Ullticka</t>
        </is>
      </c>
      <c r="S286">
        <f>HYPERLINK("https://klasma.github.io/Logging_2283/artfynd/A 48016-2024 artfynd.xlsx", "A 48016-2024")</f>
        <v/>
      </c>
      <c r="T286">
        <f>HYPERLINK("https://klasma.github.io/Logging_2283/kartor/A 48016-2024 karta.png", "A 48016-2024")</f>
        <v/>
      </c>
      <c r="V286">
        <f>HYPERLINK("https://klasma.github.io/Logging_2283/klagomål/A 48016-2024 FSC-klagomål.docx", "A 48016-2024")</f>
        <v/>
      </c>
      <c r="W286">
        <f>HYPERLINK("https://klasma.github.io/Logging_2283/klagomålsmail/A 48016-2024 FSC-klagomål mail.docx", "A 48016-2024")</f>
        <v/>
      </c>
      <c r="X286">
        <f>HYPERLINK("https://klasma.github.io/Logging_2283/tillsyn/A 48016-2024 tillsynsbegäran.docx", "A 48016-2024")</f>
        <v/>
      </c>
      <c r="Y286">
        <f>HYPERLINK("https://klasma.github.io/Logging_2283/tillsynsmail/A 48016-2024 tillsynsbegäran mail.docx", "A 48016-2024")</f>
        <v/>
      </c>
      <c r="Z286">
        <f>HYPERLINK("https://klasma.github.io/Logging_2283/fåglar/A 48016-2024 prioriterade fågelarter.docx", "A 48016-2024")</f>
        <v/>
      </c>
    </row>
    <row r="287" ht="15" customHeight="1">
      <c r="A287" t="inlineStr">
        <is>
          <t>A 20836-2021</t>
        </is>
      </c>
      <c r="B287" s="1" t="n">
        <v>44318</v>
      </c>
      <c r="C287" s="1" t="n">
        <v>45937</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58314-2024</t>
        </is>
      </c>
      <c r="B288" s="1" t="n">
        <v>45632.61516203704</v>
      </c>
      <c r="C288" s="1" t="n">
        <v>45937</v>
      </c>
      <c r="D288" t="inlineStr">
        <is>
          <t>VÄSTERNORRLANDS LÄN</t>
        </is>
      </c>
      <c r="E288" t="inlineStr">
        <is>
          <t>SOLLEFTEÅ</t>
        </is>
      </c>
      <c r="F288" t="inlineStr">
        <is>
          <t>SCA</t>
        </is>
      </c>
      <c r="G288" t="n">
        <v>3.3</v>
      </c>
      <c r="H288" t="n">
        <v>0</v>
      </c>
      <c r="I288" t="n">
        <v>0</v>
      </c>
      <c r="J288" t="n">
        <v>2</v>
      </c>
      <c r="K288" t="n">
        <v>0</v>
      </c>
      <c r="L288" t="n">
        <v>0</v>
      </c>
      <c r="M288" t="n">
        <v>0</v>
      </c>
      <c r="N288" t="n">
        <v>0</v>
      </c>
      <c r="O288" t="n">
        <v>2</v>
      </c>
      <c r="P288" t="n">
        <v>0</v>
      </c>
      <c r="Q288" t="n">
        <v>2</v>
      </c>
      <c r="R288" s="2" t="inlineStr">
        <is>
          <t>Garnlav
Gränsticka</t>
        </is>
      </c>
      <c r="S288">
        <f>HYPERLINK("https://klasma.github.io/Logging_2283/artfynd/A 58314-2024 artfynd.xlsx", "A 58314-2024")</f>
        <v/>
      </c>
      <c r="T288">
        <f>HYPERLINK("https://klasma.github.io/Logging_2283/kartor/A 58314-2024 karta.png", "A 58314-2024")</f>
        <v/>
      </c>
      <c r="V288">
        <f>HYPERLINK("https://klasma.github.io/Logging_2283/klagomål/A 58314-2024 FSC-klagomål.docx", "A 58314-2024")</f>
        <v/>
      </c>
      <c r="W288">
        <f>HYPERLINK("https://klasma.github.io/Logging_2283/klagomålsmail/A 58314-2024 FSC-klagomål mail.docx", "A 58314-2024")</f>
        <v/>
      </c>
      <c r="X288">
        <f>HYPERLINK("https://klasma.github.io/Logging_2283/tillsyn/A 58314-2024 tillsynsbegäran.docx", "A 58314-2024")</f>
        <v/>
      </c>
      <c r="Y288">
        <f>HYPERLINK("https://klasma.github.io/Logging_2283/tillsynsmail/A 58314-2024 tillsynsbegäran mail.docx", "A 58314-2024")</f>
        <v/>
      </c>
    </row>
    <row r="289" ht="15" customHeight="1">
      <c r="A289" t="inlineStr">
        <is>
          <t>A 58572-2021</t>
        </is>
      </c>
      <c r="B289" s="1" t="n">
        <v>44488</v>
      </c>
      <c r="C289" s="1" t="n">
        <v>45937</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45937</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45937</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45937</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45937</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45937</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45937</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45937</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45937</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44763-2022</t>
        </is>
      </c>
      <c r="B298" s="1" t="n">
        <v>44840</v>
      </c>
      <c r="C298" s="1" t="n">
        <v>45937</v>
      </c>
      <c r="D298" t="inlineStr">
        <is>
          <t>VÄSTERNORRLANDS LÄN</t>
        </is>
      </c>
      <c r="E298" t="inlineStr">
        <is>
          <t>SOLLEFTEÅ</t>
        </is>
      </c>
      <c r="F298" t="inlineStr">
        <is>
          <t>SCA</t>
        </is>
      </c>
      <c r="G298" t="n">
        <v>1.2</v>
      </c>
      <c r="H298" t="n">
        <v>0</v>
      </c>
      <c r="I298" t="n">
        <v>0</v>
      </c>
      <c r="J298" t="n">
        <v>1</v>
      </c>
      <c r="K298" t="n">
        <v>0</v>
      </c>
      <c r="L298" t="n">
        <v>0</v>
      </c>
      <c r="M298" t="n">
        <v>0</v>
      </c>
      <c r="N298" t="n">
        <v>0</v>
      </c>
      <c r="O298" t="n">
        <v>1</v>
      </c>
      <c r="P298" t="n">
        <v>0</v>
      </c>
      <c r="Q298" t="n">
        <v>1</v>
      </c>
      <c r="R298" s="2" t="inlineStr">
        <is>
          <t>Rosenticka</t>
        </is>
      </c>
      <c r="S298">
        <f>HYPERLINK("https://klasma.github.io/Logging_2283/artfynd/A 44763-2022 artfynd.xlsx", "A 44763-2022")</f>
        <v/>
      </c>
      <c r="T298">
        <f>HYPERLINK("https://klasma.github.io/Logging_2283/kartor/A 44763-2022 karta.png", "A 44763-2022")</f>
        <v/>
      </c>
      <c r="V298">
        <f>HYPERLINK("https://klasma.github.io/Logging_2283/klagomål/A 44763-2022 FSC-klagomål.docx", "A 44763-2022")</f>
        <v/>
      </c>
      <c r="W298">
        <f>HYPERLINK("https://klasma.github.io/Logging_2283/klagomålsmail/A 44763-2022 FSC-klagomål mail.docx", "A 44763-2022")</f>
        <v/>
      </c>
      <c r="X298">
        <f>HYPERLINK("https://klasma.github.io/Logging_2283/tillsyn/A 44763-2022 tillsynsbegäran.docx", "A 44763-2022")</f>
        <v/>
      </c>
      <c r="Y298">
        <f>HYPERLINK("https://klasma.github.io/Logging_2283/tillsynsmail/A 44763-2022 tillsynsbegäran mail.docx", "A 44763-2022")</f>
        <v/>
      </c>
    </row>
    <row r="299" ht="15" customHeight="1">
      <c r="A299" t="inlineStr">
        <is>
          <t>A 40626-2022</t>
        </is>
      </c>
      <c r="B299" s="1" t="n">
        <v>44823.95071759259</v>
      </c>
      <c r="C299" s="1" t="n">
        <v>45937</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3959-2024</t>
        </is>
      </c>
      <c r="B300" s="1" t="n">
        <v>45322</v>
      </c>
      <c r="C300" s="1" t="n">
        <v>45937</v>
      </c>
      <c r="D300" t="inlineStr">
        <is>
          <t>VÄSTERNORRLANDS LÄN</t>
        </is>
      </c>
      <c r="E300" t="inlineStr">
        <is>
          <t>SOLLEFTEÅ</t>
        </is>
      </c>
      <c r="F300" t="inlineStr">
        <is>
          <t>Kommuner</t>
        </is>
      </c>
      <c r="G300" t="n">
        <v>1</v>
      </c>
      <c r="H300" t="n">
        <v>0</v>
      </c>
      <c r="I300" t="n">
        <v>0</v>
      </c>
      <c r="J300" t="n">
        <v>1</v>
      </c>
      <c r="K300" t="n">
        <v>0</v>
      </c>
      <c r="L300" t="n">
        <v>0</v>
      </c>
      <c r="M300" t="n">
        <v>0</v>
      </c>
      <c r="N300" t="n">
        <v>0</v>
      </c>
      <c r="O300" t="n">
        <v>1</v>
      </c>
      <c r="P300" t="n">
        <v>0</v>
      </c>
      <c r="Q300" t="n">
        <v>1</v>
      </c>
      <c r="R300" s="2" t="inlineStr">
        <is>
          <t>Garnlav</t>
        </is>
      </c>
      <c r="S300">
        <f>HYPERLINK("https://klasma.github.io/Logging_2283/artfynd/A 3959-2024 artfynd.xlsx", "A 3959-2024")</f>
        <v/>
      </c>
      <c r="T300">
        <f>HYPERLINK("https://klasma.github.io/Logging_2283/kartor/A 3959-2024 karta.png", "A 3959-2024")</f>
        <v/>
      </c>
      <c r="V300">
        <f>HYPERLINK("https://klasma.github.io/Logging_2283/klagomål/A 3959-2024 FSC-klagomål.docx", "A 3959-2024")</f>
        <v/>
      </c>
      <c r="W300">
        <f>HYPERLINK("https://klasma.github.io/Logging_2283/klagomålsmail/A 3959-2024 FSC-klagomål mail.docx", "A 3959-2024")</f>
        <v/>
      </c>
      <c r="X300">
        <f>HYPERLINK("https://klasma.github.io/Logging_2283/tillsyn/A 3959-2024 tillsynsbegäran.docx", "A 3959-2024")</f>
        <v/>
      </c>
      <c r="Y300">
        <f>HYPERLINK("https://klasma.github.io/Logging_2283/tillsynsmail/A 3959-2024 tillsynsbegäran mail.docx", "A 3959-2024")</f>
        <v/>
      </c>
    </row>
    <row r="301" ht="15" customHeight="1">
      <c r="A301" t="inlineStr">
        <is>
          <t>A 39565-2023</t>
        </is>
      </c>
      <c r="B301" s="1" t="n">
        <v>45167</v>
      </c>
      <c r="C301" s="1" t="n">
        <v>45937</v>
      </c>
      <c r="D301" t="inlineStr">
        <is>
          <t>VÄSTERNORRLANDS LÄN</t>
        </is>
      </c>
      <c r="E301" t="inlineStr">
        <is>
          <t>SOLLEFTEÅ</t>
        </is>
      </c>
      <c r="G301" t="n">
        <v>3.2</v>
      </c>
      <c r="H301" t="n">
        <v>0</v>
      </c>
      <c r="I301" t="n">
        <v>0</v>
      </c>
      <c r="J301" t="n">
        <v>1</v>
      </c>
      <c r="K301" t="n">
        <v>0</v>
      </c>
      <c r="L301" t="n">
        <v>0</v>
      </c>
      <c r="M301" t="n">
        <v>0</v>
      </c>
      <c r="N301" t="n">
        <v>0</v>
      </c>
      <c r="O301" t="n">
        <v>1</v>
      </c>
      <c r="P301" t="n">
        <v>0</v>
      </c>
      <c r="Q301" t="n">
        <v>1</v>
      </c>
      <c r="R301" s="2" t="inlineStr">
        <is>
          <t>Ullticka</t>
        </is>
      </c>
      <c r="S301">
        <f>HYPERLINK("https://klasma.github.io/Logging_2283/artfynd/A 39565-2023 artfynd.xlsx", "A 39565-2023")</f>
        <v/>
      </c>
      <c r="T301">
        <f>HYPERLINK("https://klasma.github.io/Logging_2283/kartor/A 39565-2023 karta.png", "A 39565-2023")</f>
        <v/>
      </c>
      <c r="V301">
        <f>HYPERLINK("https://klasma.github.io/Logging_2283/klagomål/A 39565-2023 FSC-klagomål.docx", "A 39565-2023")</f>
        <v/>
      </c>
      <c r="W301">
        <f>HYPERLINK("https://klasma.github.io/Logging_2283/klagomålsmail/A 39565-2023 FSC-klagomål mail.docx", "A 39565-2023")</f>
        <v/>
      </c>
      <c r="X301">
        <f>HYPERLINK("https://klasma.github.io/Logging_2283/tillsyn/A 39565-2023 tillsynsbegäran.docx", "A 39565-2023")</f>
        <v/>
      </c>
      <c r="Y301">
        <f>HYPERLINK("https://klasma.github.io/Logging_2283/tillsynsmail/A 39565-2023 tillsynsbegäran mail.docx", "A 39565-2023")</f>
        <v/>
      </c>
    </row>
    <row r="302" ht="15" customHeight="1">
      <c r="A302" t="inlineStr">
        <is>
          <t>A 44632-2024</t>
        </is>
      </c>
      <c r="B302" s="1" t="n">
        <v>45574.51446759259</v>
      </c>
      <c r="C302" s="1" t="n">
        <v>45937</v>
      </c>
      <c r="D302" t="inlineStr">
        <is>
          <t>VÄSTERNORRLANDS LÄN</t>
        </is>
      </c>
      <c r="E302" t="inlineStr">
        <is>
          <t>SOLLEFTEÅ</t>
        </is>
      </c>
      <c r="F302" t="inlineStr">
        <is>
          <t>SCA</t>
        </is>
      </c>
      <c r="G302" t="n">
        <v>3.1</v>
      </c>
      <c r="H302" t="n">
        <v>0</v>
      </c>
      <c r="I302" t="n">
        <v>1</v>
      </c>
      <c r="J302" t="n">
        <v>0</v>
      </c>
      <c r="K302" t="n">
        <v>0</v>
      </c>
      <c r="L302" t="n">
        <v>0</v>
      </c>
      <c r="M302" t="n">
        <v>0</v>
      </c>
      <c r="N302" t="n">
        <v>0</v>
      </c>
      <c r="O302" t="n">
        <v>0</v>
      </c>
      <c r="P302" t="n">
        <v>0</v>
      </c>
      <c r="Q302" t="n">
        <v>1</v>
      </c>
      <c r="R302" s="2" t="inlineStr">
        <is>
          <t>Vedticka</t>
        </is>
      </c>
      <c r="S302">
        <f>HYPERLINK("https://klasma.github.io/Logging_2283/artfynd/A 44632-2024 artfynd.xlsx", "A 44632-2024")</f>
        <v/>
      </c>
      <c r="T302">
        <f>HYPERLINK("https://klasma.github.io/Logging_2283/kartor/A 44632-2024 karta.png", "A 44632-2024")</f>
        <v/>
      </c>
      <c r="V302">
        <f>HYPERLINK("https://klasma.github.io/Logging_2283/klagomål/A 44632-2024 FSC-klagomål.docx", "A 44632-2024")</f>
        <v/>
      </c>
      <c r="W302">
        <f>HYPERLINK("https://klasma.github.io/Logging_2283/klagomålsmail/A 44632-2024 FSC-klagomål mail.docx", "A 44632-2024")</f>
        <v/>
      </c>
      <c r="X302">
        <f>HYPERLINK("https://klasma.github.io/Logging_2283/tillsyn/A 44632-2024 tillsynsbegäran.docx", "A 44632-2024")</f>
        <v/>
      </c>
      <c r="Y302">
        <f>HYPERLINK("https://klasma.github.io/Logging_2283/tillsynsmail/A 44632-2024 tillsynsbegäran mail.docx", "A 44632-2024")</f>
        <v/>
      </c>
    </row>
    <row r="303" ht="15" customHeight="1">
      <c r="A303" t="inlineStr">
        <is>
          <t>A 54558-2022</t>
        </is>
      </c>
      <c r="B303" s="1" t="n">
        <v>44882</v>
      </c>
      <c r="C303" s="1" t="n">
        <v>45937</v>
      </c>
      <c r="D303" t="inlineStr">
        <is>
          <t>VÄSTERNORRLANDS LÄN</t>
        </is>
      </c>
      <c r="E303" t="inlineStr">
        <is>
          <t>SOLLEFTEÅ</t>
        </is>
      </c>
      <c r="G303" t="n">
        <v>5.8</v>
      </c>
      <c r="H303" t="n">
        <v>0</v>
      </c>
      <c r="I303" t="n">
        <v>1</v>
      </c>
      <c r="J303" t="n">
        <v>0</v>
      </c>
      <c r="K303" t="n">
        <v>0</v>
      </c>
      <c r="L303" t="n">
        <v>0</v>
      </c>
      <c r="M303" t="n">
        <v>0</v>
      </c>
      <c r="N303" t="n">
        <v>0</v>
      </c>
      <c r="O303" t="n">
        <v>0</v>
      </c>
      <c r="P303" t="n">
        <v>0</v>
      </c>
      <c r="Q303" t="n">
        <v>1</v>
      </c>
      <c r="R303" s="2" t="inlineStr">
        <is>
          <t>Strutbräken</t>
        </is>
      </c>
      <c r="S303">
        <f>HYPERLINK("https://klasma.github.io/Logging_2283/artfynd/A 54558-2022 artfynd.xlsx", "A 54558-2022")</f>
        <v/>
      </c>
      <c r="T303">
        <f>HYPERLINK("https://klasma.github.io/Logging_2283/kartor/A 54558-2022 karta.png", "A 54558-2022")</f>
        <v/>
      </c>
      <c r="V303">
        <f>HYPERLINK("https://klasma.github.io/Logging_2283/klagomål/A 54558-2022 FSC-klagomål.docx", "A 54558-2022")</f>
        <v/>
      </c>
      <c r="W303">
        <f>HYPERLINK("https://klasma.github.io/Logging_2283/klagomålsmail/A 54558-2022 FSC-klagomål mail.docx", "A 54558-2022")</f>
        <v/>
      </c>
      <c r="X303">
        <f>HYPERLINK("https://klasma.github.io/Logging_2283/tillsyn/A 54558-2022 tillsynsbegäran.docx", "A 54558-2022")</f>
        <v/>
      </c>
      <c r="Y303">
        <f>HYPERLINK("https://klasma.github.io/Logging_2283/tillsynsmail/A 54558-2022 tillsynsbegäran mail.docx", "A 54558-2022")</f>
        <v/>
      </c>
    </row>
    <row r="304" ht="15" customHeight="1">
      <c r="A304" t="inlineStr">
        <is>
          <t>A 37206-2024</t>
        </is>
      </c>
      <c r="B304" s="1" t="n">
        <v>45539</v>
      </c>
      <c r="C304" s="1" t="n">
        <v>45937</v>
      </c>
      <c r="D304" t="inlineStr">
        <is>
          <t>VÄSTERNORRLANDS LÄN</t>
        </is>
      </c>
      <c r="E304" t="inlineStr">
        <is>
          <t>SOLLEFTEÅ</t>
        </is>
      </c>
      <c r="F304" t="inlineStr">
        <is>
          <t>SCA</t>
        </is>
      </c>
      <c r="G304" t="n">
        <v>3.6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37206-2024 artfynd.xlsx", "A 37206-2024")</f>
        <v/>
      </c>
      <c r="T304">
        <f>HYPERLINK("https://klasma.github.io/Logging_2283/kartor/A 37206-2024 karta.png", "A 37206-2024")</f>
        <v/>
      </c>
      <c r="V304">
        <f>HYPERLINK("https://klasma.github.io/Logging_2283/klagomål/A 37206-2024 FSC-klagomål.docx", "A 37206-2024")</f>
        <v/>
      </c>
      <c r="W304">
        <f>HYPERLINK("https://klasma.github.io/Logging_2283/klagomålsmail/A 37206-2024 FSC-klagomål mail.docx", "A 37206-2024")</f>
        <v/>
      </c>
      <c r="X304">
        <f>HYPERLINK("https://klasma.github.io/Logging_2283/tillsyn/A 37206-2024 tillsynsbegäran.docx", "A 37206-2024")</f>
        <v/>
      </c>
      <c r="Y304">
        <f>HYPERLINK("https://klasma.github.io/Logging_2283/tillsynsmail/A 37206-2024 tillsynsbegäran mail.docx", "A 37206-2024")</f>
        <v/>
      </c>
      <c r="Z304">
        <f>HYPERLINK("https://klasma.github.io/Logging_2283/fåglar/A 37206-2024 prioriterade fågelarter.docx", "A 37206-2024")</f>
        <v/>
      </c>
    </row>
    <row r="305" ht="15" customHeight="1">
      <c r="A305" t="inlineStr">
        <is>
          <t>A 21962-2025</t>
        </is>
      </c>
      <c r="B305" s="1" t="n">
        <v>45784</v>
      </c>
      <c r="C305" s="1" t="n">
        <v>45937</v>
      </c>
      <c r="D305" t="inlineStr">
        <is>
          <t>VÄSTERNORRLANDS LÄN</t>
        </is>
      </c>
      <c r="E305" t="inlineStr">
        <is>
          <t>SOLLEFTEÅ</t>
        </is>
      </c>
      <c r="F305" t="inlineStr">
        <is>
          <t>SCA</t>
        </is>
      </c>
      <c r="G305" t="n">
        <v>22.5</v>
      </c>
      <c r="H305" t="n">
        <v>1</v>
      </c>
      <c r="I305" t="n">
        <v>0</v>
      </c>
      <c r="J305" t="n">
        <v>1</v>
      </c>
      <c r="K305" t="n">
        <v>0</v>
      </c>
      <c r="L305" t="n">
        <v>0</v>
      </c>
      <c r="M305" t="n">
        <v>0</v>
      </c>
      <c r="N305" t="n">
        <v>0</v>
      </c>
      <c r="O305" t="n">
        <v>1</v>
      </c>
      <c r="P305" t="n">
        <v>0</v>
      </c>
      <c r="Q305" t="n">
        <v>1</v>
      </c>
      <c r="R305" s="2" t="inlineStr">
        <is>
          <t>Järpe</t>
        </is>
      </c>
      <c r="S305">
        <f>HYPERLINK("https://klasma.github.io/Logging_2283/artfynd/A 21962-2025 artfynd.xlsx", "A 21962-2025")</f>
        <v/>
      </c>
      <c r="T305">
        <f>HYPERLINK("https://klasma.github.io/Logging_2283/kartor/A 21962-2025 karta.png", "A 21962-2025")</f>
        <v/>
      </c>
      <c r="V305">
        <f>HYPERLINK("https://klasma.github.io/Logging_2283/klagomål/A 21962-2025 FSC-klagomål.docx", "A 21962-2025")</f>
        <v/>
      </c>
      <c r="W305">
        <f>HYPERLINK("https://klasma.github.io/Logging_2283/klagomålsmail/A 21962-2025 FSC-klagomål mail.docx", "A 21962-2025")</f>
        <v/>
      </c>
      <c r="X305">
        <f>HYPERLINK("https://klasma.github.io/Logging_2283/tillsyn/A 21962-2025 tillsynsbegäran.docx", "A 21962-2025")</f>
        <v/>
      </c>
      <c r="Y305">
        <f>HYPERLINK("https://klasma.github.io/Logging_2283/tillsynsmail/A 21962-2025 tillsynsbegäran mail.docx", "A 21962-2025")</f>
        <v/>
      </c>
      <c r="Z305">
        <f>HYPERLINK("https://klasma.github.io/Logging_2283/fåglar/A 21962-2025 prioriterade fågelarter.docx", "A 21962-2025")</f>
        <v/>
      </c>
    </row>
    <row r="306" ht="15" customHeight="1">
      <c r="A306" t="inlineStr">
        <is>
          <t>A 1343-2025</t>
        </is>
      </c>
      <c r="B306" s="1" t="n">
        <v>45667.6043287037</v>
      </c>
      <c r="C306" s="1" t="n">
        <v>45937</v>
      </c>
      <c r="D306" t="inlineStr">
        <is>
          <t>VÄSTERNORRLANDS LÄN</t>
        </is>
      </c>
      <c r="E306" t="inlineStr">
        <is>
          <t>SOLLEFTEÅ</t>
        </is>
      </c>
      <c r="G306" t="n">
        <v>5.2</v>
      </c>
      <c r="H306" t="n">
        <v>0</v>
      </c>
      <c r="I306" t="n">
        <v>0</v>
      </c>
      <c r="J306" t="n">
        <v>1</v>
      </c>
      <c r="K306" t="n">
        <v>0</v>
      </c>
      <c r="L306" t="n">
        <v>0</v>
      </c>
      <c r="M306" t="n">
        <v>0</v>
      </c>
      <c r="N306" t="n">
        <v>0</v>
      </c>
      <c r="O306" t="n">
        <v>1</v>
      </c>
      <c r="P306" t="n">
        <v>0</v>
      </c>
      <c r="Q306" t="n">
        <v>1</v>
      </c>
      <c r="R306" s="2" t="inlineStr">
        <is>
          <t>Granticka</t>
        </is>
      </c>
      <c r="S306">
        <f>HYPERLINK("https://klasma.github.io/Logging_2283/artfynd/A 1343-2025 artfynd.xlsx", "A 1343-2025")</f>
        <v/>
      </c>
      <c r="T306">
        <f>HYPERLINK("https://klasma.github.io/Logging_2283/kartor/A 1343-2025 karta.png", "A 1343-2025")</f>
        <v/>
      </c>
      <c r="V306">
        <f>HYPERLINK("https://klasma.github.io/Logging_2283/klagomål/A 1343-2025 FSC-klagomål.docx", "A 1343-2025")</f>
        <v/>
      </c>
      <c r="W306">
        <f>HYPERLINK("https://klasma.github.io/Logging_2283/klagomålsmail/A 1343-2025 FSC-klagomål mail.docx", "A 1343-2025")</f>
        <v/>
      </c>
      <c r="X306">
        <f>HYPERLINK("https://klasma.github.io/Logging_2283/tillsyn/A 1343-2025 tillsynsbegäran.docx", "A 1343-2025")</f>
        <v/>
      </c>
      <c r="Y306">
        <f>HYPERLINK("https://klasma.github.io/Logging_2283/tillsynsmail/A 1343-2025 tillsynsbegäran mail.docx", "A 1343-2025")</f>
        <v/>
      </c>
    </row>
    <row r="307" ht="15" customHeight="1">
      <c r="A307" t="inlineStr">
        <is>
          <t>A 27106-2022</t>
        </is>
      </c>
      <c r="B307" s="1" t="n">
        <v>44741</v>
      </c>
      <c r="C307" s="1" t="n">
        <v>45937</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8903-2024</t>
        </is>
      </c>
      <c r="B308" s="1" t="n">
        <v>45355</v>
      </c>
      <c r="C308" s="1" t="n">
        <v>45937</v>
      </c>
      <c r="D308" t="inlineStr">
        <is>
          <t>VÄSTERNORRLANDS LÄN</t>
        </is>
      </c>
      <c r="E308" t="inlineStr">
        <is>
          <t>SOLLEFTEÅ</t>
        </is>
      </c>
      <c r="G308" t="n">
        <v>1.7</v>
      </c>
      <c r="H308" t="n">
        <v>0</v>
      </c>
      <c r="I308" t="n">
        <v>1</v>
      </c>
      <c r="J308" t="n">
        <v>0</v>
      </c>
      <c r="K308" t="n">
        <v>0</v>
      </c>
      <c r="L308" t="n">
        <v>0</v>
      </c>
      <c r="M308" t="n">
        <v>0</v>
      </c>
      <c r="N308" t="n">
        <v>0</v>
      </c>
      <c r="O308" t="n">
        <v>0</v>
      </c>
      <c r="P308" t="n">
        <v>0</v>
      </c>
      <c r="Q308" t="n">
        <v>1</v>
      </c>
      <c r="R308" s="2" t="inlineStr">
        <is>
          <t>Strutbräken</t>
        </is>
      </c>
      <c r="S308">
        <f>HYPERLINK("https://klasma.github.io/Logging_2283/artfynd/A 8903-2024 artfynd.xlsx", "A 8903-2024")</f>
        <v/>
      </c>
      <c r="T308">
        <f>HYPERLINK("https://klasma.github.io/Logging_2283/kartor/A 8903-2024 karta.png", "A 8903-2024")</f>
        <v/>
      </c>
      <c r="V308">
        <f>HYPERLINK("https://klasma.github.io/Logging_2283/klagomål/A 8903-2024 FSC-klagomål.docx", "A 8903-2024")</f>
        <v/>
      </c>
      <c r="W308">
        <f>HYPERLINK("https://klasma.github.io/Logging_2283/klagomålsmail/A 8903-2024 FSC-klagomål mail.docx", "A 8903-2024")</f>
        <v/>
      </c>
      <c r="X308">
        <f>HYPERLINK("https://klasma.github.io/Logging_2283/tillsyn/A 8903-2024 tillsynsbegäran.docx", "A 8903-2024")</f>
        <v/>
      </c>
      <c r="Y308">
        <f>HYPERLINK("https://klasma.github.io/Logging_2283/tillsynsmail/A 8903-2024 tillsynsbegäran mail.docx", "A 8903-2024")</f>
        <v/>
      </c>
    </row>
    <row r="309" ht="15" customHeight="1">
      <c r="A309" t="inlineStr">
        <is>
          <t>A 5033-2024</t>
        </is>
      </c>
      <c r="B309" s="1" t="n">
        <v>45329</v>
      </c>
      <c r="C309" s="1" t="n">
        <v>45937</v>
      </c>
      <c r="D309" t="inlineStr">
        <is>
          <t>VÄSTERNORRLANDS LÄN</t>
        </is>
      </c>
      <c r="E309" t="inlineStr">
        <is>
          <t>SOLLEFTEÅ</t>
        </is>
      </c>
      <c r="F309" t="inlineStr">
        <is>
          <t>Övriga Aktiebolag</t>
        </is>
      </c>
      <c r="G309" t="n">
        <v>3.2</v>
      </c>
      <c r="H309" t="n">
        <v>0</v>
      </c>
      <c r="I309" t="n">
        <v>1</v>
      </c>
      <c r="J309" t="n">
        <v>0</v>
      </c>
      <c r="K309" t="n">
        <v>0</v>
      </c>
      <c r="L309" t="n">
        <v>0</v>
      </c>
      <c r="M309" t="n">
        <v>0</v>
      </c>
      <c r="N309" t="n">
        <v>0</v>
      </c>
      <c r="O309" t="n">
        <v>0</v>
      </c>
      <c r="P309" t="n">
        <v>0</v>
      </c>
      <c r="Q309" t="n">
        <v>1</v>
      </c>
      <c r="R309" s="2" t="inlineStr">
        <is>
          <t>Kransrams</t>
        </is>
      </c>
      <c r="S309">
        <f>HYPERLINK("https://klasma.github.io/Logging_2283/artfynd/A 5033-2024 artfynd.xlsx", "A 5033-2024")</f>
        <v/>
      </c>
      <c r="T309">
        <f>HYPERLINK("https://klasma.github.io/Logging_2283/kartor/A 5033-2024 karta.png", "A 5033-2024")</f>
        <v/>
      </c>
      <c r="V309">
        <f>HYPERLINK("https://klasma.github.io/Logging_2283/klagomål/A 5033-2024 FSC-klagomål.docx", "A 5033-2024")</f>
        <v/>
      </c>
      <c r="W309">
        <f>HYPERLINK("https://klasma.github.io/Logging_2283/klagomålsmail/A 5033-2024 FSC-klagomål mail.docx", "A 5033-2024")</f>
        <v/>
      </c>
      <c r="X309">
        <f>HYPERLINK("https://klasma.github.io/Logging_2283/tillsyn/A 5033-2024 tillsynsbegäran.docx", "A 5033-2024")</f>
        <v/>
      </c>
      <c r="Y309">
        <f>HYPERLINK("https://klasma.github.io/Logging_2283/tillsynsmail/A 5033-2024 tillsynsbegäran mail.docx", "A 5033-2024")</f>
        <v/>
      </c>
    </row>
    <row r="310" ht="15" customHeight="1">
      <c r="A310" t="inlineStr">
        <is>
          <t>A 33504-2022</t>
        </is>
      </c>
      <c r="B310" s="1" t="n">
        <v>44788</v>
      </c>
      <c r="C310" s="1" t="n">
        <v>45937</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53059-2023</t>
        </is>
      </c>
      <c r="B311" s="1" t="n">
        <v>45226</v>
      </c>
      <c r="C311" s="1" t="n">
        <v>45937</v>
      </c>
      <c r="D311" t="inlineStr">
        <is>
          <t>VÄSTERNORRLANDS LÄN</t>
        </is>
      </c>
      <c r="E311" t="inlineStr">
        <is>
          <t>SOLLEFTEÅ</t>
        </is>
      </c>
      <c r="F311" t="inlineStr">
        <is>
          <t>SCA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HYPERLINK("https://klasma.github.io/Logging_2283/artfynd/A 53059-2023 artfynd.xlsx", "A 53059-2023")</f>
        <v/>
      </c>
      <c r="T311">
        <f>HYPERLINK("https://klasma.github.io/Logging_2283/kartor/A 53059-2023 karta.png", "A 53059-2023")</f>
        <v/>
      </c>
      <c r="U311">
        <f>HYPERLINK("https://klasma.github.io/Logging_2283/knärot/A 53059-2023 karta knärot.png", "A 53059-2023")</f>
        <v/>
      </c>
      <c r="V311">
        <f>HYPERLINK("https://klasma.github.io/Logging_2283/klagomål/A 53059-2023 FSC-klagomål.docx", "A 53059-2023")</f>
        <v/>
      </c>
      <c r="W311">
        <f>HYPERLINK("https://klasma.github.io/Logging_2283/klagomålsmail/A 53059-2023 FSC-klagomål mail.docx", "A 53059-2023")</f>
        <v/>
      </c>
      <c r="X311">
        <f>HYPERLINK("https://klasma.github.io/Logging_2283/tillsyn/A 53059-2023 tillsynsbegäran.docx", "A 53059-2023")</f>
        <v/>
      </c>
      <c r="Y311">
        <f>HYPERLINK("https://klasma.github.io/Logging_2283/tillsynsmail/A 53059-2023 tillsynsbegäran mail.docx", "A 53059-2023")</f>
        <v/>
      </c>
    </row>
    <row r="312" ht="15" customHeight="1">
      <c r="A312" t="inlineStr">
        <is>
          <t>A 25310-2023</t>
        </is>
      </c>
      <c r="B312" s="1" t="n">
        <v>45086</v>
      </c>
      <c r="C312" s="1" t="n">
        <v>45937</v>
      </c>
      <c r="D312" t="inlineStr">
        <is>
          <t>VÄSTERNORRLANDS LÄN</t>
        </is>
      </c>
      <c r="E312" t="inlineStr">
        <is>
          <t>SOLLEFTEÅ</t>
        </is>
      </c>
      <c r="F312" t="inlineStr">
        <is>
          <t>SCA</t>
        </is>
      </c>
      <c r="G312" t="n">
        <v>1.1</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25310-2023 artfynd.xlsx", "A 25310-2023")</f>
        <v/>
      </c>
      <c r="T312">
        <f>HYPERLINK("https://klasma.github.io/Logging_2283/kartor/A 25310-2023 karta.png", "A 25310-2023")</f>
        <v/>
      </c>
      <c r="V312">
        <f>HYPERLINK("https://klasma.github.io/Logging_2283/klagomål/A 25310-2023 FSC-klagomål.docx", "A 25310-2023")</f>
        <v/>
      </c>
      <c r="W312">
        <f>HYPERLINK("https://klasma.github.io/Logging_2283/klagomålsmail/A 25310-2023 FSC-klagomål mail.docx", "A 25310-2023")</f>
        <v/>
      </c>
      <c r="X312">
        <f>HYPERLINK("https://klasma.github.io/Logging_2283/tillsyn/A 25310-2023 tillsynsbegäran.docx", "A 25310-2023")</f>
        <v/>
      </c>
      <c r="Y312">
        <f>HYPERLINK("https://klasma.github.io/Logging_2283/tillsynsmail/A 25310-2023 tillsynsbegäran mail.docx", "A 25310-2023")</f>
        <v/>
      </c>
      <c r="Z312">
        <f>HYPERLINK("https://klasma.github.io/Logging_2283/fåglar/A 25310-2023 prioriterade fågelarter.docx", "A 25310-2023")</f>
        <v/>
      </c>
    </row>
    <row r="313" ht="15" customHeight="1">
      <c r="A313" t="inlineStr">
        <is>
          <t>A 27901-2024</t>
        </is>
      </c>
      <c r="B313" s="1" t="n">
        <v>45475.92859953704</v>
      </c>
      <c r="C313" s="1" t="n">
        <v>45937</v>
      </c>
      <c r="D313" t="inlineStr">
        <is>
          <t>VÄSTERNORRLANDS LÄN</t>
        </is>
      </c>
      <c r="E313" t="inlineStr">
        <is>
          <t>SOLLEFTEÅ</t>
        </is>
      </c>
      <c r="G313" t="n">
        <v>12.7</v>
      </c>
      <c r="H313" t="n">
        <v>0</v>
      </c>
      <c r="I313" t="n">
        <v>0</v>
      </c>
      <c r="J313" t="n">
        <v>1</v>
      </c>
      <c r="K313" t="n">
        <v>0</v>
      </c>
      <c r="L313" t="n">
        <v>0</v>
      </c>
      <c r="M313" t="n">
        <v>0</v>
      </c>
      <c r="N313" t="n">
        <v>0</v>
      </c>
      <c r="O313" t="n">
        <v>1</v>
      </c>
      <c r="P313" t="n">
        <v>0</v>
      </c>
      <c r="Q313" t="n">
        <v>1</v>
      </c>
      <c r="R313" s="2" t="inlineStr">
        <is>
          <t>Garnlav</t>
        </is>
      </c>
      <c r="S313">
        <f>HYPERLINK("https://klasma.github.io/Logging_2283/artfynd/A 27901-2024 artfynd.xlsx", "A 27901-2024")</f>
        <v/>
      </c>
      <c r="T313">
        <f>HYPERLINK("https://klasma.github.io/Logging_2283/kartor/A 27901-2024 karta.png", "A 27901-2024")</f>
        <v/>
      </c>
      <c r="V313">
        <f>HYPERLINK("https://klasma.github.io/Logging_2283/klagomål/A 27901-2024 FSC-klagomål.docx", "A 27901-2024")</f>
        <v/>
      </c>
      <c r="W313">
        <f>HYPERLINK("https://klasma.github.io/Logging_2283/klagomålsmail/A 27901-2024 FSC-klagomål mail.docx", "A 27901-2024")</f>
        <v/>
      </c>
      <c r="X313">
        <f>HYPERLINK("https://klasma.github.io/Logging_2283/tillsyn/A 27901-2024 tillsynsbegäran.docx", "A 27901-2024")</f>
        <v/>
      </c>
      <c r="Y313">
        <f>HYPERLINK("https://klasma.github.io/Logging_2283/tillsynsmail/A 27901-2024 tillsynsbegäran mail.docx", "A 27901-2024")</f>
        <v/>
      </c>
    </row>
    <row r="314" ht="15" customHeight="1">
      <c r="A314" t="inlineStr">
        <is>
          <t>A 39897-2024</t>
        </is>
      </c>
      <c r="B314" s="1" t="n">
        <v>45553.48841435185</v>
      </c>
      <c r="C314" s="1" t="n">
        <v>45937</v>
      </c>
      <c r="D314" t="inlineStr">
        <is>
          <t>VÄSTERNORRLANDS LÄN</t>
        </is>
      </c>
      <c r="E314" t="inlineStr">
        <is>
          <t>SOLLEFTEÅ</t>
        </is>
      </c>
      <c r="G314" t="n">
        <v>1.1</v>
      </c>
      <c r="H314" t="n">
        <v>1</v>
      </c>
      <c r="I314" t="n">
        <v>0</v>
      </c>
      <c r="J314" t="n">
        <v>0</v>
      </c>
      <c r="K314" t="n">
        <v>0</v>
      </c>
      <c r="L314" t="n">
        <v>0</v>
      </c>
      <c r="M314" t="n">
        <v>0</v>
      </c>
      <c r="N314" t="n">
        <v>0</v>
      </c>
      <c r="O314" t="n">
        <v>0</v>
      </c>
      <c r="P314" t="n">
        <v>0</v>
      </c>
      <c r="Q314" t="n">
        <v>1</v>
      </c>
      <c r="R314" s="2" t="inlineStr">
        <is>
          <t>Revlummer</t>
        </is>
      </c>
      <c r="S314">
        <f>HYPERLINK("https://klasma.github.io/Logging_2283/artfynd/A 39897-2024 artfynd.xlsx", "A 39897-2024")</f>
        <v/>
      </c>
      <c r="T314">
        <f>HYPERLINK("https://klasma.github.io/Logging_2283/kartor/A 39897-2024 karta.png", "A 39897-2024")</f>
        <v/>
      </c>
      <c r="V314">
        <f>HYPERLINK("https://klasma.github.io/Logging_2283/klagomål/A 39897-2024 FSC-klagomål.docx", "A 39897-2024")</f>
        <v/>
      </c>
      <c r="W314">
        <f>HYPERLINK("https://klasma.github.io/Logging_2283/klagomålsmail/A 39897-2024 FSC-klagomål mail.docx", "A 39897-2024")</f>
        <v/>
      </c>
      <c r="X314">
        <f>HYPERLINK("https://klasma.github.io/Logging_2283/tillsyn/A 39897-2024 tillsynsbegäran.docx", "A 39897-2024")</f>
        <v/>
      </c>
      <c r="Y314">
        <f>HYPERLINK("https://klasma.github.io/Logging_2283/tillsynsmail/A 39897-2024 tillsynsbegäran mail.docx", "A 39897-2024")</f>
        <v/>
      </c>
    </row>
    <row r="315" ht="15" customHeight="1">
      <c r="A315" t="inlineStr">
        <is>
          <t>A 22345-2025</t>
        </is>
      </c>
      <c r="B315" s="1" t="n">
        <v>45786.44869212963</v>
      </c>
      <c r="C315" s="1" t="n">
        <v>45937</v>
      </c>
      <c r="D315" t="inlineStr">
        <is>
          <t>VÄSTERNORRLANDS LÄN</t>
        </is>
      </c>
      <c r="E315" t="inlineStr">
        <is>
          <t>SOLLEFTEÅ</t>
        </is>
      </c>
      <c r="F315" t="inlineStr">
        <is>
          <t>SCA</t>
        </is>
      </c>
      <c r="G315" t="n">
        <v>7.2</v>
      </c>
      <c r="H315" t="n">
        <v>0</v>
      </c>
      <c r="I315" t="n">
        <v>0</v>
      </c>
      <c r="J315" t="n">
        <v>1</v>
      </c>
      <c r="K315" t="n">
        <v>0</v>
      </c>
      <c r="L315" t="n">
        <v>0</v>
      </c>
      <c r="M315" t="n">
        <v>0</v>
      </c>
      <c r="N315" t="n">
        <v>0</v>
      </c>
      <c r="O315" t="n">
        <v>1</v>
      </c>
      <c r="P315" t="n">
        <v>0</v>
      </c>
      <c r="Q315" t="n">
        <v>1</v>
      </c>
      <c r="R315" s="2" t="inlineStr">
        <is>
          <t>Gammelgransskål</t>
        </is>
      </c>
      <c r="S315">
        <f>HYPERLINK("https://klasma.github.io/Logging_2283/artfynd/A 22345-2025 artfynd.xlsx", "A 22345-2025")</f>
        <v/>
      </c>
      <c r="T315">
        <f>HYPERLINK("https://klasma.github.io/Logging_2283/kartor/A 22345-2025 karta.png", "A 22345-2025")</f>
        <v/>
      </c>
      <c r="V315">
        <f>HYPERLINK("https://klasma.github.io/Logging_2283/klagomål/A 22345-2025 FSC-klagomål.docx", "A 22345-2025")</f>
        <v/>
      </c>
      <c r="W315">
        <f>HYPERLINK("https://klasma.github.io/Logging_2283/klagomålsmail/A 22345-2025 FSC-klagomål mail.docx", "A 22345-2025")</f>
        <v/>
      </c>
      <c r="X315">
        <f>HYPERLINK("https://klasma.github.io/Logging_2283/tillsyn/A 22345-2025 tillsynsbegäran.docx", "A 22345-2025")</f>
        <v/>
      </c>
      <c r="Y315">
        <f>HYPERLINK("https://klasma.github.io/Logging_2283/tillsynsmail/A 22345-2025 tillsynsbegäran mail.docx", "A 22345-2025")</f>
        <v/>
      </c>
    </row>
    <row r="316" ht="15" customHeight="1">
      <c r="A316" t="inlineStr">
        <is>
          <t>A 22768-2025</t>
        </is>
      </c>
      <c r="B316" s="1" t="n">
        <v>45789.63329861111</v>
      </c>
      <c r="C316" s="1" t="n">
        <v>45937</v>
      </c>
      <c r="D316" t="inlineStr">
        <is>
          <t>VÄSTERNORRLANDS LÄN</t>
        </is>
      </c>
      <c r="E316" t="inlineStr">
        <is>
          <t>SOLLEFTEÅ</t>
        </is>
      </c>
      <c r="G316" t="n">
        <v>1.9</v>
      </c>
      <c r="H316" t="n">
        <v>0</v>
      </c>
      <c r="I316" t="n">
        <v>0</v>
      </c>
      <c r="J316" t="n">
        <v>1</v>
      </c>
      <c r="K316" t="n">
        <v>0</v>
      </c>
      <c r="L316" t="n">
        <v>0</v>
      </c>
      <c r="M316" t="n">
        <v>0</v>
      </c>
      <c r="N316" t="n">
        <v>0</v>
      </c>
      <c r="O316" t="n">
        <v>1</v>
      </c>
      <c r="P316" t="n">
        <v>0</v>
      </c>
      <c r="Q316" t="n">
        <v>1</v>
      </c>
      <c r="R316" s="2" t="inlineStr">
        <is>
          <t>Granticka</t>
        </is>
      </c>
      <c r="S316">
        <f>HYPERLINK("https://klasma.github.io/Logging_2283/artfynd/A 22768-2025 artfynd.xlsx", "A 22768-2025")</f>
        <v/>
      </c>
      <c r="T316">
        <f>HYPERLINK("https://klasma.github.io/Logging_2283/kartor/A 22768-2025 karta.png", "A 22768-2025")</f>
        <v/>
      </c>
      <c r="V316">
        <f>HYPERLINK("https://klasma.github.io/Logging_2283/klagomål/A 22768-2025 FSC-klagomål.docx", "A 22768-2025")</f>
        <v/>
      </c>
      <c r="W316">
        <f>HYPERLINK("https://klasma.github.io/Logging_2283/klagomålsmail/A 22768-2025 FSC-klagomål mail.docx", "A 22768-2025")</f>
        <v/>
      </c>
      <c r="X316">
        <f>HYPERLINK("https://klasma.github.io/Logging_2283/tillsyn/A 22768-2025 tillsynsbegäran.docx", "A 22768-2025")</f>
        <v/>
      </c>
      <c r="Y316">
        <f>HYPERLINK("https://klasma.github.io/Logging_2283/tillsynsmail/A 22768-2025 tillsynsbegäran mail.docx", "A 22768-2025")</f>
        <v/>
      </c>
    </row>
    <row r="317" ht="15" customHeight="1">
      <c r="A317" t="inlineStr">
        <is>
          <t>A 39995-2024</t>
        </is>
      </c>
      <c r="B317" s="1" t="n">
        <v>45553.63572916666</v>
      </c>
      <c r="C317" s="1" t="n">
        <v>45937</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37589-2022</t>
        </is>
      </c>
      <c r="B318" s="1" t="n">
        <v>44809.94556712963</v>
      </c>
      <c r="C318" s="1" t="n">
        <v>45937</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54734-2024</t>
        </is>
      </c>
      <c r="B319" s="1" t="n">
        <v>45618.43879629629</v>
      </c>
      <c r="C319" s="1" t="n">
        <v>45937</v>
      </c>
      <c r="D319" t="inlineStr">
        <is>
          <t>VÄSTERNORRLANDS LÄN</t>
        </is>
      </c>
      <c r="E319" t="inlineStr">
        <is>
          <t>SOLLEFTEÅ</t>
        </is>
      </c>
      <c r="F319" t="inlineStr">
        <is>
          <t>SCA</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54734-2024 artfynd.xlsx", "A 54734-2024")</f>
        <v/>
      </c>
      <c r="T319">
        <f>HYPERLINK("https://klasma.github.io/Logging_2283/kartor/A 54734-2024 karta.png", "A 54734-2024")</f>
        <v/>
      </c>
      <c r="V319">
        <f>HYPERLINK("https://klasma.github.io/Logging_2283/klagomål/A 54734-2024 FSC-klagomål.docx", "A 54734-2024")</f>
        <v/>
      </c>
      <c r="W319">
        <f>HYPERLINK("https://klasma.github.io/Logging_2283/klagomålsmail/A 54734-2024 FSC-klagomål mail.docx", "A 54734-2024")</f>
        <v/>
      </c>
      <c r="X319">
        <f>HYPERLINK("https://klasma.github.io/Logging_2283/tillsyn/A 54734-2024 tillsynsbegäran.docx", "A 54734-2024")</f>
        <v/>
      </c>
      <c r="Y319">
        <f>HYPERLINK("https://klasma.github.io/Logging_2283/tillsynsmail/A 54734-2024 tillsynsbegäran mail.docx", "A 54734-2024")</f>
        <v/>
      </c>
    </row>
    <row r="320" ht="15" customHeight="1">
      <c r="A320" t="inlineStr">
        <is>
          <t>A 49366-2024</t>
        </is>
      </c>
      <c r="B320" s="1" t="n">
        <v>45595.63572916666</v>
      </c>
      <c r="C320" s="1" t="n">
        <v>45937</v>
      </c>
      <c r="D320" t="inlineStr">
        <is>
          <t>VÄSTERNORRLANDS LÄN</t>
        </is>
      </c>
      <c r="E320" t="inlineStr">
        <is>
          <t>SOLLEFTEÅ</t>
        </is>
      </c>
      <c r="F320" t="inlineStr">
        <is>
          <t>SCA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HYPERLINK("https://klasma.github.io/Logging_2283/artfynd/A 49366-2024 artfynd.xlsx", "A 49366-2024")</f>
        <v/>
      </c>
      <c r="T320">
        <f>HYPERLINK("https://klasma.github.io/Logging_2283/kartor/A 49366-2024 karta.png", "A 49366-2024")</f>
        <v/>
      </c>
      <c r="U320">
        <f>HYPERLINK("https://klasma.github.io/Logging_2283/knärot/A 49366-2024 karta knärot.png", "A 49366-2024")</f>
        <v/>
      </c>
      <c r="V320">
        <f>HYPERLINK("https://klasma.github.io/Logging_2283/klagomål/A 49366-2024 FSC-klagomål.docx", "A 49366-2024")</f>
        <v/>
      </c>
      <c r="W320">
        <f>HYPERLINK("https://klasma.github.io/Logging_2283/klagomålsmail/A 49366-2024 FSC-klagomål mail.docx", "A 49366-2024")</f>
        <v/>
      </c>
      <c r="X320">
        <f>HYPERLINK("https://klasma.github.io/Logging_2283/tillsyn/A 49366-2024 tillsynsbegäran.docx", "A 49366-2024")</f>
        <v/>
      </c>
      <c r="Y320">
        <f>HYPERLINK("https://klasma.github.io/Logging_2283/tillsynsmail/A 49366-2024 tillsynsbegäran mail.docx", "A 49366-2024")</f>
        <v/>
      </c>
    </row>
    <row r="321" ht="15" customHeight="1">
      <c r="A321" t="inlineStr">
        <is>
          <t>A 48948-2024</t>
        </is>
      </c>
      <c r="B321" s="1" t="n">
        <v>45594.42767361111</v>
      </c>
      <c r="C321" s="1" t="n">
        <v>45937</v>
      </c>
      <c r="D321" t="inlineStr">
        <is>
          <t>VÄSTERNORRLANDS LÄN</t>
        </is>
      </c>
      <c r="E321" t="inlineStr">
        <is>
          <t>SOLLEFTEÅ</t>
        </is>
      </c>
      <c r="F321" t="inlineStr">
        <is>
          <t>SCA</t>
        </is>
      </c>
      <c r="G321" t="n">
        <v>15</v>
      </c>
      <c r="H321" t="n">
        <v>1</v>
      </c>
      <c r="I321" t="n">
        <v>0</v>
      </c>
      <c r="J321" t="n">
        <v>0</v>
      </c>
      <c r="K321" t="n">
        <v>0</v>
      </c>
      <c r="L321" t="n">
        <v>0</v>
      </c>
      <c r="M321" t="n">
        <v>0</v>
      </c>
      <c r="N321" t="n">
        <v>0</v>
      </c>
      <c r="O321" t="n">
        <v>0</v>
      </c>
      <c r="P321" t="n">
        <v>0</v>
      </c>
      <c r="Q321" t="n">
        <v>1</v>
      </c>
      <c r="R321" s="2" t="inlineStr">
        <is>
          <t>Mattlummer</t>
        </is>
      </c>
      <c r="S321">
        <f>HYPERLINK("https://klasma.github.io/Logging_2283/artfynd/A 48948-2024 artfynd.xlsx", "A 48948-2024")</f>
        <v/>
      </c>
      <c r="T321">
        <f>HYPERLINK("https://klasma.github.io/Logging_2283/kartor/A 48948-2024 karta.png", "A 48948-2024")</f>
        <v/>
      </c>
      <c r="V321">
        <f>HYPERLINK("https://klasma.github.io/Logging_2283/klagomål/A 48948-2024 FSC-klagomål.docx", "A 48948-2024")</f>
        <v/>
      </c>
      <c r="W321">
        <f>HYPERLINK("https://klasma.github.io/Logging_2283/klagomålsmail/A 48948-2024 FSC-klagomål mail.docx", "A 48948-2024")</f>
        <v/>
      </c>
      <c r="X321">
        <f>HYPERLINK("https://klasma.github.io/Logging_2283/tillsyn/A 48948-2024 tillsynsbegäran.docx", "A 48948-2024")</f>
        <v/>
      </c>
      <c r="Y321">
        <f>HYPERLINK("https://klasma.github.io/Logging_2283/tillsynsmail/A 48948-2024 tillsynsbegäran mail.docx", "A 48948-2024")</f>
        <v/>
      </c>
    </row>
    <row r="322" ht="15" customHeight="1">
      <c r="A322" t="inlineStr">
        <is>
          <t>A 14805-2024</t>
        </is>
      </c>
      <c r="B322" s="1" t="n">
        <v>45397</v>
      </c>
      <c r="C322" s="1" t="n">
        <v>45937</v>
      </c>
      <c r="D322" t="inlineStr">
        <is>
          <t>VÄSTERNORRLANDS LÄN</t>
        </is>
      </c>
      <c r="E322" t="inlineStr">
        <is>
          <t>SOLLEFTEÅ</t>
        </is>
      </c>
      <c r="F322" t="inlineStr">
        <is>
          <t>SCA</t>
        </is>
      </c>
      <c r="G322" t="n">
        <v>3.5</v>
      </c>
      <c r="H322" t="n">
        <v>0</v>
      </c>
      <c r="I322" t="n">
        <v>0</v>
      </c>
      <c r="J322" t="n">
        <v>1</v>
      </c>
      <c r="K322" t="n">
        <v>0</v>
      </c>
      <c r="L322" t="n">
        <v>0</v>
      </c>
      <c r="M322" t="n">
        <v>0</v>
      </c>
      <c r="N322" t="n">
        <v>0</v>
      </c>
      <c r="O322" t="n">
        <v>1</v>
      </c>
      <c r="P322" t="n">
        <v>0</v>
      </c>
      <c r="Q322" t="n">
        <v>1</v>
      </c>
      <c r="R322" s="2" t="inlineStr">
        <is>
          <t>Dvärgbägarlav</t>
        </is>
      </c>
      <c r="S322">
        <f>HYPERLINK("https://klasma.github.io/Logging_2283/artfynd/A 14805-2024 artfynd.xlsx", "A 14805-2024")</f>
        <v/>
      </c>
      <c r="T322">
        <f>HYPERLINK("https://klasma.github.io/Logging_2283/kartor/A 14805-2024 karta.png", "A 14805-2024")</f>
        <v/>
      </c>
      <c r="V322">
        <f>HYPERLINK("https://klasma.github.io/Logging_2283/klagomål/A 14805-2024 FSC-klagomål.docx", "A 14805-2024")</f>
        <v/>
      </c>
      <c r="W322">
        <f>HYPERLINK("https://klasma.github.io/Logging_2283/klagomålsmail/A 14805-2024 FSC-klagomål mail.docx", "A 14805-2024")</f>
        <v/>
      </c>
      <c r="X322">
        <f>HYPERLINK("https://klasma.github.io/Logging_2283/tillsyn/A 14805-2024 tillsynsbegäran.docx", "A 14805-2024")</f>
        <v/>
      </c>
      <c r="Y322">
        <f>HYPERLINK("https://klasma.github.io/Logging_2283/tillsynsmail/A 14805-2024 tillsynsbegäran mail.docx", "A 14805-2024")</f>
        <v/>
      </c>
    </row>
    <row r="323" ht="15" customHeight="1">
      <c r="A323" t="inlineStr">
        <is>
          <t>A 22214-2025</t>
        </is>
      </c>
      <c r="B323" s="1" t="n">
        <v>45785.65792824074</v>
      </c>
      <c r="C323" s="1" t="n">
        <v>45937</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26019-2025</t>
        </is>
      </c>
      <c r="B324" s="1" t="n">
        <v>45804.67811342593</v>
      </c>
      <c r="C324" s="1" t="n">
        <v>45937</v>
      </c>
      <c r="D324" t="inlineStr">
        <is>
          <t>VÄSTERNORRLANDS LÄN</t>
        </is>
      </c>
      <c r="E324" t="inlineStr">
        <is>
          <t>SOLLEFTEÅ</t>
        </is>
      </c>
      <c r="F324" t="inlineStr">
        <is>
          <t>SCA</t>
        </is>
      </c>
      <c r="G324" t="n">
        <v>3.7</v>
      </c>
      <c r="H324" t="n">
        <v>0</v>
      </c>
      <c r="I324" t="n">
        <v>0</v>
      </c>
      <c r="J324" t="n">
        <v>1</v>
      </c>
      <c r="K324" t="n">
        <v>0</v>
      </c>
      <c r="L324" t="n">
        <v>0</v>
      </c>
      <c r="M324" t="n">
        <v>0</v>
      </c>
      <c r="N324" t="n">
        <v>0</v>
      </c>
      <c r="O324" t="n">
        <v>1</v>
      </c>
      <c r="P324" t="n">
        <v>0</v>
      </c>
      <c r="Q324" t="n">
        <v>1</v>
      </c>
      <c r="R324" s="2" t="inlineStr">
        <is>
          <t>Rosenticka</t>
        </is>
      </c>
      <c r="S324">
        <f>HYPERLINK("https://klasma.github.io/Logging_2283/artfynd/A 26019-2025 artfynd.xlsx", "A 26019-2025")</f>
        <v/>
      </c>
      <c r="T324">
        <f>HYPERLINK("https://klasma.github.io/Logging_2283/kartor/A 26019-2025 karta.png", "A 26019-2025")</f>
        <v/>
      </c>
      <c r="V324">
        <f>HYPERLINK("https://klasma.github.io/Logging_2283/klagomål/A 26019-2025 FSC-klagomål.docx", "A 26019-2025")</f>
        <v/>
      </c>
      <c r="W324">
        <f>HYPERLINK("https://klasma.github.io/Logging_2283/klagomålsmail/A 26019-2025 FSC-klagomål mail.docx", "A 26019-2025")</f>
        <v/>
      </c>
      <c r="X324">
        <f>HYPERLINK("https://klasma.github.io/Logging_2283/tillsyn/A 26019-2025 tillsynsbegäran.docx", "A 26019-2025")</f>
        <v/>
      </c>
      <c r="Y324">
        <f>HYPERLINK("https://klasma.github.io/Logging_2283/tillsynsmail/A 26019-2025 tillsynsbegäran mail.docx", "A 26019-2025")</f>
        <v/>
      </c>
    </row>
    <row r="325" ht="15" customHeight="1">
      <c r="A325" t="inlineStr">
        <is>
          <t>A 23169-2025</t>
        </is>
      </c>
      <c r="B325" s="1" t="n">
        <v>45791.42752314815</v>
      </c>
      <c r="C325" s="1" t="n">
        <v>45937</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Järpe</t>
        </is>
      </c>
      <c r="S325">
        <f>HYPERLINK("https://klasma.github.io/Logging_2283/artfynd/A 23169-2025 artfynd.xlsx", "A 23169-2025")</f>
        <v/>
      </c>
      <c r="T325">
        <f>HYPERLINK("https://klasma.github.io/Logging_2283/kartor/A 23169-2025 karta.png", "A 23169-2025")</f>
        <v/>
      </c>
      <c r="V325">
        <f>HYPERLINK("https://klasma.github.io/Logging_2283/klagomål/A 23169-2025 FSC-klagomål.docx", "A 23169-2025")</f>
        <v/>
      </c>
      <c r="W325">
        <f>HYPERLINK("https://klasma.github.io/Logging_2283/klagomålsmail/A 23169-2025 FSC-klagomål mail.docx", "A 23169-2025")</f>
        <v/>
      </c>
      <c r="X325">
        <f>HYPERLINK("https://klasma.github.io/Logging_2283/tillsyn/A 23169-2025 tillsynsbegäran.docx", "A 23169-2025")</f>
        <v/>
      </c>
      <c r="Y325">
        <f>HYPERLINK("https://klasma.github.io/Logging_2283/tillsynsmail/A 23169-2025 tillsynsbegäran mail.docx", "A 23169-2025")</f>
        <v/>
      </c>
      <c r="Z325">
        <f>HYPERLINK("https://klasma.github.io/Logging_2283/fåglar/A 23169-2025 prioriterade fågelarter.docx", "A 23169-2025")</f>
        <v/>
      </c>
    </row>
    <row r="326" ht="15" customHeight="1">
      <c r="A326" t="inlineStr">
        <is>
          <t>A 53039-2023</t>
        </is>
      </c>
      <c r="B326" s="1" t="n">
        <v>45226</v>
      </c>
      <c r="C326" s="1" t="n">
        <v>45937</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Nordfladdermus</t>
        </is>
      </c>
      <c r="S326">
        <f>HYPERLINK("https://klasma.github.io/Logging_2283/artfynd/A 53039-2023 artfynd.xlsx", "A 53039-2023")</f>
        <v/>
      </c>
      <c r="T326">
        <f>HYPERLINK("https://klasma.github.io/Logging_2283/kartor/A 53039-2023 karta.png", "A 53039-2023")</f>
        <v/>
      </c>
      <c r="V326">
        <f>HYPERLINK("https://klasma.github.io/Logging_2283/klagomål/A 53039-2023 FSC-klagomål.docx", "A 53039-2023")</f>
        <v/>
      </c>
      <c r="W326">
        <f>HYPERLINK("https://klasma.github.io/Logging_2283/klagomålsmail/A 53039-2023 FSC-klagomål mail.docx", "A 53039-2023")</f>
        <v/>
      </c>
      <c r="X326">
        <f>HYPERLINK("https://klasma.github.io/Logging_2283/tillsyn/A 53039-2023 tillsynsbegäran.docx", "A 53039-2023")</f>
        <v/>
      </c>
      <c r="Y326">
        <f>HYPERLINK("https://klasma.github.io/Logging_2283/tillsynsmail/A 53039-2023 tillsynsbegäran mail.docx", "A 53039-2023")</f>
        <v/>
      </c>
    </row>
    <row r="327" ht="15" customHeight="1">
      <c r="A327" t="inlineStr">
        <is>
          <t>A 26501-2025</t>
        </is>
      </c>
      <c r="B327" s="1" t="n">
        <v>45807</v>
      </c>
      <c r="C327" s="1" t="n">
        <v>45937</v>
      </c>
      <c r="D327" t="inlineStr">
        <is>
          <t>VÄSTERNORRLANDS LÄN</t>
        </is>
      </c>
      <c r="E327" t="inlineStr">
        <is>
          <t>SOLLEFTEÅ</t>
        </is>
      </c>
      <c r="F327" t="inlineStr">
        <is>
          <t>SCA</t>
        </is>
      </c>
      <c r="G327" t="n">
        <v>3.9</v>
      </c>
      <c r="H327" t="n">
        <v>0</v>
      </c>
      <c r="I327" t="n">
        <v>0</v>
      </c>
      <c r="J327" t="n">
        <v>1</v>
      </c>
      <c r="K327" t="n">
        <v>0</v>
      </c>
      <c r="L327" t="n">
        <v>0</v>
      </c>
      <c r="M327" t="n">
        <v>0</v>
      </c>
      <c r="N327" t="n">
        <v>0</v>
      </c>
      <c r="O327" t="n">
        <v>1</v>
      </c>
      <c r="P327" t="n">
        <v>0</v>
      </c>
      <c r="Q327" t="n">
        <v>1</v>
      </c>
      <c r="R327" s="2" t="inlineStr">
        <is>
          <t>Vedflikmossa</t>
        </is>
      </c>
      <c r="S327">
        <f>HYPERLINK("https://klasma.github.io/Logging_2283/artfynd/A 26501-2025 artfynd.xlsx", "A 26501-2025")</f>
        <v/>
      </c>
      <c r="T327">
        <f>HYPERLINK("https://klasma.github.io/Logging_2283/kartor/A 26501-2025 karta.png", "A 26501-2025")</f>
        <v/>
      </c>
      <c r="V327">
        <f>HYPERLINK("https://klasma.github.io/Logging_2283/klagomål/A 26501-2025 FSC-klagomål.docx", "A 26501-2025")</f>
        <v/>
      </c>
      <c r="W327">
        <f>HYPERLINK("https://klasma.github.io/Logging_2283/klagomålsmail/A 26501-2025 FSC-klagomål mail.docx", "A 26501-2025")</f>
        <v/>
      </c>
      <c r="X327">
        <f>HYPERLINK("https://klasma.github.io/Logging_2283/tillsyn/A 26501-2025 tillsynsbegäran.docx", "A 26501-2025")</f>
        <v/>
      </c>
      <c r="Y327">
        <f>HYPERLINK("https://klasma.github.io/Logging_2283/tillsynsmail/A 26501-2025 tillsynsbegäran mail.docx", "A 26501-2025")</f>
        <v/>
      </c>
    </row>
    <row r="328" ht="15" customHeight="1">
      <c r="A328" t="inlineStr">
        <is>
          <t>A 15669-2022</t>
        </is>
      </c>
      <c r="B328" s="1" t="n">
        <v>44662</v>
      </c>
      <c r="C328" s="1" t="n">
        <v>45937</v>
      </c>
      <c r="D328" t="inlineStr">
        <is>
          <t>VÄSTERNORRLANDS LÄN</t>
        </is>
      </c>
      <c r="E328" t="inlineStr">
        <is>
          <t>SOLLEFTEÅ</t>
        </is>
      </c>
      <c r="G328" t="n">
        <v>12.1</v>
      </c>
      <c r="H328" t="n">
        <v>0</v>
      </c>
      <c r="I328" t="n">
        <v>1</v>
      </c>
      <c r="J328" t="n">
        <v>0</v>
      </c>
      <c r="K328" t="n">
        <v>0</v>
      </c>
      <c r="L328" t="n">
        <v>0</v>
      </c>
      <c r="M328" t="n">
        <v>0</v>
      </c>
      <c r="N328" t="n">
        <v>0</v>
      </c>
      <c r="O328" t="n">
        <v>0</v>
      </c>
      <c r="P328" t="n">
        <v>0</v>
      </c>
      <c r="Q328" t="n">
        <v>1</v>
      </c>
      <c r="R328" s="2" t="inlineStr">
        <is>
          <t>Skinnlav</t>
        </is>
      </c>
      <c r="S328">
        <f>HYPERLINK("https://klasma.github.io/Logging_2283/artfynd/A 15669-2022 artfynd.xlsx", "A 15669-2022")</f>
        <v/>
      </c>
      <c r="T328">
        <f>HYPERLINK("https://klasma.github.io/Logging_2283/kartor/A 15669-2022 karta.png", "A 15669-2022")</f>
        <v/>
      </c>
      <c r="V328">
        <f>HYPERLINK("https://klasma.github.io/Logging_2283/klagomål/A 15669-2022 FSC-klagomål.docx", "A 15669-2022")</f>
        <v/>
      </c>
      <c r="W328">
        <f>HYPERLINK("https://klasma.github.io/Logging_2283/klagomålsmail/A 15669-2022 FSC-klagomål mail.docx", "A 15669-2022")</f>
        <v/>
      </c>
      <c r="X328">
        <f>HYPERLINK("https://klasma.github.io/Logging_2283/tillsyn/A 15669-2022 tillsynsbegäran.docx", "A 15669-2022")</f>
        <v/>
      </c>
      <c r="Y328">
        <f>HYPERLINK("https://klasma.github.io/Logging_2283/tillsynsmail/A 15669-2022 tillsynsbegäran mail.docx", "A 15669-2022")</f>
        <v/>
      </c>
    </row>
    <row r="329" ht="15" customHeight="1">
      <c r="A329" t="inlineStr">
        <is>
          <t>A 17215-2025</t>
        </is>
      </c>
      <c r="B329" s="1" t="n">
        <v>45756.44856481482</v>
      </c>
      <c r="C329" s="1" t="n">
        <v>45937</v>
      </c>
      <c r="D329" t="inlineStr">
        <is>
          <t>VÄSTERNORRLANDS LÄN</t>
        </is>
      </c>
      <c r="E329" t="inlineStr">
        <is>
          <t>SOLLEFTEÅ</t>
        </is>
      </c>
      <c r="F329" t="inlineStr">
        <is>
          <t>SCA</t>
        </is>
      </c>
      <c r="G329" t="n">
        <v>5</v>
      </c>
      <c r="H329" t="n">
        <v>0</v>
      </c>
      <c r="I329" t="n">
        <v>0</v>
      </c>
      <c r="J329" t="n">
        <v>1</v>
      </c>
      <c r="K329" t="n">
        <v>0</v>
      </c>
      <c r="L329" t="n">
        <v>0</v>
      </c>
      <c r="M329" t="n">
        <v>0</v>
      </c>
      <c r="N329" t="n">
        <v>0</v>
      </c>
      <c r="O329" t="n">
        <v>1</v>
      </c>
      <c r="P329" t="n">
        <v>0</v>
      </c>
      <c r="Q329" t="n">
        <v>1</v>
      </c>
      <c r="R329" s="2" t="inlineStr">
        <is>
          <t>Vitgrynig nållav</t>
        </is>
      </c>
      <c r="S329">
        <f>HYPERLINK("https://klasma.github.io/Logging_2283/artfynd/A 17215-2025 artfynd.xlsx", "A 17215-2025")</f>
        <v/>
      </c>
      <c r="T329">
        <f>HYPERLINK("https://klasma.github.io/Logging_2283/kartor/A 17215-2025 karta.png", "A 17215-2025")</f>
        <v/>
      </c>
      <c r="V329">
        <f>HYPERLINK("https://klasma.github.io/Logging_2283/klagomål/A 17215-2025 FSC-klagomål.docx", "A 17215-2025")</f>
        <v/>
      </c>
      <c r="W329">
        <f>HYPERLINK("https://klasma.github.io/Logging_2283/klagomålsmail/A 17215-2025 FSC-klagomål mail.docx", "A 17215-2025")</f>
        <v/>
      </c>
      <c r="X329">
        <f>HYPERLINK("https://klasma.github.io/Logging_2283/tillsyn/A 17215-2025 tillsynsbegäran.docx", "A 17215-2025")</f>
        <v/>
      </c>
      <c r="Y329">
        <f>HYPERLINK("https://klasma.github.io/Logging_2283/tillsynsmail/A 17215-2025 tillsynsbegäran mail.docx", "A 17215-2025")</f>
        <v/>
      </c>
    </row>
    <row r="330" ht="15" customHeight="1">
      <c r="A330" t="inlineStr">
        <is>
          <t>A 19199-2025</t>
        </is>
      </c>
      <c r="B330" s="1" t="n">
        <v>45769</v>
      </c>
      <c r="C330" s="1" t="n">
        <v>45937</v>
      </c>
      <c r="D330" t="inlineStr">
        <is>
          <t>VÄSTERNORRLANDS LÄN</t>
        </is>
      </c>
      <c r="E330" t="inlineStr">
        <is>
          <t>SOLLEFTEÅ</t>
        </is>
      </c>
      <c r="F330" t="inlineStr">
        <is>
          <t>SCA</t>
        </is>
      </c>
      <c r="G330" t="n">
        <v>1.5</v>
      </c>
      <c r="H330" t="n">
        <v>1</v>
      </c>
      <c r="I330" t="n">
        <v>0</v>
      </c>
      <c r="J330" t="n">
        <v>1</v>
      </c>
      <c r="K330" t="n">
        <v>0</v>
      </c>
      <c r="L330" t="n">
        <v>0</v>
      </c>
      <c r="M330" t="n">
        <v>0</v>
      </c>
      <c r="N330" t="n">
        <v>0</v>
      </c>
      <c r="O330" t="n">
        <v>1</v>
      </c>
      <c r="P330" t="n">
        <v>0</v>
      </c>
      <c r="Q330" t="n">
        <v>1</v>
      </c>
      <c r="R330" s="2" t="inlineStr">
        <is>
          <t>Spillkråka</t>
        </is>
      </c>
      <c r="S330">
        <f>HYPERLINK("https://klasma.github.io/Logging_2283/artfynd/A 19199-2025 artfynd.xlsx", "A 19199-2025")</f>
        <v/>
      </c>
      <c r="T330">
        <f>HYPERLINK("https://klasma.github.io/Logging_2283/kartor/A 19199-2025 karta.png", "A 19199-2025")</f>
        <v/>
      </c>
      <c r="V330">
        <f>HYPERLINK("https://klasma.github.io/Logging_2283/klagomål/A 19199-2025 FSC-klagomål.docx", "A 19199-2025")</f>
        <v/>
      </c>
      <c r="W330">
        <f>HYPERLINK("https://klasma.github.io/Logging_2283/klagomålsmail/A 19199-2025 FSC-klagomål mail.docx", "A 19199-2025")</f>
        <v/>
      </c>
      <c r="X330">
        <f>HYPERLINK("https://klasma.github.io/Logging_2283/tillsyn/A 19199-2025 tillsynsbegäran.docx", "A 19199-2025")</f>
        <v/>
      </c>
      <c r="Y330">
        <f>HYPERLINK("https://klasma.github.io/Logging_2283/tillsynsmail/A 19199-2025 tillsynsbegäran mail.docx", "A 19199-2025")</f>
        <v/>
      </c>
      <c r="Z330">
        <f>HYPERLINK("https://klasma.github.io/Logging_2283/fåglar/A 19199-2025 prioriterade fågelarter.docx", "A 19199-2025")</f>
        <v/>
      </c>
    </row>
    <row r="331" ht="15" customHeight="1">
      <c r="A331" t="inlineStr">
        <is>
          <t>A 19204-2025</t>
        </is>
      </c>
      <c r="B331" s="1" t="n">
        <v>45769</v>
      </c>
      <c r="C331" s="1" t="n">
        <v>45937</v>
      </c>
      <c r="D331" t="inlineStr">
        <is>
          <t>VÄSTERNORRLANDS LÄN</t>
        </is>
      </c>
      <c r="E331" t="inlineStr">
        <is>
          <t>SOLLEFTEÅ</t>
        </is>
      </c>
      <c r="F331" t="inlineStr">
        <is>
          <t>SCA</t>
        </is>
      </c>
      <c r="G331" t="n">
        <v>5.7</v>
      </c>
      <c r="H331" t="n">
        <v>1</v>
      </c>
      <c r="I331" t="n">
        <v>0</v>
      </c>
      <c r="J331" t="n">
        <v>0</v>
      </c>
      <c r="K331" t="n">
        <v>0</v>
      </c>
      <c r="L331" t="n">
        <v>0</v>
      </c>
      <c r="M331" t="n">
        <v>0</v>
      </c>
      <c r="N331" t="n">
        <v>0</v>
      </c>
      <c r="O331" t="n">
        <v>0</v>
      </c>
      <c r="P331" t="n">
        <v>0</v>
      </c>
      <c r="Q331" t="n">
        <v>1</v>
      </c>
      <c r="R331" s="2" t="inlineStr">
        <is>
          <t>Tjäder</t>
        </is>
      </c>
      <c r="S331">
        <f>HYPERLINK("https://klasma.github.io/Logging_2283/artfynd/A 19204-2025 artfynd.xlsx", "A 19204-2025")</f>
        <v/>
      </c>
      <c r="T331">
        <f>HYPERLINK("https://klasma.github.io/Logging_2283/kartor/A 19204-2025 karta.png", "A 19204-2025")</f>
        <v/>
      </c>
      <c r="V331">
        <f>HYPERLINK("https://klasma.github.io/Logging_2283/klagomål/A 19204-2025 FSC-klagomål.docx", "A 19204-2025")</f>
        <v/>
      </c>
      <c r="W331">
        <f>HYPERLINK("https://klasma.github.io/Logging_2283/klagomålsmail/A 19204-2025 FSC-klagomål mail.docx", "A 19204-2025")</f>
        <v/>
      </c>
      <c r="X331">
        <f>HYPERLINK("https://klasma.github.io/Logging_2283/tillsyn/A 19204-2025 tillsynsbegäran.docx", "A 19204-2025")</f>
        <v/>
      </c>
      <c r="Y331">
        <f>HYPERLINK("https://klasma.github.io/Logging_2283/tillsynsmail/A 19204-2025 tillsynsbegäran mail.docx", "A 19204-2025")</f>
        <v/>
      </c>
      <c r="Z331">
        <f>HYPERLINK("https://klasma.github.io/Logging_2283/fåglar/A 19204-2025 prioriterade fågelarter.docx", "A 19204-2025")</f>
        <v/>
      </c>
    </row>
    <row r="332" ht="15" customHeight="1">
      <c r="A332" t="inlineStr">
        <is>
          <t>A 30948-2025</t>
        </is>
      </c>
      <c r="B332" s="1" t="n">
        <v>45832.42745370371</v>
      </c>
      <c r="C332" s="1" t="n">
        <v>45937</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21360-2021</t>
        </is>
      </c>
      <c r="B333" s="1" t="n">
        <v>44320</v>
      </c>
      <c r="C333" s="1" t="n">
        <v>45937</v>
      </c>
      <c r="D333" t="inlineStr">
        <is>
          <t>VÄSTERNORRLANDS LÄN</t>
        </is>
      </c>
      <c r="E333" t="inlineStr">
        <is>
          <t>SOLLEFTEÅ</t>
        </is>
      </c>
      <c r="G333" t="n">
        <v>6.8</v>
      </c>
      <c r="H333" t="n">
        <v>1</v>
      </c>
      <c r="I333" t="n">
        <v>0</v>
      </c>
      <c r="J333" t="n">
        <v>0</v>
      </c>
      <c r="K333" t="n">
        <v>1</v>
      </c>
      <c r="L333" t="n">
        <v>0</v>
      </c>
      <c r="M333" t="n">
        <v>0</v>
      </c>
      <c r="N333" t="n">
        <v>0</v>
      </c>
      <c r="O333" t="n">
        <v>1</v>
      </c>
      <c r="P333" t="n">
        <v>1</v>
      </c>
      <c r="Q333" t="n">
        <v>1</v>
      </c>
      <c r="R333" s="2" t="inlineStr">
        <is>
          <t>Knärot</t>
        </is>
      </c>
      <c r="S333">
        <f>HYPERLINK("https://klasma.github.io/Logging_2283/artfynd/A 21360-2021 artfynd.xlsx", "A 21360-2021")</f>
        <v/>
      </c>
      <c r="T333">
        <f>HYPERLINK("https://klasma.github.io/Logging_2283/kartor/A 21360-2021 karta.png", "A 21360-2021")</f>
        <v/>
      </c>
      <c r="U333">
        <f>HYPERLINK("https://klasma.github.io/Logging_2283/knärot/A 21360-2021 karta knärot.png", "A 21360-2021")</f>
        <v/>
      </c>
      <c r="V333">
        <f>HYPERLINK("https://klasma.github.io/Logging_2283/klagomål/A 21360-2021 FSC-klagomål.docx", "A 21360-2021")</f>
        <v/>
      </c>
      <c r="W333">
        <f>HYPERLINK("https://klasma.github.io/Logging_2283/klagomålsmail/A 21360-2021 FSC-klagomål mail.docx", "A 21360-2021")</f>
        <v/>
      </c>
      <c r="X333">
        <f>HYPERLINK("https://klasma.github.io/Logging_2283/tillsyn/A 21360-2021 tillsynsbegäran.docx", "A 21360-2021")</f>
        <v/>
      </c>
      <c r="Y333">
        <f>HYPERLINK("https://klasma.github.io/Logging_2283/tillsynsmail/A 21360-2021 tillsynsbegäran mail.docx", "A 21360-2021")</f>
        <v/>
      </c>
    </row>
    <row r="334" ht="15" customHeight="1">
      <c r="A334" t="inlineStr">
        <is>
          <t>A 59997-2024</t>
        </is>
      </c>
      <c r="B334" s="1" t="n">
        <v>45642.40715277778</v>
      </c>
      <c r="C334" s="1" t="n">
        <v>45937</v>
      </c>
      <c r="D334" t="inlineStr">
        <is>
          <t>VÄSTERNORRLANDS LÄN</t>
        </is>
      </c>
      <c r="E334" t="inlineStr">
        <is>
          <t>SOLLEFTEÅ</t>
        </is>
      </c>
      <c r="F334" t="inlineStr">
        <is>
          <t>SCA</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HYPERLINK("https://klasma.github.io/Logging_2283/artfynd/A 59997-2024 artfynd.xlsx", "A 59997-2024")</f>
        <v/>
      </c>
      <c r="T334">
        <f>HYPERLINK("https://klasma.github.io/Logging_2283/kartor/A 59997-2024 karta.png", "A 59997-2024")</f>
        <v/>
      </c>
      <c r="V334">
        <f>HYPERLINK("https://klasma.github.io/Logging_2283/klagomål/A 59997-2024 FSC-klagomål.docx", "A 59997-2024")</f>
        <v/>
      </c>
      <c r="W334">
        <f>HYPERLINK("https://klasma.github.io/Logging_2283/klagomålsmail/A 59997-2024 FSC-klagomål mail.docx", "A 59997-2024")</f>
        <v/>
      </c>
      <c r="X334">
        <f>HYPERLINK("https://klasma.github.io/Logging_2283/tillsyn/A 59997-2024 tillsynsbegäran.docx", "A 59997-2024")</f>
        <v/>
      </c>
      <c r="Y334">
        <f>HYPERLINK("https://klasma.github.io/Logging_2283/tillsynsmail/A 59997-2024 tillsynsbegäran mail.docx", "A 59997-2024")</f>
        <v/>
      </c>
    </row>
    <row r="335" ht="15" customHeight="1">
      <c r="A335" t="inlineStr">
        <is>
          <t>A 48526-2025</t>
        </is>
      </c>
      <c r="B335" s="1" t="n">
        <v>45936.40723379629</v>
      </c>
      <c r="C335" s="1" t="n">
        <v>45937</v>
      </c>
      <c r="D335" t="inlineStr">
        <is>
          <t>VÄSTERNORRLANDS LÄN</t>
        </is>
      </c>
      <c r="E335" t="inlineStr">
        <is>
          <t>SOLLEFTEÅ</t>
        </is>
      </c>
      <c r="F335" t="inlineStr">
        <is>
          <t>SCA</t>
        </is>
      </c>
      <c r="G335" t="n">
        <v>6.9</v>
      </c>
      <c r="H335" t="n">
        <v>1</v>
      </c>
      <c r="I335" t="n">
        <v>0</v>
      </c>
      <c r="J335" t="n">
        <v>0</v>
      </c>
      <c r="K335" t="n">
        <v>0</v>
      </c>
      <c r="L335" t="n">
        <v>0</v>
      </c>
      <c r="M335" t="n">
        <v>0</v>
      </c>
      <c r="N335" t="n">
        <v>0</v>
      </c>
      <c r="O335" t="n">
        <v>0</v>
      </c>
      <c r="P335" t="n">
        <v>0</v>
      </c>
      <c r="Q335" t="n">
        <v>1</v>
      </c>
      <c r="R335" s="2" t="inlineStr">
        <is>
          <t>Revlummer</t>
        </is>
      </c>
      <c r="S335">
        <f>HYPERLINK("https://klasma.github.io/Logging_2283/artfynd/A 48526-2025 artfynd.xlsx", "A 48526-2025")</f>
        <v/>
      </c>
      <c r="T335">
        <f>HYPERLINK("https://klasma.github.io/Logging_2283/kartor/A 48526-2025 karta.png", "A 48526-2025")</f>
        <v/>
      </c>
      <c r="V335">
        <f>HYPERLINK("https://klasma.github.io/Logging_2283/klagomål/A 48526-2025 FSC-klagomål.docx", "A 48526-2025")</f>
        <v/>
      </c>
      <c r="W335">
        <f>HYPERLINK("https://klasma.github.io/Logging_2283/klagomålsmail/A 48526-2025 FSC-klagomål mail.docx", "A 48526-2025")</f>
        <v/>
      </c>
      <c r="X335">
        <f>HYPERLINK("https://klasma.github.io/Logging_2283/tillsyn/A 48526-2025 tillsynsbegäran.docx", "A 48526-2025")</f>
        <v/>
      </c>
      <c r="Y335">
        <f>HYPERLINK("https://klasma.github.io/Logging_2283/tillsynsmail/A 48526-2025 tillsynsbegäran mail.docx", "A 48526-2025")</f>
        <v/>
      </c>
    </row>
    <row r="336" ht="15" customHeight="1">
      <c r="A336" t="inlineStr">
        <is>
          <t>A 68651-2020</t>
        </is>
      </c>
      <c r="B336" s="1" t="n">
        <v>44186</v>
      </c>
      <c r="C336" s="1" t="n">
        <v>45937</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22428-2025</t>
        </is>
      </c>
      <c r="B337" s="1" t="n">
        <v>45786.57351851852</v>
      </c>
      <c r="C337" s="1" t="n">
        <v>45937</v>
      </c>
      <c r="D337" t="inlineStr">
        <is>
          <t>VÄSTERNORRLANDS LÄN</t>
        </is>
      </c>
      <c r="E337" t="inlineStr">
        <is>
          <t>SOLLEFTEÅ</t>
        </is>
      </c>
      <c r="G337" t="n">
        <v>11.6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22428-2025 artfynd.xlsx", "A 22428-2025")</f>
        <v/>
      </c>
      <c r="T337">
        <f>HYPERLINK("https://klasma.github.io/Logging_2283/kartor/A 22428-2025 karta.png", "A 22428-2025")</f>
        <v/>
      </c>
      <c r="V337">
        <f>HYPERLINK("https://klasma.github.io/Logging_2283/klagomål/A 22428-2025 FSC-klagomål.docx", "A 22428-2025")</f>
        <v/>
      </c>
      <c r="W337">
        <f>HYPERLINK("https://klasma.github.io/Logging_2283/klagomålsmail/A 22428-2025 FSC-klagomål mail.docx", "A 22428-2025")</f>
        <v/>
      </c>
      <c r="X337">
        <f>HYPERLINK("https://klasma.github.io/Logging_2283/tillsyn/A 22428-2025 tillsynsbegäran.docx", "A 22428-2025")</f>
        <v/>
      </c>
      <c r="Y337">
        <f>HYPERLINK("https://klasma.github.io/Logging_2283/tillsynsmail/A 22428-2025 tillsynsbegäran mail.docx", "A 22428-2025")</f>
        <v/>
      </c>
      <c r="Z337">
        <f>HYPERLINK("https://klasma.github.io/Logging_2283/fåglar/A 22428-2025 prioriterade fågelarter.docx", "A 22428-2025")</f>
        <v/>
      </c>
    </row>
    <row r="338" ht="15" customHeight="1">
      <c r="A338" t="inlineStr">
        <is>
          <t>A 32101-2025</t>
        </is>
      </c>
      <c r="B338" s="1" t="n">
        <v>45835.46914351852</v>
      </c>
      <c r="C338" s="1" t="n">
        <v>45937</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21708-2022</t>
        </is>
      </c>
      <c r="B339" s="1" t="n">
        <v>44707</v>
      </c>
      <c r="C339" s="1" t="n">
        <v>45937</v>
      </c>
      <c r="D339" t="inlineStr">
        <is>
          <t>VÄSTERNORRLANDS LÄN</t>
        </is>
      </c>
      <c r="E339" t="inlineStr">
        <is>
          <t>SOLLEFTEÅ</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HYPERLINK("https://klasma.github.io/Logging_2283/artfynd/A 21708-2022 artfynd.xlsx", "A 21708-2022")</f>
        <v/>
      </c>
      <c r="T339">
        <f>HYPERLINK("https://klasma.github.io/Logging_2283/kartor/A 21708-2022 karta.png", "A 21708-2022")</f>
        <v/>
      </c>
      <c r="V339">
        <f>HYPERLINK("https://klasma.github.io/Logging_2283/klagomål/A 21708-2022 FSC-klagomål.docx", "A 21708-2022")</f>
        <v/>
      </c>
      <c r="W339">
        <f>HYPERLINK("https://klasma.github.io/Logging_2283/klagomålsmail/A 21708-2022 FSC-klagomål mail.docx", "A 21708-2022")</f>
        <v/>
      </c>
      <c r="X339">
        <f>HYPERLINK("https://klasma.github.io/Logging_2283/tillsyn/A 21708-2022 tillsynsbegäran.docx", "A 21708-2022")</f>
        <v/>
      </c>
      <c r="Y339">
        <f>HYPERLINK("https://klasma.github.io/Logging_2283/tillsynsmail/A 21708-2022 tillsynsbegäran mail.docx", "A 21708-2022")</f>
        <v/>
      </c>
    </row>
    <row r="340" ht="15" customHeight="1">
      <c r="A340" t="inlineStr">
        <is>
          <t>A 11667-2025</t>
        </is>
      </c>
      <c r="B340" s="1" t="n">
        <v>45727.51074074074</v>
      </c>
      <c r="C340" s="1" t="n">
        <v>45937</v>
      </c>
      <c r="D340" t="inlineStr">
        <is>
          <t>VÄSTERNORRLANDS LÄN</t>
        </is>
      </c>
      <c r="E340" t="inlineStr">
        <is>
          <t>SOLLEFTEÅ</t>
        </is>
      </c>
      <c r="F340" t="inlineStr">
        <is>
          <t>SCA</t>
        </is>
      </c>
      <c r="G340" t="n">
        <v>4.5</v>
      </c>
      <c r="H340" t="n">
        <v>1</v>
      </c>
      <c r="I340" t="n">
        <v>0</v>
      </c>
      <c r="J340" t="n">
        <v>1</v>
      </c>
      <c r="K340" t="n">
        <v>0</v>
      </c>
      <c r="L340" t="n">
        <v>0</v>
      </c>
      <c r="M340" t="n">
        <v>0</v>
      </c>
      <c r="N340" t="n">
        <v>0</v>
      </c>
      <c r="O340" t="n">
        <v>1</v>
      </c>
      <c r="P340" t="n">
        <v>0</v>
      </c>
      <c r="Q340" t="n">
        <v>1</v>
      </c>
      <c r="R340" s="2" t="inlineStr">
        <is>
          <t>Järpe</t>
        </is>
      </c>
      <c r="S340">
        <f>HYPERLINK("https://klasma.github.io/Logging_2283/artfynd/A 11667-2025 artfynd.xlsx", "A 11667-2025")</f>
        <v/>
      </c>
      <c r="T340">
        <f>HYPERLINK("https://klasma.github.io/Logging_2283/kartor/A 11667-2025 karta.png", "A 11667-2025")</f>
        <v/>
      </c>
      <c r="V340">
        <f>HYPERLINK("https://klasma.github.io/Logging_2283/klagomål/A 11667-2025 FSC-klagomål.docx", "A 11667-2025")</f>
        <v/>
      </c>
      <c r="W340">
        <f>HYPERLINK("https://klasma.github.io/Logging_2283/klagomålsmail/A 11667-2025 FSC-klagomål mail.docx", "A 11667-2025")</f>
        <v/>
      </c>
      <c r="X340">
        <f>HYPERLINK("https://klasma.github.io/Logging_2283/tillsyn/A 11667-2025 tillsynsbegäran.docx", "A 11667-2025")</f>
        <v/>
      </c>
      <c r="Y340">
        <f>HYPERLINK("https://klasma.github.io/Logging_2283/tillsynsmail/A 11667-2025 tillsynsbegäran mail.docx", "A 11667-2025")</f>
        <v/>
      </c>
      <c r="Z340">
        <f>HYPERLINK("https://klasma.github.io/Logging_2283/fåglar/A 11667-2025 prioriterade fågelarter.docx", "A 11667-2025")</f>
        <v/>
      </c>
    </row>
    <row r="341" ht="15" customHeight="1">
      <c r="A341" t="inlineStr">
        <is>
          <t>A 18697-2025</t>
        </is>
      </c>
      <c r="B341" s="1" t="n">
        <v>45763.61592592593</v>
      </c>
      <c r="C341" s="1" t="n">
        <v>45937</v>
      </c>
      <c r="D341" t="inlineStr">
        <is>
          <t>VÄSTERNORRLANDS LÄN</t>
        </is>
      </c>
      <c r="E341" t="inlineStr">
        <is>
          <t>SOLLEFTEÅ</t>
        </is>
      </c>
      <c r="F341" t="inlineStr">
        <is>
          <t>SCA</t>
        </is>
      </c>
      <c r="G341" t="n">
        <v>6.4</v>
      </c>
      <c r="H341" t="n">
        <v>0</v>
      </c>
      <c r="I341" t="n">
        <v>0</v>
      </c>
      <c r="J341" t="n">
        <v>1</v>
      </c>
      <c r="K341" t="n">
        <v>0</v>
      </c>
      <c r="L341" t="n">
        <v>0</v>
      </c>
      <c r="M341" t="n">
        <v>0</v>
      </c>
      <c r="N341" t="n">
        <v>0</v>
      </c>
      <c r="O341" t="n">
        <v>1</v>
      </c>
      <c r="P341" t="n">
        <v>0</v>
      </c>
      <c r="Q341" t="n">
        <v>1</v>
      </c>
      <c r="R341" s="2" t="inlineStr">
        <is>
          <t>Kolflarnlav</t>
        </is>
      </c>
      <c r="S341">
        <f>HYPERLINK("https://klasma.github.io/Logging_2283/artfynd/A 18697-2025 artfynd.xlsx", "A 18697-2025")</f>
        <v/>
      </c>
      <c r="T341">
        <f>HYPERLINK("https://klasma.github.io/Logging_2283/kartor/A 18697-2025 karta.png", "A 18697-2025")</f>
        <v/>
      </c>
      <c r="V341">
        <f>HYPERLINK("https://klasma.github.io/Logging_2283/klagomål/A 18697-2025 FSC-klagomål.docx", "A 18697-2025")</f>
        <v/>
      </c>
      <c r="W341">
        <f>HYPERLINK("https://klasma.github.io/Logging_2283/klagomålsmail/A 18697-2025 FSC-klagomål mail.docx", "A 18697-2025")</f>
        <v/>
      </c>
      <c r="X341">
        <f>HYPERLINK("https://klasma.github.io/Logging_2283/tillsyn/A 18697-2025 tillsynsbegäran.docx", "A 18697-2025")</f>
        <v/>
      </c>
      <c r="Y341">
        <f>HYPERLINK("https://klasma.github.io/Logging_2283/tillsynsmail/A 18697-2025 tillsynsbegäran mail.docx", "A 18697-2025")</f>
        <v/>
      </c>
    </row>
    <row r="342" ht="15" customHeight="1">
      <c r="A342" t="inlineStr">
        <is>
          <t>A 33853-2025</t>
        </is>
      </c>
      <c r="B342" s="1" t="n">
        <v>45842.51097222222</v>
      </c>
      <c r="C342" s="1" t="n">
        <v>45937</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45937</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35217-2025</t>
        </is>
      </c>
      <c r="B344" s="1" t="n">
        <v>45853.49020833334</v>
      </c>
      <c r="C344" s="1" t="n">
        <v>45937</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22862-2021</t>
        </is>
      </c>
      <c r="B345" s="1" t="n">
        <v>44326</v>
      </c>
      <c r="C345" s="1" t="n">
        <v>45937</v>
      </c>
      <c r="D345" t="inlineStr">
        <is>
          <t>VÄSTERNORRLANDS LÄN</t>
        </is>
      </c>
      <c r="E345" t="inlineStr">
        <is>
          <t>SOLLEFTEÅ</t>
        </is>
      </c>
      <c r="F345" t="inlineStr">
        <is>
          <t>Kommuner</t>
        </is>
      </c>
      <c r="G345" t="n">
        <v>2</v>
      </c>
      <c r="H345" t="n">
        <v>1</v>
      </c>
      <c r="I345" t="n">
        <v>0</v>
      </c>
      <c r="J345" t="n">
        <v>0</v>
      </c>
      <c r="K345" t="n">
        <v>1</v>
      </c>
      <c r="L345" t="n">
        <v>0</v>
      </c>
      <c r="M345" t="n">
        <v>0</v>
      </c>
      <c r="N345" t="n">
        <v>0</v>
      </c>
      <c r="O345" t="n">
        <v>1</v>
      </c>
      <c r="P345" t="n">
        <v>1</v>
      </c>
      <c r="Q345" t="n">
        <v>1</v>
      </c>
      <c r="R345" s="2" t="inlineStr">
        <is>
          <t>Lappuggla</t>
        </is>
      </c>
      <c r="S345">
        <f>HYPERLINK("https://klasma.github.io/Logging_2283/artfynd/A 22862-2021 artfynd.xlsx", "A 22862-2021")</f>
        <v/>
      </c>
      <c r="T345">
        <f>HYPERLINK("https://klasma.github.io/Logging_2283/kartor/A 22862-2021 karta.png", "A 22862-2021")</f>
        <v/>
      </c>
      <c r="V345">
        <f>HYPERLINK("https://klasma.github.io/Logging_2283/klagomål/A 22862-2021 FSC-klagomål.docx", "A 22862-2021")</f>
        <v/>
      </c>
      <c r="W345">
        <f>HYPERLINK("https://klasma.github.io/Logging_2283/klagomålsmail/A 22862-2021 FSC-klagomål mail.docx", "A 22862-2021")</f>
        <v/>
      </c>
      <c r="X345">
        <f>HYPERLINK("https://klasma.github.io/Logging_2283/tillsyn/A 22862-2021 tillsynsbegäran.docx", "A 22862-2021")</f>
        <v/>
      </c>
      <c r="Y345">
        <f>HYPERLINK("https://klasma.github.io/Logging_2283/tillsynsmail/A 22862-2021 tillsynsbegäran mail.docx", "A 22862-2021")</f>
        <v/>
      </c>
      <c r="Z345">
        <f>HYPERLINK("https://klasma.github.io/Logging_2283/fåglar/A 22862-2021 prioriterade fågelarter.docx", "A 22862-2021")</f>
        <v/>
      </c>
    </row>
    <row r="346" ht="15" customHeight="1">
      <c r="A346" t="inlineStr">
        <is>
          <t>A 5790-2025</t>
        </is>
      </c>
      <c r="B346" s="1" t="n">
        <v>45694.65657407408</v>
      </c>
      <c r="C346" s="1" t="n">
        <v>45937</v>
      </c>
      <c r="D346" t="inlineStr">
        <is>
          <t>VÄSTERNORRLANDS LÄN</t>
        </is>
      </c>
      <c r="E346" t="inlineStr">
        <is>
          <t>SOLLEFTEÅ</t>
        </is>
      </c>
      <c r="F346" t="inlineStr">
        <is>
          <t>SCA</t>
        </is>
      </c>
      <c r="G346" t="n">
        <v>32.7</v>
      </c>
      <c r="H346" t="n">
        <v>0</v>
      </c>
      <c r="I346" t="n">
        <v>0</v>
      </c>
      <c r="J346" t="n">
        <v>1</v>
      </c>
      <c r="K346" t="n">
        <v>0</v>
      </c>
      <c r="L346" t="n">
        <v>0</v>
      </c>
      <c r="M346" t="n">
        <v>0</v>
      </c>
      <c r="N346" t="n">
        <v>0</v>
      </c>
      <c r="O346" t="n">
        <v>1</v>
      </c>
      <c r="P346" t="n">
        <v>0</v>
      </c>
      <c r="Q346" t="n">
        <v>1</v>
      </c>
      <c r="R346" s="2" t="inlineStr">
        <is>
          <t>Lunglav</t>
        </is>
      </c>
      <c r="S346">
        <f>HYPERLINK("https://klasma.github.io/Logging_2283/artfynd/A 5790-2025 artfynd.xlsx", "A 5790-2025")</f>
        <v/>
      </c>
      <c r="T346">
        <f>HYPERLINK("https://klasma.github.io/Logging_2283/kartor/A 5790-2025 karta.png", "A 5790-2025")</f>
        <v/>
      </c>
      <c r="V346">
        <f>HYPERLINK("https://klasma.github.io/Logging_2283/klagomål/A 5790-2025 FSC-klagomål.docx", "A 5790-2025")</f>
        <v/>
      </c>
      <c r="W346">
        <f>HYPERLINK("https://klasma.github.io/Logging_2283/klagomålsmail/A 5790-2025 FSC-klagomål mail.docx", "A 5790-2025")</f>
        <v/>
      </c>
      <c r="X346">
        <f>HYPERLINK("https://klasma.github.io/Logging_2283/tillsyn/A 5790-2025 tillsynsbegäran.docx", "A 5790-2025")</f>
        <v/>
      </c>
      <c r="Y346">
        <f>HYPERLINK("https://klasma.github.io/Logging_2283/tillsynsmail/A 5790-2025 tillsynsbegäran mail.docx", "A 5790-2025")</f>
        <v/>
      </c>
    </row>
    <row r="347" ht="15" customHeight="1">
      <c r="A347" t="inlineStr">
        <is>
          <t>A 31920-2023</t>
        </is>
      </c>
      <c r="B347" s="1" t="n">
        <v>45118</v>
      </c>
      <c r="C347" s="1" t="n">
        <v>45937</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Ullticka</t>
        </is>
      </c>
      <c r="S347">
        <f>HYPERLINK("https://klasma.github.io/Logging_2283/artfynd/A 31920-2023 artfynd.xlsx", "A 31920-2023")</f>
        <v/>
      </c>
      <c r="T347">
        <f>HYPERLINK("https://klasma.github.io/Logging_2283/kartor/A 31920-2023 karta.png", "A 31920-2023")</f>
        <v/>
      </c>
      <c r="V347">
        <f>HYPERLINK("https://klasma.github.io/Logging_2283/klagomål/A 31920-2023 FSC-klagomål.docx", "A 31920-2023")</f>
        <v/>
      </c>
      <c r="W347">
        <f>HYPERLINK("https://klasma.github.io/Logging_2283/klagomålsmail/A 31920-2023 FSC-klagomål mail.docx", "A 31920-2023")</f>
        <v/>
      </c>
      <c r="X347">
        <f>HYPERLINK("https://klasma.github.io/Logging_2283/tillsyn/A 31920-2023 tillsynsbegäran.docx", "A 31920-2023")</f>
        <v/>
      </c>
      <c r="Y347">
        <f>HYPERLINK("https://klasma.github.io/Logging_2283/tillsynsmail/A 31920-2023 tillsynsbegäran mail.docx", "A 31920-2023")</f>
        <v/>
      </c>
    </row>
    <row r="348" ht="15" customHeight="1">
      <c r="A348" t="inlineStr">
        <is>
          <t>A 386-2024</t>
        </is>
      </c>
      <c r="B348" s="1" t="n">
        <v>45296</v>
      </c>
      <c r="C348" s="1" t="n">
        <v>45937</v>
      </c>
      <c r="D348" t="inlineStr">
        <is>
          <t>VÄSTERNORRLANDS LÄN</t>
        </is>
      </c>
      <c r="E348" t="inlineStr">
        <is>
          <t>SOLLEFTEÅ</t>
        </is>
      </c>
      <c r="G348" t="n">
        <v>3.7</v>
      </c>
      <c r="H348" t="n">
        <v>0</v>
      </c>
      <c r="I348" t="n">
        <v>0</v>
      </c>
      <c r="J348" t="n">
        <v>1</v>
      </c>
      <c r="K348" t="n">
        <v>0</v>
      </c>
      <c r="L348" t="n">
        <v>0</v>
      </c>
      <c r="M348" t="n">
        <v>0</v>
      </c>
      <c r="N348" t="n">
        <v>0</v>
      </c>
      <c r="O348" t="n">
        <v>1</v>
      </c>
      <c r="P348" t="n">
        <v>0</v>
      </c>
      <c r="Q348" t="n">
        <v>1</v>
      </c>
      <c r="R348" s="2" t="inlineStr">
        <is>
          <t>Kolflarnlav</t>
        </is>
      </c>
      <c r="S348">
        <f>HYPERLINK("https://klasma.github.io/Logging_2283/artfynd/A 386-2024 artfynd.xlsx", "A 386-2024")</f>
        <v/>
      </c>
      <c r="T348">
        <f>HYPERLINK("https://klasma.github.io/Logging_2283/kartor/A 386-2024 karta.png", "A 386-2024")</f>
        <v/>
      </c>
      <c r="V348">
        <f>HYPERLINK("https://klasma.github.io/Logging_2283/klagomål/A 386-2024 FSC-klagomål.docx", "A 386-2024")</f>
        <v/>
      </c>
      <c r="W348">
        <f>HYPERLINK("https://klasma.github.io/Logging_2283/klagomålsmail/A 386-2024 FSC-klagomål mail.docx", "A 386-2024")</f>
        <v/>
      </c>
      <c r="X348">
        <f>HYPERLINK("https://klasma.github.io/Logging_2283/tillsyn/A 386-2024 tillsynsbegäran.docx", "A 386-2024")</f>
        <v/>
      </c>
      <c r="Y348">
        <f>HYPERLINK("https://klasma.github.io/Logging_2283/tillsynsmail/A 386-2024 tillsynsbegäran mail.docx", "A 386-2024")</f>
        <v/>
      </c>
    </row>
    <row r="349" ht="15" customHeight="1">
      <c r="A349" t="inlineStr">
        <is>
          <t>A 48087-2023</t>
        </is>
      </c>
      <c r="B349" s="1" t="n">
        <v>45204</v>
      </c>
      <c r="C349" s="1" t="n">
        <v>45937</v>
      </c>
      <c r="D349" t="inlineStr">
        <is>
          <t>VÄSTERNORRLANDS LÄN</t>
        </is>
      </c>
      <c r="E349" t="inlineStr">
        <is>
          <t>SOLLEFTEÅ</t>
        </is>
      </c>
      <c r="F349" t="inlineStr">
        <is>
          <t>SCA</t>
        </is>
      </c>
      <c r="G349" t="n">
        <v>0.6</v>
      </c>
      <c r="H349" t="n">
        <v>0</v>
      </c>
      <c r="I349" t="n">
        <v>0</v>
      </c>
      <c r="J349" t="n">
        <v>1</v>
      </c>
      <c r="K349" t="n">
        <v>0</v>
      </c>
      <c r="L349" t="n">
        <v>0</v>
      </c>
      <c r="M349" t="n">
        <v>0</v>
      </c>
      <c r="N349" t="n">
        <v>0</v>
      </c>
      <c r="O349" t="n">
        <v>1</v>
      </c>
      <c r="P349" t="n">
        <v>0</v>
      </c>
      <c r="Q349" t="n">
        <v>1</v>
      </c>
      <c r="R349" s="2" t="inlineStr">
        <is>
          <t>Doftskinn</t>
        </is>
      </c>
      <c r="S349">
        <f>HYPERLINK("https://klasma.github.io/Logging_2283/artfynd/A 48087-2023 artfynd.xlsx", "A 48087-2023")</f>
        <v/>
      </c>
      <c r="T349">
        <f>HYPERLINK("https://klasma.github.io/Logging_2283/kartor/A 48087-2023 karta.png", "A 48087-2023")</f>
        <v/>
      </c>
      <c r="V349">
        <f>HYPERLINK("https://klasma.github.io/Logging_2283/klagomål/A 48087-2023 FSC-klagomål.docx", "A 48087-2023")</f>
        <v/>
      </c>
      <c r="W349">
        <f>HYPERLINK("https://klasma.github.io/Logging_2283/klagomålsmail/A 48087-2023 FSC-klagomål mail.docx", "A 48087-2023")</f>
        <v/>
      </c>
      <c r="X349">
        <f>HYPERLINK("https://klasma.github.io/Logging_2283/tillsyn/A 48087-2023 tillsynsbegäran.docx", "A 48087-2023")</f>
        <v/>
      </c>
      <c r="Y349">
        <f>HYPERLINK("https://klasma.github.io/Logging_2283/tillsynsmail/A 48087-2023 tillsynsbegäran mail.docx", "A 48087-2023")</f>
        <v/>
      </c>
    </row>
    <row r="350" ht="15" customHeight="1">
      <c r="A350" t="inlineStr">
        <is>
          <t>A 16269-2022</t>
        </is>
      </c>
      <c r="B350" s="1" t="n">
        <v>44670</v>
      </c>
      <c r="C350" s="1" t="n">
        <v>45937</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17251-2025</t>
        </is>
      </c>
      <c r="B351" s="1" t="n">
        <v>45756.51085648148</v>
      </c>
      <c r="C351" s="1" t="n">
        <v>45937</v>
      </c>
      <c r="D351" t="inlineStr">
        <is>
          <t>VÄSTERNORRLANDS LÄN</t>
        </is>
      </c>
      <c r="E351" t="inlineStr">
        <is>
          <t>SOLLEFTEÅ</t>
        </is>
      </c>
      <c r="F351" t="inlineStr">
        <is>
          <t>SCA</t>
        </is>
      </c>
      <c r="G351" t="n">
        <v>3.1</v>
      </c>
      <c r="H351" t="n">
        <v>0</v>
      </c>
      <c r="I351" t="n">
        <v>0</v>
      </c>
      <c r="J351" t="n">
        <v>0</v>
      </c>
      <c r="K351" t="n">
        <v>1</v>
      </c>
      <c r="L351" t="n">
        <v>0</v>
      </c>
      <c r="M351" t="n">
        <v>0</v>
      </c>
      <c r="N351" t="n">
        <v>0</v>
      </c>
      <c r="O351" t="n">
        <v>1</v>
      </c>
      <c r="P351" t="n">
        <v>1</v>
      </c>
      <c r="Q351" t="n">
        <v>1</v>
      </c>
      <c r="R351" s="2" t="inlineStr">
        <is>
          <t>Rynkskinn</t>
        </is>
      </c>
      <c r="S351">
        <f>HYPERLINK("https://klasma.github.io/Logging_2283/artfynd/A 17251-2025 artfynd.xlsx", "A 17251-2025")</f>
        <v/>
      </c>
      <c r="T351">
        <f>HYPERLINK("https://klasma.github.io/Logging_2283/kartor/A 17251-2025 karta.png", "A 17251-2025")</f>
        <v/>
      </c>
      <c r="V351">
        <f>HYPERLINK("https://klasma.github.io/Logging_2283/klagomål/A 17251-2025 FSC-klagomål.docx", "A 17251-2025")</f>
        <v/>
      </c>
      <c r="W351">
        <f>HYPERLINK("https://klasma.github.io/Logging_2283/klagomålsmail/A 17251-2025 FSC-klagomål mail.docx", "A 17251-2025")</f>
        <v/>
      </c>
      <c r="X351">
        <f>HYPERLINK("https://klasma.github.io/Logging_2283/tillsyn/A 17251-2025 tillsynsbegäran.docx", "A 17251-2025")</f>
        <v/>
      </c>
      <c r="Y351">
        <f>HYPERLINK("https://klasma.github.io/Logging_2283/tillsynsmail/A 17251-2025 tillsynsbegäran mail.docx", "A 17251-2025")</f>
        <v/>
      </c>
    </row>
    <row r="352" ht="15" customHeight="1">
      <c r="A352" t="inlineStr">
        <is>
          <t>A 49367-2024</t>
        </is>
      </c>
      <c r="B352" s="1" t="n">
        <v>45595.63591435185</v>
      </c>
      <c r="C352" s="1" t="n">
        <v>45937</v>
      </c>
      <c r="D352" t="inlineStr">
        <is>
          <t>VÄSTERNORRLANDS LÄN</t>
        </is>
      </c>
      <c r="E352" t="inlineStr">
        <is>
          <t>SOLLEFTEÅ</t>
        </is>
      </c>
      <c r="F352" t="inlineStr">
        <is>
          <t>SCA</t>
        </is>
      </c>
      <c r="G352" t="n">
        <v>1.6</v>
      </c>
      <c r="H352" t="n">
        <v>1</v>
      </c>
      <c r="I352" t="n">
        <v>0</v>
      </c>
      <c r="J352" t="n">
        <v>0</v>
      </c>
      <c r="K352" t="n">
        <v>1</v>
      </c>
      <c r="L352" t="n">
        <v>0</v>
      </c>
      <c r="M352" t="n">
        <v>0</v>
      </c>
      <c r="N352" t="n">
        <v>0</v>
      </c>
      <c r="O352" t="n">
        <v>1</v>
      </c>
      <c r="P352" t="n">
        <v>1</v>
      </c>
      <c r="Q352" t="n">
        <v>1</v>
      </c>
      <c r="R352" s="2" t="inlineStr">
        <is>
          <t>Knärot</t>
        </is>
      </c>
      <c r="S352">
        <f>HYPERLINK("https://klasma.github.io/Logging_2283/artfynd/A 49367-2024 artfynd.xlsx", "A 49367-2024")</f>
        <v/>
      </c>
      <c r="T352">
        <f>HYPERLINK("https://klasma.github.io/Logging_2283/kartor/A 49367-2024 karta.png", "A 49367-2024")</f>
        <v/>
      </c>
      <c r="U352">
        <f>HYPERLINK("https://klasma.github.io/Logging_2283/knärot/A 49367-2024 karta knärot.png", "A 49367-2024")</f>
        <v/>
      </c>
      <c r="V352">
        <f>HYPERLINK("https://klasma.github.io/Logging_2283/klagomål/A 49367-2024 FSC-klagomål.docx", "A 49367-2024")</f>
        <v/>
      </c>
      <c r="W352">
        <f>HYPERLINK("https://klasma.github.io/Logging_2283/klagomålsmail/A 49367-2024 FSC-klagomål mail.docx", "A 49367-2024")</f>
        <v/>
      </c>
      <c r="X352">
        <f>HYPERLINK("https://klasma.github.io/Logging_2283/tillsyn/A 49367-2024 tillsynsbegäran.docx", "A 49367-2024")</f>
        <v/>
      </c>
      <c r="Y352">
        <f>HYPERLINK("https://klasma.github.io/Logging_2283/tillsynsmail/A 49367-2024 tillsynsbegäran mail.docx", "A 49367-2024")</f>
        <v/>
      </c>
    </row>
    <row r="353" ht="15" customHeight="1">
      <c r="A353" t="inlineStr">
        <is>
          <t>A 35295-2023</t>
        </is>
      </c>
      <c r="B353" s="1" t="n">
        <v>45145</v>
      </c>
      <c r="C353" s="1" t="n">
        <v>45937</v>
      </c>
      <c r="D353" t="inlineStr">
        <is>
          <t>VÄSTERNORRLANDS LÄN</t>
        </is>
      </c>
      <c r="E353" t="inlineStr">
        <is>
          <t>SOLLEFTEÅ</t>
        </is>
      </c>
      <c r="F353" t="inlineStr">
        <is>
          <t>SCA</t>
        </is>
      </c>
      <c r="G353" t="n">
        <v>8.9</v>
      </c>
      <c r="H353" t="n">
        <v>1</v>
      </c>
      <c r="I353" t="n">
        <v>0</v>
      </c>
      <c r="J353" t="n">
        <v>1</v>
      </c>
      <c r="K353" t="n">
        <v>0</v>
      </c>
      <c r="L353" t="n">
        <v>0</v>
      </c>
      <c r="M353" t="n">
        <v>0</v>
      </c>
      <c r="N353" t="n">
        <v>0</v>
      </c>
      <c r="O353" t="n">
        <v>1</v>
      </c>
      <c r="P353" t="n">
        <v>0</v>
      </c>
      <c r="Q353" t="n">
        <v>1</v>
      </c>
      <c r="R353" s="2" t="inlineStr">
        <is>
          <t>Talltita</t>
        </is>
      </c>
      <c r="S353">
        <f>HYPERLINK("https://klasma.github.io/Logging_2283/artfynd/A 35295-2023 artfynd.xlsx", "A 35295-2023")</f>
        <v/>
      </c>
      <c r="T353">
        <f>HYPERLINK("https://klasma.github.io/Logging_2283/kartor/A 35295-2023 karta.png", "A 35295-2023")</f>
        <v/>
      </c>
      <c r="V353">
        <f>HYPERLINK("https://klasma.github.io/Logging_2283/klagomål/A 35295-2023 FSC-klagomål.docx", "A 35295-2023")</f>
        <v/>
      </c>
      <c r="W353">
        <f>HYPERLINK("https://klasma.github.io/Logging_2283/klagomålsmail/A 35295-2023 FSC-klagomål mail.docx", "A 35295-2023")</f>
        <v/>
      </c>
      <c r="X353">
        <f>HYPERLINK("https://klasma.github.io/Logging_2283/tillsyn/A 35295-2023 tillsynsbegäran.docx", "A 35295-2023")</f>
        <v/>
      </c>
      <c r="Y353">
        <f>HYPERLINK("https://klasma.github.io/Logging_2283/tillsynsmail/A 35295-2023 tillsynsbegäran mail.docx", "A 35295-2023")</f>
        <v/>
      </c>
      <c r="Z353">
        <f>HYPERLINK("https://klasma.github.io/Logging_2283/fåglar/A 35295-2023 prioriterade fågelarter.docx", "A 35295-2023")</f>
        <v/>
      </c>
    </row>
    <row r="354" ht="15" customHeight="1">
      <c r="A354" t="inlineStr">
        <is>
          <t>A 8541-2024</t>
        </is>
      </c>
      <c r="B354" s="1" t="n">
        <v>45351</v>
      </c>
      <c r="C354" s="1" t="n">
        <v>45937</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38363-2022</t>
        </is>
      </c>
      <c r="B355" s="1" t="n">
        <v>44812</v>
      </c>
      <c r="C355" s="1" t="n">
        <v>45937</v>
      </c>
      <c r="D355" t="inlineStr">
        <is>
          <t>VÄSTERNORRLANDS LÄN</t>
        </is>
      </c>
      <c r="E355" t="inlineStr">
        <is>
          <t>SOLLEFTEÅ</t>
        </is>
      </c>
      <c r="F355" t="inlineStr">
        <is>
          <t>Kommuner</t>
        </is>
      </c>
      <c r="G355" t="n">
        <v>16</v>
      </c>
      <c r="H355" t="n">
        <v>0</v>
      </c>
      <c r="I355" t="n">
        <v>0</v>
      </c>
      <c r="J355" t="n">
        <v>1</v>
      </c>
      <c r="K355" t="n">
        <v>0</v>
      </c>
      <c r="L355" t="n">
        <v>0</v>
      </c>
      <c r="M355" t="n">
        <v>0</v>
      </c>
      <c r="N355" t="n">
        <v>0</v>
      </c>
      <c r="O355" t="n">
        <v>1</v>
      </c>
      <c r="P355" t="n">
        <v>0</v>
      </c>
      <c r="Q355" t="n">
        <v>1</v>
      </c>
      <c r="R355" s="2" t="inlineStr">
        <is>
          <t>Garnlav</t>
        </is>
      </c>
      <c r="S355">
        <f>HYPERLINK("https://klasma.github.io/Logging_2283/artfynd/A 38363-2022 artfynd.xlsx", "A 38363-2022")</f>
        <v/>
      </c>
      <c r="T355">
        <f>HYPERLINK("https://klasma.github.io/Logging_2283/kartor/A 38363-2022 karta.png", "A 38363-2022")</f>
        <v/>
      </c>
      <c r="V355">
        <f>HYPERLINK("https://klasma.github.io/Logging_2283/klagomål/A 38363-2022 FSC-klagomål.docx", "A 38363-2022")</f>
        <v/>
      </c>
      <c r="W355">
        <f>HYPERLINK("https://klasma.github.io/Logging_2283/klagomålsmail/A 38363-2022 FSC-klagomål mail.docx", "A 38363-2022")</f>
        <v/>
      </c>
      <c r="X355">
        <f>HYPERLINK("https://klasma.github.io/Logging_2283/tillsyn/A 38363-2022 tillsynsbegäran.docx", "A 38363-2022")</f>
        <v/>
      </c>
      <c r="Y355">
        <f>HYPERLINK("https://klasma.github.io/Logging_2283/tillsynsmail/A 38363-2022 tillsynsbegäran mail.docx", "A 38363-2022")</f>
        <v/>
      </c>
    </row>
    <row r="356" ht="15" customHeight="1">
      <c r="A356" t="inlineStr">
        <is>
          <t>A 7658-2021</t>
        </is>
      </c>
      <c r="B356" s="1" t="n">
        <v>44242.42165509259</v>
      </c>
      <c r="C356" s="1" t="n">
        <v>45937</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45937</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45937</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45937</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45937</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45937</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45937</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45937</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45937</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45937</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45937</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30937-2022</t>
        </is>
      </c>
      <c r="B367" s="1" t="n">
        <v>44767.94092592593</v>
      </c>
      <c r="C367" s="1" t="n">
        <v>45937</v>
      </c>
      <c r="D367" t="inlineStr">
        <is>
          <t>VÄSTERNORRLANDS LÄN</t>
        </is>
      </c>
      <c r="E367" t="inlineStr">
        <is>
          <t>SOLLEFTEÅ</t>
        </is>
      </c>
      <c r="F367" t="inlineStr">
        <is>
          <t>SCA</t>
        </is>
      </c>
      <c r="G367" t="n">
        <v>10.2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45937</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45937</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45937</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45937</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18867-2021</t>
        </is>
      </c>
      <c r="B372" s="1" t="n">
        <v>44307</v>
      </c>
      <c r="C372" s="1" t="n">
        <v>45937</v>
      </c>
      <c r="D372" t="inlineStr">
        <is>
          <t>VÄSTERNORRLANDS LÄN</t>
        </is>
      </c>
      <c r="E372" t="inlineStr">
        <is>
          <t>SOLLEFTEÅ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34542-2022</t>
        </is>
      </c>
      <c r="B373" s="1" t="n">
        <v>44793</v>
      </c>
      <c r="C373" s="1" t="n">
        <v>45937</v>
      </c>
      <c r="D373" t="inlineStr">
        <is>
          <t>VÄSTERNORRLANDS LÄN</t>
        </is>
      </c>
      <c r="E373" t="inlineStr">
        <is>
          <t>SOLLEFTEÅ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45937</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29623-2021</t>
        </is>
      </c>
      <c r="B375" s="1" t="n">
        <v>44361</v>
      </c>
      <c r="C375" s="1" t="n">
        <v>45937</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45937</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45937</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12277-2021</t>
        </is>
      </c>
      <c r="B378" s="1" t="n">
        <v>44266</v>
      </c>
      <c r="C378" s="1" t="n">
        <v>45937</v>
      </c>
      <c r="D378" t="inlineStr">
        <is>
          <t>VÄSTERNORRLANDS LÄN</t>
        </is>
      </c>
      <c r="E378" t="inlineStr">
        <is>
          <t>SOLLEFTEÅ</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45937</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45937</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45937</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45937</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18015-2022</t>
        </is>
      </c>
      <c r="B383" s="1" t="n">
        <v>44683.94319444444</v>
      </c>
      <c r="C383" s="1" t="n">
        <v>45937</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11710-2021</t>
        </is>
      </c>
      <c r="B384" s="1" t="n">
        <v>44264</v>
      </c>
      <c r="C384" s="1" t="n">
        <v>45937</v>
      </c>
      <c r="D384" t="inlineStr">
        <is>
          <t>VÄSTERNORRLANDS LÄN</t>
        </is>
      </c>
      <c r="E384" t="inlineStr">
        <is>
          <t>SOLLEFTEÅ</t>
        </is>
      </c>
      <c r="G384" t="n">
        <v>1.2</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45937</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45937</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45937</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4555-2022</t>
        </is>
      </c>
      <c r="B388" s="1" t="n">
        <v>44590.93231481482</v>
      </c>
      <c r="C388" s="1" t="n">
        <v>45937</v>
      </c>
      <c r="D388" t="inlineStr">
        <is>
          <t>VÄSTERNORRLANDS LÄN</t>
        </is>
      </c>
      <c r="E388" t="inlineStr">
        <is>
          <t>SOLLEFTEÅ</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45937</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24322-2022</t>
        </is>
      </c>
      <c r="B390" s="1" t="n">
        <v>44725.94471064815</v>
      </c>
      <c r="C390" s="1" t="n">
        <v>45937</v>
      </c>
      <c r="D390" t="inlineStr">
        <is>
          <t>VÄSTERNORRLANDS LÄN</t>
        </is>
      </c>
      <c r="E390" t="inlineStr">
        <is>
          <t>SOLLEFTEÅ</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45937</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21711-2021</t>
        </is>
      </c>
      <c r="B392" s="1" t="n">
        <v>44322</v>
      </c>
      <c r="C392" s="1" t="n">
        <v>45937</v>
      </c>
      <c r="D392" t="inlineStr">
        <is>
          <t>VÄSTERNORRLANDS LÄN</t>
        </is>
      </c>
      <c r="E392" t="inlineStr">
        <is>
          <t>SOLLEFTEÅ</t>
        </is>
      </c>
      <c r="F392" t="inlineStr">
        <is>
          <t>Kyrkan</t>
        </is>
      </c>
      <c r="G392" t="n">
        <v>22.2</v>
      </c>
      <c r="H392" t="n">
        <v>0</v>
      </c>
      <c r="I392" t="n">
        <v>0</v>
      </c>
      <c r="J392" t="n">
        <v>0</v>
      </c>
      <c r="K392" t="n">
        <v>0</v>
      </c>
      <c r="L392" t="n">
        <v>0</v>
      </c>
      <c r="M392" t="n">
        <v>0</v>
      </c>
      <c r="N392" t="n">
        <v>0</v>
      </c>
      <c r="O392" t="n">
        <v>0</v>
      </c>
      <c r="P392" t="n">
        <v>0</v>
      </c>
      <c r="Q392" t="n">
        <v>0</v>
      </c>
      <c r="R392" s="2" t="inlineStr"/>
    </row>
    <row r="393" ht="15" customHeight="1">
      <c r="A393" t="inlineStr">
        <is>
          <t>A 29842-2022</t>
        </is>
      </c>
      <c r="B393" s="1" t="n">
        <v>44756.32835648148</v>
      </c>
      <c r="C393" s="1" t="n">
        <v>45937</v>
      </c>
      <c r="D393" t="inlineStr">
        <is>
          <t>VÄSTERNORRLANDS LÄN</t>
        </is>
      </c>
      <c r="E393" t="inlineStr">
        <is>
          <t>SOLLEFTEÅ</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19830-2021</t>
        </is>
      </c>
      <c r="B394" s="1" t="n">
        <v>44312</v>
      </c>
      <c r="C394" s="1" t="n">
        <v>45937</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45937</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22441-2021</t>
        </is>
      </c>
      <c r="B396" s="1" t="n">
        <v>44323</v>
      </c>
      <c r="C396" s="1" t="n">
        <v>45937</v>
      </c>
      <c r="D396" t="inlineStr">
        <is>
          <t>VÄSTERNORRLANDS LÄN</t>
        </is>
      </c>
      <c r="E396" t="inlineStr">
        <is>
          <t>SOLLEFTEÅ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21714-2022</t>
        </is>
      </c>
      <c r="B397" s="1" t="n">
        <v>44707.94015046296</v>
      </c>
      <c r="C397" s="1" t="n">
        <v>45937</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49175-2022</t>
        </is>
      </c>
      <c r="B398" s="1" t="n">
        <v>44860.92922453704</v>
      </c>
      <c r="C398" s="1" t="n">
        <v>45937</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10417-2022</t>
        </is>
      </c>
      <c r="B399" s="1" t="n">
        <v>44623</v>
      </c>
      <c r="C399" s="1" t="n">
        <v>45937</v>
      </c>
      <c r="D399" t="inlineStr">
        <is>
          <t>VÄSTERNORRLANDS LÄN</t>
        </is>
      </c>
      <c r="E399" t="inlineStr">
        <is>
          <t>SOLLEFTEÅ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67085-2021</t>
        </is>
      </c>
      <c r="B400" s="1" t="n">
        <v>44522.94458333333</v>
      </c>
      <c r="C400" s="1" t="n">
        <v>45937</v>
      </c>
      <c r="D400" t="inlineStr">
        <is>
          <t>VÄSTERNORRLANDS LÄN</t>
        </is>
      </c>
      <c r="E400" t="inlineStr">
        <is>
          <t>SOLLEFTEÅ</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45423-2022</t>
        </is>
      </c>
      <c r="B401" s="1" t="n">
        <v>44844.95256944445</v>
      </c>
      <c r="C401" s="1" t="n">
        <v>45937</v>
      </c>
      <c r="D401" t="inlineStr">
        <is>
          <t>VÄSTERNORRLANDS LÄN</t>
        </is>
      </c>
      <c r="E401" t="inlineStr">
        <is>
          <t>SOLLEFTEÅ</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42219-2021</t>
        </is>
      </c>
      <c r="B402" s="1" t="n">
        <v>44426.87444444445</v>
      </c>
      <c r="C402" s="1" t="n">
        <v>45937</v>
      </c>
      <c r="D402" t="inlineStr">
        <is>
          <t>VÄSTERNORRLANDS LÄN</t>
        </is>
      </c>
      <c r="E402" t="inlineStr">
        <is>
          <t>SOLLEFTEÅ</t>
        </is>
      </c>
      <c r="G402" t="n">
        <v>0.6</v>
      </c>
      <c r="H402" t="n">
        <v>0</v>
      </c>
      <c r="I402" t="n">
        <v>0</v>
      </c>
      <c r="J402" t="n">
        <v>0</v>
      </c>
      <c r="K402" t="n">
        <v>0</v>
      </c>
      <c r="L402" t="n">
        <v>0</v>
      </c>
      <c r="M402" t="n">
        <v>0</v>
      </c>
      <c r="N402" t="n">
        <v>0</v>
      </c>
      <c r="O402" t="n">
        <v>0</v>
      </c>
      <c r="P402" t="n">
        <v>0</v>
      </c>
      <c r="Q402" t="n">
        <v>0</v>
      </c>
      <c r="R402" s="2" t="inlineStr"/>
    </row>
    <row r="403" ht="15" customHeight="1">
      <c r="A403" t="inlineStr">
        <is>
          <t>A 41172-2022</t>
        </is>
      </c>
      <c r="B403" s="1" t="n">
        <v>44825.94738425926</v>
      </c>
      <c r="C403" s="1" t="n">
        <v>45937</v>
      </c>
      <c r="D403" t="inlineStr">
        <is>
          <t>VÄSTERNORRLANDS LÄN</t>
        </is>
      </c>
      <c r="E403" t="inlineStr">
        <is>
          <t>SOLLEFTEÅ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12278-2021</t>
        </is>
      </c>
      <c r="B404" s="1" t="n">
        <v>44266</v>
      </c>
      <c r="C404" s="1" t="n">
        <v>45937</v>
      </c>
      <c r="D404" t="inlineStr">
        <is>
          <t>VÄSTERNORRLANDS LÄN</t>
        </is>
      </c>
      <c r="E404" t="inlineStr">
        <is>
          <t>SOLLEFTEÅ</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45937</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49200-2022</t>
        </is>
      </c>
      <c r="B406" s="1" t="n">
        <v>44860.95540509259</v>
      </c>
      <c r="C406" s="1" t="n">
        <v>45937</v>
      </c>
      <c r="D406" t="inlineStr">
        <is>
          <t>VÄSTERNORRLANDS LÄN</t>
        </is>
      </c>
      <c r="E406" t="inlineStr">
        <is>
          <t>SOLLEFTEÅ</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10927-2022</t>
        </is>
      </c>
      <c r="B407" s="1" t="n">
        <v>44627.94453703704</v>
      </c>
      <c r="C407" s="1" t="n">
        <v>45937</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45937</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45937</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45937</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45937</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19516-2021</t>
        </is>
      </c>
      <c r="B412" s="1" t="n">
        <v>44309</v>
      </c>
      <c r="C412" s="1" t="n">
        <v>45937</v>
      </c>
      <c r="D412" t="inlineStr">
        <is>
          <t>VÄSTERNORRLANDS LÄN</t>
        </is>
      </c>
      <c r="E412" t="inlineStr">
        <is>
          <t>SOLLEFTEÅ</t>
        </is>
      </c>
      <c r="G412" t="n">
        <v>15.6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45937</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45937</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45937</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45937</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45937</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45937</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25329-2021</t>
        </is>
      </c>
      <c r="B419" s="1" t="n">
        <v>44342</v>
      </c>
      <c r="C419" s="1" t="n">
        <v>45937</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68843-2021</t>
        </is>
      </c>
      <c r="B420" s="1" t="n">
        <v>44530</v>
      </c>
      <c r="C420" s="1" t="n">
        <v>45937</v>
      </c>
      <c r="D420" t="inlineStr">
        <is>
          <t>VÄSTERNORRLANDS LÄN</t>
        </is>
      </c>
      <c r="E420" t="inlineStr">
        <is>
          <t>SOLLEFTEÅ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45937</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35862-2021</t>
        </is>
      </c>
      <c r="B422" s="1" t="n">
        <v>44386</v>
      </c>
      <c r="C422" s="1" t="n">
        <v>45937</v>
      </c>
      <c r="D422" t="inlineStr">
        <is>
          <t>VÄSTERNORRLANDS LÄN</t>
        </is>
      </c>
      <c r="E422" t="inlineStr">
        <is>
          <t>SOLLEFTEÅ</t>
        </is>
      </c>
      <c r="G422" t="n">
        <v>5.5</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45937</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45937</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45937</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45937</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45937</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45937</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45937</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45937</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45937</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45937</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49694-2022</t>
        </is>
      </c>
      <c r="B433" s="1" t="n">
        <v>44859</v>
      </c>
      <c r="C433" s="1" t="n">
        <v>45937</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45937</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52983-2020</t>
        </is>
      </c>
      <c r="B435" s="1" t="n">
        <v>44119</v>
      </c>
      <c r="C435" s="1" t="n">
        <v>45937</v>
      </c>
      <c r="D435" t="inlineStr">
        <is>
          <t>VÄSTERNORRLANDS LÄN</t>
        </is>
      </c>
      <c r="E435" t="inlineStr">
        <is>
          <t>SOLLEFTEÅ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30032-2022</t>
        </is>
      </c>
      <c r="B436" s="1" t="n">
        <v>44756</v>
      </c>
      <c r="C436" s="1" t="n">
        <v>45937</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45937</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45937</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44285-2022</t>
        </is>
      </c>
      <c r="B439" s="1" t="n">
        <v>44839</v>
      </c>
      <c r="C439" s="1" t="n">
        <v>45937</v>
      </c>
      <c r="D439" t="inlineStr">
        <is>
          <t>VÄSTERNORRLANDS LÄN</t>
        </is>
      </c>
      <c r="E439" t="inlineStr">
        <is>
          <t>SOLLEFTEÅ</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45937</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45937</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25183-2021</t>
        </is>
      </c>
      <c r="B442" s="1" t="n">
        <v>44341</v>
      </c>
      <c r="C442" s="1" t="n">
        <v>45937</v>
      </c>
      <c r="D442" t="inlineStr">
        <is>
          <t>VÄSTERNORRLANDS LÄN</t>
        </is>
      </c>
      <c r="E442" t="inlineStr">
        <is>
          <t>SOLLEFTEÅ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43442-2022</t>
        </is>
      </c>
      <c r="B443" s="1" t="n">
        <v>44834</v>
      </c>
      <c r="C443" s="1" t="n">
        <v>45937</v>
      </c>
      <c r="D443" t="inlineStr">
        <is>
          <t>VÄSTERNORRLANDS LÄN</t>
        </is>
      </c>
      <c r="E443" t="inlineStr">
        <is>
          <t>SOLLEFTEÅ</t>
        </is>
      </c>
      <c r="F443" t="inlineStr">
        <is>
          <t>Kyrkan</t>
        </is>
      </c>
      <c r="G443" t="n">
        <v>3</v>
      </c>
      <c r="H443" t="n">
        <v>0</v>
      </c>
      <c r="I443" t="n">
        <v>0</v>
      </c>
      <c r="J443" t="n">
        <v>0</v>
      </c>
      <c r="K443" t="n">
        <v>0</v>
      </c>
      <c r="L443" t="n">
        <v>0</v>
      </c>
      <c r="M443" t="n">
        <v>0</v>
      </c>
      <c r="N443" t="n">
        <v>0</v>
      </c>
      <c r="O443" t="n">
        <v>0</v>
      </c>
      <c r="P443" t="n">
        <v>0</v>
      </c>
      <c r="Q443" t="n">
        <v>0</v>
      </c>
      <c r="R443" s="2" t="inlineStr"/>
    </row>
    <row r="444" ht="15" customHeight="1">
      <c r="A444" t="inlineStr">
        <is>
          <t>A 47580-2022</t>
        </is>
      </c>
      <c r="B444" s="1" t="n">
        <v>44853.95252314815</v>
      </c>
      <c r="C444" s="1" t="n">
        <v>45937</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45937</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45937</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29829-2021</t>
        </is>
      </c>
      <c r="B447" s="1" t="n">
        <v>44362</v>
      </c>
      <c r="C447" s="1" t="n">
        <v>45937</v>
      </c>
      <c r="D447" t="inlineStr">
        <is>
          <t>VÄSTERNORRLANDS LÄN</t>
        </is>
      </c>
      <c r="E447" t="inlineStr">
        <is>
          <t>SOLLEFTEÅ</t>
        </is>
      </c>
      <c r="G447" t="n">
        <v>4</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45937</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45937</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45937</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45937</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45937</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57856-2021</t>
        </is>
      </c>
      <c r="B453" s="1" t="n">
        <v>44484.98627314815</v>
      </c>
      <c r="C453" s="1" t="n">
        <v>45937</v>
      </c>
      <c r="D453" t="inlineStr">
        <is>
          <t>VÄSTERNORRLANDS LÄN</t>
        </is>
      </c>
      <c r="E453" t="inlineStr">
        <is>
          <t>SOLLEFTEÅ</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7889-2021</t>
        </is>
      </c>
      <c r="B454" s="1" t="n">
        <v>44242</v>
      </c>
      <c r="C454" s="1" t="n">
        <v>45937</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64939-2021</t>
        </is>
      </c>
      <c r="B455" s="1" t="n">
        <v>44512</v>
      </c>
      <c r="C455" s="1" t="n">
        <v>45937</v>
      </c>
      <c r="D455" t="inlineStr">
        <is>
          <t>VÄSTERNORRLANDS LÄN</t>
        </is>
      </c>
      <c r="E455" t="inlineStr">
        <is>
          <t>SOLLEFTEÅ</t>
        </is>
      </c>
      <c r="G455" t="n">
        <v>0.8</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45937</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18013-2022</t>
        </is>
      </c>
      <c r="B457" s="1" t="n">
        <v>44683.94355324074</v>
      </c>
      <c r="C457" s="1" t="n">
        <v>45937</v>
      </c>
      <c r="D457" t="inlineStr">
        <is>
          <t>VÄSTERNORRLANDS LÄN</t>
        </is>
      </c>
      <c r="E457" t="inlineStr">
        <is>
          <t>SOLLEFTEÅ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21404-2022</t>
        </is>
      </c>
      <c r="B458" s="1" t="n">
        <v>44705.94037037037</v>
      </c>
      <c r="C458" s="1" t="n">
        <v>45937</v>
      </c>
      <c r="D458" t="inlineStr">
        <is>
          <t>VÄSTERNORRLANDS LÄN</t>
        </is>
      </c>
      <c r="E458" t="inlineStr">
        <is>
          <t>SOLLEFTEÅ</t>
        </is>
      </c>
      <c r="F458" t="inlineStr">
        <is>
          <t>SCA</t>
        </is>
      </c>
      <c r="G458" t="n">
        <v>6.7</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45937</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45937</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34267-2022</t>
        </is>
      </c>
      <c r="B461" s="1" t="n">
        <v>44791.9455787037</v>
      </c>
      <c r="C461" s="1" t="n">
        <v>45937</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25339-2022</t>
        </is>
      </c>
      <c r="B462" s="1" t="n">
        <v>44731.9378125</v>
      </c>
      <c r="C462" s="1" t="n">
        <v>45937</v>
      </c>
      <c r="D462" t="inlineStr">
        <is>
          <t>VÄSTERNORRLANDS LÄN</t>
        </is>
      </c>
      <c r="E462" t="inlineStr">
        <is>
          <t>SOLLEFTEÅ</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54567-2020</t>
        </is>
      </c>
      <c r="B463" s="1" t="n">
        <v>44126</v>
      </c>
      <c r="C463" s="1" t="n">
        <v>45937</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45937</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23639-2021</t>
        </is>
      </c>
      <c r="B465" s="1" t="n">
        <v>44334</v>
      </c>
      <c r="C465" s="1" t="n">
        <v>45937</v>
      </c>
      <c r="D465" t="inlineStr">
        <is>
          <t>VÄSTERNORRLANDS LÄN</t>
        </is>
      </c>
      <c r="E465" t="inlineStr">
        <is>
          <t>SOLLEFTEÅ</t>
        </is>
      </c>
      <c r="F465" t="inlineStr">
        <is>
          <t>Kyrkan</t>
        </is>
      </c>
      <c r="G465" t="n">
        <v>5.4</v>
      </c>
      <c r="H465" t="n">
        <v>0</v>
      </c>
      <c r="I465" t="n">
        <v>0</v>
      </c>
      <c r="J465" t="n">
        <v>0</v>
      </c>
      <c r="K465" t="n">
        <v>0</v>
      </c>
      <c r="L465" t="n">
        <v>0</v>
      </c>
      <c r="M465" t="n">
        <v>0</v>
      </c>
      <c r="N465" t="n">
        <v>0</v>
      </c>
      <c r="O465" t="n">
        <v>0</v>
      </c>
      <c r="P465" t="n">
        <v>0</v>
      </c>
      <c r="Q465" t="n">
        <v>0</v>
      </c>
      <c r="R465" s="2" t="inlineStr"/>
    </row>
    <row r="466" ht="15" customHeight="1">
      <c r="A466" t="inlineStr">
        <is>
          <t>A 72977-2021</t>
        </is>
      </c>
      <c r="B466" s="1" t="n">
        <v>44548</v>
      </c>
      <c r="C466" s="1" t="n">
        <v>45937</v>
      </c>
      <c r="D466" t="inlineStr">
        <is>
          <t>VÄSTERNORRLANDS LÄN</t>
        </is>
      </c>
      <c r="E466" t="inlineStr">
        <is>
          <t>SOLLEFTEÅ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6121-2022</t>
        </is>
      </c>
      <c r="B467" s="1" t="n">
        <v>44599</v>
      </c>
      <c r="C467" s="1" t="n">
        <v>45937</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48511-2022</t>
        </is>
      </c>
      <c r="B468" s="1" t="n">
        <v>44858.94972222222</v>
      </c>
      <c r="C468" s="1" t="n">
        <v>45937</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45105-2021</t>
        </is>
      </c>
      <c r="B469" s="1" t="n">
        <v>44439</v>
      </c>
      <c r="C469" s="1" t="n">
        <v>45937</v>
      </c>
      <c r="D469" t="inlineStr">
        <is>
          <t>VÄSTERNORRLANDS LÄN</t>
        </is>
      </c>
      <c r="E469" t="inlineStr">
        <is>
          <t>SOLLEFTEÅ</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15090-2022</t>
        </is>
      </c>
      <c r="B470" s="1" t="n">
        <v>44657.95271990741</v>
      </c>
      <c r="C470" s="1" t="n">
        <v>45937</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58268-2021</t>
        </is>
      </c>
      <c r="B471" s="1" t="n">
        <v>44487</v>
      </c>
      <c r="C471" s="1" t="n">
        <v>45937</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57911-2021</t>
        </is>
      </c>
      <c r="B472" s="1" t="n">
        <v>44486.90736111111</v>
      </c>
      <c r="C472" s="1" t="n">
        <v>45937</v>
      </c>
      <c r="D472" t="inlineStr">
        <is>
          <t>VÄSTERNORRLANDS LÄN</t>
        </is>
      </c>
      <c r="E472" t="inlineStr">
        <is>
          <t>SOLLEFTEÅ</t>
        </is>
      </c>
      <c r="G472" t="n">
        <v>3.1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45937</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71348-2021</t>
        </is>
      </c>
      <c r="B474" s="1" t="n">
        <v>44539</v>
      </c>
      <c r="C474" s="1" t="n">
        <v>45937</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71351-2021</t>
        </is>
      </c>
      <c r="B475" s="1" t="n">
        <v>44539</v>
      </c>
      <c r="C475" s="1" t="n">
        <v>45937</v>
      </c>
      <c r="D475" t="inlineStr">
        <is>
          <t>VÄSTERNORRLANDS LÄN</t>
        </is>
      </c>
      <c r="E475" t="inlineStr">
        <is>
          <t>SOLLEFTEÅ</t>
        </is>
      </c>
      <c r="G475" t="n">
        <v>0.1</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45937</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66850-2020</t>
        </is>
      </c>
      <c r="B477" s="1" t="n">
        <v>44179</v>
      </c>
      <c r="C477" s="1" t="n">
        <v>45937</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65401-2020</t>
        </is>
      </c>
      <c r="B478" s="1" t="n">
        <v>44169</v>
      </c>
      <c r="C478" s="1" t="n">
        <v>45937</v>
      </c>
      <c r="D478" t="inlineStr">
        <is>
          <t>VÄSTERNORRLANDS LÄN</t>
        </is>
      </c>
      <c r="E478" t="inlineStr">
        <is>
          <t>SOLLEFTEÅ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45937</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23032-2021</t>
        </is>
      </c>
      <c r="B480" s="1" t="n">
        <v>44328.9410300926</v>
      </c>
      <c r="C480" s="1" t="n">
        <v>45937</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22101-2022</t>
        </is>
      </c>
      <c r="B481" s="1" t="n">
        <v>44711.94153935185</v>
      </c>
      <c r="C481" s="1" t="n">
        <v>45937</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48555-2021</t>
        </is>
      </c>
      <c r="B482" s="1" t="n">
        <v>44452</v>
      </c>
      <c r="C482" s="1" t="n">
        <v>45937</v>
      </c>
      <c r="D482" t="inlineStr">
        <is>
          <t>VÄSTERNORRLANDS LÄN</t>
        </is>
      </c>
      <c r="E482" t="inlineStr">
        <is>
          <t>SOLLEFTEÅ</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53289-2021</t>
        </is>
      </c>
      <c r="B483" s="1" t="n">
        <v>44467</v>
      </c>
      <c r="C483" s="1" t="n">
        <v>45937</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45937</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21635-2022</t>
        </is>
      </c>
      <c r="B485" s="1" t="n">
        <v>44706.92628472222</v>
      </c>
      <c r="C485" s="1" t="n">
        <v>45937</v>
      </c>
      <c r="D485" t="inlineStr">
        <is>
          <t>VÄSTERNORRLANDS LÄN</t>
        </is>
      </c>
      <c r="E485" t="inlineStr">
        <is>
          <t>SOLLEFTEÅ</t>
        </is>
      </c>
      <c r="G485" t="n">
        <v>0.3</v>
      </c>
      <c r="H485" t="n">
        <v>0</v>
      </c>
      <c r="I485" t="n">
        <v>0</v>
      </c>
      <c r="J485" t="n">
        <v>0</v>
      </c>
      <c r="K485" t="n">
        <v>0</v>
      </c>
      <c r="L485" t="n">
        <v>0</v>
      </c>
      <c r="M485" t="n">
        <v>0</v>
      </c>
      <c r="N485" t="n">
        <v>0</v>
      </c>
      <c r="O485" t="n">
        <v>0</v>
      </c>
      <c r="P485" t="n">
        <v>0</v>
      </c>
      <c r="Q485" t="n">
        <v>0</v>
      </c>
      <c r="R485" s="2" t="inlineStr"/>
    </row>
    <row r="486" ht="15" customHeight="1">
      <c r="A486" t="inlineStr">
        <is>
          <t>A 61943-2020</t>
        </is>
      </c>
      <c r="B486" s="1" t="n">
        <v>44155</v>
      </c>
      <c r="C486" s="1" t="n">
        <v>45937</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33990-2022</t>
        </is>
      </c>
      <c r="B487" s="1" t="n">
        <v>44790</v>
      </c>
      <c r="C487" s="1" t="n">
        <v>45937</v>
      </c>
      <c r="D487" t="inlineStr">
        <is>
          <t>VÄSTERNORRLANDS LÄN</t>
        </is>
      </c>
      <c r="E487" t="inlineStr">
        <is>
          <t>SOLLEFTEÅ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22224-2021</t>
        </is>
      </c>
      <c r="B488" s="1" t="n">
        <v>44326</v>
      </c>
      <c r="C488" s="1" t="n">
        <v>45937</v>
      </c>
      <c r="D488" t="inlineStr">
        <is>
          <t>VÄSTERNORRLANDS LÄN</t>
        </is>
      </c>
      <c r="E488" t="inlineStr">
        <is>
          <t>SOLLEFTEÅ</t>
        </is>
      </c>
      <c r="F488" t="inlineStr">
        <is>
          <t>Kommuner</t>
        </is>
      </c>
      <c r="G488" t="n">
        <v>2.3</v>
      </c>
      <c r="H488" t="n">
        <v>0</v>
      </c>
      <c r="I488" t="n">
        <v>0</v>
      </c>
      <c r="J488" t="n">
        <v>0</v>
      </c>
      <c r="K488" t="n">
        <v>0</v>
      </c>
      <c r="L488" t="n">
        <v>0</v>
      </c>
      <c r="M488" t="n">
        <v>0</v>
      </c>
      <c r="N488" t="n">
        <v>0</v>
      </c>
      <c r="O488" t="n">
        <v>0</v>
      </c>
      <c r="P488" t="n">
        <v>0</v>
      </c>
      <c r="Q488" t="n">
        <v>0</v>
      </c>
      <c r="R488" s="2" t="inlineStr"/>
    </row>
    <row r="489" ht="15" customHeight="1">
      <c r="A489" t="inlineStr">
        <is>
          <t>A 16419-2022</t>
        </is>
      </c>
      <c r="B489" s="1" t="n">
        <v>44671</v>
      </c>
      <c r="C489" s="1" t="n">
        <v>45937</v>
      </c>
      <c r="D489" t="inlineStr">
        <is>
          <t>VÄSTERNORRLANDS LÄN</t>
        </is>
      </c>
      <c r="E489" t="inlineStr">
        <is>
          <t>SOLLEFTEÅ</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68647-2020</t>
        </is>
      </c>
      <c r="B490" s="1" t="n">
        <v>44186</v>
      </c>
      <c r="C490" s="1" t="n">
        <v>45937</v>
      </c>
      <c r="D490" t="inlineStr">
        <is>
          <t>VÄSTERNORRLANDS LÄN</t>
        </is>
      </c>
      <c r="E490" t="inlineStr">
        <is>
          <t>SOLLEFTEÅ</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18097-2021</t>
        </is>
      </c>
      <c r="B491" s="1" t="n">
        <v>44302.48136574074</v>
      </c>
      <c r="C491" s="1" t="n">
        <v>45937</v>
      </c>
      <c r="D491" t="inlineStr">
        <is>
          <t>VÄSTERNORRLANDS LÄN</t>
        </is>
      </c>
      <c r="E491" t="inlineStr">
        <is>
          <t>SOLLEFTEÅ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18662-2021</t>
        </is>
      </c>
      <c r="B492" s="1" t="n">
        <v>44306</v>
      </c>
      <c r="C492" s="1" t="n">
        <v>45937</v>
      </c>
      <c r="D492" t="inlineStr">
        <is>
          <t>VÄSTERNORRLANDS LÄN</t>
        </is>
      </c>
      <c r="E492" t="inlineStr">
        <is>
          <t>SOLLEFTEÅ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59309-2021</t>
        </is>
      </c>
      <c r="B493" s="1" t="n">
        <v>44490.93883101852</v>
      </c>
      <c r="C493" s="1" t="n">
        <v>45937</v>
      </c>
      <c r="D493" t="inlineStr">
        <is>
          <t>VÄSTERNORRLANDS LÄN</t>
        </is>
      </c>
      <c r="E493" t="inlineStr">
        <is>
          <t>SOLLEFTEÅ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61496-2021</t>
        </is>
      </c>
      <c r="B494" s="1" t="n">
        <v>44501</v>
      </c>
      <c r="C494" s="1" t="n">
        <v>45937</v>
      </c>
      <c r="D494" t="inlineStr">
        <is>
          <t>VÄSTERNORRLANDS LÄN</t>
        </is>
      </c>
      <c r="E494" t="inlineStr">
        <is>
          <t>SOLLEFTEÅ</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73285-2021</t>
        </is>
      </c>
      <c r="B495" s="1" t="n">
        <v>44550.94386574074</v>
      </c>
      <c r="C495" s="1" t="n">
        <v>45937</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18878-2021</t>
        </is>
      </c>
      <c r="B496" s="1" t="n">
        <v>44307</v>
      </c>
      <c r="C496" s="1" t="n">
        <v>45937</v>
      </c>
      <c r="D496" t="inlineStr">
        <is>
          <t>VÄSTERNORRLANDS LÄN</t>
        </is>
      </c>
      <c r="E496" t="inlineStr">
        <is>
          <t>SOLLEFTEÅ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27018-2022</t>
        </is>
      </c>
      <c r="B497" s="1" t="n">
        <v>44740</v>
      </c>
      <c r="C497" s="1" t="n">
        <v>45937</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68656-2020</t>
        </is>
      </c>
      <c r="B498" s="1" t="n">
        <v>44186</v>
      </c>
      <c r="C498" s="1" t="n">
        <v>45937</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68292-2020</t>
        </is>
      </c>
      <c r="B499" s="1" t="n">
        <v>44183</v>
      </c>
      <c r="C499" s="1" t="n">
        <v>45937</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6170-2022</t>
        </is>
      </c>
      <c r="B500" s="1" t="n">
        <v>44599</v>
      </c>
      <c r="C500" s="1" t="n">
        <v>45937</v>
      </c>
      <c r="D500" t="inlineStr">
        <is>
          <t>VÄSTERNORRLANDS LÄN</t>
        </is>
      </c>
      <c r="E500" t="inlineStr">
        <is>
          <t>SOLLEFTEÅ</t>
        </is>
      </c>
      <c r="G500" t="n">
        <v>1.6</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45937</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45937</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39947-2022</t>
        </is>
      </c>
      <c r="B503" s="1" t="n">
        <v>44819</v>
      </c>
      <c r="C503" s="1" t="n">
        <v>45937</v>
      </c>
      <c r="D503" t="inlineStr">
        <is>
          <t>VÄSTERNORRLANDS LÄN</t>
        </is>
      </c>
      <c r="E503" t="inlineStr">
        <is>
          <t>SOLLEFTEÅ</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40610-2022</t>
        </is>
      </c>
      <c r="B504" s="1" t="n">
        <v>44823.94981481481</v>
      </c>
      <c r="C504" s="1" t="n">
        <v>45937</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61424-2021</t>
        </is>
      </c>
      <c r="B505" s="1" t="n">
        <v>44500.93637731481</v>
      </c>
      <c r="C505" s="1" t="n">
        <v>45937</v>
      </c>
      <c r="D505" t="inlineStr">
        <is>
          <t>VÄSTERNORRLANDS LÄN</t>
        </is>
      </c>
      <c r="E505" t="inlineStr">
        <is>
          <t>SOLLEFTEÅ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14065-2022</t>
        </is>
      </c>
      <c r="B506" s="1" t="n">
        <v>44650</v>
      </c>
      <c r="C506" s="1" t="n">
        <v>45937</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45937</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45117-2022</t>
        </is>
      </c>
      <c r="B508" s="1" t="n">
        <v>44843.94648148148</v>
      </c>
      <c r="C508" s="1" t="n">
        <v>45937</v>
      </c>
      <c r="D508" t="inlineStr">
        <is>
          <t>VÄSTERNORRLANDS LÄN</t>
        </is>
      </c>
      <c r="E508" t="inlineStr">
        <is>
          <t>SOLLEFTEÅ</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45937</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52189-2020</t>
        </is>
      </c>
      <c r="B510" s="1" t="n">
        <v>44117.54841435186</v>
      </c>
      <c r="C510" s="1" t="n">
        <v>45937</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54570-2020</t>
        </is>
      </c>
      <c r="B511" s="1" t="n">
        <v>44126</v>
      </c>
      <c r="C511" s="1" t="n">
        <v>45937</v>
      </c>
      <c r="D511" t="inlineStr">
        <is>
          <t>VÄSTERNORRLANDS LÄN</t>
        </is>
      </c>
      <c r="E511" t="inlineStr">
        <is>
          <t>SOLLEFTEÅ</t>
        </is>
      </c>
      <c r="G511" t="n">
        <v>0.3</v>
      </c>
      <c r="H511" t="n">
        <v>0</v>
      </c>
      <c r="I511" t="n">
        <v>0</v>
      </c>
      <c r="J511" t="n">
        <v>0</v>
      </c>
      <c r="K511" t="n">
        <v>0</v>
      </c>
      <c r="L511" t="n">
        <v>0</v>
      </c>
      <c r="M511" t="n">
        <v>0</v>
      </c>
      <c r="N511" t="n">
        <v>0</v>
      </c>
      <c r="O511" t="n">
        <v>0</v>
      </c>
      <c r="P511" t="n">
        <v>0</v>
      </c>
      <c r="Q511" t="n">
        <v>0</v>
      </c>
      <c r="R511" s="2" t="inlineStr"/>
    </row>
    <row r="512" ht="15" customHeight="1">
      <c r="A512" t="inlineStr">
        <is>
          <t>A 54571-2020</t>
        </is>
      </c>
      <c r="B512" s="1" t="n">
        <v>44126</v>
      </c>
      <c r="C512" s="1" t="n">
        <v>45937</v>
      </c>
      <c r="D512" t="inlineStr">
        <is>
          <t>VÄSTERNORRLANDS LÄN</t>
        </is>
      </c>
      <c r="E512" t="inlineStr">
        <is>
          <t>SOLLEFTEÅ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11677-2022</t>
        </is>
      </c>
      <c r="B513" s="1" t="n">
        <v>44633</v>
      </c>
      <c r="C513" s="1" t="n">
        <v>45937</v>
      </c>
      <c r="D513" t="inlineStr">
        <is>
          <t>VÄSTERNORRLANDS LÄN</t>
        </is>
      </c>
      <c r="E513" t="inlineStr">
        <is>
          <t>SOLLEFTEÅ</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40539-2021</t>
        </is>
      </c>
      <c r="B514" s="1" t="n">
        <v>44420</v>
      </c>
      <c r="C514" s="1" t="n">
        <v>45937</v>
      </c>
      <c r="D514" t="inlineStr">
        <is>
          <t>VÄSTERNORRLANDS LÄN</t>
        </is>
      </c>
      <c r="E514" t="inlineStr">
        <is>
          <t>SOLLEFTEÅ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68016-2020</t>
        </is>
      </c>
      <c r="B515" s="1" t="n">
        <v>44182</v>
      </c>
      <c r="C515" s="1" t="n">
        <v>45937</v>
      </c>
      <c r="D515" t="inlineStr">
        <is>
          <t>VÄSTERNORRLANDS LÄN</t>
        </is>
      </c>
      <c r="E515" t="inlineStr">
        <is>
          <t>SOLLEFTEÅ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36579-2021</t>
        </is>
      </c>
      <c r="B516" s="1" t="n">
        <v>44391.59509259259</v>
      </c>
      <c r="C516" s="1" t="n">
        <v>45937</v>
      </c>
      <c r="D516" t="inlineStr">
        <is>
          <t>VÄSTERNORRLANDS LÄN</t>
        </is>
      </c>
      <c r="E516" t="inlineStr">
        <is>
          <t>SOLLEFTEÅ</t>
        </is>
      </c>
      <c r="G516" t="n">
        <v>6.9</v>
      </c>
      <c r="H516" t="n">
        <v>0</v>
      </c>
      <c r="I516" t="n">
        <v>0</v>
      </c>
      <c r="J516" t="n">
        <v>0</v>
      </c>
      <c r="K516" t="n">
        <v>0</v>
      </c>
      <c r="L516" t="n">
        <v>0</v>
      </c>
      <c r="M516" t="n">
        <v>0</v>
      </c>
      <c r="N516" t="n">
        <v>0</v>
      </c>
      <c r="O516" t="n">
        <v>0</v>
      </c>
      <c r="P516" t="n">
        <v>0</v>
      </c>
      <c r="Q516" t="n">
        <v>0</v>
      </c>
      <c r="R516" s="2" t="inlineStr"/>
    </row>
    <row r="517" ht="15" customHeight="1">
      <c r="A517" t="inlineStr">
        <is>
          <t>A 67602-2020</t>
        </is>
      </c>
      <c r="B517" s="1" t="n">
        <v>44181</v>
      </c>
      <c r="C517" s="1" t="n">
        <v>45937</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272-2021</t>
        </is>
      </c>
      <c r="B518" s="1" t="n">
        <v>44200</v>
      </c>
      <c r="C518" s="1" t="n">
        <v>45937</v>
      </c>
      <c r="D518" t="inlineStr">
        <is>
          <t>VÄSTERNORRLANDS LÄN</t>
        </is>
      </c>
      <c r="E518" t="inlineStr">
        <is>
          <t>SOLLEFTEÅ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12758-2022</t>
        </is>
      </c>
      <c r="B519" s="1" t="n">
        <v>44641</v>
      </c>
      <c r="C519" s="1" t="n">
        <v>45937</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24720-2021</t>
        </is>
      </c>
      <c r="B520" s="1" t="n">
        <v>44340</v>
      </c>
      <c r="C520" s="1" t="n">
        <v>45937</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58381-2020</t>
        </is>
      </c>
      <c r="B521" s="1" t="n">
        <v>44145</v>
      </c>
      <c r="C521" s="1" t="n">
        <v>45937</v>
      </c>
      <c r="D521" t="inlineStr">
        <is>
          <t>VÄSTERNORRLANDS LÄN</t>
        </is>
      </c>
      <c r="E521" t="inlineStr">
        <is>
          <t>SOLLEFTEÅ</t>
        </is>
      </c>
      <c r="G521" t="n">
        <v>2.3</v>
      </c>
      <c r="H521" t="n">
        <v>0</v>
      </c>
      <c r="I521" t="n">
        <v>0</v>
      </c>
      <c r="J521" t="n">
        <v>0</v>
      </c>
      <c r="K521" t="n">
        <v>0</v>
      </c>
      <c r="L521" t="n">
        <v>0</v>
      </c>
      <c r="M521" t="n">
        <v>0</v>
      </c>
      <c r="N521" t="n">
        <v>0</v>
      </c>
      <c r="O521" t="n">
        <v>0</v>
      </c>
      <c r="P521" t="n">
        <v>0</v>
      </c>
      <c r="Q521" t="n">
        <v>0</v>
      </c>
      <c r="R521" s="2" t="inlineStr"/>
    </row>
    <row r="522" ht="15" customHeight="1">
      <c r="A522" t="inlineStr">
        <is>
          <t>A 58726-2021</t>
        </is>
      </c>
      <c r="B522" s="1" t="n">
        <v>44489</v>
      </c>
      <c r="C522" s="1" t="n">
        <v>45937</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47268-2022</t>
        </is>
      </c>
      <c r="B523" s="1" t="n">
        <v>44852.94989583334</v>
      </c>
      <c r="C523" s="1" t="n">
        <v>45937</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58688-2021</t>
        </is>
      </c>
      <c r="B524" s="1" t="n">
        <v>44489</v>
      </c>
      <c r="C524" s="1" t="n">
        <v>45937</v>
      </c>
      <c r="D524" t="inlineStr">
        <is>
          <t>VÄSTERNORRLANDS LÄN</t>
        </is>
      </c>
      <c r="E524" t="inlineStr">
        <is>
          <t>SOLLEFTEÅ</t>
        </is>
      </c>
      <c r="G524" t="n">
        <v>2.3</v>
      </c>
      <c r="H524" t="n">
        <v>0</v>
      </c>
      <c r="I524" t="n">
        <v>0</v>
      </c>
      <c r="J524" t="n">
        <v>0</v>
      </c>
      <c r="K524" t="n">
        <v>0</v>
      </c>
      <c r="L524" t="n">
        <v>0</v>
      </c>
      <c r="M524" t="n">
        <v>0</v>
      </c>
      <c r="N524" t="n">
        <v>0</v>
      </c>
      <c r="O524" t="n">
        <v>0</v>
      </c>
      <c r="P524" t="n">
        <v>0</v>
      </c>
      <c r="Q524" t="n">
        <v>0</v>
      </c>
      <c r="R524" s="2" t="inlineStr"/>
    </row>
    <row r="525" ht="15" customHeight="1">
      <c r="A525" t="inlineStr">
        <is>
          <t>A 20062-2022</t>
        </is>
      </c>
      <c r="B525" s="1" t="n">
        <v>44697</v>
      </c>
      <c r="C525" s="1" t="n">
        <v>45937</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9586-2022</t>
        </is>
      </c>
      <c r="B526" s="1" t="n">
        <v>44617</v>
      </c>
      <c r="C526" s="1" t="n">
        <v>45937</v>
      </c>
      <c r="D526" t="inlineStr">
        <is>
          <t>VÄSTERNORRLANDS LÄN</t>
        </is>
      </c>
      <c r="E526" t="inlineStr">
        <is>
          <t>SOLLEFTEÅ</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42634-2022</t>
        </is>
      </c>
      <c r="B527" s="1" t="n">
        <v>44831.94565972222</v>
      </c>
      <c r="C527" s="1" t="n">
        <v>45937</v>
      </c>
      <c r="D527" t="inlineStr">
        <is>
          <t>VÄSTERNORRLANDS LÄN</t>
        </is>
      </c>
      <c r="E527" t="inlineStr">
        <is>
          <t>SOLLEFTEÅ</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19414-2022</t>
        </is>
      </c>
      <c r="B528" s="1" t="n">
        <v>44693</v>
      </c>
      <c r="C528" s="1" t="n">
        <v>45937</v>
      </c>
      <c r="D528" t="inlineStr">
        <is>
          <t>VÄSTERNORRLANDS LÄN</t>
        </is>
      </c>
      <c r="E528" t="inlineStr">
        <is>
          <t>SOLLEFTEÅ</t>
        </is>
      </c>
      <c r="G528" t="n">
        <v>0.3</v>
      </c>
      <c r="H528" t="n">
        <v>0</v>
      </c>
      <c r="I528" t="n">
        <v>0</v>
      </c>
      <c r="J528" t="n">
        <v>0</v>
      </c>
      <c r="K528" t="n">
        <v>0</v>
      </c>
      <c r="L528" t="n">
        <v>0</v>
      </c>
      <c r="M528" t="n">
        <v>0</v>
      </c>
      <c r="N528" t="n">
        <v>0</v>
      </c>
      <c r="O528" t="n">
        <v>0</v>
      </c>
      <c r="P528" t="n">
        <v>0</v>
      </c>
      <c r="Q528" t="n">
        <v>0</v>
      </c>
      <c r="R528" s="2" t="inlineStr"/>
    </row>
    <row r="529" ht="15" customHeight="1">
      <c r="A529" t="inlineStr">
        <is>
          <t>A 25295-2022</t>
        </is>
      </c>
      <c r="B529" s="1" t="n">
        <v>44730.94094907407</v>
      </c>
      <c r="C529" s="1" t="n">
        <v>45937</v>
      </c>
      <c r="D529" t="inlineStr">
        <is>
          <t>VÄSTERNORRLANDS LÄN</t>
        </is>
      </c>
      <c r="E529" t="inlineStr">
        <is>
          <t>SOLLEFTEÅ</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26498-2021</t>
        </is>
      </c>
      <c r="B530" s="1" t="n">
        <v>44348</v>
      </c>
      <c r="C530" s="1" t="n">
        <v>45937</v>
      </c>
      <c r="D530" t="inlineStr">
        <is>
          <t>VÄSTERNORRLANDS LÄN</t>
        </is>
      </c>
      <c r="E530" t="inlineStr">
        <is>
          <t>SOLLEFTEÅ</t>
        </is>
      </c>
      <c r="G530" t="n">
        <v>7.8</v>
      </c>
      <c r="H530" t="n">
        <v>0</v>
      </c>
      <c r="I530" t="n">
        <v>0</v>
      </c>
      <c r="J530" t="n">
        <v>0</v>
      </c>
      <c r="K530" t="n">
        <v>0</v>
      </c>
      <c r="L530" t="n">
        <v>0</v>
      </c>
      <c r="M530" t="n">
        <v>0</v>
      </c>
      <c r="N530" t="n">
        <v>0</v>
      </c>
      <c r="O530" t="n">
        <v>0</v>
      </c>
      <c r="P530" t="n">
        <v>0</v>
      </c>
      <c r="Q530" t="n">
        <v>0</v>
      </c>
      <c r="R530" s="2" t="inlineStr"/>
    </row>
    <row r="531" ht="15" customHeight="1">
      <c r="A531" t="inlineStr">
        <is>
          <t>A 58573-2021</t>
        </is>
      </c>
      <c r="B531" s="1" t="n">
        <v>44488</v>
      </c>
      <c r="C531" s="1" t="n">
        <v>45937</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21715-2022</t>
        </is>
      </c>
      <c r="B532" s="1" t="n">
        <v>44707.94020833333</v>
      </c>
      <c r="C532" s="1" t="n">
        <v>45937</v>
      </c>
      <c r="D532" t="inlineStr">
        <is>
          <t>VÄSTERNORRLANDS LÄN</t>
        </is>
      </c>
      <c r="E532" t="inlineStr">
        <is>
          <t>SOLLEFTEÅ</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11133-2022</t>
        </is>
      </c>
      <c r="B533" s="1" t="n">
        <v>44628</v>
      </c>
      <c r="C533" s="1" t="n">
        <v>45937</v>
      </c>
      <c r="D533" t="inlineStr">
        <is>
          <t>VÄSTERNORRLANDS LÄN</t>
        </is>
      </c>
      <c r="E533" t="inlineStr">
        <is>
          <t>SOLLEFTEÅ</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18570-2022</t>
        </is>
      </c>
      <c r="B534" s="1" t="n">
        <v>44686.94278935185</v>
      </c>
      <c r="C534" s="1" t="n">
        <v>45937</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43766-2022</t>
        </is>
      </c>
      <c r="B535" s="1" t="n">
        <v>44837.92642361111</v>
      </c>
      <c r="C535" s="1" t="n">
        <v>45937</v>
      </c>
      <c r="D535" t="inlineStr">
        <is>
          <t>VÄSTERNORRLANDS LÄN</t>
        </is>
      </c>
      <c r="E535" t="inlineStr">
        <is>
          <t>SOLLEFTEÅ</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60324-2021</t>
        </is>
      </c>
      <c r="B536" s="1" t="n">
        <v>44495.94048611111</v>
      </c>
      <c r="C536" s="1" t="n">
        <v>45937</v>
      </c>
      <c r="D536" t="inlineStr">
        <is>
          <t>VÄSTERNORRLANDS LÄN</t>
        </is>
      </c>
      <c r="E536" t="inlineStr">
        <is>
          <t>SOLLEFTEÅ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27926-2022</t>
        </is>
      </c>
      <c r="B537" s="1" t="n">
        <v>44743</v>
      </c>
      <c r="C537" s="1" t="n">
        <v>45937</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45119-2022</t>
        </is>
      </c>
      <c r="B538" s="1" t="n">
        <v>44843</v>
      </c>
      <c r="C538" s="1" t="n">
        <v>45937</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69916-2021</t>
        </is>
      </c>
      <c r="B539" s="1" t="n">
        <v>44532</v>
      </c>
      <c r="C539" s="1" t="n">
        <v>45937</v>
      </c>
      <c r="D539" t="inlineStr">
        <is>
          <t>VÄSTERNORRLANDS LÄN</t>
        </is>
      </c>
      <c r="E539" t="inlineStr">
        <is>
          <t>SOLLEFTEÅ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69919-2021</t>
        </is>
      </c>
      <c r="B540" s="1" t="n">
        <v>44532.94325231481</v>
      </c>
      <c r="C540" s="1" t="n">
        <v>45937</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29292-2022</t>
        </is>
      </c>
      <c r="B541" s="1" t="n">
        <v>44750</v>
      </c>
      <c r="C541" s="1" t="n">
        <v>45937</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54146-2021</t>
        </is>
      </c>
      <c r="B542" s="1" t="n">
        <v>44469</v>
      </c>
      <c r="C542" s="1" t="n">
        <v>45937</v>
      </c>
      <c r="D542" t="inlineStr">
        <is>
          <t>VÄSTERNORRLANDS LÄN</t>
        </is>
      </c>
      <c r="E542" t="inlineStr">
        <is>
          <t>SOLLEFTEÅ</t>
        </is>
      </c>
      <c r="G542" t="n">
        <v>2.1</v>
      </c>
      <c r="H542" t="n">
        <v>0</v>
      </c>
      <c r="I542" t="n">
        <v>0</v>
      </c>
      <c r="J542" t="n">
        <v>0</v>
      </c>
      <c r="K542" t="n">
        <v>0</v>
      </c>
      <c r="L542" t="n">
        <v>0</v>
      </c>
      <c r="M542" t="n">
        <v>0</v>
      </c>
      <c r="N542" t="n">
        <v>0</v>
      </c>
      <c r="O542" t="n">
        <v>0</v>
      </c>
      <c r="P542" t="n">
        <v>0</v>
      </c>
      <c r="Q542" t="n">
        <v>0</v>
      </c>
      <c r="R542" s="2" t="inlineStr"/>
    </row>
    <row r="543" ht="15" customHeight="1">
      <c r="A543" t="inlineStr">
        <is>
          <t>A 12568-2022</t>
        </is>
      </c>
      <c r="B543" s="1" t="n">
        <v>44638.94277777777</v>
      </c>
      <c r="C543" s="1" t="n">
        <v>45937</v>
      </c>
      <c r="D543" t="inlineStr">
        <is>
          <t>VÄSTERNORRLANDS LÄN</t>
        </is>
      </c>
      <c r="E543" t="inlineStr">
        <is>
          <t>SOLLEFTEÅ</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40608-2022</t>
        </is>
      </c>
      <c r="B544" s="1" t="n">
        <v>44823.94972222222</v>
      </c>
      <c r="C544" s="1" t="n">
        <v>45937</v>
      </c>
      <c r="D544" t="inlineStr">
        <is>
          <t>VÄSTERNORRLANDS LÄN</t>
        </is>
      </c>
      <c r="E544" t="inlineStr">
        <is>
          <t>SOLLEFTEÅ</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20950-2022</t>
        </is>
      </c>
      <c r="B545" s="1" t="n">
        <v>44701</v>
      </c>
      <c r="C545" s="1" t="n">
        <v>45937</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37242-2022</t>
        </is>
      </c>
      <c r="B546" s="1" t="n">
        <v>44806.94675925926</v>
      </c>
      <c r="C546" s="1" t="n">
        <v>45937</v>
      </c>
      <c r="D546" t="inlineStr">
        <is>
          <t>VÄSTERNORRLANDS LÄN</t>
        </is>
      </c>
      <c r="E546" t="inlineStr">
        <is>
          <t>SOLLEFTEÅ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54573-2022</t>
        </is>
      </c>
      <c r="B547" s="1" t="n">
        <v>44882.95532407407</v>
      </c>
      <c r="C547" s="1" t="n">
        <v>45937</v>
      </c>
      <c r="D547" t="inlineStr">
        <is>
          <t>VÄSTERNORRLANDS LÄN</t>
        </is>
      </c>
      <c r="E547" t="inlineStr">
        <is>
          <t>SOLLEFTEÅ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14061-2022</t>
        </is>
      </c>
      <c r="B548" s="1" t="n">
        <v>44650.94005787037</v>
      </c>
      <c r="C548" s="1" t="n">
        <v>45937</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23445-2022</t>
        </is>
      </c>
      <c r="B549" s="1" t="n">
        <v>44720.94123842593</v>
      </c>
      <c r="C549" s="1" t="n">
        <v>45937</v>
      </c>
      <c r="D549" t="inlineStr">
        <is>
          <t>VÄSTERNORRLANDS LÄN</t>
        </is>
      </c>
      <c r="E549" t="inlineStr">
        <is>
          <t>SOLLEFTEÅ</t>
        </is>
      </c>
      <c r="F549" t="inlineStr">
        <is>
          <t>SCA</t>
        </is>
      </c>
      <c r="G549" t="n">
        <v>6.8</v>
      </c>
      <c r="H549" t="n">
        <v>0</v>
      </c>
      <c r="I549" t="n">
        <v>0</v>
      </c>
      <c r="J549" t="n">
        <v>0</v>
      </c>
      <c r="K549" t="n">
        <v>0</v>
      </c>
      <c r="L549" t="n">
        <v>0</v>
      </c>
      <c r="M549" t="n">
        <v>0</v>
      </c>
      <c r="N549" t="n">
        <v>0</v>
      </c>
      <c r="O549" t="n">
        <v>0</v>
      </c>
      <c r="P549" t="n">
        <v>0</v>
      </c>
      <c r="Q549" t="n">
        <v>0</v>
      </c>
      <c r="R549" s="2" t="inlineStr"/>
    </row>
    <row r="550" ht="15" customHeight="1">
      <c r="A550" t="inlineStr">
        <is>
          <t>A 14302-2022</t>
        </is>
      </c>
      <c r="B550" s="1" t="n">
        <v>44651</v>
      </c>
      <c r="C550" s="1" t="n">
        <v>45937</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22447-2021</t>
        </is>
      </c>
      <c r="B551" s="1" t="n">
        <v>44323</v>
      </c>
      <c r="C551" s="1" t="n">
        <v>45937</v>
      </c>
      <c r="D551" t="inlineStr">
        <is>
          <t>VÄSTERNORRLANDS LÄN</t>
        </is>
      </c>
      <c r="E551" t="inlineStr">
        <is>
          <t>SOLLEFTEÅ</t>
        </is>
      </c>
      <c r="G551" t="n">
        <v>1.4</v>
      </c>
      <c r="H551" t="n">
        <v>0</v>
      </c>
      <c r="I551" t="n">
        <v>0</v>
      </c>
      <c r="J551" t="n">
        <v>0</v>
      </c>
      <c r="K551" t="n">
        <v>0</v>
      </c>
      <c r="L551" t="n">
        <v>0</v>
      </c>
      <c r="M551" t="n">
        <v>0</v>
      </c>
      <c r="N551" t="n">
        <v>0</v>
      </c>
      <c r="O551" t="n">
        <v>0</v>
      </c>
      <c r="P551" t="n">
        <v>0</v>
      </c>
      <c r="Q551" t="n">
        <v>0</v>
      </c>
      <c r="R551" s="2" t="inlineStr"/>
    </row>
    <row r="552" ht="15" customHeight="1">
      <c r="A552" t="inlineStr">
        <is>
          <t>A 48240-2022</t>
        </is>
      </c>
      <c r="B552" s="1" t="n">
        <v>44858</v>
      </c>
      <c r="C552" s="1" t="n">
        <v>45937</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51020-2021</t>
        </is>
      </c>
      <c r="B553" s="1" t="n">
        <v>44460</v>
      </c>
      <c r="C553" s="1" t="n">
        <v>45937</v>
      </c>
      <c r="D553" t="inlineStr">
        <is>
          <t>VÄSTERNORRLANDS LÄN</t>
        </is>
      </c>
      <c r="E553" t="inlineStr">
        <is>
          <t>SOLLEFTEÅ</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59334-2020</t>
        </is>
      </c>
      <c r="B554" s="1" t="n">
        <v>44147</v>
      </c>
      <c r="C554" s="1" t="n">
        <v>45937</v>
      </c>
      <c r="D554" t="inlineStr">
        <is>
          <t>VÄSTERNORRLANDS LÄN</t>
        </is>
      </c>
      <c r="E554" t="inlineStr">
        <is>
          <t>SOLLEFTEÅ</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27082-2022</t>
        </is>
      </c>
      <c r="B555" s="1" t="n">
        <v>44741</v>
      </c>
      <c r="C555" s="1" t="n">
        <v>45937</v>
      </c>
      <c r="D555" t="inlineStr">
        <is>
          <t>VÄSTERNORRLANDS LÄN</t>
        </is>
      </c>
      <c r="E555" t="inlineStr">
        <is>
          <t>SOLLEFTEÅ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31452-2022</t>
        </is>
      </c>
      <c r="B556" s="1" t="n">
        <v>44774.9415162037</v>
      </c>
      <c r="C556" s="1" t="n">
        <v>45937</v>
      </c>
      <c r="D556" t="inlineStr">
        <is>
          <t>VÄSTERNORRLANDS LÄN</t>
        </is>
      </c>
      <c r="E556" t="inlineStr">
        <is>
          <t>SOLLEFTEÅ</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16093-2022</t>
        </is>
      </c>
      <c r="B557" s="1" t="n">
        <v>44665</v>
      </c>
      <c r="C557" s="1" t="n">
        <v>45937</v>
      </c>
      <c r="D557" t="inlineStr">
        <is>
          <t>VÄSTERNORRLANDS LÄN</t>
        </is>
      </c>
      <c r="E557" t="inlineStr">
        <is>
          <t>SOLLEFTEÅ</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50656-2022</t>
        </is>
      </c>
      <c r="B558" s="1" t="n">
        <v>44866</v>
      </c>
      <c r="C558" s="1" t="n">
        <v>45937</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20296-2022</t>
        </is>
      </c>
      <c r="B559" s="1" t="n">
        <v>44698</v>
      </c>
      <c r="C559" s="1" t="n">
        <v>45937</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30236-2022</t>
        </is>
      </c>
      <c r="B560" s="1" t="n">
        <v>44757</v>
      </c>
      <c r="C560" s="1" t="n">
        <v>45937</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33083-2022</t>
        </is>
      </c>
      <c r="B561" s="1" t="n">
        <v>44785</v>
      </c>
      <c r="C561" s="1" t="n">
        <v>45937</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67822-2021</t>
        </is>
      </c>
      <c r="B562" s="1" t="n">
        <v>44525.45137731481</v>
      </c>
      <c r="C562" s="1" t="n">
        <v>45937</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29294-2022</t>
        </is>
      </c>
      <c r="B563" s="1" t="n">
        <v>44750.9431712963</v>
      </c>
      <c r="C563" s="1" t="n">
        <v>45937</v>
      </c>
      <c r="D563" t="inlineStr">
        <is>
          <t>VÄSTERNORRLANDS LÄN</t>
        </is>
      </c>
      <c r="E563" t="inlineStr">
        <is>
          <t>SOLLEFTEÅ</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22341-2022</t>
        </is>
      </c>
      <c r="B564" s="1" t="n">
        <v>44712.94197916667</v>
      </c>
      <c r="C564" s="1" t="n">
        <v>45937</v>
      </c>
      <c r="D564" t="inlineStr">
        <is>
          <t>VÄSTERNORRLANDS LÄN</t>
        </is>
      </c>
      <c r="E564" t="inlineStr">
        <is>
          <t>SOLLEFTEÅ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24734-2022</t>
        </is>
      </c>
      <c r="B565" s="1" t="n">
        <v>44727.94329861111</v>
      </c>
      <c r="C565" s="1" t="n">
        <v>45937</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30237-2022</t>
        </is>
      </c>
      <c r="B566" s="1" t="n">
        <v>44757.94412037037</v>
      </c>
      <c r="C566" s="1" t="n">
        <v>45937</v>
      </c>
      <c r="D566" t="inlineStr">
        <is>
          <t>VÄSTERNORRLANDS LÄN</t>
        </is>
      </c>
      <c r="E566" t="inlineStr">
        <is>
          <t>SOLLEFTEÅ</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51317-2022</t>
        </is>
      </c>
      <c r="B567" s="1" t="n">
        <v>44868</v>
      </c>
      <c r="C567" s="1" t="n">
        <v>45937</v>
      </c>
      <c r="D567" t="inlineStr">
        <is>
          <t>VÄSTERNORRLANDS LÄN</t>
        </is>
      </c>
      <c r="E567" t="inlineStr">
        <is>
          <t>SOLLEFTEÅ</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24008-2022</t>
        </is>
      </c>
      <c r="B568" s="1" t="n">
        <v>44722.94112268519</v>
      </c>
      <c r="C568" s="1" t="n">
        <v>45937</v>
      </c>
      <c r="D568" t="inlineStr">
        <is>
          <t>VÄSTERNORRLANDS LÄN</t>
        </is>
      </c>
      <c r="E568" t="inlineStr">
        <is>
          <t>SOLLEFTEÅ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54568-2020</t>
        </is>
      </c>
      <c r="B569" s="1" t="n">
        <v>44126</v>
      </c>
      <c r="C569" s="1" t="n">
        <v>45937</v>
      </c>
      <c r="D569" t="inlineStr">
        <is>
          <t>VÄSTERNORRLANDS LÄN</t>
        </is>
      </c>
      <c r="E569" t="inlineStr">
        <is>
          <t>SOLLEFTEÅ</t>
        </is>
      </c>
      <c r="G569" t="n">
        <v>0.2</v>
      </c>
      <c r="H569" t="n">
        <v>0</v>
      </c>
      <c r="I569" t="n">
        <v>0</v>
      </c>
      <c r="J569" t="n">
        <v>0</v>
      </c>
      <c r="K569" t="n">
        <v>0</v>
      </c>
      <c r="L569" t="n">
        <v>0</v>
      </c>
      <c r="M569" t="n">
        <v>0</v>
      </c>
      <c r="N569" t="n">
        <v>0</v>
      </c>
      <c r="O569" t="n">
        <v>0</v>
      </c>
      <c r="P569" t="n">
        <v>0</v>
      </c>
      <c r="Q569" t="n">
        <v>0</v>
      </c>
      <c r="R569" s="2" t="inlineStr"/>
    </row>
    <row r="570" ht="15" customHeight="1">
      <c r="A570" t="inlineStr">
        <is>
          <t>A 54572-2020</t>
        </is>
      </c>
      <c r="B570" s="1" t="n">
        <v>44126</v>
      </c>
      <c r="C570" s="1" t="n">
        <v>45937</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45937</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16088-2022</t>
        </is>
      </c>
      <c r="B572" s="1" t="n">
        <v>44665</v>
      </c>
      <c r="C572" s="1" t="n">
        <v>45937</v>
      </c>
      <c r="D572" t="inlineStr">
        <is>
          <t>VÄSTERNORRLANDS LÄN</t>
        </is>
      </c>
      <c r="E572" t="inlineStr">
        <is>
          <t>SOLLEFTEÅ</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28700-2022</t>
        </is>
      </c>
      <c r="B573" s="1" t="n">
        <v>44748</v>
      </c>
      <c r="C573" s="1" t="n">
        <v>45937</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72958-2021</t>
        </is>
      </c>
      <c r="B574" s="1" t="n">
        <v>44547</v>
      </c>
      <c r="C574" s="1" t="n">
        <v>45937</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11653-2022</t>
        </is>
      </c>
      <c r="B575" s="1" t="n">
        <v>44631</v>
      </c>
      <c r="C575" s="1" t="n">
        <v>45937</v>
      </c>
      <c r="D575" t="inlineStr">
        <is>
          <t>VÄSTERNORRLANDS LÄN</t>
        </is>
      </c>
      <c r="E575" t="inlineStr">
        <is>
          <t>SOLLEFTEÅ</t>
        </is>
      </c>
      <c r="F575" t="inlineStr">
        <is>
          <t>SCA</t>
        </is>
      </c>
      <c r="G575" t="n">
        <v>6.4</v>
      </c>
      <c r="H575" t="n">
        <v>0</v>
      </c>
      <c r="I575" t="n">
        <v>0</v>
      </c>
      <c r="J575" t="n">
        <v>0</v>
      </c>
      <c r="K575" t="n">
        <v>0</v>
      </c>
      <c r="L575" t="n">
        <v>0</v>
      </c>
      <c r="M575" t="n">
        <v>0</v>
      </c>
      <c r="N575" t="n">
        <v>0</v>
      </c>
      <c r="O575" t="n">
        <v>0</v>
      </c>
      <c r="P575" t="n">
        <v>0</v>
      </c>
      <c r="Q575" t="n">
        <v>0</v>
      </c>
      <c r="R575" s="2" t="inlineStr"/>
    </row>
    <row r="576" ht="15" customHeight="1">
      <c r="A576" t="inlineStr">
        <is>
          <t>A 35747-2022</t>
        </is>
      </c>
      <c r="B576" s="1" t="n">
        <v>44799</v>
      </c>
      <c r="C576" s="1" t="n">
        <v>45937</v>
      </c>
      <c r="D576" t="inlineStr">
        <is>
          <t>VÄSTERNORRLANDS LÄN</t>
        </is>
      </c>
      <c r="E576" t="inlineStr">
        <is>
          <t>SOLLEFTEÅ</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39943-2022</t>
        </is>
      </c>
      <c r="B577" s="1" t="n">
        <v>44819.94916666667</v>
      </c>
      <c r="C577" s="1" t="n">
        <v>45937</v>
      </c>
      <c r="D577" t="inlineStr">
        <is>
          <t>VÄSTERNORRLANDS LÄN</t>
        </is>
      </c>
      <c r="E577" t="inlineStr">
        <is>
          <t>SOLLEFTEÅ</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44042-2022</t>
        </is>
      </c>
      <c r="B578" s="1" t="n">
        <v>44838.94877314815</v>
      </c>
      <c r="C578" s="1" t="n">
        <v>45937</v>
      </c>
      <c r="D578" t="inlineStr">
        <is>
          <t>VÄSTERNORRLANDS LÄN</t>
        </is>
      </c>
      <c r="E578" t="inlineStr">
        <is>
          <t>SOLLEFTEÅ</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30013-2022</t>
        </is>
      </c>
      <c r="B579" s="1" t="n">
        <v>44756</v>
      </c>
      <c r="C579" s="1" t="n">
        <v>45937</v>
      </c>
      <c r="D579" t="inlineStr">
        <is>
          <t>VÄSTERNORRLANDS LÄN</t>
        </is>
      </c>
      <c r="E579" t="inlineStr">
        <is>
          <t>SOLLEFTEÅ</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30041-2022</t>
        </is>
      </c>
      <c r="B580" s="1" t="n">
        <v>44756</v>
      </c>
      <c r="C580" s="1" t="n">
        <v>45937</v>
      </c>
      <c r="D580" t="inlineStr">
        <is>
          <t>VÄSTERNORRLANDS LÄN</t>
        </is>
      </c>
      <c r="E580" t="inlineStr">
        <is>
          <t>SOLLEFTEÅ</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53955-2021</t>
        </is>
      </c>
      <c r="B581" s="1" t="n">
        <v>44469</v>
      </c>
      <c r="C581" s="1" t="n">
        <v>45937</v>
      </c>
      <c r="D581" t="inlineStr">
        <is>
          <t>VÄSTERNORRLANDS LÄN</t>
        </is>
      </c>
      <c r="E581" t="inlineStr">
        <is>
          <t>SOLLEFTEÅ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54249-2022</t>
        </is>
      </c>
      <c r="B582" s="1" t="n">
        <v>44881.95111111111</v>
      </c>
      <c r="C582" s="1" t="n">
        <v>45937</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15974-2022</t>
        </is>
      </c>
      <c r="B583" s="1" t="n">
        <v>44664.94778935185</v>
      </c>
      <c r="C583" s="1" t="n">
        <v>45937</v>
      </c>
      <c r="D583" t="inlineStr">
        <is>
          <t>VÄSTERNORRLANDS LÄN</t>
        </is>
      </c>
      <c r="E583" t="inlineStr">
        <is>
          <t>SOLLEFTEÅ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46058-2021</t>
        </is>
      </c>
      <c r="B584" s="1" t="n">
        <v>44441.94364583334</v>
      </c>
      <c r="C584" s="1" t="n">
        <v>45937</v>
      </c>
      <c r="D584" t="inlineStr">
        <is>
          <t>VÄSTERNORRLANDS LÄN</t>
        </is>
      </c>
      <c r="E584" t="inlineStr">
        <is>
          <t>SOLLEFTEÅ</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28893-2022</t>
        </is>
      </c>
      <c r="B585" s="1" t="n">
        <v>44749.53978009259</v>
      </c>
      <c r="C585" s="1" t="n">
        <v>45937</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72315-2021</t>
        </is>
      </c>
      <c r="B586" s="1" t="n">
        <v>44545</v>
      </c>
      <c r="C586" s="1" t="n">
        <v>45937</v>
      </c>
      <c r="D586" t="inlineStr">
        <is>
          <t>VÄSTERNORRLANDS LÄN</t>
        </is>
      </c>
      <c r="E586" t="inlineStr">
        <is>
          <t>SOLLEFTEÅ</t>
        </is>
      </c>
      <c r="F586" t="inlineStr">
        <is>
          <t>SCA</t>
        </is>
      </c>
      <c r="G586" t="n">
        <v>6.6</v>
      </c>
      <c r="H586" t="n">
        <v>0</v>
      </c>
      <c r="I586" t="n">
        <v>0</v>
      </c>
      <c r="J586" t="n">
        <v>0</v>
      </c>
      <c r="K586" t="n">
        <v>0</v>
      </c>
      <c r="L586" t="n">
        <v>0</v>
      </c>
      <c r="M586" t="n">
        <v>0</v>
      </c>
      <c r="N586" t="n">
        <v>0</v>
      </c>
      <c r="O586" t="n">
        <v>0</v>
      </c>
      <c r="P586" t="n">
        <v>0</v>
      </c>
      <c r="Q586" t="n">
        <v>0</v>
      </c>
      <c r="R586" s="2" t="inlineStr"/>
    </row>
    <row r="587" ht="15" customHeight="1">
      <c r="A587" t="inlineStr">
        <is>
          <t>A 38430-2022</t>
        </is>
      </c>
      <c r="B587" s="1" t="n">
        <v>44812</v>
      </c>
      <c r="C587" s="1" t="n">
        <v>45937</v>
      </c>
      <c r="D587" t="inlineStr">
        <is>
          <t>VÄSTERNORRLANDS LÄN</t>
        </is>
      </c>
      <c r="E587" t="inlineStr">
        <is>
          <t>SOLLEFTEÅ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42303-2022</t>
        </is>
      </c>
      <c r="B588" s="1" t="n">
        <v>44830.95473379629</v>
      </c>
      <c r="C588" s="1" t="n">
        <v>45937</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68317-2021</t>
        </is>
      </c>
      <c r="B589" s="1" t="n">
        <v>44526.94339120371</v>
      </c>
      <c r="C589" s="1" t="n">
        <v>45937</v>
      </c>
      <c r="D589" t="inlineStr">
        <is>
          <t>VÄSTERNORRLANDS LÄN</t>
        </is>
      </c>
      <c r="E589" t="inlineStr">
        <is>
          <t>SOLLEFTEÅ</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13309-2022</t>
        </is>
      </c>
      <c r="B590" s="1" t="n">
        <v>44644.93670138889</v>
      </c>
      <c r="C590" s="1" t="n">
        <v>45937</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26415-2022</t>
        </is>
      </c>
      <c r="B591" s="1" t="n">
        <v>44735</v>
      </c>
      <c r="C591" s="1" t="n">
        <v>45937</v>
      </c>
      <c r="D591" t="inlineStr">
        <is>
          <t>VÄSTERNORRLANDS LÄN</t>
        </is>
      </c>
      <c r="E591" t="inlineStr">
        <is>
          <t>SOLLEFTEÅ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73886-2021</t>
        </is>
      </c>
      <c r="B592" s="1" t="n">
        <v>44553</v>
      </c>
      <c r="C592" s="1" t="n">
        <v>45937</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3549-2022</t>
        </is>
      </c>
      <c r="B593" s="1" t="n">
        <v>44585</v>
      </c>
      <c r="C593" s="1" t="n">
        <v>45937</v>
      </c>
      <c r="D593" t="inlineStr">
        <is>
          <t>VÄSTERNORRLANDS LÄN</t>
        </is>
      </c>
      <c r="E593" t="inlineStr">
        <is>
          <t>SOLLEFTEÅ</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38095-2022</t>
        </is>
      </c>
      <c r="B594" s="1" t="n">
        <v>44811</v>
      </c>
      <c r="C594" s="1" t="n">
        <v>45937</v>
      </c>
      <c r="D594" t="inlineStr">
        <is>
          <t>VÄSTERNORRLANDS LÄN</t>
        </is>
      </c>
      <c r="E594" t="inlineStr">
        <is>
          <t>SOLLEFTEÅ</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41196-2022</t>
        </is>
      </c>
      <c r="B595" s="1" t="n">
        <v>44825.94994212963</v>
      </c>
      <c r="C595" s="1" t="n">
        <v>45937</v>
      </c>
      <c r="D595" t="inlineStr">
        <is>
          <t>VÄSTERNORRLANDS LÄN</t>
        </is>
      </c>
      <c r="E595" t="inlineStr">
        <is>
          <t>SOLLEFTEÅ</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72949-2021</t>
        </is>
      </c>
      <c r="B596" s="1" t="n">
        <v>44547.92181712963</v>
      </c>
      <c r="C596" s="1" t="n">
        <v>45937</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66856-2021</t>
        </is>
      </c>
      <c r="B597" s="1" t="n">
        <v>44522</v>
      </c>
      <c r="C597" s="1" t="n">
        <v>45937</v>
      </c>
      <c r="D597" t="inlineStr">
        <is>
          <t>VÄSTERNORRLANDS LÄN</t>
        </is>
      </c>
      <c r="E597" t="inlineStr">
        <is>
          <t>SOLLEFTEÅ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3551-2022</t>
        </is>
      </c>
      <c r="B598" s="1" t="n">
        <v>44585.93800925926</v>
      </c>
      <c r="C598" s="1" t="n">
        <v>45937</v>
      </c>
      <c r="D598" t="inlineStr">
        <is>
          <t>VÄSTERNORRLANDS LÄN</t>
        </is>
      </c>
      <c r="E598" t="inlineStr">
        <is>
          <t>SOLLEFTEÅ</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47272-2022</t>
        </is>
      </c>
      <c r="B599" s="1" t="n">
        <v>44852.95016203704</v>
      </c>
      <c r="C599" s="1" t="n">
        <v>45937</v>
      </c>
      <c r="D599" t="inlineStr">
        <is>
          <t>VÄSTERNORRLANDS LÄN</t>
        </is>
      </c>
      <c r="E599" t="inlineStr">
        <is>
          <t>SOLLEFTEÅ</t>
        </is>
      </c>
      <c r="G599" t="n">
        <v>12.2</v>
      </c>
      <c r="H599" t="n">
        <v>0</v>
      </c>
      <c r="I599" t="n">
        <v>0</v>
      </c>
      <c r="J599" t="n">
        <v>0</v>
      </c>
      <c r="K599" t="n">
        <v>0</v>
      </c>
      <c r="L599" t="n">
        <v>0</v>
      </c>
      <c r="M599" t="n">
        <v>0</v>
      </c>
      <c r="N599" t="n">
        <v>0</v>
      </c>
      <c r="O599" t="n">
        <v>0</v>
      </c>
      <c r="P599" t="n">
        <v>0</v>
      </c>
      <c r="Q599" t="n">
        <v>0</v>
      </c>
      <c r="R599" s="2" t="inlineStr"/>
    </row>
    <row r="600" ht="15" customHeight="1">
      <c r="A600" t="inlineStr">
        <is>
          <t>A 12191-2022</t>
        </is>
      </c>
      <c r="B600" s="1" t="n">
        <v>44636.9250925926</v>
      </c>
      <c r="C600" s="1" t="n">
        <v>45937</v>
      </c>
      <c r="D600" t="inlineStr">
        <is>
          <t>VÄSTERNORRLANDS LÄN</t>
        </is>
      </c>
      <c r="E600" t="inlineStr">
        <is>
          <t>SOLLEFTEÅ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22208-2024</t>
        </is>
      </c>
      <c r="B601" s="1" t="n">
        <v>45446.38181712963</v>
      </c>
      <c r="C601" s="1" t="n">
        <v>45937</v>
      </c>
      <c r="D601" t="inlineStr">
        <is>
          <t>VÄSTERNORRLANDS LÄN</t>
        </is>
      </c>
      <c r="E601" t="inlineStr">
        <is>
          <t>SOLLEFTEÅ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27314-2024</t>
        </is>
      </c>
      <c r="B602" s="1" t="n">
        <v>45471.94633101852</v>
      </c>
      <c r="C602" s="1" t="n">
        <v>45937</v>
      </c>
      <c r="D602" t="inlineStr">
        <is>
          <t>VÄSTERNORRLANDS LÄN</t>
        </is>
      </c>
      <c r="E602" t="inlineStr">
        <is>
          <t>SOLLEFTEÅ</t>
        </is>
      </c>
      <c r="G602" t="n">
        <v>3.8</v>
      </c>
      <c r="H602" t="n">
        <v>0</v>
      </c>
      <c r="I602" t="n">
        <v>0</v>
      </c>
      <c r="J602" t="n">
        <v>0</v>
      </c>
      <c r="K602" t="n">
        <v>0</v>
      </c>
      <c r="L602" t="n">
        <v>0</v>
      </c>
      <c r="M602" t="n">
        <v>0</v>
      </c>
      <c r="N602" t="n">
        <v>0</v>
      </c>
      <c r="O602" t="n">
        <v>0</v>
      </c>
      <c r="P602" t="n">
        <v>0</v>
      </c>
      <c r="Q602" t="n">
        <v>0</v>
      </c>
      <c r="R602" s="2" t="inlineStr"/>
      <c r="U602">
        <f>HYPERLINK("https://klasma.github.io/Logging_2283/knärot/A 27314-2024 karta knärot.png", "A 27314-2024")</f>
        <v/>
      </c>
      <c r="V602">
        <f>HYPERLINK("https://klasma.github.io/Logging_2283/klagomål/A 27314-2024 FSC-klagomål.docx", "A 27314-2024")</f>
        <v/>
      </c>
      <c r="W602">
        <f>HYPERLINK("https://klasma.github.io/Logging_2283/klagomålsmail/A 27314-2024 FSC-klagomål mail.docx", "A 27314-2024")</f>
        <v/>
      </c>
      <c r="X602">
        <f>HYPERLINK("https://klasma.github.io/Logging_2283/tillsyn/A 27314-2024 tillsynsbegäran.docx", "A 27314-2024")</f>
        <v/>
      </c>
      <c r="Y602">
        <f>HYPERLINK("https://klasma.github.io/Logging_2283/tillsynsmail/A 27314-2024 tillsynsbegäran mail.docx", "A 27314-2024")</f>
        <v/>
      </c>
    </row>
    <row r="603" ht="15" customHeight="1">
      <c r="A603" t="inlineStr">
        <is>
          <t>A 49665-2022</t>
        </is>
      </c>
      <c r="B603" s="1" t="n">
        <v>44862</v>
      </c>
      <c r="C603" s="1" t="n">
        <v>45937</v>
      </c>
      <c r="D603" t="inlineStr">
        <is>
          <t>VÄSTERNORRLANDS LÄN</t>
        </is>
      </c>
      <c r="E603" t="inlineStr">
        <is>
          <t>SOLLEFTEÅ</t>
        </is>
      </c>
      <c r="F603" t="inlineStr">
        <is>
          <t>Holmen skog AB</t>
        </is>
      </c>
      <c r="G603" t="n">
        <v>3</v>
      </c>
      <c r="H603" t="n">
        <v>0</v>
      </c>
      <c r="I603" t="n">
        <v>0</v>
      </c>
      <c r="J603" t="n">
        <v>0</v>
      </c>
      <c r="K603" t="n">
        <v>0</v>
      </c>
      <c r="L603" t="n">
        <v>0</v>
      </c>
      <c r="M603" t="n">
        <v>0</v>
      </c>
      <c r="N603" t="n">
        <v>0</v>
      </c>
      <c r="O603" t="n">
        <v>0</v>
      </c>
      <c r="P603" t="n">
        <v>0</v>
      </c>
      <c r="Q603" t="n">
        <v>0</v>
      </c>
      <c r="R603" s="2" t="inlineStr"/>
    </row>
    <row r="604" ht="15" customHeight="1">
      <c r="A604" t="inlineStr">
        <is>
          <t>A 25702-2024</t>
        </is>
      </c>
      <c r="B604" s="1" t="n">
        <v>45463</v>
      </c>
      <c r="C604" s="1" t="n">
        <v>45937</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25711-2024</t>
        </is>
      </c>
      <c r="B605" s="1" t="n">
        <v>45463</v>
      </c>
      <c r="C605" s="1" t="n">
        <v>45937</v>
      </c>
      <c r="D605" t="inlineStr">
        <is>
          <t>VÄSTERNORRLANDS LÄN</t>
        </is>
      </c>
      <c r="E605" t="inlineStr">
        <is>
          <t>SOLLEFTEÅ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10139-2022</t>
        </is>
      </c>
      <c r="B606" s="1" t="n">
        <v>44621</v>
      </c>
      <c r="C606" s="1" t="n">
        <v>45937</v>
      </c>
      <c r="D606" t="inlineStr">
        <is>
          <t>VÄSTERNORRLANDS LÄN</t>
        </is>
      </c>
      <c r="E606" t="inlineStr">
        <is>
          <t>SOLLEFTEÅ</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24731-2021</t>
        </is>
      </c>
      <c r="B607" s="1" t="n">
        <v>44340</v>
      </c>
      <c r="C607" s="1" t="n">
        <v>45937</v>
      </c>
      <c r="D607" t="inlineStr">
        <is>
          <t>VÄSTERNORRLANDS LÄN</t>
        </is>
      </c>
      <c r="E607" t="inlineStr">
        <is>
          <t>SOLLEFTEÅ</t>
        </is>
      </c>
      <c r="G607" t="n">
        <v>5.3</v>
      </c>
      <c r="H607" t="n">
        <v>0</v>
      </c>
      <c r="I607" t="n">
        <v>0</v>
      </c>
      <c r="J607" t="n">
        <v>0</v>
      </c>
      <c r="K607" t="n">
        <v>0</v>
      </c>
      <c r="L607" t="n">
        <v>0</v>
      </c>
      <c r="M607" t="n">
        <v>0</v>
      </c>
      <c r="N607" t="n">
        <v>0</v>
      </c>
      <c r="O607" t="n">
        <v>0</v>
      </c>
      <c r="P607" t="n">
        <v>0</v>
      </c>
      <c r="Q607" t="n">
        <v>0</v>
      </c>
      <c r="R607" s="2" t="inlineStr"/>
    </row>
    <row r="608" ht="15" customHeight="1">
      <c r="A608" t="inlineStr">
        <is>
          <t>A 35574-2021</t>
        </is>
      </c>
      <c r="B608" s="1" t="n">
        <v>44385.93663194445</v>
      </c>
      <c r="C608" s="1" t="n">
        <v>45937</v>
      </c>
      <c r="D608" t="inlineStr">
        <is>
          <t>VÄSTERNORRLANDS LÄN</t>
        </is>
      </c>
      <c r="E608" t="inlineStr">
        <is>
          <t>SOLLEFTEÅ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43220-2021</t>
        </is>
      </c>
      <c r="B609" s="1" t="n">
        <v>44431.9378125</v>
      </c>
      <c r="C609" s="1" t="n">
        <v>45937</v>
      </c>
      <c r="D609" t="inlineStr">
        <is>
          <t>VÄSTERNORRLANDS LÄN</t>
        </is>
      </c>
      <c r="E609" t="inlineStr">
        <is>
          <t>SOLLEFTEÅ</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34284-2023</t>
        </is>
      </c>
      <c r="B610" s="1" t="n">
        <v>45128</v>
      </c>
      <c r="C610" s="1" t="n">
        <v>45937</v>
      </c>
      <c r="D610" t="inlineStr">
        <is>
          <t>VÄSTERNORRLANDS LÄN</t>
        </is>
      </c>
      <c r="E610" t="inlineStr">
        <is>
          <t>SOLLEFTEÅ</t>
        </is>
      </c>
      <c r="G610" t="n">
        <v>6.6</v>
      </c>
      <c r="H610" t="n">
        <v>0</v>
      </c>
      <c r="I610" t="n">
        <v>0</v>
      </c>
      <c r="J610" t="n">
        <v>0</v>
      </c>
      <c r="K610" t="n">
        <v>0</v>
      </c>
      <c r="L610" t="n">
        <v>0</v>
      </c>
      <c r="M610" t="n">
        <v>0</v>
      </c>
      <c r="N610" t="n">
        <v>0</v>
      </c>
      <c r="O610" t="n">
        <v>0</v>
      </c>
      <c r="P610" t="n">
        <v>0</v>
      </c>
      <c r="Q610" t="n">
        <v>0</v>
      </c>
      <c r="R610" s="2" t="inlineStr"/>
    </row>
    <row r="611" ht="15" customHeight="1">
      <c r="A611" t="inlineStr">
        <is>
          <t>A 53828-2020</t>
        </is>
      </c>
      <c r="B611" s="1" t="n">
        <v>44124</v>
      </c>
      <c r="C611" s="1" t="n">
        <v>45937</v>
      </c>
      <c r="D611" t="inlineStr">
        <is>
          <t>VÄSTERNORRLANDS LÄN</t>
        </is>
      </c>
      <c r="E611" t="inlineStr">
        <is>
          <t>SOLLEFTEÅ</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34311-2023</t>
        </is>
      </c>
      <c r="B612" s="1" t="n">
        <v>45138.92317129629</v>
      </c>
      <c r="C612" s="1" t="n">
        <v>45937</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34329-2023</t>
        </is>
      </c>
      <c r="B613" s="1" t="n">
        <v>45138.94997685185</v>
      </c>
      <c r="C613" s="1" t="n">
        <v>45937</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24199-2024</t>
        </is>
      </c>
      <c r="B614" s="1" t="n">
        <v>45456.96634259259</v>
      </c>
      <c r="C614" s="1" t="n">
        <v>45937</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25799-2024</t>
        </is>
      </c>
      <c r="B615" s="1" t="n">
        <v>45463</v>
      </c>
      <c r="C615" s="1" t="n">
        <v>45937</v>
      </c>
      <c r="D615" t="inlineStr">
        <is>
          <t>VÄSTERNORRLANDS LÄN</t>
        </is>
      </c>
      <c r="E615" t="inlineStr">
        <is>
          <t>SOLLEFTEÅ</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15241-2022</t>
        </is>
      </c>
      <c r="B616" s="1" t="n">
        <v>44658.9375</v>
      </c>
      <c r="C616" s="1" t="n">
        <v>45937</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53012-2022</t>
        </is>
      </c>
      <c r="B617" s="1" t="n">
        <v>44875.95450231482</v>
      </c>
      <c r="C617" s="1" t="n">
        <v>45937</v>
      </c>
      <c r="D617" t="inlineStr">
        <is>
          <t>VÄSTERNORRLANDS LÄN</t>
        </is>
      </c>
      <c r="E617" t="inlineStr">
        <is>
          <t>SOLLEFTEÅ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10308-2022</t>
        </is>
      </c>
      <c r="B618" s="1" t="n">
        <v>44622</v>
      </c>
      <c r="C618" s="1" t="n">
        <v>45937</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10311-2022</t>
        </is>
      </c>
      <c r="B619" s="1" t="n">
        <v>44622.94049768519</v>
      </c>
      <c r="C619" s="1" t="n">
        <v>45937</v>
      </c>
      <c r="D619" t="inlineStr">
        <is>
          <t>VÄSTERNORRLANDS LÄN</t>
        </is>
      </c>
      <c r="E619" t="inlineStr">
        <is>
          <t>SOLLEFTEÅ</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10141-2022</t>
        </is>
      </c>
      <c r="B620" s="1" t="n">
        <v>44621</v>
      </c>
      <c r="C620" s="1" t="n">
        <v>45937</v>
      </c>
      <c r="D620" t="inlineStr">
        <is>
          <t>VÄSTERNORRLANDS LÄN</t>
        </is>
      </c>
      <c r="E620" t="inlineStr">
        <is>
          <t>SOLLEFTEÅ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10198-2022</t>
        </is>
      </c>
      <c r="B621" s="1" t="n">
        <v>44622.44116898148</v>
      </c>
      <c r="C621" s="1" t="n">
        <v>45937</v>
      </c>
      <c r="D621" t="inlineStr">
        <is>
          <t>VÄSTERNORRLANDS LÄN</t>
        </is>
      </c>
      <c r="E621" t="inlineStr">
        <is>
          <t>SOLLEFTEÅ</t>
        </is>
      </c>
      <c r="G621" t="n">
        <v>5.9</v>
      </c>
      <c r="H621" t="n">
        <v>0</v>
      </c>
      <c r="I621" t="n">
        <v>0</v>
      </c>
      <c r="J621" t="n">
        <v>0</v>
      </c>
      <c r="K621" t="n">
        <v>0</v>
      </c>
      <c r="L621" t="n">
        <v>0</v>
      </c>
      <c r="M621" t="n">
        <v>0</v>
      </c>
      <c r="N621" t="n">
        <v>0</v>
      </c>
      <c r="O621" t="n">
        <v>0</v>
      </c>
      <c r="P621" t="n">
        <v>0</v>
      </c>
      <c r="Q621" t="n">
        <v>0</v>
      </c>
      <c r="R621" s="2" t="inlineStr"/>
    </row>
    <row r="622" ht="15" customHeight="1">
      <c r="A622" t="inlineStr">
        <is>
          <t>A 55643-2021</t>
        </is>
      </c>
      <c r="B622" s="1" t="n">
        <v>44475</v>
      </c>
      <c r="C622" s="1" t="n">
        <v>45937</v>
      </c>
      <c r="D622" t="inlineStr">
        <is>
          <t>VÄSTERNORRLANDS LÄN</t>
        </is>
      </c>
      <c r="E622" t="inlineStr">
        <is>
          <t>SOLLEFTEÅ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39944-2022</t>
        </is>
      </c>
      <c r="B623" s="1" t="n">
        <v>44819</v>
      </c>
      <c r="C623" s="1" t="n">
        <v>45937</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10309-2022</t>
        </is>
      </c>
      <c r="B624" s="1" t="n">
        <v>44622</v>
      </c>
      <c r="C624" s="1" t="n">
        <v>45937</v>
      </c>
      <c r="D624" t="inlineStr">
        <is>
          <t>VÄSTERNORRLANDS LÄN</t>
        </is>
      </c>
      <c r="E624" t="inlineStr">
        <is>
          <t>SOLLEFTEÅ</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10310-2022</t>
        </is>
      </c>
      <c r="B625" s="1" t="n">
        <v>44622.94043981482</v>
      </c>
      <c r="C625" s="1" t="n">
        <v>45937</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57010-2023</t>
        </is>
      </c>
      <c r="B626" s="1" t="n">
        <v>45239</v>
      </c>
      <c r="C626" s="1" t="n">
        <v>45937</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c r="U626">
        <f>HYPERLINK("https://klasma.github.io/Logging_2283/knärot/A 57010-2023 karta knärot.png", "A 57010-2023")</f>
        <v/>
      </c>
      <c r="V626">
        <f>HYPERLINK("https://klasma.github.io/Logging_2283/klagomål/A 57010-2023 FSC-klagomål.docx", "A 57010-2023")</f>
        <v/>
      </c>
      <c r="W626">
        <f>HYPERLINK("https://klasma.github.io/Logging_2283/klagomålsmail/A 57010-2023 FSC-klagomål mail.docx", "A 57010-2023")</f>
        <v/>
      </c>
      <c r="X626">
        <f>HYPERLINK("https://klasma.github.io/Logging_2283/tillsyn/A 57010-2023 tillsynsbegäran.docx", "A 57010-2023")</f>
        <v/>
      </c>
      <c r="Y626">
        <f>HYPERLINK("https://klasma.github.io/Logging_2283/tillsynsmail/A 57010-2023 tillsynsbegäran mail.docx", "A 57010-2023")</f>
        <v/>
      </c>
    </row>
    <row r="627" ht="15" customHeight="1">
      <c r="A627" t="inlineStr">
        <is>
          <t>A 30936-2022</t>
        </is>
      </c>
      <c r="B627" s="1" t="n">
        <v>44767.94028935185</v>
      </c>
      <c r="C627" s="1" t="n">
        <v>45937</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63210-2020</t>
        </is>
      </c>
      <c r="B628" s="1" t="n">
        <v>44163</v>
      </c>
      <c r="C628" s="1" t="n">
        <v>45937</v>
      </c>
      <c r="D628" t="inlineStr">
        <is>
          <t>VÄSTERNORRLANDS LÄN</t>
        </is>
      </c>
      <c r="E628" t="inlineStr">
        <is>
          <t>SOLLEFTEÅ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51314-2022</t>
        </is>
      </c>
      <c r="B629" s="1" t="n">
        <v>44868.950625</v>
      </c>
      <c r="C629" s="1" t="n">
        <v>45937</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45937</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59343-2021</t>
        </is>
      </c>
      <c r="B631" s="1" t="n">
        <v>44490</v>
      </c>
      <c r="C631" s="1" t="n">
        <v>45937</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31444-2022</t>
        </is>
      </c>
      <c r="B632" s="1" t="n">
        <v>44774</v>
      </c>
      <c r="C632" s="1" t="n">
        <v>45937</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24735-2022</t>
        </is>
      </c>
      <c r="B633" s="1" t="n">
        <v>44727.94346064814</v>
      </c>
      <c r="C633" s="1" t="n">
        <v>45937</v>
      </c>
      <c r="D633" t="inlineStr">
        <is>
          <t>VÄSTERNORRLANDS LÄN</t>
        </is>
      </c>
      <c r="E633" t="inlineStr">
        <is>
          <t>SOLLEFTEÅ</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14477-2022</t>
        </is>
      </c>
      <c r="B634" s="1" t="n">
        <v>44654.93954861111</v>
      </c>
      <c r="C634" s="1" t="n">
        <v>45937</v>
      </c>
      <c r="D634" t="inlineStr">
        <is>
          <t>VÄSTERNORRLANDS LÄN</t>
        </is>
      </c>
      <c r="E634" t="inlineStr">
        <is>
          <t>SOLLEFTEÅ</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38234-2024</t>
        </is>
      </c>
      <c r="B635" s="1" t="n">
        <v>45545.56025462963</v>
      </c>
      <c r="C635" s="1" t="n">
        <v>45937</v>
      </c>
      <c r="D635" t="inlineStr">
        <is>
          <t>VÄSTERNORRLANDS LÄN</t>
        </is>
      </c>
      <c r="E635" t="inlineStr">
        <is>
          <t>SOLLEFTEÅ</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34313-2024</t>
        </is>
      </c>
      <c r="B636" s="1" t="n">
        <v>45524</v>
      </c>
      <c r="C636" s="1" t="n">
        <v>45937</v>
      </c>
      <c r="D636" t="inlineStr">
        <is>
          <t>VÄSTERNORRLANDS LÄN</t>
        </is>
      </c>
      <c r="E636" t="inlineStr">
        <is>
          <t>SOLLEFTEÅ</t>
        </is>
      </c>
      <c r="F636" t="inlineStr">
        <is>
          <t>Övriga statliga verk och myndigheter</t>
        </is>
      </c>
      <c r="G636" t="n">
        <v>0.6</v>
      </c>
      <c r="H636" t="n">
        <v>0</v>
      </c>
      <c r="I636" t="n">
        <v>0</v>
      </c>
      <c r="J636" t="n">
        <v>0</v>
      </c>
      <c r="K636" t="n">
        <v>0</v>
      </c>
      <c r="L636" t="n">
        <v>0</v>
      </c>
      <c r="M636" t="n">
        <v>0</v>
      </c>
      <c r="N636" t="n">
        <v>0</v>
      </c>
      <c r="O636" t="n">
        <v>0</v>
      </c>
      <c r="P636" t="n">
        <v>0</v>
      </c>
      <c r="Q636" t="n">
        <v>0</v>
      </c>
      <c r="R636" s="2" t="inlineStr"/>
    </row>
    <row r="637" ht="15" customHeight="1">
      <c r="A637" t="inlineStr">
        <is>
          <t>A 34318-2024</t>
        </is>
      </c>
      <c r="B637" s="1" t="n">
        <v>45524</v>
      </c>
      <c r="C637" s="1" t="n">
        <v>45937</v>
      </c>
      <c r="D637" t="inlineStr">
        <is>
          <t>VÄSTERNORRLANDS LÄN</t>
        </is>
      </c>
      <c r="E637" t="inlineStr">
        <is>
          <t>SOLLEFTEÅ</t>
        </is>
      </c>
      <c r="F637" t="inlineStr">
        <is>
          <t>Övriga statliga verk och myndigheter</t>
        </is>
      </c>
      <c r="G637" t="n">
        <v>0.3</v>
      </c>
      <c r="H637" t="n">
        <v>0</v>
      </c>
      <c r="I637" t="n">
        <v>0</v>
      </c>
      <c r="J637" t="n">
        <v>0</v>
      </c>
      <c r="K637" t="n">
        <v>0</v>
      </c>
      <c r="L637" t="n">
        <v>0</v>
      </c>
      <c r="M637" t="n">
        <v>0</v>
      </c>
      <c r="N637" t="n">
        <v>0</v>
      </c>
      <c r="O637" t="n">
        <v>0</v>
      </c>
      <c r="P637" t="n">
        <v>0</v>
      </c>
      <c r="Q637" t="n">
        <v>0</v>
      </c>
      <c r="R637" s="2" t="inlineStr"/>
    </row>
    <row r="638" ht="15" customHeight="1">
      <c r="A638" t="inlineStr">
        <is>
          <t>A 576-2022</t>
        </is>
      </c>
      <c r="B638" s="1" t="n">
        <v>44566.92086805555</v>
      </c>
      <c r="C638" s="1" t="n">
        <v>45937</v>
      </c>
      <c r="D638" t="inlineStr">
        <is>
          <t>VÄSTERNORRLANDS LÄN</t>
        </is>
      </c>
      <c r="E638" t="inlineStr">
        <is>
          <t>SOLLEFTEÅ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14447-2022</t>
        </is>
      </c>
      <c r="B639" s="1" t="n">
        <v>44652.94510416667</v>
      </c>
      <c r="C639" s="1" t="n">
        <v>45937</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54463-2020</t>
        </is>
      </c>
      <c r="B640" s="1" t="n">
        <v>44125</v>
      </c>
      <c r="C640" s="1" t="n">
        <v>45937</v>
      </c>
      <c r="D640" t="inlineStr">
        <is>
          <t>VÄSTERNORRLANDS LÄN</t>
        </is>
      </c>
      <c r="E640" t="inlineStr">
        <is>
          <t>SOLLEFTEÅ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27283-2022</t>
        </is>
      </c>
      <c r="B641" s="1" t="n">
        <v>44741.94023148148</v>
      </c>
      <c r="C641" s="1" t="n">
        <v>45937</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656-2024</t>
        </is>
      </c>
      <c r="B642" s="1" t="n">
        <v>45299</v>
      </c>
      <c r="C642" s="1" t="n">
        <v>45937</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40569-2024</t>
        </is>
      </c>
      <c r="B643" s="1" t="n">
        <v>45555.67744212963</v>
      </c>
      <c r="C643" s="1" t="n">
        <v>45937</v>
      </c>
      <c r="D643" t="inlineStr">
        <is>
          <t>VÄSTERNORRLANDS LÄN</t>
        </is>
      </c>
      <c r="E643" t="inlineStr">
        <is>
          <t>SOLLEFTEÅ</t>
        </is>
      </c>
      <c r="F643" t="inlineStr">
        <is>
          <t>SCA</t>
        </is>
      </c>
      <c r="G643" t="n">
        <v>0.2</v>
      </c>
      <c r="H643" t="n">
        <v>0</v>
      </c>
      <c r="I643" t="n">
        <v>0</v>
      </c>
      <c r="J643" t="n">
        <v>0</v>
      </c>
      <c r="K643" t="n">
        <v>0</v>
      </c>
      <c r="L643" t="n">
        <v>0</v>
      </c>
      <c r="M643" t="n">
        <v>0</v>
      </c>
      <c r="N643" t="n">
        <v>0</v>
      </c>
      <c r="O643" t="n">
        <v>0</v>
      </c>
      <c r="P643" t="n">
        <v>0</v>
      </c>
      <c r="Q643" t="n">
        <v>0</v>
      </c>
      <c r="R643" s="2" t="inlineStr"/>
    </row>
    <row r="644" ht="15" customHeight="1">
      <c r="A644" t="inlineStr">
        <is>
          <t>A 63144-2023</t>
        </is>
      </c>
      <c r="B644" s="1" t="n">
        <v>45272</v>
      </c>
      <c r="C644" s="1" t="n">
        <v>45937</v>
      </c>
      <c r="D644" t="inlineStr">
        <is>
          <t>VÄSTERNORRLANDS LÄN</t>
        </is>
      </c>
      <c r="E644" t="inlineStr">
        <is>
          <t>SOLLEFTEÅ</t>
        </is>
      </c>
      <c r="G644" t="n">
        <v>2.8</v>
      </c>
      <c r="H644" t="n">
        <v>0</v>
      </c>
      <c r="I644" t="n">
        <v>0</v>
      </c>
      <c r="J644" t="n">
        <v>0</v>
      </c>
      <c r="K644" t="n">
        <v>0</v>
      </c>
      <c r="L644" t="n">
        <v>0</v>
      </c>
      <c r="M644" t="n">
        <v>0</v>
      </c>
      <c r="N644" t="n">
        <v>0</v>
      </c>
      <c r="O644" t="n">
        <v>0</v>
      </c>
      <c r="P644" t="n">
        <v>0</v>
      </c>
      <c r="Q644" t="n">
        <v>0</v>
      </c>
      <c r="R644" s="2" t="inlineStr"/>
    </row>
    <row r="645" ht="15" customHeight="1">
      <c r="A645" t="inlineStr">
        <is>
          <t>A 44554-2024</t>
        </is>
      </c>
      <c r="B645" s="1" t="n">
        <v>45574.46940972222</v>
      </c>
      <c r="C645" s="1" t="n">
        <v>45937</v>
      </c>
      <c r="D645" t="inlineStr">
        <is>
          <t>VÄSTERNORRLANDS LÄN</t>
        </is>
      </c>
      <c r="E645" t="inlineStr">
        <is>
          <t>SOLLEFTEÅ</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58155-2023</t>
        </is>
      </c>
      <c r="B646" s="1" t="n">
        <v>45250</v>
      </c>
      <c r="C646" s="1" t="n">
        <v>45937</v>
      </c>
      <c r="D646" t="inlineStr">
        <is>
          <t>VÄSTERNORRLANDS LÄN</t>
        </is>
      </c>
      <c r="E646" t="inlineStr">
        <is>
          <t>SOLLEFTEÅ</t>
        </is>
      </c>
      <c r="G646" t="n">
        <v>4.1</v>
      </c>
      <c r="H646" t="n">
        <v>0</v>
      </c>
      <c r="I646" t="n">
        <v>0</v>
      </c>
      <c r="J646" t="n">
        <v>0</v>
      </c>
      <c r="K646" t="n">
        <v>0</v>
      </c>
      <c r="L646" t="n">
        <v>0</v>
      </c>
      <c r="M646" t="n">
        <v>0</v>
      </c>
      <c r="N646" t="n">
        <v>0</v>
      </c>
      <c r="O646" t="n">
        <v>0</v>
      </c>
      <c r="P646" t="n">
        <v>0</v>
      </c>
      <c r="Q646" t="n">
        <v>0</v>
      </c>
      <c r="R646" s="2" t="inlineStr"/>
    </row>
    <row r="647" ht="15" customHeight="1">
      <c r="A647" t="inlineStr">
        <is>
          <t>A 44172-2024</t>
        </is>
      </c>
      <c r="B647" s="1" t="n">
        <v>45572.74454861111</v>
      </c>
      <c r="C647" s="1" t="n">
        <v>45937</v>
      </c>
      <c r="D647" t="inlineStr">
        <is>
          <t>VÄSTERNORRLANDS LÄN</t>
        </is>
      </c>
      <c r="E647" t="inlineStr">
        <is>
          <t>SOLLEFTEÅ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44591-2024</t>
        </is>
      </c>
      <c r="B648" s="1" t="n">
        <v>45574</v>
      </c>
      <c r="C648" s="1" t="n">
        <v>45937</v>
      </c>
      <c r="D648" t="inlineStr">
        <is>
          <t>VÄSTERNORRLANDS LÄN</t>
        </is>
      </c>
      <c r="E648" t="inlineStr">
        <is>
          <t>SOLLEFTEÅ</t>
        </is>
      </c>
      <c r="G648" t="n">
        <v>1.7</v>
      </c>
      <c r="H648" t="n">
        <v>0</v>
      </c>
      <c r="I648" t="n">
        <v>0</v>
      </c>
      <c r="J648" t="n">
        <v>0</v>
      </c>
      <c r="K648" t="n">
        <v>0</v>
      </c>
      <c r="L648" t="n">
        <v>0</v>
      </c>
      <c r="M648" t="n">
        <v>0</v>
      </c>
      <c r="N648" t="n">
        <v>0</v>
      </c>
      <c r="O648" t="n">
        <v>0</v>
      </c>
      <c r="P648" t="n">
        <v>0</v>
      </c>
      <c r="Q648" t="n">
        <v>0</v>
      </c>
      <c r="R648" s="2" t="inlineStr"/>
    </row>
    <row r="649" ht="15" customHeight="1">
      <c r="A649" t="inlineStr">
        <is>
          <t>A 295-2025</t>
        </is>
      </c>
      <c r="B649" s="1" t="n">
        <v>45660.53206018519</v>
      </c>
      <c r="C649" s="1" t="n">
        <v>45937</v>
      </c>
      <c r="D649" t="inlineStr">
        <is>
          <t>VÄSTERNORRLANDS LÄN</t>
        </is>
      </c>
      <c r="E649" t="inlineStr">
        <is>
          <t>SOLLEFTEÅ</t>
        </is>
      </c>
      <c r="F649" t="inlineStr">
        <is>
          <t>SCA</t>
        </is>
      </c>
      <c r="G649" t="n">
        <v>30.7</v>
      </c>
      <c r="H649" t="n">
        <v>0</v>
      </c>
      <c r="I649" t="n">
        <v>0</v>
      </c>
      <c r="J649" t="n">
        <v>0</v>
      </c>
      <c r="K649" t="n">
        <v>0</v>
      </c>
      <c r="L649" t="n">
        <v>0</v>
      </c>
      <c r="M649" t="n">
        <v>0</v>
      </c>
      <c r="N649" t="n">
        <v>0</v>
      </c>
      <c r="O649" t="n">
        <v>0</v>
      </c>
      <c r="P649" t="n">
        <v>0</v>
      </c>
      <c r="Q649" t="n">
        <v>0</v>
      </c>
      <c r="R649" s="2" t="inlineStr"/>
    </row>
    <row r="650" ht="15" customHeight="1">
      <c r="A650" t="inlineStr">
        <is>
          <t>A 59346-2023</t>
        </is>
      </c>
      <c r="B650" s="1" t="n">
        <v>45253</v>
      </c>
      <c r="C650" s="1" t="n">
        <v>45937</v>
      </c>
      <c r="D650" t="inlineStr">
        <is>
          <t>VÄSTERNORRLANDS LÄN</t>
        </is>
      </c>
      <c r="E650" t="inlineStr">
        <is>
          <t>SOLLEFTEÅ</t>
        </is>
      </c>
      <c r="F650" t="inlineStr">
        <is>
          <t>Holmen skog AB</t>
        </is>
      </c>
      <c r="G650" t="n">
        <v>6.3</v>
      </c>
      <c r="H650" t="n">
        <v>0</v>
      </c>
      <c r="I650" t="n">
        <v>0</v>
      </c>
      <c r="J650" t="n">
        <v>0</v>
      </c>
      <c r="K650" t="n">
        <v>0</v>
      </c>
      <c r="L650" t="n">
        <v>0</v>
      </c>
      <c r="M650" t="n">
        <v>0</v>
      </c>
      <c r="N650" t="n">
        <v>0</v>
      </c>
      <c r="O650" t="n">
        <v>0</v>
      </c>
      <c r="P650" t="n">
        <v>0</v>
      </c>
      <c r="Q650" t="n">
        <v>0</v>
      </c>
      <c r="R650" s="2" t="inlineStr"/>
    </row>
    <row r="651" ht="15" customHeight="1">
      <c r="A651" t="inlineStr">
        <is>
          <t>A 37197-2024</t>
        </is>
      </c>
      <c r="B651" s="1" t="n">
        <v>45539</v>
      </c>
      <c r="C651" s="1" t="n">
        <v>45937</v>
      </c>
      <c r="D651" t="inlineStr">
        <is>
          <t>VÄSTERNORRLANDS LÄN</t>
        </is>
      </c>
      <c r="E651" t="inlineStr">
        <is>
          <t>SOLLEFTEÅ</t>
        </is>
      </c>
      <c r="G651" t="n">
        <v>2.7</v>
      </c>
      <c r="H651" t="n">
        <v>0</v>
      </c>
      <c r="I651" t="n">
        <v>0</v>
      </c>
      <c r="J651" t="n">
        <v>0</v>
      </c>
      <c r="K651" t="n">
        <v>0</v>
      </c>
      <c r="L651" t="n">
        <v>0</v>
      </c>
      <c r="M651" t="n">
        <v>0</v>
      </c>
      <c r="N651" t="n">
        <v>0</v>
      </c>
      <c r="O651" t="n">
        <v>0</v>
      </c>
      <c r="P651" t="n">
        <v>0</v>
      </c>
      <c r="Q651" t="n">
        <v>0</v>
      </c>
      <c r="R651" s="2" t="inlineStr"/>
    </row>
    <row r="652" ht="15" customHeight="1">
      <c r="A652" t="inlineStr">
        <is>
          <t>A 56684-2023</t>
        </is>
      </c>
      <c r="B652" s="1" t="n">
        <v>45243.96592592593</v>
      </c>
      <c r="C652" s="1" t="n">
        <v>45937</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63712-2023</t>
        </is>
      </c>
      <c r="B653" s="1" t="n">
        <v>45275.95094907407</v>
      </c>
      <c r="C653" s="1" t="n">
        <v>45937</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55149-2024</t>
        </is>
      </c>
      <c r="B654" s="1" t="n">
        <v>45621.49055555555</v>
      </c>
      <c r="C654" s="1" t="n">
        <v>45937</v>
      </c>
      <c r="D654" t="inlineStr">
        <is>
          <t>VÄSTERNORRLANDS LÄN</t>
        </is>
      </c>
      <c r="E654" t="inlineStr">
        <is>
          <t>SOLLEFTEÅ</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19510-2021</t>
        </is>
      </c>
      <c r="B655" s="1" t="n">
        <v>44308</v>
      </c>
      <c r="C655" s="1" t="n">
        <v>45937</v>
      </c>
      <c r="D655" t="inlineStr">
        <is>
          <t>VÄSTERNORRLANDS LÄN</t>
        </is>
      </c>
      <c r="E655" t="inlineStr">
        <is>
          <t>SOLLEFTEÅ</t>
        </is>
      </c>
      <c r="F655" t="inlineStr">
        <is>
          <t>Kyrkan</t>
        </is>
      </c>
      <c r="G655" t="n">
        <v>19.6</v>
      </c>
      <c r="H655" t="n">
        <v>0</v>
      </c>
      <c r="I655" t="n">
        <v>0</v>
      </c>
      <c r="J655" t="n">
        <v>0</v>
      </c>
      <c r="K655" t="n">
        <v>0</v>
      </c>
      <c r="L655" t="n">
        <v>0</v>
      </c>
      <c r="M655" t="n">
        <v>0</v>
      </c>
      <c r="N655" t="n">
        <v>0</v>
      </c>
      <c r="O655" t="n">
        <v>0</v>
      </c>
      <c r="P655" t="n">
        <v>0</v>
      </c>
      <c r="Q655" t="n">
        <v>0</v>
      </c>
      <c r="R655" s="2" t="inlineStr"/>
    </row>
    <row r="656" ht="15" customHeight="1">
      <c r="A656" t="inlineStr">
        <is>
          <t>A 43487-2023</t>
        </is>
      </c>
      <c r="B656" s="1" t="n">
        <v>45181</v>
      </c>
      <c r="C656" s="1" t="n">
        <v>45937</v>
      </c>
      <c r="D656" t="inlineStr">
        <is>
          <t>VÄSTERNORRLANDS LÄN</t>
        </is>
      </c>
      <c r="E656" t="inlineStr">
        <is>
          <t>SOLLEFTEÅ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22471-2024</t>
        </is>
      </c>
      <c r="B657" s="1" t="n">
        <v>45446</v>
      </c>
      <c r="C657" s="1" t="n">
        <v>45937</v>
      </c>
      <c r="D657" t="inlineStr">
        <is>
          <t>VÄSTERNORRLANDS LÄN</t>
        </is>
      </c>
      <c r="E657" t="inlineStr">
        <is>
          <t>SOLLEFTEÅ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8105-2025</t>
        </is>
      </c>
      <c r="B658" s="1" t="n">
        <v>45707.6990625</v>
      </c>
      <c r="C658" s="1" t="n">
        <v>45937</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23542-2024</t>
        </is>
      </c>
      <c r="B659" s="1" t="n">
        <v>45453.95262731481</v>
      </c>
      <c r="C659" s="1" t="n">
        <v>45937</v>
      </c>
      <c r="D659" t="inlineStr">
        <is>
          <t>VÄSTERNORRLANDS LÄN</t>
        </is>
      </c>
      <c r="E659" t="inlineStr">
        <is>
          <t>SOLLEFTEÅ</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41334-2021</t>
        </is>
      </c>
      <c r="B660" s="1" t="n">
        <v>44424</v>
      </c>
      <c r="C660" s="1" t="n">
        <v>45937</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13150-2025</t>
        </is>
      </c>
      <c r="B661" s="1" t="n">
        <v>45735.34439814815</v>
      </c>
      <c r="C661" s="1" t="n">
        <v>45937</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8476-2025</t>
        </is>
      </c>
      <c r="B662" s="1" t="n">
        <v>45709.47894675926</v>
      </c>
      <c r="C662" s="1" t="n">
        <v>45937</v>
      </c>
      <c r="D662" t="inlineStr">
        <is>
          <t>VÄSTERNORRLANDS LÄN</t>
        </is>
      </c>
      <c r="E662" t="inlineStr">
        <is>
          <t>SOLLEFTEÅ</t>
        </is>
      </c>
      <c r="G662" t="n">
        <v>2.1</v>
      </c>
      <c r="H662" t="n">
        <v>0</v>
      </c>
      <c r="I662" t="n">
        <v>0</v>
      </c>
      <c r="J662" t="n">
        <v>0</v>
      </c>
      <c r="K662" t="n">
        <v>0</v>
      </c>
      <c r="L662" t="n">
        <v>0</v>
      </c>
      <c r="M662" t="n">
        <v>0</v>
      </c>
      <c r="N662" t="n">
        <v>0</v>
      </c>
      <c r="O662" t="n">
        <v>0</v>
      </c>
      <c r="P662" t="n">
        <v>0</v>
      </c>
      <c r="Q662" t="n">
        <v>0</v>
      </c>
      <c r="R662" s="2" t="inlineStr"/>
    </row>
    <row r="663" ht="15" customHeight="1">
      <c r="A663" t="inlineStr">
        <is>
          <t>A 27908-2024</t>
        </is>
      </c>
      <c r="B663" s="1" t="n">
        <v>45475.94615740741</v>
      </c>
      <c r="C663" s="1" t="n">
        <v>45937</v>
      </c>
      <c r="D663" t="inlineStr">
        <is>
          <t>VÄSTERNORRLANDS LÄN</t>
        </is>
      </c>
      <c r="E663" t="inlineStr">
        <is>
          <t>SOLLEFTEÅ</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41146-2023</t>
        </is>
      </c>
      <c r="B664" s="1" t="n">
        <v>45173.94277777777</v>
      </c>
      <c r="C664" s="1" t="n">
        <v>45937</v>
      </c>
      <c r="D664" t="inlineStr">
        <is>
          <t>VÄSTERNORRLANDS LÄN</t>
        </is>
      </c>
      <c r="E664" t="inlineStr">
        <is>
          <t>SOLLEFTEÅ</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35673-2024</t>
        </is>
      </c>
      <c r="B665" s="1" t="n">
        <v>45532.39119212963</v>
      </c>
      <c r="C665" s="1" t="n">
        <v>45937</v>
      </c>
      <c r="D665" t="inlineStr">
        <is>
          <t>VÄSTERNORRLANDS LÄN</t>
        </is>
      </c>
      <c r="E665" t="inlineStr">
        <is>
          <t>SOLLEFTEÅ</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3319-2025</t>
        </is>
      </c>
      <c r="B666" s="1" t="n">
        <v>45679</v>
      </c>
      <c r="C666" s="1" t="n">
        <v>45937</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31554-2024</t>
        </is>
      </c>
      <c r="B667" s="1" t="n">
        <v>45505.96472222222</v>
      </c>
      <c r="C667" s="1" t="n">
        <v>45937</v>
      </c>
      <c r="D667" t="inlineStr">
        <is>
          <t>VÄSTERNORRLANDS LÄN</t>
        </is>
      </c>
      <c r="E667" t="inlineStr">
        <is>
          <t>SOLLEFTEÅ</t>
        </is>
      </c>
      <c r="F667" t="inlineStr">
        <is>
          <t>SCA</t>
        </is>
      </c>
      <c r="G667" t="n">
        <v>7.4</v>
      </c>
      <c r="H667" t="n">
        <v>0</v>
      </c>
      <c r="I667" t="n">
        <v>0</v>
      </c>
      <c r="J667" t="n">
        <v>0</v>
      </c>
      <c r="K667" t="n">
        <v>0</v>
      </c>
      <c r="L667" t="n">
        <v>0</v>
      </c>
      <c r="M667" t="n">
        <v>0</v>
      </c>
      <c r="N667" t="n">
        <v>0</v>
      </c>
      <c r="O667" t="n">
        <v>0</v>
      </c>
      <c r="P667" t="n">
        <v>0</v>
      </c>
      <c r="Q667" t="n">
        <v>0</v>
      </c>
      <c r="R667" s="2" t="inlineStr"/>
    </row>
    <row r="668" ht="15" customHeight="1">
      <c r="A668" t="inlineStr">
        <is>
          <t>A 31556-2024</t>
        </is>
      </c>
      <c r="B668" s="1" t="n">
        <v>45505</v>
      </c>
      <c r="C668" s="1" t="n">
        <v>45937</v>
      </c>
      <c r="D668" t="inlineStr">
        <is>
          <t>VÄSTERNORRLANDS LÄN</t>
        </is>
      </c>
      <c r="E668" t="inlineStr">
        <is>
          <t>SOLLEFTEÅ</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49673-2024</t>
        </is>
      </c>
      <c r="B669" s="1" t="n">
        <v>45596.65657407408</v>
      </c>
      <c r="C669" s="1" t="n">
        <v>45937</v>
      </c>
      <c r="D669" t="inlineStr">
        <is>
          <t>VÄSTERNORRLANDS LÄN</t>
        </is>
      </c>
      <c r="E669" t="inlineStr">
        <is>
          <t>SOLLEFTEÅ</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12683-2025</t>
        </is>
      </c>
      <c r="B670" s="1" t="n">
        <v>45733.44483796296</v>
      </c>
      <c r="C670" s="1" t="n">
        <v>45937</v>
      </c>
      <c r="D670" t="inlineStr">
        <is>
          <t>VÄSTERNORRLANDS LÄN</t>
        </is>
      </c>
      <c r="E670" t="inlineStr">
        <is>
          <t>SOLLEFTEÅ</t>
        </is>
      </c>
      <c r="G670" t="n">
        <v>2</v>
      </c>
      <c r="H670" t="n">
        <v>0</v>
      </c>
      <c r="I670" t="n">
        <v>0</v>
      </c>
      <c r="J670" t="n">
        <v>0</v>
      </c>
      <c r="K670" t="n">
        <v>0</v>
      </c>
      <c r="L670" t="n">
        <v>0</v>
      </c>
      <c r="M670" t="n">
        <v>0</v>
      </c>
      <c r="N670" t="n">
        <v>0</v>
      </c>
      <c r="O670" t="n">
        <v>0</v>
      </c>
      <c r="P670" t="n">
        <v>0</v>
      </c>
      <c r="Q670" t="n">
        <v>0</v>
      </c>
      <c r="R670" s="2" t="inlineStr"/>
    </row>
    <row r="671" ht="15" customHeight="1">
      <c r="A671" t="inlineStr">
        <is>
          <t>A 51681-2023</t>
        </is>
      </c>
      <c r="B671" s="1" t="n">
        <v>45215</v>
      </c>
      <c r="C671" s="1" t="n">
        <v>45937</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29869-2024</t>
        </is>
      </c>
      <c r="B672" s="1" t="n">
        <v>45485.94493055555</v>
      </c>
      <c r="C672" s="1" t="n">
        <v>45937</v>
      </c>
      <c r="D672" t="inlineStr">
        <is>
          <t>VÄSTERNORRLANDS LÄN</t>
        </is>
      </c>
      <c r="E672" t="inlineStr">
        <is>
          <t>SOLLEFTEÅ</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51573-2024</t>
        </is>
      </c>
      <c r="B673" s="1" t="n">
        <v>45604</v>
      </c>
      <c r="C673" s="1" t="n">
        <v>45937</v>
      </c>
      <c r="D673" t="inlineStr">
        <is>
          <t>VÄSTERNORRLANDS LÄN</t>
        </is>
      </c>
      <c r="E673" t="inlineStr">
        <is>
          <t>SOLLEFTEÅ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35793-2024</t>
        </is>
      </c>
      <c r="B674" s="1" t="n">
        <v>45532</v>
      </c>
      <c r="C674" s="1" t="n">
        <v>45937</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35794-2024</t>
        </is>
      </c>
      <c r="B675" s="1" t="n">
        <v>45532.62974537037</v>
      </c>
      <c r="C675" s="1" t="n">
        <v>45937</v>
      </c>
      <c r="D675" t="inlineStr">
        <is>
          <t>VÄSTERNORRLANDS LÄN</t>
        </is>
      </c>
      <c r="E675" t="inlineStr">
        <is>
          <t>SOLLEFTEÅ</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35795-2024</t>
        </is>
      </c>
      <c r="B676" s="1" t="n">
        <v>45532</v>
      </c>
      <c r="C676" s="1" t="n">
        <v>45937</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35803-2024</t>
        </is>
      </c>
      <c r="B677" s="1" t="n">
        <v>45532.64506944444</v>
      </c>
      <c r="C677" s="1" t="n">
        <v>45937</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61845-2024</t>
        </is>
      </c>
      <c r="B678" s="1" t="n">
        <v>45646</v>
      </c>
      <c r="C678" s="1" t="n">
        <v>45937</v>
      </c>
      <c r="D678" t="inlineStr">
        <is>
          <t>VÄSTERNORRLANDS LÄN</t>
        </is>
      </c>
      <c r="E678" t="inlineStr">
        <is>
          <t>SOLLEFTEÅ</t>
        </is>
      </c>
      <c r="G678" t="n">
        <v>9.4</v>
      </c>
      <c r="H678" t="n">
        <v>0</v>
      </c>
      <c r="I678" t="n">
        <v>0</v>
      </c>
      <c r="J678" t="n">
        <v>0</v>
      </c>
      <c r="K678" t="n">
        <v>0</v>
      </c>
      <c r="L678" t="n">
        <v>0</v>
      </c>
      <c r="M678" t="n">
        <v>0</v>
      </c>
      <c r="N678" t="n">
        <v>0</v>
      </c>
      <c r="O678" t="n">
        <v>0</v>
      </c>
      <c r="P678" t="n">
        <v>0</v>
      </c>
      <c r="Q678" t="n">
        <v>0</v>
      </c>
      <c r="R678" s="2" t="inlineStr"/>
    </row>
    <row r="679" ht="15" customHeight="1">
      <c r="A679" t="inlineStr">
        <is>
          <t>A 61849-2024</t>
        </is>
      </c>
      <c r="B679" s="1" t="n">
        <v>45646</v>
      </c>
      <c r="C679" s="1" t="n">
        <v>45937</v>
      </c>
      <c r="D679" t="inlineStr">
        <is>
          <t>VÄSTERNORRLANDS LÄN</t>
        </is>
      </c>
      <c r="E679" t="inlineStr">
        <is>
          <t>SOLLEFTEÅ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38100-2023</t>
        </is>
      </c>
      <c r="B680" s="1" t="n">
        <v>45160.9647800926</v>
      </c>
      <c r="C680" s="1" t="n">
        <v>45937</v>
      </c>
      <c r="D680" t="inlineStr">
        <is>
          <t>VÄSTERNORRLANDS LÄN</t>
        </is>
      </c>
      <c r="E680" t="inlineStr">
        <is>
          <t>SOLLEFTEÅ</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42963-2024</t>
        </is>
      </c>
      <c r="B681" s="1" t="n">
        <v>45567.37240740741</v>
      </c>
      <c r="C681" s="1" t="n">
        <v>45937</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13860-2025</t>
        </is>
      </c>
      <c r="B682" s="1" t="n">
        <v>45737.57387731481</v>
      </c>
      <c r="C682" s="1" t="n">
        <v>45937</v>
      </c>
      <c r="D682" t="inlineStr">
        <is>
          <t>VÄSTERNORRLANDS LÄN</t>
        </is>
      </c>
      <c r="E682" t="inlineStr">
        <is>
          <t>SOLLEFTEÅ</t>
        </is>
      </c>
      <c r="F682" t="inlineStr">
        <is>
          <t>SCA</t>
        </is>
      </c>
      <c r="G682" t="n">
        <v>10.2</v>
      </c>
      <c r="H682" t="n">
        <v>0</v>
      </c>
      <c r="I682" t="n">
        <v>0</v>
      </c>
      <c r="J682" t="n">
        <v>0</v>
      </c>
      <c r="K682" t="n">
        <v>0</v>
      </c>
      <c r="L682" t="n">
        <v>0</v>
      </c>
      <c r="M682" t="n">
        <v>0</v>
      </c>
      <c r="N682" t="n">
        <v>0</v>
      </c>
      <c r="O682" t="n">
        <v>0</v>
      </c>
      <c r="P682" t="n">
        <v>0</v>
      </c>
      <c r="Q682" t="n">
        <v>0</v>
      </c>
      <c r="R682" s="2" t="inlineStr"/>
    </row>
    <row r="683" ht="15" customHeight="1">
      <c r="A683" t="inlineStr">
        <is>
          <t>A 50844-2023</t>
        </is>
      </c>
      <c r="B683" s="1" t="n">
        <v>45217</v>
      </c>
      <c r="C683" s="1" t="n">
        <v>45937</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6059-2024</t>
        </is>
      </c>
      <c r="B684" s="1" t="n">
        <v>45336</v>
      </c>
      <c r="C684" s="1" t="n">
        <v>45937</v>
      </c>
      <c r="D684" t="inlineStr">
        <is>
          <t>VÄSTERNORRLANDS LÄN</t>
        </is>
      </c>
      <c r="E684" t="inlineStr">
        <is>
          <t>SOLLEFTEÅ</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22342-2022</t>
        </is>
      </c>
      <c r="B685" s="1" t="n">
        <v>44712.94203703704</v>
      </c>
      <c r="C685" s="1" t="n">
        <v>45937</v>
      </c>
      <c r="D685" t="inlineStr">
        <is>
          <t>VÄSTERNORRLANDS LÄN</t>
        </is>
      </c>
      <c r="E685" t="inlineStr">
        <is>
          <t>SOLLEFTEÅ</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27377-2024</t>
        </is>
      </c>
      <c r="B686" s="1" t="n">
        <v>45473.88317129629</v>
      </c>
      <c r="C686" s="1" t="n">
        <v>45937</v>
      </c>
      <c r="D686" t="inlineStr">
        <is>
          <t>VÄSTERNORRLANDS LÄN</t>
        </is>
      </c>
      <c r="E686" t="inlineStr">
        <is>
          <t>SOLLEFTEÅ</t>
        </is>
      </c>
      <c r="G686" t="n">
        <v>9.1</v>
      </c>
      <c r="H686" t="n">
        <v>0</v>
      </c>
      <c r="I686" t="n">
        <v>0</v>
      </c>
      <c r="J686" t="n">
        <v>0</v>
      </c>
      <c r="K686" t="n">
        <v>0</v>
      </c>
      <c r="L686" t="n">
        <v>0</v>
      </c>
      <c r="M686" t="n">
        <v>0</v>
      </c>
      <c r="N686" t="n">
        <v>0</v>
      </c>
      <c r="O686" t="n">
        <v>0</v>
      </c>
      <c r="P686" t="n">
        <v>0</v>
      </c>
      <c r="Q686" t="n">
        <v>0</v>
      </c>
      <c r="R686" s="2" t="inlineStr"/>
    </row>
    <row r="687" ht="15" customHeight="1">
      <c r="A687" t="inlineStr">
        <is>
          <t>A 55898-2022</t>
        </is>
      </c>
      <c r="B687" s="1" t="n">
        <v>44888.95342592592</v>
      </c>
      <c r="C687" s="1" t="n">
        <v>45937</v>
      </c>
      <c r="D687" t="inlineStr">
        <is>
          <t>VÄSTERNORRLANDS LÄN</t>
        </is>
      </c>
      <c r="E687" t="inlineStr">
        <is>
          <t>SOLLEFTEÅ</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17664-2023</t>
        </is>
      </c>
      <c r="B688" s="1" t="n">
        <v>45036.94416666667</v>
      </c>
      <c r="C688" s="1" t="n">
        <v>45937</v>
      </c>
      <c r="D688" t="inlineStr">
        <is>
          <t>VÄSTERNORRLANDS LÄN</t>
        </is>
      </c>
      <c r="E688" t="inlineStr">
        <is>
          <t>SOLLEFTEÅ</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14353-2025</t>
        </is>
      </c>
      <c r="B689" s="1" t="n">
        <v>45741.36502314815</v>
      </c>
      <c r="C689" s="1" t="n">
        <v>45937</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2580-2025</t>
        </is>
      </c>
      <c r="B690" s="1" t="n">
        <v>45674</v>
      </c>
      <c r="C690" s="1" t="n">
        <v>45937</v>
      </c>
      <c r="D690" t="inlineStr">
        <is>
          <t>VÄSTERNORRLANDS LÄN</t>
        </is>
      </c>
      <c r="E690" t="inlineStr">
        <is>
          <t>SOLLEFTEÅ</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37826-2022</t>
        </is>
      </c>
      <c r="B691" s="1" t="n">
        <v>44810.94175925926</v>
      </c>
      <c r="C691" s="1" t="n">
        <v>45937</v>
      </c>
      <c r="D691" t="inlineStr">
        <is>
          <t>VÄSTERNORRLANDS LÄN</t>
        </is>
      </c>
      <c r="E691" t="inlineStr">
        <is>
          <t>SOLLEFTEÅ</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27916-2024</t>
        </is>
      </c>
      <c r="B692" s="1" t="n">
        <v>45475.94834490741</v>
      </c>
      <c r="C692" s="1" t="n">
        <v>45937</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16083-2022</t>
        </is>
      </c>
      <c r="B693" s="1" t="n">
        <v>44665</v>
      </c>
      <c r="C693" s="1" t="n">
        <v>45937</v>
      </c>
      <c r="D693" t="inlineStr">
        <is>
          <t>VÄSTERNORRLANDS LÄN</t>
        </is>
      </c>
      <c r="E693" t="inlineStr">
        <is>
          <t>SOLLEFTEÅ</t>
        </is>
      </c>
      <c r="F693" t="inlineStr">
        <is>
          <t>Holmen skog AB</t>
        </is>
      </c>
      <c r="G693" t="n">
        <v>6.8</v>
      </c>
      <c r="H693" t="n">
        <v>0</v>
      </c>
      <c r="I693" t="n">
        <v>0</v>
      </c>
      <c r="J693" t="n">
        <v>0</v>
      </c>
      <c r="K693" t="n">
        <v>0</v>
      </c>
      <c r="L693" t="n">
        <v>0</v>
      </c>
      <c r="M693" t="n">
        <v>0</v>
      </c>
      <c r="N693" t="n">
        <v>0</v>
      </c>
      <c r="O693" t="n">
        <v>0</v>
      </c>
      <c r="P693" t="n">
        <v>0</v>
      </c>
      <c r="Q693" t="n">
        <v>0</v>
      </c>
      <c r="R693" s="2" t="inlineStr"/>
    </row>
    <row r="694" ht="15" customHeight="1">
      <c r="A694" t="inlineStr">
        <is>
          <t>A 13292-2023</t>
        </is>
      </c>
      <c r="B694" s="1" t="n">
        <v>45004</v>
      </c>
      <c r="C694" s="1" t="n">
        <v>45937</v>
      </c>
      <c r="D694" t="inlineStr">
        <is>
          <t>VÄSTERNORRLANDS LÄN</t>
        </is>
      </c>
      <c r="E694" t="inlineStr">
        <is>
          <t>SOLLEFTEÅ</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4935-2025</t>
        </is>
      </c>
      <c r="B695" s="1" t="n">
        <v>45688.68496527777</v>
      </c>
      <c r="C695" s="1" t="n">
        <v>45937</v>
      </c>
      <c r="D695" t="inlineStr">
        <is>
          <t>VÄSTERNORRLANDS LÄN</t>
        </is>
      </c>
      <c r="E695" t="inlineStr">
        <is>
          <t>SOLLEFTEÅ</t>
        </is>
      </c>
      <c r="G695" t="n">
        <v>6.5</v>
      </c>
      <c r="H695" t="n">
        <v>0</v>
      </c>
      <c r="I695" t="n">
        <v>0</v>
      </c>
      <c r="J695" t="n">
        <v>0</v>
      </c>
      <c r="K695" t="n">
        <v>0</v>
      </c>
      <c r="L695" t="n">
        <v>0</v>
      </c>
      <c r="M695" t="n">
        <v>0</v>
      </c>
      <c r="N695" t="n">
        <v>0</v>
      </c>
      <c r="O695" t="n">
        <v>0</v>
      </c>
      <c r="P695" t="n">
        <v>0</v>
      </c>
      <c r="Q695" t="n">
        <v>0</v>
      </c>
      <c r="R695" s="2" t="inlineStr"/>
    </row>
    <row r="696" ht="15" customHeight="1">
      <c r="A696" t="inlineStr">
        <is>
          <t>A 10549-2023</t>
        </is>
      </c>
      <c r="B696" s="1" t="n">
        <v>44987</v>
      </c>
      <c r="C696" s="1" t="n">
        <v>45937</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10438-2025</t>
        </is>
      </c>
      <c r="B697" s="1" t="n">
        <v>45720.67761574074</v>
      </c>
      <c r="C697" s="1" t="n">
        <v>45937</v>
      </c>
      <c r="D697" t="inlineStr">
        <is>
          <t>VÄSTERNORRLANDS LÄN</t>
        </is>
      </c>
      <c r="E697" t="inlineStr">
        <is>
          <t>SOLLEFTEÅ</t>
        </is>
      </c>
      <c r="F697" t="inlineStr">
        <is>
          <t>SCA</t>
        </is>
      </c>
      <c r="G697" t="n">
        <v>14.6</v>
      </c>
      <c r="H697" t="n">
        <v>0</v>
      </c>
      <c r="I697" t="n">
        <v>0</v>
      </c>
      <c r="J697" t="n">
        <v>0</v>
      </c>
      <c r="K697" t="n">
        <v>0</v>
      </c>
      <c r="L697" t="n">
        <v>0</v>
      </c>
      <c r="M697" t="n">
        <v>0</v>
      </c>
      <c r="N697" t="n">
        <v>0</v>
      </c>
      <c r="O697" t="n">
        <v>0</v>
      </c>
      <c r="P697" t="n">
        <v>0</v>
      </c>
      <c r="Q697" t="n">
        <v>0</v>
      </c>
      <c r="R697" s="2" t="inlineStr"/>
    </row>
    <row r="698" ht="15" customHeight="1">
      <c r="A698" t="inlineStr">
        <is>
          <t>A 33077-2022</t>
        </is>
      </c>
      <c r="B698" s="1" t="n">
        <v>44785</v>
      </c>
      <c r="C698" s="1" t="n">
        <v>45937</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8851-2025</t>
        </is>
      </c>
      <c r="B699" s="1" t="n">
        <v>45713.34465277778</v>
      </c>
      <c r="C699" s="1" t="n">
        <v>45937</v>
      </c>
      <c r="D699" t="inlineStr">
        <is>
          <t>VÄSTERNORRLANDS LÄN</t>
        </is>
      </c>
      <c r="E699" t="inlineStr">
        <is>
          <t>SOLLEFTEÅ</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9608-2025</t>
        </is>
      </c>
      <c r="B700" s="1" t="n">
        <v>45715.65699074074</v>
      </c>
      <c r="C700" s="1" t="n">
        <v>45937</v>
      </c>
      <c r="D700" t="inlineStr">
        <is>
          <t>VÄSTERNORRLANDS LÄN</t>
        </is>
      </c>
      <c r="E700" t="inlineStr">
        <is>
          <t>SOLLEFTEÅ</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1997-2022</t>
        </is>
      </c>
      <c r="B701" s="1" t="n">
        <v>44575</v>
      </c>
      <c r="C701" s="1" t="n">
        <v>45937</v>
      </c>
      <c r="D701" t="inlineStr">
        <is>
          <t>VÄSTERNORRLANDS LÄN</t>
        </is>
      </c>
      <c r="E701" t="inlineStr">
        <is>
          <t>SOLLEFTEÅ</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20638-2025</t>
        </is>
      </c>
      <c r="B702" s="1" t="n">
        <v>45776.36480324074</v>
      </c>
      <c r="C702" s="1" t="n">
        <v>45937</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17258-2025</t>
        </is>
      </c>
      <c r="B703" s="1" t="n">
        <v>45756.53278935186</v>
      </c>
      <c r="C703" s="1" t="n">
        <v>45937</v>
      </c>
      <c r="D703" t="inlineStr">
        <is>
          <t>VÄSTERNORRLANDS LÄN</t>
        </is>
      </c>
      <c r="E703" t="inlineStr">
        <is>
          <t>SOLLEFTEÅ</t>
        </is>
      </c>
      <c r="G703" t="n">
        <v>6.8</v>
      </c>
      <c r="H703" t="n">
        <v>0</v>
      </c>
      <c r="I703" t="n">
        <v>0</v>
      </c>
      <c r="J703" t="n">
        <v>0</v>
      </c>
      <c r="K703" t="n">
        <v>0</v>
      </c>
      <c r="L703" t="n">
        <v>0</v>
      </c>
      <c r="M703" t="n">
        <v>0</v>
      </c>
      <c r="N703" t="n">
        <v>0</v>
      </c>
      <c r="O703" t="n">
        <v>0</v>
      </c>
      <c r="P703" t="n">
        <v>0</v>
      </c>
      <c r="Q703" t="n">
        <v>0</v>
      </c>
      <c r="R703" s="2" t="inlineStr"/>
    </row>
    <row r="704" ht="15" customHeight="1">
      <c r="A704" t="inlineStr">
        <is>
          <t>A 55859-2023</t>
        </is>
      </c>
      <c r="B704" s="1" t="n">
        <v>45239</v>
      </c>
      <c r="C704" s="1" t="n">
        <v>45937</v>
      </c>
      <c r="D704" t="inlineStr">
        <is>
          <t>VÄSTERNORRLANDS LÄN</t>
        </is>
      </c>
      <c r="E704" t="inlineStr">
        <is>
          <t>SOLLEFTEÅ</t>
        </is>
      </c>
      <c r="F704" t="inlineStr">
        <is>
          <t>Kommuner</t>
        </is>
      </c>
      <c r="G704" t="n">
        <v>0.1</v>
      </c>
      <c r="H704" t="n">
        <v>0</v>
      </c>
      <c r="I704" t="n">
        <v>0</v>
      </c>
      <c r="J704" t="n">
        <v>0</v>
      </c>
      <c r="K704" t="n">
        <v>0</v>
      </c>
      <c r="L704" t="n">
        <v>0</v>
      </c>
      <c r="M704" t="n">
        <v>0</v>
      </c>
      <c r="N704" t="n">
        <v>0</v>
      </c>
      <c r="O704" t="n">
        <v>0</v>
      </c>
      <c r="P704" t="n">
        <v>0</v>
      </c>
      <c r="Q704" t="n">
        <v>0</v>
      </c>
      <c r="R704" s="2" t="inlineStr"/>
    </row>
    <row r="705" ht="15" customHeight="1">
      <c r="A705" t="inlineStr">
        <is>
          <t>A 18100-2025</t>
        </is>
      </c>
      <c r="B705" s="1" t="n">
        <v>45761.55240740741</v>
      </c>
      <c r="C705" s="1" t="n">
        <v>45937</v>
      </c>
      <c r="D705" t="inlineStr">
        <is>
          <t>VÄSTERNORRLANDS LÄN</t>
        </is>
      </c>
      <c r="E705" t="inlineStr">
        <is>
          <t>SOLLEFTEÅ</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7330-2023</t>
        </is>
      </c>
      <c r="B706" s="1" t="n">
        <v>44970.97920138889</v>
      </c>
      <c r="C706" s="1" t="n">
        <v>45937</v>
      </c>
      <c r="D706" t="inlineStr">
        <is>
          <t>VÄSTERNORRLANDS LÄN</t>
        </is>
      </c>
      <c r="E706" t="inlineStr">
        <is>
          <t>SOLLEFTEÅ</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7333-2023</t>
        </is>
      </c>
      <c r="B707" s="1" t="n">
        <v>44970.97947916666</v>
      </c>
      <c r="C707" s="1" t="n">
        <v>45937</v>
      </c>
      <c r="D707" t="inlineStr">
        <is>
          <t>VÄSTERNORRLANDS LÄN</t>
        </is>
      </c>
      <c r="E707" t="inlineStr">
        <is>
          <t>SOLLEFTEÅ</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12632-2025</t>
        </is>
      </c>
      <c r="B708" s="1" t="n">
        <v>45733.37693287037</v>
      </c>
      <c r="C708" s="1" t="n">
        <v>45937</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20725-2025</t>
        </is>
      </c>
      <c r="B709" s="1" t="n">
        <v>45776.51074074074</v>
      </c>
      <c r="C709" s="1" t="n">
        <v>45937</v>
      </c>
      <c r="D709" t="inlineStr">
        <is>
          <t>VÄSTERNORRLANDS LÄN</t>
        </is>
      </c>
      <c r="E709" t="inlineStr">
        <is>
          <t>SOLLEFTEÅ</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14134-2023</t>
        </is>
      </c>
      <c r="B710" s="1" t="n">
        <v>45008</v>
      </c>
      <c r="C710" s="1" t="n">
        <v>45937</v>
      </c>
      <c r="D710" t="inlineStr">
        <is>
          <t>VÄSTERNORRLANDS LÄN</t>
        </is>
      </c>
      <c r="E710" t="inlineStr">
        <is>
          <t>SOLLEFTEÅ</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58276-2021</t>
        </is>
      </c>
      <c r="B711" s="1" t="n">
        <v>44487.94453703704</v>
      </c>
      <c r="C711" s="1" t="n">
        <v>45937</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54233-2024</t>
        </is>
      </c>
      <c r="B712" s="1" t="n">
        <v>45616.67791666667</v>
      </c>
      <c r="C712" s="1" t="n">
        <v>45937</v>
      </c>
      <c r="D712" t="inlineStr">
        <is>
          <t>VÄSTERNORRLANDS LÄN</t>
        </is>
      </c>
      <c r="E712" t="inlineStr">
        <is>
          <t>SOLLEFTEÅ</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54235-2024</t>
        </is>
      </c>
      <c r="B713" s="1" t="n">
        <v>45616.67806712963</v>
      </c>
      <c r="C713" s="1" t="n">
        <v>45937</v>
      </c>
      <c r="D713" t="inlineStr">
        <is>
          <t>VÄSTERNORRLANDS LÄN</t>
        </is>
      </c>
      <c r="E713" t="inlineStr">
        <is>
          <t>SOLLEFTEÅ</t>
        </is>
      </c>
      <c r="F713" t="inlineStr">
        <is>
          <t>SCA</t>
        </is>
      </c>
      <c r="G713" t="n">
        <v>0.1</v>
      </c>
      <c r="H713" t="n">
        <v>0</v>
      </c>
      <c r="I713" t="n">
        <v>0</v>
      </c>
      <c r="J713" t="n">
        <v>0</v>
      </c>
      <c r="K713" t="n">
        <v>0</v>
      </c>
      <c r="L713" t="n">
        <v>0</v>
      </c>
      <c r="M713" t="n">
        <v>0</v>
      </c>
      <c r="N713" t="n">
        <v>0</v>
      </c>
      <c r="O713" t="n">
        <v>0</v>
      </c>
      <c r="P713" t="n">
        <v>0</v>
      </c>
      <c r="Q713" t="n">
        <v>0</v>
      </c>
      <c r="R713" s="2" t="inlineStr"/>
    </row>
    <row r="714" ht="15" customHeight="1">
      <c r="A714" t="inlineStr">
        <is>
          <t>A 7257-2024</t>
        </is>
      </c>
      <c r="B714" s="1" t="n">
        <v>45344.7371412037</v>
      </c>
      <c r="C714" s="1" t="n">
        <v>45937</v>
      </c>
      <c r="D714" t="inlineStr">
        <is>
          <t>VÄSTERNORRLANDS LÄN</t>
        </is>
      </c>
      <c r="E714" t="inlineStr">
        <is>
          <t>SOLLEFTEÅ</t>
        </is>
      </c>
      <c r="G714" t="n">
        <v>9.1</v>
      </c>
      <c r="H714" t="n">
        <v>0</v>
      </c>
      <c r="I714" t="n">
        <v>0</v>
      </c>
      <c r="J714" t="n">
        <v>0</v>
      </c>
      <c r="K714" t="n">
        <v>0</v>
      </c>
      <c r="L714" t="n">
        <v>0</v>
      </c>
      <c r="M714" t="n">
        <v>0</v>
      </c>
      <c r="N714" t="n">
        <v>0</v>
      </c>
      <c r="O714" t="n">
        <v>0</v>
      </c>
      <c r="P714" t="n">
        <v>0</v>
      </c>
      <c r="Q714" t="n">
        <v>0</v>
      </c>
      <c r="R714" s="2" t="inlineStr"/>
    </row>
    <row r="715" ht="15" customHeight="1">
      <c r="A715" t="inlineStr">
        <is>
          <t>A 6066-2024</t>
        </is>
      </c>
      <c r="B715" s="1" t="n">
        <v>45336.88386574074</v>
      </c>
      <c r="C715" s="1" t="n">
        <v>45937</v>
      </c>
      <c r="D715" t="inlineStr">
        <is>
          <t>VÄSTERNORRLANDS LÄN</t>
        </is>
      </c>
      <c r="E715" t="inlineStr">
        <is>
          <t>SOLLEFTEÅ</t>
        </is>
      </c>
      <c r="F715" t="inlineStr">
        <is>
          <t>Övriga Aktiebolag</t>
        </is>
      </c>
      <c r="G715" t="n">
        <v>14.8</v>
      </c>
      <c r="H715" t="n">
        <v>0</v>
      </c>
      <c r="I715" t="n">
        <v>0</v>
      </c>
      <c r="J715" t="n">
        <v>0</v>
      </c>
      <c r="K715" t="n">
        <v>0</v>
      </c>
      <c r="L715" t="n">
        <v>0</v>
      </c>
      <c r="M715" t="n">
        <v>0</v>
      </c>
      <c r="N715" t="n">
        <v>0</v>
      </c>
      <c r="O715" t="n">
        <v>0</v>
      </c>
      <c r="P715" t="n">
        <v>0</v>
      </c>
      <c r="Q715" t="n">
        <v>0</v>
      </c>
      <c r="R715" s="2" t="inlineStr"/>
    </row>
    <row r="716" ht="15" customHeight="1">
      <c r="A716" t="inlineStr">
        <is>
          <t>A 20793-2025</t>
        </is>
      </c>
      <c r="B716" s="1" t="n">
        <v>45776</v>
      </c>
      <c r="C716" s="1" t="n">
        <v>45937</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282-2023</t>
        </is>
      </c>
      <c r="B717" s="1" t="n">
        <v>44928</v>
      </c>
      <c r="C717" s="1" t="n">
        <v>45937</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48785-2024</t>
        </is>
      </c>
      <c r="B718" s="1" t="n">
        <v>45593</v>
      </c>
      <c r="C718" s="1" t="n">
        <v>45937</v>
      </c>
      <c r="D718" t="inlineStr">
        <is>
          <t>VÄSTERNORRLANDS LÄN</t>
        </is>
      </c>
      <c r="E718" t="inlineStr">
        <is>
          <t>SOLLEFTEÅ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20867-2025</t>
        </is>
      </c>
      <c r="B719" s="1" t="n">
        <v>45777.34471064815</v>
      </c>
      <c r="C719" s="1" t="n">
        <v>45937</v>
      </c>
      <c r="D719" t="inlineStr">
        <is>
          <t>VÄSTERNORRLANDS LÄN</t>
        </is>
      </c>
      <c r="E719" t="inlineStr">
        <is>
          <t>SOLLEFTEÅ</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61784-2023</t>
        </is>
      </c>
      <c r="B720" s="1" t="n">
        <v>45265</v>
      </c>
      <c r="C720" s="1" t="n">
        <v>45937</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15978-2023</t>
        </is>
      </c>
      <c r="B721" s="1" t="n">
        <v>45022.94188657407</v>
      </c>
      <c r="C721" s="1" t="n">
        <v>45937</v>
      </c>
      <c r="D721" t="inlineStr">
        <is>
          <t>VÄSTERNORRLANDS LÄN</t>
        </is>
      </c>
      <c r="E721" t="inlineStr">
        <is>
          <t>SOLLEFTEÅ</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26955-2024</t>
        </is>
      </c>
      <c r="B722" s="1" t="n">
        <v>45470.97040509259</v>
      </c>
      <c r="C722" s="1" t="n">
        <v>45937</v>
      </c>
      <c r="D722" t="inlineStr">
        <is>
          <t>VÄSTERNORRLANDS LÄN</t>
        </is>
      </c>
      <c r="E722" t="inlineStr">
        <is>
          <t>SOLLEFTEÅ</t>
        </is>
      </c>
      <c r="F722" t="inlineStr">
        <is>
          <t>SCA</t>
        </is>
      </c>
      <c r="G722" t="n">
        <v>5.1</v>
      </c>
      <c r="H722" t="n">
        <v>0</v>
      </c>
      <c r="I722" t="n">
        <v>0</v>
      </c>
      <c r="J722" t="n">
        <v>0</v>
      </c>
      <c r="K722" t="n">
        <v>0</v>
      </c>
      <c r="L722" t="n">
        <v>0</v>
      </c>
      <c r="M722" t="n">
        <v>0</v>
      </c>
      <c r="N722" t="n">
        <v>0</v>
      </c>
      <c r="O722" t="n">
        <v>0</v>
      </c>
      <c r="P722" t="n">
        <v>0</v>
      </c>
      <c r="Q722" t="n">
        <v>0</v>
      </c>
      <c r="R722" s="2" t="inlineStr"/>
    </row>
    <row r="723" ht="15" customHeight="1">
      <c r="A723" t="inlineStr">
        <is>
          <t>A 9950-2025</t>
        </is>
      </c>
      <c r="B723" s="1" t="n">
        <v>45719.34416666667</v>
      </c>
      <c r="C723" s="1" t="n">
        <v>45937</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9966-2025</t>
        </is>
      </c>
      <c r="B724" s="1" t="n">
        <v>45719</v>
      </c>
      <c r="C724" s="1" t="n">
        <v>45937</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51029-2021</t>
        </is>
      </c>
      <c r="B725" s="1" t="n">
        <v>44460.94086805556</v>
      </c>
      <c r="C725" s="1" t="n">
        <v>45937</v>
      </c>
      <c r="D725" t="inlineStr">
        <is>
          <t>VÄSTERNORRLANDS LÄN</t>
        </is>
      </c>
      <c r="E725" t="inlineStr">
        <is>
          <t>SOLLEFTEÅ</t>
        </is>
      </c>
      <c r="F725" t="inlineStr">
        <is>
          <t>SCA</t>
        </is>
      </c>
      <c r="G725" t="n">
        <v>6.9</v>
      </c>
      <c r="H725" t="n">
        <v>0</v>
      </c>
      <c r="I725" t="n">
        <v>0</v>
      </c>
      <c r="J725" t="n">
        <v>0</v>
      </c>
      <c r="K725" t="n">
        <v>0</v>
      </c>
      <c r="L725" t="n">
        <v>0</v>
      </c>
      <c r="M725" t="n">
        <v>0</v>
      </c>
      <c r="N725" t="n">
        <v>0</v>
      </c>
      <c r="O725" t="n">
        <v>0</v>
      </c>
      <c r="P725" t="n">
        <v>0</v>
      </c>
      <c r="Q725" t="n">
        <v>0</v>
      </c>
      <c r="R725" s="2" t="inlineStr"/>
    </row>
    <row r="726" ht="15" customHeight="1">
      <c r="A726" t="inlineStr">
        <is>
          <t>A 41655-2023</t>
        </is>
      </c>
      <c r="B726" s="1" t="n">
        <v>45175.95751157407</v>
      </c>
      <c r="C726" s="1" t="n">
        <v>45937</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21088-2025</t>
        </is>
      </c>
      <c r="B727" s="1" t="n">
        <v>45777.61498842593</v>
      </c>
      <c r="C727" s="1" t="n">
        <v>45937</v>
      </c>
      <c r="D727" t="inlineStr">
        <is>
          <t>VÄSTERNORRLANDS LÄN</t>
        </is>
      </c>
      <c r="E727" t="inlineStr">
        <is>
          <t>SOLLEFTEÅ</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19556-2024</t>
        </is>
      </c>
      <c r="B728" s="1" t="n">
        <v>45429</v>
      </c>
      <c r="C728" s="1" t="n">
        <v>45937</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8221-2022</t>
        </is>
      </c>
      <c r="B729" s="1" t="n">
        <v>44609.93001157408</v>
      </c>
      <c r="C729" s="1" t="n">
        <v>45937</v>
      </c>
      <c r="D729" t="inlineStr">
        <is>
          <t>VÄSTERNORRLANDS LÄN</t>
        </is>
      </c>
      <c r="E729" t="inlineStr">
        <is>
          <t>SOLLEFTEÅ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32140-2024</t>
        </is>
      </c>
      <c r="B730" s="1" t="n">
        <v>45511.54391203704</v>
      </c>
      <c r="C730" s="1" t="n">
        <v>45937</v>
      </c>
      <c r="D730" t="inlineStr">
        <is>
          <t>VÄSTERNORRLANDS LÄN</t>
        </is>
      </c>
      <c r="E730" t="inlineStr">
        <is>
          <t>SOLLEFTEÅ</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33709-2023</t>
        </is>
      </c>
      <c r="B731" s="1" t="n">
        <v>45132.92300925926</v>
      </c>
      <c r="C731" s="1" t="n">
        <v>45937</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11241-2022</t>
        </is>
      </c>
      <c r="B732" s="1" t="n">
        <v>44629</v>
      </c>
      <c r="C732" s="1" t="n">
        <v>45937</v>
      </c>
      <c r="D732" t="inlineStr">
        <is>
          <t>VÄSTERNORRLANDS LÄN</t>
        </is>
      </c>
      <c r="E732" t="inlineStr">
        <is>
          <t>SOLLEFTEÅ</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21109-2025</t>
        </is>
      </c>
      <c r="B733" s="1" t="n">
        <v>45777.67744212963</v>
      </c>
      <c r="C733" s="1" t="n">
        <v>45937</v>
      </c>
      <c r="D733" t="inlineStr">
        <is>
          <t>VÄSTERNORRLANDS LÄN</t>
        </is>
      </c>
      <c r="E733" t="inlineStr">
        <is>
          <t>SOLLEFTEÅ</t>
        </is>
      </c>
      <c r="F733" t="inlineStr">
        <is>
          <t>SCA</t>
        </is>
      </c>
      <c r="G733" t="n">
        <v>38.2</v>
      </c>
      <c r="H733" t="n">
        <v>0</v>
      </c>
      <c r="I733" t="n">
        <v>0</v>
      </c>
      <c r="J733" t="n">
        <v>0</v>
      </c>
      <c r="K733" t="n">
        <v>0</v>
      </c>
      <c r="L733" t="n">
        <v>0</v>
      </c>
      <c r="M733" t="n">
        <v>0</v>
      </c>
      <c r="N733" t="n">
        <v>0</v>
      </c>
      <c r="O733" t="n">
        <v>0</v>
      </c>
      <c r="P733" t="n">
        <v>0</v>
      </c>
      <c r="Q733" t="n">
        <v>0</v>
      </c>
      <c r="R733" s="2" t="inlineStr"/>
    </row>
    <row r="734" ht="15" customHeight="1">
      <c r="A734" t="inlineStr">
        <is>
          <t>A 41474-2022</t>
        </is>
      </c>
      <c r="B734" s="1" t="n">
        <v>44826.94859953703</v>
      </c>
      <c r="C734" s="1" t="n">
        <v>45937</v>
      </c>
      <c r="D734" t="inlineStr">
        <is>
          <t>VÄSTERNORRLANDS LÄN</t>
        </is>
      </c>
      <c r="E734" t="inlineStr">
        <is>
          <t>SOLLEFTEÅ</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26435-2022</t>
        </is>
      </c>
      <c r="B735" s="1" t="n">
        <v>44736.93902777778</v>
      </c>
      <c r="C735" s="1" t="n">
        <v>45937</v>
      </c>
      <c r="D735" t="inlineStr">
        <is>
          <t>VÄSTERNORRLANDS LÄN</t>
        </is>
      </c>
      <c r="E735" t="inlineStr">
        <is>
          <t>SOLLEFTEÅ</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55440-2024</t>
        </is>
      </c>
      <c r="B736" s="1" t="n">
        <v>45622.40679398148</v>
      </c>
      <c r="C736" s="1" t="n">
        <v>45937</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47175-2024</t>
        </is>
      </c>
      <c r="B737" s="1" t="n">
        <v>45586</v>
      </c>
      <c r="C737" s="1" t="n">
        <v>45937</v>
      </c>
      <c r="D737" t="inlineStr">
        <is>
          <t>VÄSTERNORRLANDS LÄN</t>
        </is>
      </c>
      <c r="E737" t="inlineStr">
        <is>
          <t>SOLLEFTEÅ</t>
        </is>
      </c>
      <c r="G737" t="n">
        <v>2.2</v>
      </c>
      <c r="H737" t="n">
        <v>0</v>
      </c>
      <c r="I737" t="n">
        <v>0</v>
      </c>
      <c r="J737" t="n">
        <v>0</v>
      </c>
      <c r="K737" t="n">
        <v>0</v>
      </c>
      <c r="L737" t="n">
        <v>0</v>
      </c>
      <c r="M737" t="n">
        <v>0</v>
      </c>
      <c r="N737" t="n">
        <v>0</v>
      </c>
      <c r="O737" t="n">
        <v>0</v>
      </c>
      <c r="P737" t="n">
        <v>0</v>
      </c>
      <c r="Q737" t="n">
        <v>0</v>
      </c>
      <c r="R737" s="2" t="inlineStr"/>
    </row>
    <row r="738" ht="15" customHeight="1">
      <c r="A738" t="inlineStr">
        <is>
          <t>A 47179-2024</t>
        </is>
      </c>
      <c r="B738" s="1" t="n">
        <v>45586.61634259259</v>
      </c>
      <c r="C738" s="1" t="n">
        <v>45937</v>
      </c>
      <c r="D738" t="inlineStr">
        <is>
          <t>VÄSTERNORRLANDS LÄN</t>
        </is>
      </c>
      <c r="E738" t="inlineStr">
        <is>
          <t>SOLLEFTEÅ</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45937</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31547-2024</t>
        </is>
      </c>
      <c r="B740" s="1" t="n">
        <v>45505.96362268519</v>
      </c>
      <c r="C740" s="1" t="n">
        <v>45937</v>
      </c>
      <c r="D740" t="inlineStr">
        <is>
          <t>VÄSTERNORRLANDS LÄN</t>
        </is>
      </c>
      <c r="E740" t="inlineStr">
        <is>
          <t>SOLLEFTEÅ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31562-2024</t>
        </is>
      </c>
      <c r="B741" s="1" t="n">
        <v>45505</v>
      </c>
      <c r="C741" s="1" t="n">
        <v>45937</v>
      </c>
      <c r="D741" t="inlineStr">
        <is>
          <t>VÄSTERNORRLANDS LÄN</t>
        </is>
      </c>
      <c r="E741" t="inlineStr">
        <is>
          <t>SOLLEFTEÅ</t>
        </is>
      </c>
      <c r="F741" t="inlineStr">
        <is>
          <t>SCA</t>
        </is>
      </c>
      <c r="G741" t="n">
        <v>9.6</v>
      </c>
      <c r="H741" t="n">
        <v>0</v>
      </c>
      <c r="I741" t="n">
        <v>0</v>
      </c>
      <c r="J741" t="n">
        <v>0</v>
      </c>
      <c r="K741" t="n">
        <v>0</v>
      </c>
      <c r="L741" t="n">
        <v>0</v>
      </c>
      <c r="M741" t="n">
        <v>0</v>
      </c>
      <c r="N741" t="n">
        <v>0</v>
      </c>
      <c r="O741" t="n">
        <v>0</v>
      </c>
      <c r="P741" t="n">
        <v>0</v>
      </c>
      <c r="Q741" t="n">
        <v>0</v>
      </c>
      <c r="R741" s="2" t="inlineStr"/>
    </row>
    <row r="742" ht="15" customHeight="1">
      <c r="A742" t="inlineStr">
        <is>
          <t>A 60177-2024</t>
        </is>
      </c>
      <c r="B742" s="1" t="n">
        <v>45642.63850694444</v>
      </c>
      <c r="C742" s="1" t="n">
        <v>45937</v>
      </c>
      <c r="D742" t="inlineStr">
        <is>
          <t>VÄSTERNORRLANDS LÄN</t>
        </is>
      </c>
      <c r="E742" t="inlineStr">
        <is>
          <t>SOLLEFTEÅ</t>
        </is>
      </c>
      <c r="G742" t="n">
        <v>3.2</v>
      </c>
      <c r="H742" t="n">
        <v>0</v>
      </c>
      <c r="I742" t="n">
        <v>0</v>
      </c>
      <c r="J742" t="n">
        <v>0</v>
      </c>
      <c r="K742" t="n">
        <v>0</v>
      </c>
      <c r="L742" t="n">
        <v>0</v>
      </c>
      <c r="M742" t="n">
        <v>0</v>
      </c>
      <c r="N742" t="n">
        <v>0</v>
      </c>
      <c r="O742" t="n">
        <v>0</v>
      </c>
      <c r="P742" t="n">
        <v>0</v>
      </c>
      <c r="Q742" t="n">
        <v>0</v>
      </c>
      <c r="R742" s="2" t="inlineStr"/>
    </row>
    <row r="743" ht="15" customHeight="1">
      <c r="A743" t="inlineStr">
        <is>
          <t>A 3990-2024</t>
        </is>
      </c>
      <c r="B743" s="1" t="n">
        <v>45322.94880787037</v>
      </c>
      <c r="C743" s="1" t="n">
        <v>45937</v>
      </c>
      <c r="D743" t="inlineStr">
        <is>
          <t>VÄSTERNORRLANDS LÄN</t>
        </is>
      </c>
      <c r="E743" t="inlineStr">
        <is>
          <t>SOLLEFTEÅ</t>
        </is>
      </c>
      <c r="F743" t="inlineStr">
        <is>
          <t>SCA</t>
        </is>
      </c>
      <c r="G743" t="n">
        <v>6.3</v>
      </c>
      <c r="H743" t="n">
        <v>0</v>
      </c>
      <c r="I743" t="n">
        <v>0</v>
      </c>
      <c r="J743" t="n">
        <v>0</v>
      </c>
      <c r="K743" t="n">
        <v>0</v>
      </c>
      <c r="L743" t="n">
        <v>0</v>
      </c>
      <c r="M743" t="n">
        <v>0</v>
      </c>
      <c r="N743" t="n">
        <v>0</v>
      </c>
      <c r="O743" t="n">
        <v>0</v>
      </c>
      <c r="P743" t="n">
        <v>0</v>
      </c>
      <c r="Q743" t="n">
        <v>0</v>
      </c>
      <c r="R743" s="2" t="inlineStr"/>
    </row>
    <row r="744" ht="15" customHeight="1">
      <c r="A744" t="inlineStr">
        <is>
          <t>A 52087-2023</t>
        </is>
      </c>
      <c r="B744" s="1" t="n">
        <v>45223</v>
      </c>
      <c r="C744" s="1" t="n">
        <v>45937</v>
      </c>
      <c r="D744" t="inlineStr">
        <is>
          <t>VÄSTERNORRLANDS LÄN</t>
        </is>
      </c>
      <c r="E744" t="inlineStr">
        <is>
          <t>SOLLEFTEÅ</t>
        </is>
      </c>
      <c r="G744" t="n">
        <v>10.7</v>
      </c>
      <c r="H744" t="n">
        <v>0</v>
      </c>
      <c r="I744" t="n">
        <v>0</v>
      </c>
      <c r="J744" t="n">
        <v>0</v>
      </c>
      <c r="K744" t="n">
        <v>0</v>
      </c>
      <c r="L744" t="n">
        <v>0</v>
      </c>
      <c r="M744" t="n">
        <v>0</v>
      </c>
      <c r="N744" t="n">
        <v>0</v>
      </c>
      <c r="O744" t="n">
        <v>0</v>
      </c>
      <c r="P744" t="n">
        <v>0</v>
      </c>
      <c r="Q744" t="n">
        <v>0</v>
      </c>
      <c r="R744" s="2" t="inlineStr"/>
    </row>
    <row r="745" ht="15" customHeight="1">
      <c r="A745" t="inlineStr">
        <is>
          <t>A 58694-2024</t>
        </is>
      </c>
      <c r="B745" s="1" t="n">
        <v>45635.63575231482</v>
      </c>
      <c r="C745" s="1" t="n">
        <v>45937</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21553-2025</t>
        </is>
      </c>
      <c r="B746" s="1" t="n">
        <v>45782.67805555555</v>
      </c>
      <c r="C746" s="1" t="n">
        <v>45937</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21555-2025</t>
        </is>
      </c>
      <c r="B747" s="1" t="n">
        <v>45782.67828703704</v>
      </c>
      <c r="C747" s="1" t="n">
        <v>45937</v>
      </c>
      <c r="D747" t="inlineStr">
        <is>
          <t>VÄSTERNORRLANDS LÄN</t>
        </is>
      </c>
      <c r="E747" t="inlineStr">
        <is>
          <t>SOLLEFTEÅ</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21564-2025</t>
        </is>
      </c>
      <c r="B748" s="1" t="n">
        <v>45782.69837962963</v>
      </c>
      <c r="C748" s="1" t="n">
        <v>45937</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21348-2025</t>
        </is>
      </c>
      <c r="B749" s="1" t="n">
        <v>45782.40679398148</v>
      </c>
      <c r="C749" s="1" t="n">
        <v>45937</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21346-2025</t>
        </is>
      </c>
      <c r="B750" s="1" t="n">
        <v>45782.40670138889</v>
      </c>
      <c r="C750" s="1" t="n">
        <v>45937</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21429-2025</t>
        </is>
      </c>
      <c r="B751" s="1" t="n">
        <v>45782.51084490741</v>
      </c>
      <c r="C751" s="1" t="n">
        <v>45937</v>
      </c>
      <c r="D751" t="inlineStr">
        <is>
          <t>VÄSTERNORRLANDS LÄN</t>
        </is>
      </c>
      <c r="E751" t="inlineStr">
        <is>
          <t>SOLLEFTEÅ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41813-2022</t>
        </is>
      </c>
      <c r="B752" s="1" t="n">
        <v>44827.94520833333</v>
      </c>
      <c r="C752" s="1" t="n">
        <v>45937</v>
      </c>
      <c r="D752" t="inlineStr">
        <is>
          <t>VÄSTERNORRLANDS LÄN</t>
        </is>
      </c>
      <c r="E752" t="inlineStr">
        <is>
          <t>SOLLEFTEÅ</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6058-2024</t>
        </is>
      </c>
      <c r="B753" s="1" t="n">
        <v>45336.75866898148</v>
      </c>
      <c r="C753" s="1" t="n">
        <v>45937</v>
      </c>
      <c r="D753" t="inlineStr">
        <is>
          <t>VÄSTERNORRLANDS LÄN</t>
        </is>
      </c>
      <c r="E753" t="inlineStr">
        <is>
          <t>SOLLEFTEÅ</t>
        </is>
      </c>
      <c r="F753" t="inlineStr">
        <is>
          <t>Övriga Aktiebolag</t>
        </is>
      </c>
      <c r="G753" t="n">
        <v>5.2</v>
      </c>
      <c r="H753" t="n">
        <v>0</v>
      </c>
      <c r="I753" t="n">
        <v>0</v>
      </c>
      <c r="J753" t="n">
        <v>0</v>
      </c>
      <c r="K753" t="n">
        <v>0</v>
      </c>
      <c r="L753" t="n">
        <v>0</v>
      </c>
      <c r="M753" t="n">
        <v>0</v>
      </c>
      <c r="N753" t="n">
        <v>0</v>
      </c>
      <c r="O753" t="n">
        <v>0</v>
      </c>
      <c r="P753" t="n">
        <v>0</v>
      </c>
      <c r="Q753" t="n">
        <v>0</v>
      </c>
      <c r="R753" s="2" t="inlineStr"/>
    </row>
    <row r="754" ht="15" customHeight="1">
      <c r="A754" t="inlineStr">
        <is>
          <t>A 21455-2025</t>
        </is>
      </c>
      <c r="B754" s="1" t="n">
        <v>45782.55332175926</v>
      </c>
      <c r="C754" s="1" t="n">
        <v>45937</v>
      </c>
      <c r="D754" t="inlineStr">
        <is>
          <t>VÄSTERNORRLANDS LÄN</t>
        </is>
      </c>
      <c r="E754" t="inlineStr">
        <is>
          <t>SOLLEFTEÅ</t>
        </is>
      </c>
      <c r="F754" t="inlineStr">
        <is>
          <t>SCA</t>
        </is>
      </c>
      <c r="G754" t="n">
        <v>10.5</v>
      </c>
      <c r="H754" t="n">
        <v>0</v>
      </c>
      <c r="I754" t="n">
        <v>0</v>
      </c>
      <c r="J754" t="n">
        <v>0</v>
      </c>
      <c r="K754" t="n">
        <v>0</v>
      </c>
      <c r="L754" t="n">
        <v>0</v>
      </c>
      <c r="M754" t="n">
        <v>0</v>
      </c>
      <c r="N754" t="n">
        <v>0</v>
      </c>
      <c r="O754" t="n">
        <v>0</v>
      </c>
      <c r="P754" t="n">
        <v>0</v>
      </c>
      <c r="Q754" t="n">
        <v>0</v>
      </c>
      <c r="R754" s="2" t="inlineStr"/>
    </row>
    <row r="755" ht="15" customHeight="1">
      <c r="A755" t="inlineStr">
        <is>
          <t>A 21491-2025</t>
        </is>
      </c>
      <c r="B755" s="1" t="n">
        <v>45782.59578703704</v>
      </c>
      <c r="C755" s="1" t="n">
        <v>45937</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4261-2025</t>
        </is>
      </c>
      <c r="B756" s="1" t="n">
        <v>45685.61785879629</v>
      </c>
      <c r="C756" s="1" t="n">
        <v>45937</v>
      </c>
      <c r="D756" t="inlineStr">
        <is>
          <t>VÄSTERNORRLANDS LÄN</t>
        </is>
      </c>
      <c r="E756" t="inlineStr">
        <is>
          <t>SOLLEFTEÅ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51527-2024</t>
        </is>
      </c>
      <c r="B757" s="1" t="n">
        <v>45604</v>
      </c>
      <c r="C757" s="1" t="n">
        <v>45937</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21565-2025</t>
        </is>
      </c>
      <c r="B758" s="1" t="n">
        <v>45782</v>
      </c>
      <c r="C758" s="1" t="n">
        <v>45937</v>
      </c>
      <c r="D758" t="inlineStr">
        <is>
          <t>VÄSTERNORRLANDS LÄN</t>
        </is>
      </c>
      <c r="E758" t="inlineStr">
        <is>
          <t>SOLLEFTEÅ</t>
        </is>
      </c>
      <c r="F758" t="inlineStr">
        <is>
          <t>SCA</t>
        </is>
      </c>
      <c r="G758" t="n">
        <v>17.4</v>
      </c>
      <c r="H758" t="n">
        <v>0</v>
      </c>
      <c r="I758" t="n">
        <v>0</v>
      </c>
      <c r="J758" t="n">
        <v>0</v>
      </c>
      <c r="K758" t="n">
        <v>0</v>
      </c>
      <c r="L758" t="n">
        <v>0</v>
      </c>
      <c r="M758" t="n">
        <v>0</v>
      </c>
      <c r="N758" t="n">
        <v>0</v>
      </c>
      <c r="O758" t="n">
        <v>0</v>
      </c>
      <c r="P758" t="n">
        <v>0</v>
      </c>
      <c r="Q758" t="n">
        <v>0</v>
      </c>
      <c r="R758" s="2" t="inlineStr"/>
    </row>
    <row r="759" ht="15" customHeight="1">
      <c r="A759" t="inlineStr">
        <is>
          <t>A 52136-2023</t>
        </is>
      </c>
      <c r="B759" s="1" t="n">
        <v>45223.96625</v>
      </c>
      <c r="C759" s="1" t="n">
        <v>45937</v>
      </c>
      <c r="D759" t="inlineStr">
        <is>
          <t>VÄSTERNORRLANDS LÄN</t>
        </is>
      </c>
      <c r="E759" t="inlineStr">
        <is>
          <t>SOLLEFTEÅ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12834-2025</t>
        </is>
      </c>
      <c r="B760" s="1" t="n">
        <v>45733.63612268519</v>
      </c>
      <c r="C760" s="1" t="n">
        <v>45937</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2536-2022</t>
        </is>
      </c>
      <c r="B761" s="1" t="n">
        <v>44579</v>
      </c>
      <c r="C761" s="1" t="n">
        <v>45937</v>
      </c>
      <c r="D761" t="inlineStr">
        <is>
          <t>VÄSTERNORRLANDS LÄN</t>
        </is>
      </c>
      <c r="E761" t="inlineStr">
        <is>
          <t>SOLLEFTEÅ</t>
        </is>
      </c>
      <c r="F761" t="inlineStr">
        <is>
          <t>Övriga Aktiebolag</t>
        </is>
      </c>
      <c r="G761" t="n">
        <v>0.8</v>
      </c>
      <c r="H761" t="n">
        <v>0</v>
      </c>
      <c r="I761" t="n">
        <v>0</v>
      </c>
      <c r="J761" t="n">
        <v>0</v>
      </c>
      <c r="K761" t="n">
        <v>0</v>
      </c>
      <c r="L761" t="n">
        <v>0</v>
      </c>
      <c r="M761" t="n">
        <v>0</v>
      </c>
      <c r="N761" t="n">
        <v>0</v>
      </c>
      <c r="O761" t="n">
        <v>0</v>
      </c>
      <c r="P761" t="n">
        <v>0</v>
      </c>
      <c r="Q761" t="n">
        <v>0</v>
      </c>
      <c r="R761" s="2" t="inlineStr"/>
    </row>
    <row r="762" ht="15" customHeight="1">
      <c r="A762" t="inlineStr">
        <is>
          <t>A 45719-2022</t>
        </is>
      </c>
      <c r="B762" s="1" t="n">
        <v>44845.95533564815</v>
      </c>
      <c r="C762" s="1" t="n">
        <v>45937</v>
      </c>
      <c r="D762" t="inlineStr">
        <is>
          <t>VÄSTERNORRLANDS LÄN</t>
        </is>
      </c>
      <c r="E762" t="inlineStr">
        <is>
          <t>SOLLEFTEÅ</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21481-2025</t>
        </is>
      </c>
      <c r="B763" s="1" t="n">
        <v>45782.59451388889</v>
      </c>
      <c r="C763" s="1" t="n">
        <v>45937</v>
      </c>
      <c r="D763" t="inlineStr">
        <is>
          <t>VÄSTERNORRLANDS LÄN</t>
        </is>
      </c>
      <c r="E763" t="inlineStr">
        <is>
          <t>SOLLEFTEÅ</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21489-2025</t>
        </is>
      </c>
      <c r="B764" s="1" t="n">
        <v>45782.59555555556</v>
      </c>
      <c r="C764" s="1" t="n">
        <v>45937</v>
      </c>
      <c r="D764" t="inlineStr">
        <is>
          <t>VÄSTERNORRLANDS LÄN</t>
        </is>
      </c>
      <c r="E764" t="inlineStr">
        <is>
          <t>SOLLEFTEÅ</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36771-2023</t>
        </is>
      </c>
      <c r="B765" s="1" t="n">
        <v>45153</v>
      </c>
      <c r="C765" s="1" t="n">
        <v>45937</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35276-2023</t>
        </is>
      </c>
      <c r="B766" s="1" t="n">
        <v>45145.95409722222</v>
      </c>
      <c r="C766" s="1" t="n">
        <v>45937</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60170-2022</t>
        </is>
      </c>
      <c r="B767" s="1" t="n">
        <v>44909</v>
      </c>
      <c r="C767" s="1" t="n">
        <v>45937</v>
      </c>
      <c r="D767" t="inlineStr">
        <is>
          <t>VÄSTERNORRLANDS LÄN</t>
        </is>
      </c>
      <c r="E767" t="inlineStr">
        <is>
          <t>SOLLEFTEÅ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10428-2023</t>
        </is>
      </c>
      <c r="B768" s="1" t="n">
        <v>44981</v>
      </c>
      <c r="C768" s="1" t="n">
        <v>45937</v>
      </c>
      <c r="D768" t="inlineStr">
        <is>
          <t>VÄSTERNORRLANDS LÄN</t>
        </is>
      </c>
      <c r="E768" t="inlineStr">
        <is>
          <t>SOLLEFTEÅ</t>
        </is>
      </c>
      <c r="G768" t="n">
        <v>4.3</v>
      </c>
      <c r="H768" t="n">
        <v>0</v>
      </c>
      <c r="I768" t="n">
        <v>0</v>
      </c>
      <c r="J768" t="n">
        <v>0</v>
      </c>
      <c r="K768" t="n">
        <v>0</v>
      </c>
      <c r="L768" t="n">
        <v>0</v>
      </c>
      <c r="M768" t="n">
        <v>0</v>
      </c>
      <c r="N768" t="n">
        <v>0</v>
      </c>
      <c r="O768" t="n">
        <v>0</v>
      </c>
      <c r="P768" t="n">
        <v>0</v>
      </c>
      <c r="Q768" t="n">
        <v>0</v>
      </c>
      <c r="R768" s="2" t="inlineStr"/>
    </row>
    <row r="769" ht="15" customHeight="1">
      <c r="A769" t="inlineStr">
        <is>
          <t>A 21166-2025</t>
        </is>
      </c>
      <c r="B769" s="1" t="n">
        <v>45779.40658564815</v>
      </c>
      <c r="C769" s="1" t="n">
        <v>45937</v>
      </c>
      <c r="D769" t="inlineStr">
        <is>
          <t>VÄSTERNORRLANDS LÄN</t>
        </is>
      </c>
      <c r="E769" t="inlineStr">
        <is>
          <t>SOLLEFTEÅ</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21269-2025</t>
        </is>
      </c>
      <c r="B770" s="1" t="n">
        <v>45779.62265046296</v>
      </c>
      <c r="C770" s="1" t="n">
        <v>45937</v>
      </c>
      <c r="D770" t="inlineStr">
        <is>
          <t>VÄSTERNORRLANDS LÄN</t>
        </is>
      </c>
      <c r="E770" t="inlineStr">
        <is>
          <t>SOLLEFTEÅ</t>
        </is>
      </c>
      <c r="G770" t="n">
        <v>3.7</v>
      </c>
      <c r="H770" t="n">
        <v>0</v>
      </c>
      <c r="I770" t="n">
        <v>0</v>
      </c>
      <c r="J770" t="n">
        <v>0</v>
      </c>
      <c r="K770" t="n">
        <v>0</v>
      </c>
      <c r="L770" t="n">
        <v>0</v>
      </c>
      <c r="M770" t="n">
        <v>0</v>
      </c>
      <c r="N770" t="n">
        <v>0</v>
      </c>
      <c r="O770" t="n">
        <v>0</v>
      </c>
      <c r="P770" t="n">
        <v>0</v>
      </c>
      <c r="Q770" t="n">
        <v>0</v>
      </c>
      <c r="R770" s="2" t="inlineStr"/>
    </row>
    <row r="771" ht="15" customHeight="1">
      <c r="A771" t="inlineStr">
        <is>
          <t>A 21897-2025</t>
        </is>
      </c>
      <c r="B771" s="1" t="n">
        <v>45784.45376157408</v>
      </c>
      <c r="C771" s="1" t="n">
        <v>45937</v>
      </c>
      <c r="D771" t="inlineStr">
        <is>
          <t>VÄSTERNORRLANDS LÄN</t>
        </is>
      </c>
      <c r="E771" t="inlineStr">
        <is>
          <t>SOLLEFTEÅ</t>
        </is>
      </c>
      <c r="G771" t="n">
        <v>3.8</v>
      </c>
      <c r="H771" t="n">
        <v>0</v>
      </c>
      <c r="I771" t="n">
        <v>0</v>
      </c>
      <c r="J771" t="n">
        <v>0</v>
      </c>
      <c r="K771" t="n">
        <v>0</v>
      </c>
      <c r="L771" t="n">
        <v>0</v>
      </c>
      <c r="M771" t="n">
        <v>0</v>
      </c>
      <c r="N771" t="n">
        <v>0</v>
      </c>
      <c r="O771" t="n">
        <v>0</v>
      </c>
      <c r="P771" t="n">
        <v>0</v>
      </c>
      <c r="Q771" t="n">
        <v>0</v>
      </c>
      <c r="R771" s="2" t="inlineStr"/>
    </row>
    <row r="772" ht="15" customHeight="1">
      <c r="A772" t="inlineStr">
        <is>
          <t>A 52035-2022</t>
        </is>
      </c>
      <c r="B772" s="1" t="n">
        <v>44872</v>
      </c>
      <c r="C772" s="1" t="n">
        <v>45937</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32733-2023</t>
        </is>
      </c>
      <c r="B773" s="1" t="n">
        <v>45121</v>
      </c>
      <c r="C773" s="1" t="n">
        <v>45937</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8337-2025</t>
        </is>
      </c>
      <c r="B774" s="1" t="n">
        <v>45708.6597337963</v>
      </c>
      <c r="C774" s="1" t="n">
        <v>45937</v>
      </c>
      <c r="D774" t="inlineStr">
        <is>
          <t>VÄSTERNORRLANDS LÄN</t>
        </is>
      </c>
      <c r="E774" t="inlineStr">
        <is>
          <t>SOLLEFTEÅ</t>
        </is>
      </c>
      <c r="G774" t="n">
        <v>6.2</v>
      </c>
      <c r="H774" t="n">
        <v>0</v>
      </c>
      <c r="I774" t="n">
        <v>0</v>
      </c>
      <c r="J774" t="n">
        <v>0</v>
      </c>
      <c r="K774" t="n">
        <v>0</v>
      </c>
      <c r="L774" t="n">
        <v>0</v>
      </c>
      <c r="M774" t="n">
        <v>0</v>
      </c>
      <c r="N774" t="n">
        <v>0</v>
      </c>
      <c r="O774" t="n">
        <v>0</v>
      </c>
      <c r="P774" t="n">
        <v>0</v>
      </c>
      <c r="Q774" t="n">
        <v>0</v>
      </c>
      <c r="R774" s="2" t="inlineStr"/>
    </row>
    <row r="775" ht="15" customHeight="1">
      <c r="A775" t="inlineStr">
        <is>
          <t>A 38231-2024</t>
        </is>
      </c>
      <c r="B775" s="1" t="n">
        <v>45545.55601851852</v>
      </c>
      <c r="C775" s="1" t="n">
        <v>45937</v>
      </c>
      <c r="D775" t="inlineStr">
        <is>
          <t>VÄSTERNORRLANDS LÄN</t>
        </is>
      </c>
      <c r="E775" t="inlineStr">
        <is>
          <t>SOLLEFTEÅ</t>
        </is>
      </c>
      <c r="G775" t="n">
        <v>2.4</v>
      </c>
      <c r="H775" t="n">
        <v>0</v>
      </c>
      <c r="I775" t="n">
        <v>0</v>
      </c>
      <c r="J775" t="n">
        <v>0</v>
      </c>
      <c r="K775" t="n">
        <v>0</v>
      </c>
      <c r="L775" t="n">
        <v>0</v>
      </c>
      <c r="M775" t="n">
        <v>0</v>
      </c>
      <c r="N775" t="n">
        <v>0</v>
      </c>
      <c r="O775" t="n">
        <v>0</v>
      </c>
      <c r="P775" t="n">
        <v>0</v>
      </c>
      <c r="Q775" t="n">
        <v>0</v>
      </c>
      <c r="R775" s="2" t="inlineStr"/>
    </row>
    <row r="776" ht="15" customHeight="1">
      <c r="A776" t="inlineStr">
        <is>
          <t>A 42631-2024</t>
        </is>
      </c>
      <c r="B776" s="1" t="n">
        <v>45565</v>
      </c>
      <c r="C776" s="1" t="n">
        <v>45937</v>
      </c>
      <c r="D776" t="inlineStr">
        <is>
          <t>VÄSTERNORRLANDS LÄN</t>
        </is>
      </c>
      <c r="E776" t="inlineStr">
        <is>
          <t>SOLLEFTEÅ</t>
        </is>
      </c>
      <c r="F776" t="inlineStr">
        <is>
          <t>Holmen skog AB</t>
        </is>
      </c>
      <c r="G776" t="n">
        <v>6.6</v>
      </c>
      <c r="H776" t="n">
        <v>0</v>
      </c>
      <c r="I776" t="n">
        <v>0</v>
      </c>
      <c r="J776" t="n">
        <v>0</v>
      </c>
      <c r="K776" t="n">
        <v>0</v>
      </c>
      <c r="L776" t="n">
        <v>0</v>
      </c>
      <c r="M776" t="n">
        <v>0</v>
      </c>
      <c r="N776" t="n">
        <v>0</v>
      </c>
      <c r="O776" t="n">
        <v>0</v>
      </c>
      <c r="P776" t="n">
        <v>0</v>
      </c>
      <c r="Q776" t="n">
        <v>0</v>
      </c>
      <c r="R776" s="2" t="inlineStr"/>
    </row>
    <row r="777" ht="15" customHeight="1">
      <c r="A777" t="inlineStr">
        <is>
          <t>A 21983-2025</t>
        </is>
      </c>
      <c r="B777" s="1" t="n">
        <v>45784.65678240741</v>
      </c>
      <c r="C777" s="1" t="n">
        <v>45937</v>
      </c>
      <c r="D777" t="inlineStr">
        <is>
          <t>VÄSTERNORRLANDS LÄN</t>
        </is>
      </c>
      <c r="E777" t="inlineStr">
        <is>
          <t>SOLLEFTEÅ</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7107-2024</t>
        </is>
      </c>
      <c r="B778" s="1" t="n">
        <v>45343</v>
      </c>
      <c r="C778" s="1" t="n">
        <v>45937</v>
      </c>
      <c r="D778" t="inlineStr">
        <is>
          <t>VÄSTERNORRLANDS LÄN</t>
        </is>
      </c>
      <c r="E778" t="inlineStr">
        <is>
          <t>SOLLEFTEÅ</t>
        </is>
      </c>
      <c r="G778" t="n">
        <v>4.4</v>
      </c>
      <c r="H778" t="n">
        <v>0</v>
      </c>
      <c r="I778" t="n">
        <v>0</v>
      </c>
      <c r="J778" t="n">
        <v>0</v>
      </c>
      <c r="K778" t="n">
        <v>0</v>
      </c>
      <c r="L778" t="n">
        <v>0</v>
      </c>
      <c r="M778" t="n">
        <v>0</v>
      </c>
      <c r="N778" t="n">
        <v>0</v>
      </c>
      <c r="O778" t="n">
        <v>0</v>
      </c>
      <c r="P778" t="n">
        <v>0</v>
      </c>
      <c r="Q778" t="n">
        <v>0</v>
      </c>
      <c r="R778" s="2" t="inlineStr"/>
    </row>
    <row r="779" ht="15" customHeight="1">
      <c r="A779" t="inlineStr">
        <is>
          <t>A 21898-2025</t>
        </is>
      </c>
      <c r="B779" s="1" t="n">
        <v>45784.45386574074</v>
      </c>
      <c r="C779" s="1" t="n">
        <v>45937</v>
      </c>
      <c r="D779" t="inlineStr">
        <is>
          <t>VÄSTERNORRLANDS LÄN</t>
        </is>
      </c>
      <c r="E779" t="inlineStr">
        <is>
          <t>SOLLEFTEÅ</t>
        </is>
      </c>
      <c r="G779" t="n">
        <v>6.8</v>
      </c>
      <c r="H779" t="n">
        <v>0</v>
      </c>
      <c r="I779" t="n">
        <v>0</v>
      </c>
      <c r="J779" t="n">
        <v>0</v>
      </c>
      <c r="K779" t="n">
        <v>0</v>
      </c>
      <c r="L779" t="n">
        <v>0</v>
      </c>
      <c r="M779" t="n">
        <v>0</v>
      </c>
      <c r="N779" t="n">
        <v>0</v>
      </c>
      <c r="O779" t="n">
        <v>0</v>
      </c>
      <c r="P779" t="n">
        <v>0</v>
      </c>
      <c r="Q779" t="n">
        <v>0</v>
      </c>
      <c r="R779" s="2" t="inlineStr"/>
    </row>
    <row r="780" ht="15" customHeight="1">
      <c r="A780" t="inlineStr">
        <is>
          <t>A 21896-2025</t>
        </is>
      </c>
      <c r="B780" s="1" t="n">
        <v>45784.45366898148</v>
      </c>
      <c r="C780" s="1" t="n">
        <v>45937</v>
      </c>
      <c r="D780" t="inlineStr">
        <is>
          <t>VÄSTERNORRLANDS LÄN</t>
        </is>
      </c>
      <c r="E780" t="inlineStr">
        <is>
          <t>SOLLEFTEÅ</t>
        </is>
      </c>
      <c r="G780" t="n">
        <v>16.1</v>
      </c>
      <c r="H780" t="n">
        <v>0</v>
      </c>
      <c r="I780" t="n">
        <v>0</v>
      </c>
      <c r="J780" t="n">
        <v>0</v>
      </c>
      <c r="K780" t="n">
        <v>0</v>
      </c>
      <c r="L780" t="n">
        <v>0</v>
      </c>
      <c r="M780" t="n">
        <v>0</v>
      </c>
      <c r="N780" t="n">
        <v>0</v>
      </c>
      <c r="O780" t="n">
        <v>0</v>
      </c>
      <c r="P780" t="n">
        <v>0</v>
      </c>
      <c r="Q780" t="n">
        <v>0</v>
      </c>
      <c r="R780" s="2" t="inlineStr"/>
    </row>
    <row r="781" ht="15" customHeight="1">
      <c r="A781" t="inlineStr">
        <is>
          <t>A 9124-2022</t>
        </is>
      </c>
      <c r="B781" s="1" t="n">
        <v>44615.58287037037</v>
      </c>
      <c r="C781" s="1" t="n">
        <v>45937</v>
      </c>
      <c r="D781" t="inlineStr">
        <is>
          <t>VÄSTERNORRLANDS LÄN</t>
        </is>
      </c>
      <c r="E781" t="inlineStr">
        <is>
          <t>SOLLEFTEÅ</t>
        </is>
      </c>
      <c r="G781" t="n">
        <v>20.2</v>
      </c>
      <c r="H781" t="n">
        <v>0</v>
      </c>
      <c r="I781" t="n">
        <v>0</v>
      </c>
      <c r="J781" t="n">
        <v>0</v>
      </c>
      <c r="K781" t="n">
        <v>0</v>
      </c>
      <c r="L781" t="n">
        <v>0</v>
      </c>
      <c r="M781" t="n">
        <v>0</v>
      </c>
      <c r="N781" t="n">
        <v>0</v>
      </c>
      <c r="O781" t="n">
        <v>0</v>
      </c>
      <c r="P781" t="n">
        <v>0</v>
      </c>
      <c r="Q781" t="n">
        <v>0</v>
      </c>
      <c r="R781" s="2" t="inlineStr"/>
    </row>
    <row r="782" ht="15" customHeight="1">
      <c r="A782" t="inlineStr">
        <is>
          <t>A 63413-2023</t>
        </is>
      </c>
      <c r="B782" s="1" t="n">
        <v>45274</v>
      </c>
      <c r="C782" s="1" t="n">
        <v>45937</v>
      </c>
      <c r="D782" t="inlineStr">
        <is>
          <t>VÄSTERNORRLANDS LÄN</t>
        </is>
      </c>
      <c r="E782" t="inlineStr">
        <is>
          <t>SOLLEFTEÅ</t>
        </is>
      </c>
      <c r="G782" t="n">
        <v>3.4</v>
      </c>
      <c r="H782" t="n">
        <v>0</v>
      </c>
      <c r="I782" t="n">
        <v>0</v>
      </c>
      <c r="J782" t="n">
        <v>0</v>
      </c>
      <c r="K782" t="n">
        <v>0</v>
      </c>
      <c r="L782" t="n">
        <v>0</v>
      </c>
      <c r="M782" t="n">
        <v>0</v>
      </c>
      <c r="N782" t="n">
        <v>0</v>
      </c>
      <c r="O782" t="n">
        <v>0</v>
      </c>
      <c r="P782" t="n">
        <v>0</v>
      </c>
      <c r="Q782" t="n">
        <v>0</v>
      </c>
      <c r="R782" s="2" t="inlineStr"/>
    </row>
    <row r="783" ht="15" customHeight="1">
      <c r="A783" t="inlineStr">
        <is>
          <t>A 63422-2023</t>
        </is>
      </c>
      <c r="B783" s="1" t="n">
        <v>45274</v>
      </c>
      <c r="C783" s="1" t="n">
        <v>45937</v>
      </c>
      <c r="D783" t="inlineStr">
        <is>
          <t>VÄSTERNORRLANDS LÄN</t>
        </is>
      </c>
      <c r="E783" t="inlineStr">
        <is>
          <t>SOLLEFTEÅ</t>
        </is>
      </c>
      <c r="G783" t="n">
        <v>3</v>
      </c>
      <c r="H783" t="n">
        <v>0</v>
      </c>
      <c r="I783" t="n">
        <v>0</v>
      </c>
      <c r="J783" t="n">
        <v>0</v>
      </c>
      <c r="K783" t="n">
        <v>0</v>
      </c>
      <c r="L783" t="n">
        <v>0</v>
      </c>
      <c r="M783" t="n">
        <v>0</v>
      </c>
      <c r="N783" t="n">
        <v>0</v>
      </c>
      <c r="O783" t="n">
        <v>0</v>
      </c>
      <c r="P783" t="n">
        <v>0</v>
      </c>
      <c r="Q783" t="n">
        <v>0</v>
      </c>
      <c r="R783" s="2" t="inlineStr"/>
    </row>
    <row r="784" ht="15" customHeight="1">
      <c r="A784" t="inlineStr">
        <is>
          <t>A 35470-2023</t>
        </is>
      </c>
      <c r="B784" s="1" t="n">
        <v>45146</v>
      </c>
      <c r="C784" s="1" t="n">
        <v>45937</v>
      </c>
      <c r="D784" t="inlineStr">
        <is>
          <t>VÄSTERNORRLANDS LÄN</t>
        </is>
      </c>
      <c r="E784" t="inlineStr">
        <is>
          <t>SOLLEFTEÅ</t>
        </is>
      </c>
      <c r="G784" t="n">
        <v>7.5</v>
      </c>
      <c r="H784" t="n">
        <v>0</v>
      </c>
      <c r="I784" t="n">
        <v>0</v>
      </c>
      <c r="J784" t="n">
        <v>0</v>
      </c>
      <c r="K784" t="n">
        <v>0</v>
      </c>
      <c r="L784" t="n">
        <v>0</v>
      </c>
      <c r="M784" t="n">
        <v>0</v>
      </c>
      <c r="N784" t="n">
        <v>0</v>
      </c>
      <c r="O784" t="n">
        <v>0</v>
      </c>
      <c r="P784" t="n">
        <v>0</v>
      </c>
      <c r="Q784" t="n">
        <v>0</v>
      </c>
      <c r="R784" s="2" t="inlineStr"/>
    </row>
    <row r="785" ht="15" customHeight="1">
      <c r="A785" t="inlineStr">
        <is>
          <t>A 61997-2022</t>
        </is>
      </c>
      <c r="B785" s="1" t="n">
        <v>44914</v>
      </c>
      <c r="C785" s="1" t="n">
        <v>45937</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20799-2024</t>
        </is>
      </c>
      <c r="B786" s="1" t="n">
        <v>45438</v>
      </c>
      <c r="C786" s="1" t="n">
        <v>45937</v>
      </c>
      <c r="D786" t="inlineStr">
        <is>
          <t>VÄSTERNORRLANDS LÄN</t>
        </is>
      </c>
      <c r="E786" t="inlineStr">
        <is>
          <t>SOLLEFTEÅ</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21863-2025</t>
        </is>
      </c>
      <c r="B787" s="1" t="n">
        <v>45784.36532407408</v>
      </c>
      <c r="C787" s="1" t="n">
        <v>45937</v>
      </c>
      <c r="D787" t="inlineStr">
        <is>
          <t>VÄSTERNORRLANDS LÄN</t>
        </is>
      </c>
      <c r="E787" t="inlineStr">
        <is>
          <t>SOLLEFTEÅ</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21669-2025</t>
        </is>
      </c>
      <c r="B788" s="1" t="n">
        <v>45783.46905092592</v>
      </c>
      <c r="C788" s="1" t="n">
        <v>45937</v>
      </c>
      <c r="D788" t="inlineStr">
        <is>
          <t>VÄSTERNORRLANDS LÄN</t>
        </is>
      </c>
      <c r="E788" t="inlineStr">
        <is>
          <t>SOLLEFTEÅ</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30060-2024</t>
        </is>
      </c>
      <c r="B789" s="1" t="n">
        <v>45488.94813657407</v>
      </c>
      <c r="C789" s="1" t="n">
        <v>45937</v>
      </c>
      <c r="D789" t="inlineStr">
        <is>
          <t>VÄSTERNORRLANDS LÄN</t>
        </is>
      </c>
      <c r="E789" t="inlineStr">
        <is>
          <t>SOLLEFTEÅ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23285-2023</t>
        </is>
      </c>
      <c r="B790" s="1" t="n">
        <v>45075</v>
      </c>
      <c r="C790" s="1" t="n">
        <v>45937</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27789-2024</t>
        </is>
      </c>
      <c r="B791" s="1" t="n">
        <v>45475</v>
      </c>
      <c r="C791" s="1" t="n">
        <v>45937</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21687-2025</t>
        </is>
      </c>
      <c r="B792" s="1" t="n">
        <v>45783.49135416667</v>
      </c>
      <c r="C792" s="1" t="n">
        <v>45937</v>
      </c>
      <c r="D792" t="inlineStr">
        <is>
          <t>VÄSTERNORRLANDS LÄN</t>
        </is>
      </c>
      <c r="E792" t="inlineStr">
        <is>
          <t>SOLLEFTEÅ</t>
        </is>
      </c>
      <c r="G792" t="n">
        <v>4.1</v>
      </c>
      <c r="H792" t="n">
        <v>0</v>
      </c>
      <c r="I792" t="n">
        <v>0</v>
      </c>
      <c r="J792" t="n">
        <v>0</v>
      </c>
      <c r="K792" t="n">
        <v>0</v>
      </c>
      <c r="L792" t="n">
        <v>0</v>
      </c>
      <c r="M792" t="n">
        <v>0</v>
      </c>
      <c r="N792" t="n">
        <v>0</v>
      </c>
      <c r="O792" t="n">
        <v>0</v>
      </c>
      <c r="P792" t="n">
        <v>0</v>
      </c>
      <c r="Q792" t="n">
        <v>0</v>
      </c>
      <c r="R792" s="2" t="inlineStr"/>
    </row>
    <row r="793" ht="15" customHeight="1">
      <c r="A793" t="inlineStr">
        <is>
          <t>A 21985-2025</t>
        </is>
      </c>
      <c r="B793" s="1" t="n">
        <v>45784.65689814815</v>
      </c>
      <c r="C793" s="1" t="n">
        <v>45937</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59474-2024</t>
        </is>
      </c>
      <c r="B794" s="1" t="n">
        <v>45638.504375</v>
      </c>
      <c r="C794" s="1" t="n">
        <v>45937</v>
      </c>
      <c r="D794" t="inlineStr">
        <is>
          <t>VÄSTERNORRLANDS LÄN</t>
        </is>
      </c>
      <c r="E794" t="inlineStr">
        <is>
          <t>SOLLEFTEÅ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15080-2023</t>
        </is>
      </c>
      <c r="B795" s="1" t="n">
        <v>45016.07525462963</v>
      </c>
      <c r="C795" s="1" t="n">
        <v>45937</v>
      </c>
      <c r="D795" t="inlineStr">
        <is>
          <t>VÄSTERNORRLANDS LÄN</t>
        </is>
      </c>
      <c r="E795" t="inlineStr">
        <is>
          <t>SOLLEFTEÅ</t>
        </is>
      </c>
      <c r="F795" t="inlineStr">
        <is>
          <t>SCA</t>
        </is>
      </c>
      <c r="G795" t="n">
        <v>33.6</v>
      </c>
      <c r="H795" t="n">
        <v>0</v>
      </c>
      <c r="I795" t="n">
        <v>0</v>
      </c>
      <c r="J795" t="n">
        <v>0</v>
      </c>
      <c r="K795" t="n">
        <v>0</v>
      </c>
      <c r="L795" t="n">
        <v>0</v>
      </c>
      <c r="M795" t="n">
        <v>0</v>
      </c>
      <c r="N795" t="n">
        <v>0</v>
      </c>
      <c r="O795" t="n">
        <v>0</v>
      </c>
      <c r="P795" t="n">
        <v>0</v>
      </c>
      <c r="Q795" t="n">
        <v>0</v>
      </c>
      <c r="R795" s="2" t="inlineStr"/>
    </row>
    <row r="796" ht="15" customHeight="1">
      <c r="A796" t="inlineStr">
        <is>
          <t>A 57078-2024</t>
        </is>
      </c>
      <c r="B796" s="1" t="n">
        <v>45629.35518518519</v>
      </c>
      <c r="C796" s="1" t="n">
        <v>45937</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47471-2024</t>
        </is>
      </c>
      <c r="B797" s="1" t="n">
        <v>45587.57324074074</v>
      </c>
      <c r="C797" s="1" t="n">
        <v>45937</v>
      </c>
      <c r="D797" t="inlineStr">
        <is>
          <t>VÄSTERNORRLANDS LÄN</t>
        </is>
      </c>
      <c r="E797" t="inlineStr">
        <is>
          <t>SOLLEFTEÅ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46207-2023</t>
        </is>
      </c>
      <c r="B798" s="1" t="n">
        <v>45190</v>
      </c>
      <c r="C798" s="1" t="n">
        <v>45937</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50721-2024</t>
        </is>
      </c>
      <c r="B799" s="1" t="n">
        <v>45602.3863425926</v>
      </c>
      <c r="C799" s="1" t="n">
        <v>45937</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18621-2024</t>
        </is>
      </c>
      <c r="B800" s="1" t="n">
        <v>45425</v>
      </c>
      <c r="C800" s="1" t="n">
        <v>45937</v>
      </c>
      <c r="D800" t="inlineStr">
        <is>
          <t>VÄSTERNORRLANDS LÄN</t>
        </is>
      </c>
      <c r="E800" t="inlineStr">
        <is>
          <t>SOLLEFTEÅ</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18622-2024</t>
        </is>
      </c>
      <c r="B801" s="1" t="n">
        <v>45425.96364583333</v>
      </c>
      <c r="C801" s="1" t="n">
        <v>45937</v>
      </c>
      <c r="D801" t="inlineStr">
        <is>
          <t>VÄSTERNORRLANDS LÄN</t>
        </is>
      </c>
      <c r="E801" t="inlineStr">
        <is>
          <t>SOLLEFTEÅ</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9253-2025</t>
        </is>
      </c>
      <c r="B802" s="1" t="n">
        <v>45714.59430555555</v>
      </c>
      <c r="C802" s="1" t="n">
        <v>45937</v>
      </c>
      <c r="D802" t="inlineStr">
        <is>
          <t>VÄSTERNORRLANDS LÄN</t>
        </is>
      </c>
      <c r="E802" t="inlineStr">
        <is>
          <t>SOLLEFTEÅ</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45940-2024</t>
        </is>
      </c>
      <c r="B803" s="1" t="n">
        <v>45580.53167824074</v>
      </c>
      <c r="C803" s="1" t="n">
        <v>45937</v>
      </c>
      <c r="D803" t="inlineStr">
        <is>
          <t>VÄSTERNORRLANDS LÄN</t>
        </is>
      </c>
      <c r="E803" t="inlineStr">
        <is>
          <t>SOLLEFTEÅ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56249-2024</t>
        </is>
      </c>
      <c r="B804" s="1" t="n">
        <v>45624.63584490741</v>
      </c>
      <c r="C804" s="1" t="n">
        <v>45937</v>
      </c>
      <c r="D804" t="inlineStr">
        <is>
          <t>VÄSTERNORRLANDS LÄN</t>
        </is>
      </c>
      <c r="E804" t="inlineStr">
        <is>
          <t>SOLLEFTEÅ</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45975-2024</t>
        </is>
      </c>
      <c r="B805" s="1" t="n">
        <v>45580.59425925926</v>
      </c>
      <c r="C805" s="1" t="n">
        <v>45937</v>
      </c>
      <c r="D805" t="inlineStr">
        <is>
          <t>VÄSTERNORRLANDS LÄN</t>
        </is>
      </c>
      <c r="E805" t="inlineStr">
        <is>
          <t>SOLLEFTEÅ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33134-2024</t>
        </is>
      </c>
      <c r="B806" s="1" t="n">
        <v>45518</v>
      </c>
      <c r="C806" s="1" t="n">
        <v>45937</v>
      </c>
      <c r="D806" t="inlineStr">
        <is>
          <t>VÄSTERNORRLANDS LÄN</t>
        </is>
      </c>
      <c r="E806" t="inlineStr">
        <is>
          <t>SOLLEFTEÅ</t>
        </is>
      </c>
      <c r="F806" t="inlineStr">
        <is>
          <t>Holmen skog AB</t>
        </is>
      </c>
      <c r="G806" t="n">
        <v>6.2</v>
      </c>
      <c r="H806" t="n">
        <v>0</v>
      </c>
      <c r="I806" t="n">
        <v>0</v>
      </c>
      <c r="J806" t="n">
        <v>0</v>
      </c>
      <c r="K806" t="n">
        <v>0</v>
      </c>
      <c r="L806" t="n">
        <v>0</v>
      </c>
      <c r="M806" t="n">
        <v>0</v>
      </c>
      <c r="N806" t="n">
        <v>0</v>
      </c>
      <c r="O806" t="n">
        <v>0</v>
      </c>
      <c r="P806" t="n">
        <v>0</v>
      </c>
      <c r="Q806" t="n">
        <v>0</v>
      </c>
      <c r="R806" s="2" t="inlineStr"/>
    </row>
    <row r="807" ht="15" customHeight="1">
      <c r="A807" t="inlineStr">
        <is>
          <t>A 33141-2024</t>
        </is>
      </c>
      <c r="B807" s="1" t="n">
        <v>45518</v>
      </c>
      <c r="C807" s="1" t="n">
        <v>45937</v>
      </c>
      <c r="D807" t="inlineStr">
        <is>
          <t>VÄSTERNORRLANDS LÄN</t>
        </is>
      </c>
      <c r="E807" t="inlineStr">
        <is>
          <t>SOLLEFTEÅ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48021-2024</t>
        </is>
      </c>
      <c r="B808" s="1" t="n">
        <v>45589.47032407407</v>
      </c>
      <c r="C808" s="1" t="n">
        <v>45937</v>
      </c>
      <c r="D808" t="inlineStr">
        <is>
          <t>VÄSTERNORRLANDS LÄN</t>
        </is>
      </c>
      <c r="E808" t="inlineStr">
        <is>
          <t>SOLLEFTEÅ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22166-2025</t>
        </is>
      </c>
      <c r="B809" s="1" t="n">
        <v>45785.59480324074</v>
      </c>
      <c r="C809" s="1" t="n">
        <v>45937</v>
      </c>
      <c r="D809" t="inlineStr">
        <is>
          <t>VÄSTERNORRLANDS LÄN</t>
        </is>
      </c>
      <c r="E809" t="inlineStr">
        <is>
          <t>SOLLEFTEÅ</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58463-2024</t>
        </is>
      </c>
      <c r="B810" s="1" t="n">
        <v>45635.36650462963</v>
      </c>
      <c r="C810" s="1" t="n">
        <v>45937</v>
      </c>
      <c r="D810" t="inlineStr">
        <is>
          <t>VÄSTERNORRLANDS LÄN</t>
        </is>
      </c>
      <c r="E810" t="inlineStr">
        <is>
          <t>SOLLEFTEÅ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600-2025</t>
        </is>
      </c>
      <c r="B811" s="1" t="n">
        <v>45664.59428240741</v>
      </c>
      <c r="C811" s="1" t="n">
        <v>45937</v>
      </c>
      <c r="D811" t="inlineStr">
        <is>
          <t>VÄSTERNORRLANDS LÄN</t>
        </is>
      </c>
      <c r="E811" t="inlineStr">
        <is>
          <t>SOLLEFTEÅ</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43177-2023</t>
        </is>
      </c>
      <c r="B812" s="1" t="n">
        <v>45181</v>
      </c>
      <c r="C812" s="1" t="n">
        <v>45937</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14731-2025</t>
        </is>
      </c>
      <c r="B813" s="1" t="n">
        <v>45742.6360300926</v>
      </c>
      <c r="C813" s="1" t="n">
        <v>45937</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33312-2024</t>
        </is>
      </c>
      <c r="B814" s="1" t="n">
        <v>45518.97113425926</v>
      </c>
      <c r="C814" s="1" t="n">
        <v>45937</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279-2023</t>
        </is>
      </c>
      <c r="B815" s="1" t="n">
        <v>44928</v>
      </c>
      <c r="C815" s="1" t="n">
        <v>45937</v>
      </c>
      <c r="D815" t="inlineStr">
        <is>
          <t>VÄSTERNORRLANDS LÄN</t>
        </is>
      </c>
      <c r="E815" t="inlineStr">
        <is>
          <t>SOLLEFTEÅ</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14889-2025</t>
        </is>
      </c>
      <c r="B816" s="1" t="n">
        <v>45743.46898148148</v>
      </c>
      <c r="C816" s="1" t="n">
        <v>45937</v>
      </c>
      <c r="D816" t="inlineStr">
        <is>
          <t>VÄSTERNORRLANDS LÄN</t>
        </is>
      </c>
      <c r="E816" t="inlineStr">
        <is>
          <t>SOLLEFTEÅ</t>
        </is>
      </c>
      <c r="G816" t="n">
        <v>5.8</v>
      </c>
      <c r="H816" t="n">
        <v>0</v>
      </c>
      <c r="I816" t="n">
        <v>0</v>
      </c>
      <c r="J816" t="n">
        <v>0</v>
      </c>
      <c r="K816" t="n">
        <v>0</v>
      </c>
      <c r="L816" t="n">
        <v>0</v>
      </c>
      <c r="M816" t="n">
        <v>0</v>
      </c>
      <c r="N816" t="n">
        <v>0</v>
      </c>
      <c r="O816" t="n">
        <v>0</v>
      </c>
      <c r="P816" t="n">
        <v>0</v>
      </c>
      <c r="Q816" t="n">
        <v>0</v>
      </c>
      <c r="R816" s="2" t="inlineStr"/>
    </row>
    <row r="817" ht="15" customHeight="1">
      <c r="A817" t="inlineStr">
        <is>
          <t>A 45958-2023</t>
        </is>
      </c>
      <c r="B817" s="1" t="n">
        <v>45195</v>
      </c>
      <c r="C817" s="1" t="n">
        <v>45937</v>
      </c>
      <c r="D817" t="inlineStr">
        <is>
          <t>VÄSTERNORRLANDS LÄN</t>
        </is>
      </c>
      <c r="E817" t="inlineStr">
        <is>
          <t>SOLLEFTEÅ</t>
        </is>
      </c>
      <c r="F817" t="inlineStr">
        <is>
          <t>SCA</t>
        </is>
      </c>
      <c r="G817" t="n">
        <v>9.9</v>
      </c>
      <c r="H817" t="n">
        <v>0</v>
      </c>
      <c r="I817" t="n">
        <v>0</v>
      </c>
      <c r="J817" t="n">
        <v>0</v>
      </c>
      <c r="K817" t="n">
        <v>0</v>
      </c>
      <c r="L817" t="n">
        <v>0</v>
      </c>
      <c r="M817" t="n">
        <v>0</v>
      </c>
      <c r="N817" t="n">
        <v>0</v>
      </c>
      <c r="O817" t="n">
        <v>0</v>
      </c>
      <c r="P817" t="n">
        <v>0</v>
      </c>
      <c r="Q817" t="n">
        <v>0</v>
      </c>
      <c r="R817" s="2" t="inlineStr"/>
    </row>
    <row r="818" ht="15" customHeight="1">
      <c r="A818" t="inlineStr">
        <is>
          <t>A 2431-2025</t>
        </is>
      </c>
      <c r="B818" s="1" t="n">
        <v>45674.40692129629</v>
      </c>
      <c r="C818" s="1" t="n">
        <v>45937</v>
      </c>
      <c r="D818" t="inlineStr">
        <is>
          <t>VÄSTERNORRLANDS LÄN</t>
        </is>
      </c>
      <c r="E818" t="inlineStr">
        <is>
          <t>SOLLEFTEÅ</t>
        </is>
      </c>
      <c r="F818" t="inlineStr">
        <is>
          <t>SCA</t>
        </is>
      </c>
      <c r="G818" t="n">
        <v>19.2</v>
      </c>
      <c r="H818" t="n">
        <v>0</v>
      </c>
      <c r="I818" t="n">
        <v>0</v>
      </c>
      <c r="J818" t="n">
        <v>0</v>
      </c>
      <c r="K818" t="n">
        <v>0</v>
      </c>
      <c r="L818" t="n">
        <v>0</v>
      </c>
      <c r="M818" t="n">
        <v>0</v>
      </c>
      <c r="N818" t="n">
        <v>0</v>
      </c>
      <c r="O818" t="n">
        <v>0</v>
      </c>
      <c r="P818" t="n">
        <v>0</v>
      </c>
      <c r="Q818" t="n">
        <v>0</v>
      </c>
      <c r="R818" s="2" t="inlineStr"/>
    </row>
    <row r="819" ht="15" customHeight="1">
      <c r="A819" t="inlineStr">
        <is>
          <t>A 3555-2022</t>
        </is>
      </c>
      <c r="B819" s="1" t="n">
        <v>44585.93820601852</v>
      </c>
      <c r="C819" s="1" t="n">
        <v>45937</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42950-2024</t>
        </is>
      </c>
      <c r="B820" s="1" t="n">
        <v>45567.36657407408</v>
      </c>
      <c r="C820" s="1" t="n">
        <v>45937</v>
      </c>
      <c r="D820" t="inlineStr">
        <is>
          <t>VÄSTERNORRLANDS LÄN</t>
        </is>
      </c>
      <c r="E820" t="inlineStr">
        <is>
          <t>SOLLEFTEÅ</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35905-2024</t>
        </is>
      </c>
      <c r="B821" s="1" t="n">
        <v>45533.40674768519</v>
      </c>
      <c r="C821" s="1" t="n">
        <v>45937</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9557-2024</t>
        </is>
      </c>
      <c r="B822" s="1" t="n">
        <v>45360</v>
      </c>
      <c r="C822" s="1" t="n">
        <v>45937</v>
      </c>
      <c r="D822" t="inlineStr">
        <is>
          <t>VÄSTERNORRLANDS LÄN</t>
        </is>
      </c>
      <c r="E822" t="inlineStr">
        <is>
          <t>SOLLEFTEÅ</t>
        </is>
      </c>
      <c r="F822" t="inlineStr">
        <is>
          <t>SCA</t>
        </is>
      </c>
      <c r="G822" t="n">
        <v>7.4</v>
      </c>
      <c r="H822" t="n">
        <v>0</v>
      </c>
      <c r="I822" t="n">
        <v>0</v>
      </c>
      <c r="J822" t="n">
        <v>0</v>
      </c>
      <c r="K822" t="n">
        <v>0</v>
      </c>
      <c r="L822" t="n">
        <v>0</v>
      </c>
      <c r="M822" t="n">
        <v>0</v>
      </c>
      <c r="N822" t="n">
        <v>0</v>
      </c>
      <c r="O822" t="n">
        <v>0</v>
      </c>
      <c r="P822" t="n">
        <v>0</v>
      </c>
      <c r="Q822" t="n">
        <v>0</v>
      </c>
      <c r="R822" s="2" t="inlineStr"/>
    </row>
    <row r="823" ht="15" customHeight="1">
      <c r="A823" t="inlineStr">
        <is>
          <t>A 31005-2022</t>
        </is>
      </c>
      <c r="B823" s="1" t="n">
        <v>44768</v>
      </c>
      <c r="C823" s="1" t="n">
        <v>45937</v>
      </c>
      <c r="D823" t="inlineStr">
        <is>
          <t>VÄSTERNORRLANDS LÄN</t>
        </is>
      </c>
      <c r="E823" t="inlineStr">
        <is>
          <t>SOLLEFTEÅ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13521-2023</t>
        </is>
      </c>
      <c r="B824" s="1" t="n">
        <v>45005</v>
      </c>
      <c r="C824" s="1" t="n">
        <v>45937</v>
      </c>
      <c r="D824" t="inlineStr">
        <is>
          <t>VÄSTERNORRLANDS LÄN</t>
        </is>
      </c>
      <c r="E824" t="inlineStr">
        <is>
          <t>SOLLEFTEÅ</t>
        </is>
      </c>
      <c r="G824" t="n">
        <v>2.2</v>
      </c>
      <c r="H824" t="n">
        <v>0</v>
      </c>
      <c r="I824" t="n">
        <v>0</v>
      </c>
      <c r="J824" t="n">
        <v>0</v>
      </c>
      <c r="K824" t="n">
        <v>0</v>
      </c>
      <c r="L824" t="n">
        <v>0</v>
      </c>
      <c r="M824" t="n">
        <v>0</v>
      </c>
      <c r="N824" t="n">
        <v>0</v>
      </c>
      <c r="O824" t="n">
        <v>0</v>
      </c>
      <c r="P824" t="n">
        <v>0</v>
      </c>
      <c r="Q824" t="n">
        <v>0</v>
      </c>
      <c r="R824" s="2" t="inlineStr"/>
    </row>
    <row r="825" ht="15" customHeight="1">
      <c r="A825" t="inlineStr">
        <is>
          <t>A 6139-2024</t>
        </is>
      </c>
      <c r="B825" s="1" t="n">
        <v>45337</v>
      </c>
      <c r="C825" s="1" t="n">
        <v>45937</v>
      </c>
      <c r="D825" t="inlineStr">
        <is>
          <t>VÄSTERNORRLANDS LÄN</t>
        </is>
      </c>
      <c r="E825" t="inlineStr">
        <is>
          <t>SOLLEFTEÅ</t>
        </is>
      </c>
      <c r="G825" t="n">
        <v>2.9</v>
      </c>
      <c r="H825" t="n">
        <v>0</v>
      </c>
      <c r="I825" t="n">
        <v>0</v>
      </c>
      <c r="J825" t="n">
        <v>0</v>
      </c>
      <c r="K825" t="n">
        <v>0</v>
      </c>
      <c r="L825" t="n">
        <v>0</v>
      </c>
      <c r="M825" t="n">
        <v>0</v>
      </c>
      <c r="N825" t="n">
        <v>0</v>
      </c>
      <c r="O825" t="n">
        <v>0</v>
      </c>
      <c r="P825" t="n">
        <v>0</v>
      </c>
      <c r="Q825" t="n">
        <v>0</v>
      </c>
      <c r="R825" s="2" t="inlineStr"/>
    </row>
    <row r="826" ht="15" customHeight="1">
      <c r="A826" t="inlineStr">
        <is>
          <t>A 11551-2023</t>
        </is>
      </c>
      <c r="B826" s="1" t="n">
        <v>44993</v>
      </c>
      <c r="C826" s="1" t="n">
        <v>45937</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10093-2023</t>
        </is>
      </c>
      <c r="B827" s="1" t="n">
        <v>44985</v>
      </c>
      <c r="C827" s="1" t="n">
        <v>45937</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20066-2024</t>
        </is>
      </c>
      <c r="B828" s="1" t="n">
        <v>45434</v>
      </c>
      <c r="C828" s="1" t="n">
        <v>45937</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5034-2024</t>
        </is>
      </c>
      <c r="B829" s="1" t="n">
        <v>45329.86893518519</v>
      </c>
      <c r="C829" s="1" t="n">
        <v>45937</v>
      </c>
      <c r="D829" t="inlineStr">
        <is>
          <t>VÄSTERNORRLANDS LÄN</t>
        </is>
      </c>
      <c r="E829" t="inlineStr">
        <is>
          <t>SOLLEFTEÅ</t>
        </is>
      </c>
      <c r="F829" t="inlineStr">
        <is>
          <t>Övriga Aktiebolag</t>
        </is>
      </c>
      <c r="G829" t="n">
        <v>0.9</v>
      </c>
      <c r="H829" t="n">
        <v>0</v>
      </c>
      <c r="I829" t="n">
        <v>0</v>
      </c>
      <c r="J829" t="n">
        <v>0</v>
      </c>
      <c r="K829" t="n">
        <v>0</v>
      </c>
      <c r="L829" t="n">
        <v>0</v>
      </c>
      <c r="M829" t="n">
        <v>0</v>
      </c>
      <c r="N829" t="n">
        <v>0</v>
      </c>
      <c r="O829" t="n">
        <v>0</v>
      </c>
      <c r="P829" t="n">
        <v>0</v>
      </c>
      <c r="Q829" t="n">
        <v>0</v>
      </c>
      <c r="R829" s="2" t="inlineStr"/>
    </row>
    <row r="830" ht="15" customHeight="1">
      <c r="A830" t="inlineStr">
        <is>
          <t>A 10094-2023</t>
        </is>
      </c>
      <c r="B830" s="1" t="n">
        <v>44985</v>
      </c>
      <c r="C830" s="1" t="n">
        <v>45937</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60171-2022</t>
        </is>
      </c>
      <c r="B831" s="1" t="n">
        <v>44909</v>
      </c>
      <c r="C831" s="1" t="n">
        <v>45937</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52718-2022</t>
        </is>
      </c>
      <c r="B832" s="1" t="n">
        <v>44874</v>
      </c>
      <c r="C832" s="1" t="n">
        <v>45937</v>
      </c>
      <c r="D832" t="inlineStr">
        <is>
          <t>VÄSTERNORRLANDS LÄN</t>
        </is>
      </c>
      <c r="E832" t="inlineStr">
        <is>
          <t>SOLLEFTEÅ</t>
        </is>
      </c>
      <c r="G832" t="n">
        <v>3</v>
      </c>
      <c r="H832" t="n">
        <v>0</v>
      </c>
      <c r="I832" t="n">
        <v>0</v>
      </c>
      <c r="J832" t="n">
        <v>0</v>
      </c>
      <c r="K832" t="n">
        <v>0</v>
      </c>
      <c r="L832" t="n">
        <v>0</v>
      </c>
      <c r="M832" t="n">
        <v>0</v>
      </c>
      <c r="N832" t="n">
        <v>0</v>
      </c>
      <c r="O832" t="n">
        <v>0</v>
      </c>
      <c r="P832" t="n">
        <v>0</v>
      </c>
      <c r="Q832" t="n">
        <v>0</v>
      </c>
      <c r="R832" s="2" t="inlineStr"/>
    </row>
    <row r="833" ht="15" customHeight="1">
      <c r="A833" t="inlineStr">
        <is>
          <t>A 3234-2024</t>
        </is>
      </c>
      <c r="B833" s="1" t="n">
        <v>45316.94708333333</v>
      </c>
      <c r="C833" s="1" t="n">
        <v>45937</v>
      </c>
      <c r="D833" t="inlineStr">
        <is>
          <t>VÄSTERNORRLANDS LÄN</t>
        </is>
      </c>
      <c r="E833" t="inlineStr">
        <is>
          <t>SOLLEFTEÅ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22182-2025</t>
        </is>
      </c>
      <c r="B834" s="1" t="n">
        <v>45785.61640046296</v>
      </c>
      <c r="C834" s="1" t="n">
        <v>45937</v>
      </c>
      <c r="D834" t="inlineStr">
        <is>
          <t>VÄSTERNORRLANDS LÄN</t>
        </is>
      </c>
      <c r="E834" t="inlineStr">
        <is>
          <t>SOLLEFTEÅ</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4838-2025</t>
        </is>
      </c>
      <c r="B835" s="1" t="n">
        <v>45688.67167824074</v>
      </c>
      <c r="C835" s="1" t="n">
        <v>45937</v>
      </c>
      <c r="D835" t="inlineStr">
        <is>
          <t>VÄSTERNORRLANDS LÄN</t>
        </is>
      </c>
      <c r="E835" t="inlineStr">
        <is>
          <t>SOLLEFTEÅ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23527-2023</t>
        </is>
      </c>
      <c r="B836" s="1" t="n">
        <v>45076</v>
      </c>
      <c r="C836" s="1" t="n">
        <v>45937</v>
      </c>
      <c r="D836" t="inlineStr">
        <is>
          <t>VÄSTERNORRLANDS LÄN</t>
        </is>
      </c>
      <c r="E836" t="inlineStr">
        <is>
          <t>SOLLEFTEÅ</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60389-2024</t>
        </is>
      </c>
      <c r="B837" s="1" t="n">
        <v>45643.48988425926</v>
      </c>
      <c r="C837" s="1" t="n">
        <v>45937</v>
      </c>
      <c r="D837" t="inlineStr">
        <is>
          <t>VÄSTERNORRLANDS LÄN</t>
        </is>
      </c>
      <c r="E837" t="inlineStr">
        <is>
          <t>SOLLEFTEÅ</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18456-2023</t>
        </is>
      </c>
      <c r="B838" s="1" t="n">
        <v>45041</v>
      </c>
      <c r="C838" s="1" t="n">
        <v>45937</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61611-2024</t>
        </is>
      </c>
      <c r="B839" s="1" t="n">
        <v>45645</v>
      </c>
      <c r="C839" s="1" t="n">
        <v>45937</v>
      </c>
      <c r="D839" t="inlineStr">
        <is>
          <t>VÄSTERNORRLANDS LÄN</t>
        </is>
      </c>
      <c r="E839" t="inlineStr">
        <is>
          <t>SOLLEFTEÅ</t>
        </is>
      </c>
      <c r="G839" t="n">
        <v>13.9</v>
      </c>
      <c r="H839" t="n">
        <v>0</v>
      </c>
      <c r="I839" t="n">
        <v>0</v>
      </c>
      <c r="J839" t="n">
        <v>0</v>
      </c>
      <c r="K839" t="n">
        <v>0</v>
      </c>
      <c r="L839" t="n">
        <v>0</v>
      </c>
      <c r="M839" t="n">
        <v>0</v>
      </c>
      <c r="N839" t="n">
        <v>0</v>
      </c>
      <c r="O839" t="n">
        <v>0</v>
      </c>
      <c r="P839" t="n">
        <v>0</v>
      </c>
      <c r="Q839" t="n">
        <v>0</v>
      </c>
      <c r="R839" s="2" t="inlineStr"/>
    </row>
    <row r="840" ht="15" customHeight="1">
      <c r="A840" t="inlineStr">
        <is>
          <t>A 5254-2024</t>
        </is>
      </c>
      <c r="B840" s="1" t="n">
        <v>45330</v>
      </c>
      <c r="C840" s="1" t="n">
        <v>45937</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43512-2023</t>
        </is>
      </c>
      <c r="B841" s="1" t="n">
        <v>45181</v>
      </c>
      <c r="C841" s="1" t="n">
        <v>45937</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13639-2025</t>
        </is>
      </c>
      <c r="B842" s="1" t="n">
        <v>45736.65710648148</v>
      </c>
      <c r="C842" s="1" t="n">
        <v>45937</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38053-2024</t>
        </is>
      </c>
      <c r="B843" s="1" t="n">
        <v>45544.71903935185</v>
      </c>
      <c r="C843" s="1" t="n">
        <v>45937</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23286-2023</t>
        </is>
      </c>
      <c r="B844" s="1" t="n">
        <v>45075</v>
      </c>
      <c r="C844" s="1" t="n">
        <v>45937</v>
      </c>
      <c r="D844" t="inlineStr">
        <is>
          <t>VÄSTERNORRLANDS LÄN</t>
        </is>
      </c>
      <c r="E844" t="inlineStr">
        <is>
          <t>SOLLEFTEÅ</t>
        </is>
      </c>
      <c r="G844" t="n">
        <v>0.1</v>
      </c>
      <c r="H844" t="n">
        <v>0</v>
      </c>
      <c r="I844" t="n">
        <v>0</v>
      </c>
      <c r="J844" t="n">
        <v>0</v>
      </c>
      <c r="K844" t="n">
        <v>0</v>
      </c>
      <c r="L844" t="n">
        <v>0</v>
      </c>
      <c r="M844" t="n">
        <v>0</v>
      </c>
      <c r="N844" t="n">
        <v>0</v>
      </c>
      <c r="O844" t="n">
        <v>0</v>
      </c>
      <c r="P844" t="n">
        <v>0</v>
      </c>
      <c r="Q844" t="n">
        <v>0</v>
      </c>
      <c r="R844" s="2" t="inlineStr"/>
    </row>
    <row r="845" ht="15" customHeight="1">
      <c r="A845" t="inlineStr">
        <is>
          <t>A 23288-2023</t>
        </is>
      </c>
      <c r="B845" s="1" t="n">
        <v>45075</v>
      </c>
      <c r="C845" s="1" t="n">
        <v>45937</v>
      </c>
      <c r="D845" t="inlineStr">
        <is>
          <t>VÄSTERNORRLANDS LÄN</t>
        </is>
      </c>
      <c r="E845" t="inlineStr">
        <is>
          <t>SOLLEFTEÅ</t>
        </is>
      </c>
      <c r="G845" t="n">
        <v>0.4</v>
      </c>
      <c r="H845" t="n">
        <v>0</v>
      </c>
      <c r="I845" t="n">
        <v>0</v>
      </c>
      <c r="J845" t="n">
        <v>0</v>
      </c>
      <c r="K845" t="n">
        <v>0</v>
      </c>
      <c r="L845" t="n">
        <v>0</v>
      </c>
      <c r="M845" t="n">
        <v>0</v>
      </c>
      <c r="N845" t="n">
        <v>0</v>
      </c>
      <c r="O845" t="n">
        <v>0</v>
      </c>
      <c r="P845" t="n">
        <v>0</v>
      </c>
      <c r="Q845" t="n">
        <v>0</v>
      </c>
      <c r="R845" s="2" t="inlineStr"/>
    </row>
    <row r="846" ht="15" customHeight="1">
      <c r="A846" t="inlineStr">
        <is>
          <t>A 23289-2023</t>
        </is>
      </c>
      <c r="B846" s="1" t="n">
        <v>45075</v>
      </c>
      <c r="C846" s="1" t="n">
        <v>45937</v>
      </c>
      <c r="D846" t="inlineStr">
        <is>
          <t>VÄSTERNORRLANDS LÄN</t>
        </is>
      </c>
      <c r="E846" t="inlineStr">
        <is>
          <t>SOLLEFTEÅ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18459-2021</t>
        </is>
      </c>
      <c r="B847" s="1" t="n">
        <v>44305.93701388889</v>
      </c>
      <c r="C847" s="1" t="n">
        <v>45937</v>
      </c>
      <c r="D847" t="inlineStr">
        <is>
          <t>VÄSTERNORRLANDS LÄN</t>
        </is>
      </c>
      <c r="E847" t="inlineStr">
        <is>
          <t>SOLLEFTEÅ</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218-2025</t>
        </is>
      </c>
      <c r="B848" s="1" t="n">
        <v>45660</v>
      </c>
      <c r="C848" s="1" t="n">
        <v>45937</v>
      </c>
      <c r="D848" t="inlineStr">
        <is>
          <t>VÄSTERNORRLANDS LÄN</t>
        </is>
      </c>
      <c r="E848" t="inlineStr">
        <is>
          <t>SOLLEFTEÅ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5874-2024</t>
        </is>
      </c>
      <c r="B849" s="1" t="n">
        <v>45335.6615625</v>
      </c>
      <c r="C849" s="1" t="n">
        <v>45937</v>
      </c>
      <c r="D849" t="inlineStr">
        <is>
          <t>VÄSTERNORRLANDS LÄN</t>
        </is>
      </c>
      <c r="E849" t="inlineStr">
        <is>
          <t>SOLLEFTEÅ</t>
        </is>
      </c>
      <c r="F849" t="inlineStr">
        <is>
          <t>Övriga Aktiebolag</t>
        </is>
      </c>
      <c r="G849" t="n">
        <v>5.3</v>
      </c>
      <c r="H849" t="n">
        <v>0</v>
      </c>
      <c r="I849" t="n">
        <v>0</v>
      </c>
      <c r="J849" t="n">
        <v>0</v>
      </c>
      <c r="K849" t="n">
        <v>0</v>
      </c>
      <c r="L849" t="n">
        <v>0</v>
      </c>
      <c r="M849" t="n">
        <v>0</v>
      </c>
      <c r="N849" t="n">
        <v>0</v>
      </c>
      <c r="O849" t="n">
        <v>0</v>
      </c>
      <c r="P849" t="n">
        <v>0</v>
      </c>
      <c r="Q849" t="n">
        <v>0</v>
      </c>
      <c r="R849" s="2" t="inlineStr"/>
    </row>
    <row r="850" ht="15" customHeight="1">
      <c r="A850" t="inlineStr">
        <is>
          <t>A 3194-2025</t>
        </is>
      </c>
      <c r="B850" s="1" t="n">
        <v>45679.42130787037</v>
      </c>
      <c r="C850" s="1" t="n">
        <v>45937</v>
      </c>
      <c r="D850" t="inlineStr">
        <is>
          <t>VÄSTERNORRLANDS LÄN</t>
        </is>
      </c>
      <c r="E850" t="inlineStr">
        <is>
          <t>SOLLEFTEÅ</t>
        </is>
      </c>
      <c r="G850" t="n">
        <v>2.4</v>
      </c>
      <c r="H850" t="n">
        <v>0</v>
      </c>
      <c r="I850" t="n">
        <v>0</v>
      </c>
      <c r="J850" t="n">
        <v>0</v>
      </c>
      <c r="K850" t="n">
        <v>0</v>
      </c>
      <c r="L850" t="n">
        <v>0</v>
      </c>
      <c r="M850" t="n">
        <v>0</v>
      </c>
      <c r="N850" t="n">
        <v>0</v>
      </c>
      <c r="O850" t="n">
        <v>0</v>
      </c>
      <c r="P850" t="n">
        <v>0</v>
      </c>
      <c r="Q850" t="n">
        <v>0</v>
      </c>
      <c r="R850" s="2" t="inlineStr"/>
    </row>
    <row r="851" ht="15" customHeight="1">
      <c r="A851" t="inlineStr">
        <is>
          <t>A 8729-2024</t>
        </is>
      </c>
      <c r="B851" s="1" t="n">
        <v>45356.43958333333</v>
      </c>
      <c r="C851" s="1" t="n">
        <v>45937</v>
      </c>
      <c r="D851" t="inlineStr">
        <is>
          <t>VÄSTERNORRLANDS LÄN</t>
        </is>
      </c>
      <c r="E851" t="inlineStr">
        <is>
          <t>SOLLEFTEÅ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7942-2025</t>
        </is>
      </c>
      <c r="B852" s="1" t="n">
        <v>45707</v>
      </c>
      <c r="C852" s="1" t="n">
        <v>45937</v>
      </c>
      <c r="D852" t="inlineStr">
        <is>
          <t>VÄSTERNORRLANDS LÄN</t>
        </is>
      </c>
      <c r="E852" t="inlineStr">
        <is>
          <t>SOLLEFTEÅ</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1679-2024</t>
        </is>
      </c>
      <c r="B853" s="1" t="n">
        <v>45306</v>
      </c>
      <c r="C853" s="1" t="n">
        <v>45937</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20334-2025</t>
        </is>
      </c>
      <c r="B854" s="1" t="n">
        <v>45775.36496527777</v>
      </c>
      <c r="C854" s="1" t="n">
        <v>45937</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5035-2024</t>
        </is>
      </c>
      <c r="B855" s="1" t="n">
        <v>45329.86893518519</v>
      </c>
      <c r="C855" s="1" t="n">
        <v>45937</v>
      </c>
      <c r="D855" t="inlineStr">
        <is>
          <t>VÄSTERNORRLANDS LÄN</t>
        </is>
      </c>
      <c r="E855" t="inlineStr">
        <is>
          <t>SOLLEFTEÅ</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5059-2024</t>
        </is>
      </c>
      <c r="B856" s="1" t="n">
        <v>45329</v>
      </c>
      <c r="C856" s="1" t="n">
        <v>45937</v>
      </c>
      <c r="D856" t="inlineStr">
        <is>
          <t>VÄSTERNORRLANDS LÄN</t>
        </is>
      </c>
      <c r="E856" t="inlineStr">
        <is>
          <t>SOLLEFTEÅ</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38768-2024</t>
        </is>
      </c>
      <c r="B857" s="1" t="n">
        <v>45547.44892361111</v>
      </c>
      <c r="C857" s="1" t="n">
        <v>45937</v>
      </c>
      <c r="D857" t="inlineStr">
        <is>
          <t>VÄSTERNORRLANDS LÄN</t>
        </is>
      </c>
      <c r="E857" t="inlineStr">
        <is>
          <t>SOLLEFTEÅ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30464-2024</t>
        </is>
      </c>
      <c r="B858" s="1" t="n">
        <v>45491.94599537037</v>
      </c>
      <c r="C858" s="1" t="n">
        <v>45937</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30466-2024</t>
        </is>
      </c>
      <c r="B859" s="1" t="n">
        <v>45491.94641203704</v>
      </c>
      <c r="C859" s="1" t="n">
        <v>45937</v>
      </c>
      <c r="D859" t="inlineStr">
        <is>
          <t>VÄSTERNORRLANDS LÄN</t>
        </is>
      </c>
      <c r="E859" t="inlineStr">
        <is>
          <t>SOLLEFTEÅ</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73564-2021</t>
        </is>
      </c>
      <c r="B860" s="1" t="n">
        <v>44551.9409375</v>
      </c>
      <c r="C860" s="1" t="n">
        <v>45937</v>
      </c>
      <c r="D860" t="inlineStr">
        <is>
          <t>VÄSTERNORRLANDS LÄN</t>
        </is>
      </c>
      <c r="E860" t="inlineStr">
        <is>
          <t>SOLLEFTEÅ</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1465-2025</t>
        </is>
      </c>
      <c r="B861" s="1" t="n">
        <v>45670.36513888889</v>
      </c>
      <c r="C861" s="1" t="n">
        <v>45937</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21099-2024</t>
        </is>
      </c>
      <c r="B862" s="1" t="n">
        <v>45439</v>
      </c>
      <c r="C862" s="1" t="n">
        <v>45937</v>
      </c>
      <c r="D862" t="inlineStr">
        <is>
          <t>VÄSTERNORRLANDS LÄN</t>
        </is>
      </c>
      <c r="E862" t="inlineStr">
        <is>
          <t>SOLLEFTEÅ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60361-2024</t>
        </is>
      </c>
      <c r="B863" s="1" t="n">
        <v>45643.44851851852</v>
      </c>
      <c r="C863" s="1" t="n">
        <v>45937</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12355-2025</t>
        </is>
      </c>
      <c r="B864" s="1" t="n">
        <v>45730.36490740741</v>
      </c>
      <c r="C864" s="1" t="n">
        <v>45937</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40211-2024</t>
        </is>
      </c>
      <c r="B865" s="1" t="n">
        <v>45554.59435185185</v>
      </c>
      <c r="C865" s="1" t="n">
        <v>45937</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15872-2024</t>
        </is>
      </c>
      <c r="B866" s="1" t="n">
        <v>45405</v>
      </c>
      <c r="C866" s="1" t="n">
        <v>45937</v>
      </c>
      <c r="D866" t="inlineStr">
        <is>
          <t>VÄSTERNORRLANDS LÄN</t>
        </is>
      </c>
      <c r="E866" t="inlineStr">
        <is>
          <t>SOLLEFTEÅ</t>
        </is>
      </c>
      <c r="G866" t="n">
        <v>7.1</v>
      </c>
      <c r="H866" t="n">
        <v>0</v>
      </c>
      <c r="I866" t="n">
        <v>0</v>
      </c>
      <c r="J866" t="n">
        <v>0</v>
      </c>
      <c r="K866" t="n">
        <v>0</v>
      </c>
      <c r="L866" t="n">
        <v>0</v>
      </c>
      <c r="M866" t="n">
        <v>0</v>
      </c>
      <c r="N866" t="n">
        <v>0</v>
      </c>
      <c r="O866" t="n">
        <v>0</v>
      </c>
      <c r="P866" t="n">
        <v>0</v>
      </c>
      <c r="Q866" t="n">
        <v>0</v>
      </c>
      <c r="R866" s="2" t="inlineStr"/>
    </row>
    <row r="867" ht="15" customHeight="1">
      <c r="A867" t="inlineStr">
        <is>
          <t>A 20101-2025</t>
        </is>
      </c>
      <c r="B867" s="1" t="n">
        <v>45772</v>
      </c>
      <c r="C867" s="1" t="n">
        <v>45937</v>
      </c>
      <c r="D867" t="inlineStr">
        <is>
          <t>VÄSTERNORRLANDS LÄN</t>
        </is>
      </c>
      <c r="E867" t="inlineStr">
        <is>
          <t>SOLLEFTEÅ</t>
        </is>
      </c>
      <c r="F867" t="inlineStr">
        <is>
          <t>SCA</t>
        </is>
      </c>
      <c r="G867" t="n">
        <v>13.5</v>
      </c>
      <c r="H867" t="n">
        <v>0</v>
      </c>
      <c r="I867" t="n">
        <v>0</v>
      </c>
      <c r="J867" t="n">
        <v>0</v>
      </c>
      <c r="K867" t="n">
        <v>0</v>
      </c>
      <c r="L867" t="n">
        <v>0</v>
      </c>
      <c r="M867" t="n">
        <v>0</v>
      </c>
      <c r="N867" t="n">
        <v>0</v>
      </c>
      <c r="O867" t="n">
        <v>0</v>
      </c>
      <c r="P867" t="n">
        <v>0</v>
      </c>
      <c r="Q867" t="n">
        <v>0</v>
      </c>
      <c r="R867" s="2" t="inlineStr"/>
    </row>
    <row r="868" ht="15" customHeight="1">
      <c r="A868" t="inlineStr">
        <is>
          <t>A 59579-2023</t>
        </is>
      </c>
      <c r="B868" s="1" t="n">
        <v>45253</v>
      </c>
      <c r="C868" s="1" t="n">
        <v>45937</v>
      </c>
      <c r="D868" t="inlineStr">
        <is>
          <t>VÄSTERNORRLANDS LÄN</t>
        </is>
      </c>
      <c r="E868" t="inlineStr">
        <is>
          <t>SOLLEFTEÅ</t>
        </is>
      </c>
      <c r="G868" t="n">
        <v>6.2</v>
      </c>
      <c r="H868" t="n">
        <v>0</v>
      </c>
      <c r="I868" t="n">
        <v>0</v>
      </c>
      <c r="J868" t="n">
        <v>0</v>
      </c>
      <c r="K868" t="n">
        <v>0</v>
      </c>
      <c r="L868" t="n">
        <v>0</v>
      </c>
      <c r="M868" t="n">
        <v>0</v>
      </c>
      <c r="N868" t="n">
        <v>0</v>
      </c>
      <c r="O868" t="n">
        <v>0</v>
      </c>
      <c r="P868" t="n">
        <v>0</v>
      </c>
      <c r="Q868" t="n">
        <v>0</v>
      </c>
      <c r="R868" s="2" t="inlineStr"/>
    </row>
    <row r="869" ht="15" customHeight="1">
      <c r="A869" t="inlineStr">
        <is>
          <t>A 3096-2025</t>
        </is>
      </c>
      <c r="B869" s="1" t="n">
        <v>45678.66643518519</v>
      </c>
      <c r="C869" s="1" t="n">
        <v>45937</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27572-2022</t>
        </is>
      </c>
      <c r="B870" s="1" t="n">
        <v>44742.94329861111</v>
      </c>
      <c r="C870" s="1" t="n">
        <v>45937</v>
      </c>
      <c r="D870" t="inlineStr">
        <is>
          <t>VÄSTERNORRLANDS LÄN</t>
        </is>
      </c>
      <c r="E870" t="inlineStr">
        <is>
          <t>SOLLEFTEÅ</t>
        </is>
      </c>
      <c r="G870" t="n">
        <v>2.2</v>
      </c>
      <c r="H870" t="n">
        <v>0</v>
      </c>
      <c r="I870" t="n">
        <v>0</v>
      </c>
      <c r="J870" t="n">
        <v>0</v>
      </c>
      <c r="K870" t="n">
        <v>0</v>
      </c>
      <c r="L870" t="n">
        <v>0</v>
      </c>
      <c r="M870" t="n">
        <v>0</v>
      </c>
      <c r="N870" t="n">
        <v>0</v>
      </c>
      <c r="O870" t="n">
        <v>0</v>
      </c>
      <c r="P870" t="n">
        <v>0</v>
      </c>
      <c r="Q870" t="n">
        <v>0</v>
      </c>
      <c r="R870" s="2" t="inlineStr"/>
    </row>
    <row r="871" ht="15" customHeight="1">
      <c r="A871" t="inlineStr">
        <is>
          <t>A 22184-2025</t>
        </is>
      </c>
      <c r="B871" s="1" t="n">
        <v>45785.61679398148</v>
      </c>
      <c r="C871" s="1" t="n">
        <v>45937</v>
      </c>
      <c r="D871" t="inlineStr">
        <is>
          <t>VÄSTERNORRLANDS LÄN</t>
        </is>
      </c>
      <c r="E871" t="inlineStr">
        <is>
          <t>SOLLEFTEÅ</t>
        </is>
      </c>
      <c r="F871" t="inlineStr">
        <is>
          <t>SCA</t>
        </is>
      </c>
      <c r="G871" t="n">
        <v>7.4</v>
      </c>
      <c r="H871" t="n">
        <v>0</v>
      </c>
      <c r="I871" t="n">
        <v>0</v>
      </c>
      <c r="J871" t="n">
        <v>0</v>
      </c>
      <c r="K871" t="n">
        <v>0</v>
      </c>
      <c r="L871" t="n">
        <v>0</v>
      </c>
      <c r="M871" t="n">
        <v>0</v>
      </c>
      <c r="N871" t="n">
        <v>0</v>
      </c>
      <c r="O871" t="n">
        <v>0</v>
      </c>
      <c r="P871" t="n">
        <v>0</v>
      </c>
      <c r="Q871" t="n">
        <v>0</v>
      </c>
      <c r="R871" s="2" t="inlineStr"/>
    </row>
    <row r="872" ht="15" customHeight="1">
      <c r="A872" t="inlineStr">
        <is>
          <t>A 22215-2025</t>
        </is>
      </c>
      <c r="B872" s="1" t="n">
        <v>45785.65803240741</v>
      </c>
      <c r="C872" s="1" t="n">
        <v>45937</v>
      </c>
      <c r="D872" t="inlineStr">
        <is>
          <t>VÄSTERNORRLANDS LÄN</t>
        </is>
      </c>
      <c r="E872" t="inlineStr">
        <is>
          <t>SOLLEFTEÅ</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22211-2025</t>
        </is>
      </c>
      <c r="B873" s="1" t="n">
        <v>45785.65752314815</v>
      </c>
      <c r="C873" s="1" t="n">
        <v>45937</v>
      </c>
      <c r="D873" t="inlineStr">
        <is>
          <t>VÄSTERNORRLANDS LÄN</t>
        </is>
      </c>
      <c r="E873" t="inlineStr">
        <is>
          <t>SOLLEFTEÅ</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22036-2025</t>
        </is>
      </c>
      <c r="B874" s="1" t="n">
        <v>45785.31820601852</v>
      </c>
      <c r="C874" s="1" t="n">
        <v>45937</v>
      </c>
      <c r="D874" t="inlineStr">
        <is>
          <t>VÄSTERNORRLANDS LÄN</t>
        </is>
      </c>
      <c r="E874" t="inlineStr">
        <is>
          <t>SOLLEFTEÅ</t>
        </is>
      </c>
      <c r="G874" t="n">
        <v>1.9</v>
      </c>
      <c r="H874" t="n">
        <v>0</v>
      </c>
      <c r="I874" t="n">
        <v>0</v>
      </c>
      <c r="J874" t="n">
        <v>0</v>
      </c>
      <c r="K874" t="n">
        <v>0</v>
      </c>
      <c r="L874" t="n">
        <v>0</v>
      </c>
      <c r="M874" t="n">
        <v>0</v>
      </c>
      <c r="N874" t="n">
        <v>0</v>
      </c>
      <c r="O874" t="n">
        <v>0</v>
      </c>
      <c r="P874" t="n">
        <v>0</v>
      </c>
      <c r="Q874" t="n">
        <v>0</v>
      </c>
      <c r="R874" s="2" t="inlineStr"/>
    </row>
    <row r="875" ht="15" customHeight="1">
      <c r="A875" t="inlineStr">
        <is>
          <t>A 22218-2025</t>
        </is>
      </c>
      <c r="B875" s="1" t="n">
        <v>45785.65840277778</v>
      </c>
      <c r="C875" s="1" t="n">
        <v>45937</v>
      </c>
      <c r="D875" t="inlineStr">
        <is>
          <t>VÄSTERNORRLANDS LÄN</t>
        </is>
      </c>
      <c r="E875" t="inlineStr">
        <is>
          <t>SOLLEFTEÅ</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1858-2021</t>
        </is>
      </c>
      <c r="B876" s="1" t="n">
        <v>44210</v>
      </c>
      <c r="C876" s="1" t="n">
        <v>45937</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50864-2024</t>
        </is>
      </c>
      <c r="B877" s="1" t="n">
        <v>45602.63653935185</v>
      </c>
      <c r="C877" s="1" t="n">
        <v>45937</v>
      </c>
      <c r="D877" t="inlineStr">
        <is>
          <t>VÄSTERNORRLANDS LÄN</t>
        </is>
      </c>
      <c r="E877" t="inlineStr">
        <is>
          <t>SOLLEFTEÅ</t>
        </is>
      </c>
      <c r="G877" t="n">
        <v>9.5</v>
      </c>
      <c r="H877" t="n">
        <v>0</v>
      </c>
      <c r="I877" t="n">
        <v>0</v>
      </c>
      <c r="J877" t="n">
        <v>0</v>
      </c>
      <c r="K877" t="n">
        <v>0</v>
      </c>
      <c r="L877" t="n">
        <v>0</v>
      </c>
      <c r="M877" t="n">
        <v>0</v>
      </c>
      <c r="N877" t="n">
        <v>0</v>
      </c>
      <c r="O877" t="n">
        <v>0</v>
      </c>
      <c r="P877" t="n">
        <v>0</v>
      </c>
      <c r="Q877" t="n">
        <v>0</v>
      </c>
      <c r="R877" s="2" t="inlineStr"/>
    </row>
    <row r="878" ht="15" customHeight="1">
      <c r="A878" t="inlineStr">
        <is>
          <t>A 42771-2022</t>
        </is>
      </c>
      <c r="B878" s="1" t="n">
        <v>44832</v>
      </c>
      <c r="C878" s="1" t="n">
        <v>45937</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7463-2024</t>
        </is>
      </c>
      <c r="B879" s="1" t="n">
        <v>45345.94887731481</v>
      </c>
      <c r="C879" s="1" t="n">
        <v>45937</v>
      </c>
      <c r="D879" t="inlineStr">
        <is>
          <t>VÄSTERNORRLANDS LÄN</t>
        </is>
      </c>
      <c r="E879" t="inlineStr">
        <is>
          <t>SOLLEFTEÅ</t>
        </is>
      </c>
      <c r="F879" t="inlineStr">
        <is>
          <t>SCA</t>
        </is>
      </c>
      <c r="G879" t="n">
        <v>7.5</v>
      </c>
      <c r="H879" t="n">
        <v>0</v>
      </c>
      <c r="I879" t="n">
        <v>0</v>
      </c>
      <c r="J879" t="n">
        <v>0</v>
      </c>
      <c r="K879" t="n">
        <v>0</v>
      </c>
      <c r="L879" t="n">
        <v>0</v>
      </c>
      <c r="M879" t="n">
        <v>0</v>
      </c>
      <c r="N879" t="n">
        <v>0</v>
      </c>
      <c r="O879" t="n">
        <v>0</v>
      </c>
      <c r="P879" t="n">
        <v>0</v>
      </c>
      <c r="Q879" t="n">
        <v>0</v>
      </c>
      <c r="R879" s="2" t="inlineStr"/>
    </row>
    <row r="880" ht="15" customHeight="1">
      <c r="A880" t="inlineStr">
        <is>
          <t>A 59038-2022</t>
        </is>
      </c>
      <c r="B880" s="1" t="n">
        <v>44903.9496412037</v>
      </c>
      <c r="C880" s="1" t="n">
        <v>45937</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22046-2025</t>
        </is>
      </c>
      <c r="B881" s="1" t="n">
        <v>45785.34412037037</v>
      </c>
      <c r="C881" s="1" t="n">
        <v>45937</v>
      </c>
      <c r="D881" t="inlineStr">
        <is>
          <t>VÄSTERNORRLANDS LÄN</t>
        </is>
      </c>
      <c r="E881" t="inlineStr">
        <is>
          <t>SOLLEFTEÅ</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22106-2025</t>
        </is>
      </c>
      <c r="B882" s="1" t="n">
        <v>45785.48988425926</v>
      </c>
      <c r="C882" s="1" t="n">
        <v>45937</v>
      </c>
      <c r="D882" t="inlineStr">
        <is>
          <t>VÄSTERNORRLANDS LÄN</t>
        </is>
      </c>
      <c r="E882" t="inlineStr">
        <is>
          <t>SOLLEFTEÅ</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22704-2025</t>
        </is>
      </c>
      <c r="B883" s="1" t="n">
        <v>45789.55251157407</v>
      </c>
      <c r="C883" s="1" t="n">
        <v>45937</v>
      </c>
      <c r="D883" t="inlineStr">
        <is>
          <t>VÄSTERNORRLANDS LÄN</t>
        </is>
      </c>
      <c r="E883" t="inlineStr">
        <is>
          <t>SOLLEFTEÅ</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26172-2024</t>
        </is>
      </c>
      <c r="B884" s="1" t="n">
        <v>45468</v>
      </c>
      <c r="C884" s="1" t="n">
        <v>45937</v>
      </c>
      <c r="D884" t="inlineStr">
        <is>
          <t>VÄSTERNORRLANDS LÄN</t>
        </is>
      </c>
      <c r="E884" t="inlineStr">
        <is>
          <t>SOLLEFTEÅ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22615-2025</t>
        </is>
      </c>
      <c r="B885" s="1" t="n">
        <v>45789.42741898148</v>
      </c>
      <c r="C885" s="1" t="n">
        <v>45937</v>
      </c>
      <c r="D885" t="inlineStr">
        <is>
          <t>VÄSTERNORRLANDS LÄN</t>
        </is>
      </c>
      <c r="E885" t="inlineStr">
        <is>
          <t>SOLLEFTEÅ</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34560-2024</t>
        </is>
      </c>
      <c r="B886" s="1" t="n">
        <v>45526.31116898148</v>
      </c>
      <c r="C886" s="1" t="n">
        <v>45937</v>
      </c>
      <c r="D886" t="inlineStr">
        <is>
          <t>VÄSTERNORRLANDS LÄN</t>
        </is>
      </c>
      <c r="E886" t="inlineStr">
        <is>
          <t>SOLLEFTEÅ</t>
        </is>
      </c>
      <c r="G886" t="n">
        <v>1.6</v>
      </c>
      <c r="H886" t="n">
        <v>0</v>
      </c>
      <c r="I886" t="n">
        <v>0</v>
      </c>
      <c r="J886" t="n">
        <v>0</v>
      </c>
      <c r="K886" t="n">
        <v>0</v>
      </c>
      <c r="L886" t="n">
        <v>0</v>
      </c>
      <c r="M886" t="n">
        <v>0</v>
      </c>
      <c r="N886" t="n">
        <v>0</v>
      </c>
      <c r="O886" t="n">
        <v>0</v>
      </c>
      <c r="P886" t="n">
        <v>0</v>
      </c>
      <c r="Q886" t="n">
        <v>0</v>
      </c>
      <c r="R886" s="2" t="inlineStr"/>
    </row>
    <row r="887" ht="15" customHeight="1">
      <c r="A887" t="inlineStr">
        <is>
          <t>A 50674-2023</t>
        </is>
      </c>
      <c r="B887" s="1" t="n">
        <v>45210</v>
      </c>
      <c r="C887" s="1" t="n">
        <v>45937</v>
      </c>
      <c r="D887" t="inlineStr">
        <is>
          <t>VÄSTERNORRLANDS LÄN</t>
        </is>
      </c>
      <c r="E887" t="inlineStr">
        <is>
          <t>SOLLEFTEÅ</t>
        </is>
      </c>
      <c r="G887" t="n">
        <v>11.8</v>
      </c>
      <c r="H887" t="n">
        <v>0</v>
      </c>
      <c r="I887" t="n">
        <v>0</v>
      </c>
      <c r="J887" t="n">
        <v>0</v>
      </c>
      <c r="K887" t="n">
        <v>0</v>
      </c>
      <c r="L887" t="n">
        <v>0</v>
      </c>
      <c r="M887" t="n">
        <v>0</v>
      </c>
      <c r="N887" t="n">
        <v>0</v>
      </c>
      <c r="O887" t="n">
        <v>0</v>
      </c>
      <c r="P887" t="n">
        <v>0</v>
      </c>
      <c r="Q887" t="n">
        <v>0</v>
      </c>
      <c r="R887" s="2" t="inlineStr"/>
    </row>
    <row r="888" ht="15" customHeight="1">
      <c r="A888" t="inlineStr">
        <is>
          <t>A 50688-2023</t>
        </is>
      </c>
      <c r="B888" s="1" t="n">
        <v>45210</v>
      </c>
      <c r="C888" s="1" t="n">
        <v>45937</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41028-2024</t>
        </is>
      </c>
      <c r="B889" s="1" t="n">
        <v>45559.34466435185</v>
      </c>
      <c r="C889" s="1" t="n">
        <v>45937</v>
      </c>
      <c r="D889" t="inlineStr">
        <is>
          <t>VÄSTERNORRLANDS LÄN</t>
        </is>
      </c>
      <c r="E889" t="inlineStr">
        <is>
          <t>SOLLEFTEÅ</t>
        </is>
      </c>
      <c r="F889" t="inlineStr">
        <is>
          <t>SCA</t>
        </is>
      </c>
      <c r="G889" t="n">
        <v>3.5</v>
      </c>
      <c r="H889" t="n">
        <v>0</v>
      </c>
      <c r="I889" t="n">
        <v>0</v>
      </c>
      <c r="J889" t="n">
        <v>0</v>
      </c>
      <c r="K889" t="n">
        <v>0</v>
      </c>
      <c r="L889" t="n">
        <v>0</v>
      </c>
      <c r="M889" t="n">
        <v>0</v>
      </c>
      <c r="N889" t="n">
        <v>0</v>
      </c>
      <c r="O889" t="n">
        <v>0</v>
      </c>
      <c r="P889" t="n">
        <v>0</v>
      </c>
      <c r="Q889" t="n">
        <v>0</v>
      </c>
      <c r="R889" s="2" t="inlineStr"/>
    </row>
    <row r="890" ht="15" customHeight="1">
      <c r="A890" t="inlineStr">
        <is>
          <t>A 50745-2023</t>
        </is>
      </c>
      <c r="B890" s="1" t="n">
        <v>45210</v>
      </c>
      <c r="C890" s="1" t="n">
        <v>45937</v>
      </c>
      <c r="D890" t="inlineStr">
        <is>
          <t>VÄSTERNORRLANDS LÄN</t>
        </is>
      </c>
      <c r="E890" t="inlineStr">
        <is>
          <t>SOLLEFTEÅ</t>
        </is>
      </c>
      <c r="G890" t="n">
        <v>3.8</v>
      </c>
      <c r="H890" t="n">
        <v>0</v>
      </c>
      <c r="I890" t="n">
        <v>0</v>
      </c>
      <c r="J890" t="n">
        <v>0</v>
      </c>
      <c r="K890" t="n">
        <v>0</v>
      </c>
      <c r="L890" t="n">
        <v>0</v>
      </c>
      <c r="M890" t="n">
        <v>0</v>
      </c>
      <c r="N890" t="n">
        <v>0</v>
      </c>
      <c r="O890" t="n">
        <v>0</v>
      </c>
      <c r="P890" t="n">
        <v>0</v>
      </c>
      <c r="Q890" t="n">
        <v>0</v>
      </c>
      <c r="R890" s="2" t="inlineStr"/>
    </row>
    <row r="891" ht="15" customHeight="1">
      <c r="A891" t="inlineStr">
        <is>
          <t>A 49711-2021</t>
        </is>
      </c>
      <c r="B891" s="1" t="n">
        <v>44455</v>
      </c>
      <c r="C891" s="1" t="n">
        <v>45937</v>
      </c>
      <c r="D891" t="inlineStr">
        <is>
          <t>VÄSTERNORRLANDS LÄN</t>
        </is>
      </c>
      <c r="E891" t="inlineStr">
        <is>
          <t>SOLLEFTEÅ</t>
        </is>
      </c>
      <c r="G891" t="n">
        <v>3.7</v>
      </c>
      <c r="H891" t="n">
        <v>0</v>
      </c>
      <c r="I891" t="n">
        <v>0</v>
      </c>
      <c r="J891" t="n">
        <v>0</v>
      </c>
      <c r="K891" t="n">
        <v>0</v>
      </c>
      <c r="L891" t="n">
        <v>0</v>
      </c>
      <c r="M891" t="n">
        <v>0</v>
      </c>
      <c r="N891" t="n">
        <v>0</v>
      </c>
      <c r="O891" t="n">
        <v>0</v>
      </c>
      <c r="P891" t="n">
        <v>0</v>
      </c>
      <c r="Q891" t="n">
        <v>0</v>
      </c>
      <c r="R891" s="2" t="inlineStr"/>
    </row>
    <row r="892" ht="15" customHeight="1">
      <c r="A892" t="inlineStr">
        <is>
          <t>A 34388-2024</t>
        </is>
      </c>
      <c r="B892" s="1" t="n">
        <v>45525</v>
      </c>
      <c r="C892" s="1" t="n">
        <v>45937</v>
      </c>
      <c r="D892" t="inlineStr">
        <is>
          <t>VÄSTERNORRLANDS LÄN</t>
        </is>
      </c>
      <c r="E892" t="inlineStr">
        <is>
          <t>SOLLEFTEÅ</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33241-2024</t>
        </is>
      </c>
      <c r="B893" s="1" t="n">
        <v>45518.60484953703</v>
      </c>
      <c r="C893" s="1" t="n">
        <v>45937</v>
      </c>
      <c r="D893" t="inlineStr">
        <is>
          <t>VÄSTERNORRLANDS LÄN</t>
        </is>
      </c>
      <c r="E893" t="inlineStr">
        <is>
          <t>SOLLEFTEÅ</t>
        </is>
      </c>
      <c r="G893" t="n">
        <v>4.1</v>
      </c>
      <c r="H893" t="n">
        <v>0</v>
      </c>
      <c r="I893" t="n">
        <v>0</v>
      </c>
      <c r="J893" t="n">
        <v>0</v>
      </c>
      <c r="K893" t="n">
        <v>0</v>
      </c>
      <c r="L893" t="n">
        <v>0</v>
      </c>
      <c r="M893" t="n">
        <v>0</v>
      </c>
      <c r="N893" t="n">
        <v>0</v>
      </c>
      <c r="O893" t="n">
        <v>0</v>
      </c>
      <c r="P893" t="n">
        <v>0</v>
      </c>
      <c r="Q893" t="n">
        <v>0</v>
      </c>
      <c r="R893" s="2" t="inlineStr"/>
    </row>
    <row r="894" ht="15" customHeight="1">
      <c r="A894" t="inlineStr">
        <is>
          <t>A 50226-2023</t>
        </is>
      </c>
      <c r="B894" s="1" t="n">
        <v>45215.94767361111</v>
      </c>
      <c r="C894" s="1" t="n">
        <v>45937</v>
      </c>
      <c r="D894" t="inlineStr">
        <is>
          <t>VÄSTERNORRLANDS LÄN</t>
        </is>
      </c>
      <c r="E894" t="inlineStr">
        <is>
          <t>SOLLEFTEÅ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22767-2025</t>
        </is>
      </c>
      <c r="B895" s="1" t="n">
        <v>45789.63309027778</v>
      </c>
      <c r="C895" s="1" t="n">
        <v>45937</v>
      </c>
      <c r="D895" t="inlineStr">
        <is>
          <t>VÄSTERNORRLANDS LÄN</t>
        </is>
      </c>
      <c r="E895" t="inlineStr">
        <is>
          <t>SOLLEFTEÅ</t>
        </is>
      </c>
      <c r="G895" t="n">
        <v>5.8</v>
      </c>
      <c r="H895" t="n">
        <v>0</v>
      </c>
      <c r="I895" t="n">
        <v>0</v>
      </c>
      <c r="J895" t="n">
        <v>0</v>
      </c>
      <c r="K895" t="n">
        <v>0</v>
      </c>
      <c r="L895" t="n">
        <v>0</v>
      </c>
      <c r="M895" t="n">
        <v>0</v>
      </c>
      <c r="N895" t="n">
        <v>0</v>
      </c>
      <c r="O895" t="n">
        <v>0</v>
      </c>
      <c r="P895" t="n">
        <v>0</v>
      </c>
      <c r="Q895" t="n">
        <v>0</v>
      </c>
      <c r="R895" s="2" t="inlineStr"/>
    </row>
    <row r="896" ht="15" customHeight="1">
      <c r="A896" t="inlineStr">
        <is>
          <t>A 37977-2022</t>
        </is>
      </c>
      <c r="B896" s="1" t="n">
        <v>44811</v>
      </c>
      <c r="C896" s="1" t="n">
        <v>45937</v>
      </c>
      <c r="D896" t="inlineStr">
        <is>
          <t>VÄSTERNORRLANDS LÄN</t>
        </is>
      </c>
      <c r="E896" t="inlineStr">
        <is>
          <t>SOLLEFTEÅ</t>
        </is>
      </c>
      <c r="G896" t="n">
        <v>3.8</v>
      </c>
      <c r="H896" t="n">
        <v>0</v>
      </c>
      <c r="I896" t="n">
        <v>0</v>
      </c>
      <c r="J896" t="n">
        <v>0</v>
      </c>
      <c r="K896" t="n">
        <v>0</v>
      </c>
      <c r="L896" t="n">
        <v>0</v>
      </c>
      <c r="M896" t="n">
        <v>0</v>
      </c>
      <c r="N896" t="n">
        <v>0</v>
      </c>
      <c r="O896" t="n">
        <v>0</v>
      </c>
      <c r="P896" t="n">
        <v>0</v>
      </c>
      <c r="Q896" t="n">
        <v>0</v>
      </c>
      <c r="R896" s="2" t="inlineStr"/>
    </row>
    <row r="897" ht="15" customHeight="1">
      <c r="A897" t="inlineStr">
        <is>
          <t>A 22815-2025</t>
        </is>
      </c>
      <c r="B897" s="1" t="n">
        <v>45789.69826388889</v>
      </c>
      <c r="C897" s="1" t="n">
        <v>45937</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12865-2024</t>
        </is>
      </c>
      <c r="B898" s="1" t="n">
        <v>45384</v>
      </c>
      <c r="C898" s="1" t="n">
        <v>45937</v>
      </c>
      <c r="D898" t="inlineStr">
        <is>
          <t>VÄSTERNORRLANDS LÄN</t>
        </is>
      </c>
      <c r="E898" t="inlineStr">
        <is>
          <t>SOLLEFTEÅ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50655-2022</t>
        </is>
      </c>
      <c r="B899" s="1" t="n">
        <v>44866</v>
      </c>
      <c r="C899" s="1" t="n">
        <v>45937</v>
      </c>
      <c r="D899" t="inlineStr">
        <is>
          <t>VÄSTERNORRLANDS LÄN</t>
        </is>
      </c>
      <c r="E899" t="inlineStr">
        <is>
          <t>SOLLEFTEÅ</t>
        </is>
      </c>
      <c r="G899" t="n">
        <v>4.4</v>
      </c>
      <c r="H899" t="n">
        <v>0</v>
      </c>
      <c r="I899" t="n">
        <v>0</v>
      </c>
      <c r="J899" t="n">
        <v>0</v>
      </c>
      <c r="K899" t="n">
        <v>0</v>
      </c>
      <c r="L899" t="n">
        <v>0</v>
      </c>
      <c r="M899" t="n">
        <v>0</v>
      </c>
      <c r="N899" t="n">
        <v>0</v>
      </c>
      <c r="O899" t="n">
        <v>0</v>
      </c>
      <c r="P899" t="n">
        <v>0</v>
      </c>
      <c r="Q899" t="n">
        <v>0</v>
      </c>
      <c r="R899" s="2" t="inlineStr"/>
    </row>
    <row r="900" ht="15" customHeight="1">
      <c r="A900" t="inlineStr">
        <is>
          <t>A 16238-2024</t>
        </is>
      </c>
      <c r="B900" s="1" t="n">
        <v>45407.05692129629</v>
      </c>
      <c r="C900" s="1" t="n">
        <v>45937</v>
      </c>
      <c r="D900" t="inlineStr">
        <is>
          <t>VÄSTERNORRLANDS LÄN</t>
        </is>
      </c>
      <c r="E900" t="inlineStr">
        <is>
          <t>SOLLEFTEÅ</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49036-2023</t>
        </is>
      </c>
      <c r="B901" s="1" t="n">
        <v>45209.95693287037</v>
      </c>
      <c r="C901" s="1" t="n">
        <v>45937</v>
      </c>
      <c r="D901" t="inlineStr">
        <is>
          <t>VÄSTERNORRLANDS LÄN</t>
        </is>
      </c>
      <c r="E901" t="inlineStr">
        <is>
          <t>SOLLEFTEÅ</t>
        </is>
      </c>
      <c r="G901" t="n">
        <v>2.1</v>
      </c>
      <c r="H901" t="n">
        <v>0</v>
      </c>
      <c r="I901" t="n">
        <v>0</v>
      </c>
      <c r="J901" t="n">
        <v>0</v>
      </c>
      <c r="K901" t="n">
        <v>0</v>
      </c>
      <c r="L901" t="n">
        <v>0</v>
      </c>
      <c r="M901" t="n">
        <v>0</v>
      </c>
      <c r="N901" t="n">
        <v>0</v>
      </c>
      <c r="O901" t="n">
        <v>0</v>
      </c>
      <c r="P901" t="n">
        <v>0</v>
      </c>
      <c r="Q901" t="n">
        <v>0</v>
      </c>
      <c r="R901" s="2" t="inlineStr"/>
    </row>
    <row r="902" ht="15" customHeight="1">
      <c r="A902" t="inlineStr">
        <is>
          <t>A 16237-2024</t>
        </is>
      </c>
      <c r="B902" s="1" t="n">
        <v>45407.05681712963</v>
      </c>
      <c r="C902" s="1" t="n">
        <v>45937</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6816-2024</t>
        </is>
      </c>
      <c r="B903" s="1" t="n">
        <v>45342</v>
      </c>
      <c r="C903" s="1" t="n">
        <v>45937</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3081-2025</t>
        </is>
      </c>
      <c r="B904" s="1" t="n">
        <v>45678.644375</v>
      </c>
      <c r="C904" s="1" t="n">
        <v>45937</v>
      </c>
      <c r="D904" t="inlineStr">
        <is>
          <t>VÄSTERNORRLANDS LÄN</t>
        </is>
      </c>
      <c r="E904" t="inlineStr">
        <is>
          <t>SOLLEFTEÅ</t>
        </is>
      </c>
      <c r="G904" t="n">
        <v>2.8</v>
      </c>
      <c r="H904" t="n">
        <v>0</v>
      </c>
      <c r="I904" t="n">
        <v>0</v>
      </c>
      <c r="J904" t="n">
        <v>0</v>
      </c>
      <c r="K904" t="n">
        <v>0</v>
      </c>
      <c r="L904" t="n">
        <v>0</v>
      </c>
      <c r="M904" t="n">
        <v>0</v>
      </c>
      <c r="N904" t="n">
        <v>0</v>
      </c>
      <c r="O904" t="n">
        <v>0</v>
      </c>
      <c r="P904" t="n">
        <v>0</v>
      </c>
      <c r="Q904" t="n">
        <v>0</v>
      </c>
      <c r="R904" s="2" t="inlineStr"/>
    </row>
    <row r="905" ht="15" customHeight="1">
      <c r="A905" t="inlineStr">
        <is>
          <t>A 54045-2023</t>
        </is>
      </c>
      <c r="B905" s="1" t="n">
        <v>45231.96743055555</v>
      </c>
      <c r="C905" s="1" t="n">
        <v>45937</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9328-2024</t>
        </is>
      </c>
      <c r="B906" s="1" t="n">
        <v>45358.99144675926</v>
      </c>
      <c r="C906" s="1" t="n">
        <v>45937</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52267-2023</t>
        </is>
      </c>
      <c r="B907" s="1" t="n">
        <v>45217</v>
      </c>
      <c r="C907" s="1" t="n">
        <v>45937</v>
      </c>
      <c r="D907" t="inlineStr">
        <is>
          <t>VÄSTERNORRLANDS LÄN</t>
        </is>
      </c>
      <c r="E907" t="inlineStr">
        <is>
          <t>SOLLEFTEÅ</t>
        </is>
      </c>
      <c r="G907" t="n">
        <v>6.2</v>
      </c>
      <c r="H907" t="n">
        <v>0</v>
      </c>
      <c r="I907" t="n">
        <v>0</v>
      </c>
      <c r="J907" t="n">
        <v>0</v>
      </c>
      <c r="K907" t="n">
        <v>0</v>
      </c>
      <c r="L907" t="n">
        <v>0</v>
      </c>
      <c r="M907" t="n">
        <v>0</v>
      </c>
      <c r="N907" t="n">
        <v>0</v>
      </c>
      <c r="O907" t="n">
        <v>0</v>
      </c>
      <c r="P907" t="n">
        <v>0</v>
      </c>
      <c r="Q907" t="n">
        <v>0</v>
      </c>
      <c r="R907" s="2" t="inlineStr"/>
    </row>
    <row r="908" ht="15" customHeight="1">
      <c r="A908" t="inlineStr">
        <is>
          <t>A 22737-2025</t>
        </is>
      </c>
      <c r="B908" s="1" t="n">
        <v>45789.59130787037</v>
      </c>
      <c r="C908" s="1" t="n">
        <v>45937</v>
      </c>
      <c r="D908" t="inlineStr">
        <is>
          <t>VÄSTERNORRLANDS LÄN</t>
        </is>
      </c>
      <c r="E908" t="inlineStr">
        <is>
          <t>SOLLEFTEÅ</t>
        </is>
      </c>
      <c r="G908" t="n">
        <v>15.6</v>
      </c>
      <c r="H908" t="n">
        <v>0</v>
      </c>
      <c r="I908" t="n">
        <v>0</v>
      </c>
      <c r="J908" t="n">
        <v>0</v>
      </c>
      <c r="K908" t="n">
        <v>0</v>
      </c>
      <c r="L908" t="n">
        <v>0</v>
      </c>
      <c r="M908" t="n">
        <v>0</v>
      </c>
      <c r="N908" t="n">
        <v>0</v>
      </c>
      <c r="O908" t="n">
        <v>0</v>
      </c>
      <c r="P908" t="n">
        <v>0</v>
      </c>
      <c r="Q908" t="n">
        <v>0</v>
      </c>
      <c r="R908" s="2" t="inlineStr"/>
    </row>
    <row r="909" ht="15" customHeight="1">
      <c r="A909" t="inlineStr">
        <is>
          <t>A 22287-2025</t>
        </is>
      </c>
      <c r="B909" s="1" t="n">
        <v>45786.34409722222</v>
      </c>
      <c r="C909" s="1" t="n">
        <v>45937</v>
      </c>
      <c r="D909" t="inlineStr">
        <is>
          <t>VÄSTERNORRLANDS LÄN</t>
        </is>
      </c>
      <c r="E909" t="inlineStr">
        <is>
          <t>SOLLEFTEÅ</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22810-2025</t>
        </is>
      </c>
      <c r="B910" s="1" t="n">
        <v>45789.68076388889</v>
      </c>
      <c r="C910" s="1" t="n">
        <v>45937</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22854-2025</t>
        </is>
      </c>
      <c r="B911" s="1" t="n">
        <v>45790.34457175926</v>
      </c>
      <c r="C911" s="1" t="n">
        <v>45937</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21089-2025</t>
        </is>
      </c>
      <c r="B912" s="1" t="n">
        <v>45777</v>
      </c>
      <c r="C912" s="1" t="n">
        <v>45937</v>
      </c>
      <c r="D912" t="inlineStr">
        <is>
          <t>VÄSTERNORRLANDS LÄN</t>
        </is>
      </c>
      <c r="E912" t="inlineStr">
        <is>
          <t>SOLLEFTEÅ</t>
        </is>
      </c>
      <c r="F912" t="inlineStr">
        <is>
          <t>SCA</t>
        </is>
      </c>
      <c r="G912" t="n">
        <v>19.9</v>
      </c>
      <c r="H912" t="n">
        <v>0</v>
      </c>
      <c r="I912" t="n">
        <v>0</v>
      </c>
      <c r="J912" t="n">
        <v>0</v>
      </c>
      <c r="K912" t="n">
        <v>0</v>
      </c>
      <c r="L912" t="n">
        <v>0</v>
      </c>
      <c r="M912" t="n">
        <v>0</v>
      </c>
      <c r="N912" t="n">
        <v>0</v>
      </c>
      <c r="O912" t="n">
        <v>0</v>
      </c>
      <c r="P912" t="n">
        <v>0</v>
      </c>
      <c r="Q912" t="n">
        <v>0</v>
      </c>
      <c r="R912" s="2" t="inlineStr"/>
    </row>
    <row r="913" ht="15" customHeight="1">
      <c r="A913" t="inlineStr">
        <is>
          <t>A 19892-2025</t>
        </is>
      </c>
      <c r="B913" s="1" t="n">
        <v>45771.57461805556</v>
      </c>
      <c r="C913" s="1" t="n">
        <v>45937</v>
      </c>
      <c r="D913" t="inlineStr">
        <is>
          <t>VÄSTERNORRLANDS LÄN</t>
        </is>
      </c>
      <c r="E913" t="inlineStr">
        <is>
          <t>SOLLEFTEÅ</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11117-2022</t>
        </is>
      </c>
      <c r="B914" s="1" t="n">
        <v>44628.94248842593</v>
      </c>
      <c r="C914" s="1" t="n">
        <v>45937</v>
      </c>
      <c r="D914" t="inlineStr">
        <is>
          <t>VÄSTERNORRLANDS LÄN</t>
        </is>
      </c>
      <c r="E914" t="inlineStr">
        <is>
          <t>SOLLEFTEÅ</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20389-2025</t>
        </is>
      </c>
      <c r="B915" s="1" t="n">
        <v>45775</v>
      </c>
      <c r="C915" s="1" t="n">
        <v>45937</v>
      </c>
      <c r="D915" t="inlineStr">
        <is>
          <t>VÄSTERNORRLANDS LÄN</t>
        </is>
      </c>
      <c r="E915" t="inlineStr">
        <is>
          <t>SOLLEFTEÅ</t>
        </is>
      </c>
      <c r="F915" t="inlineStr">
        <is>
          <t>SCA</t>
        </is>
      </c>
      <c r="G915" t="n">
        <v>4.2</v>
      </c>
      <c r="H915" t="n">
        <v>0</v>
      </c>
      <c r="I915" t="n">
        <v>0</v>
      </c>
      <c r="J915" t="n">
        <v>0</v>
      </c>
      <c r="K915" t="n">
        <v>0</v>
      </c>
      <c r="L915" t="n">
        <v>0</v>
      </c>
      <c r="M915" t="n">
        <v>0</v>
      </c>
      <c r="N915" t="n">
        <v>0</v>
      </c>
      <c r="O915" t="n">
        <v>0</v>
      </c>
      <c r="P915" t="n">
        <v>0</v>
      </c>
      <c r="Q915" t="n">
        <v>0</v>
      </c>
      <c r="R915" s="2" t="inlineStr"/>
    </row>
    <row r="916" ht="15" customHeight="1">
      <c r="A916" t="inlineStr">
        <is>
          <t>A 967-2025</t>
        </is>
      </c>
      <c r="B916" s="1" t="n">
        <v>45666</v>
      </c>
      <c r="C916" s="1" t="n">
        <v>45937</v>
      </c>
      <c r="D916" t="inlineStr">
        <is>
          <t>VÄSTERNORRLANDS LÄN</t>
        </is>
      </c>
      <c r="E916" t="inlineStr">
        <is>
          <t>SOLLEFTEÅ</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22866-2025</t>
        </is>
      </c>
      <c r="B917" s="1" t="n">
        <v>45790.36519675926</v>
      </c>
      <c r="C917" s="1" t="n">
        <v>45937</v>
      </c>
      <c r="D917" t="inlineStr">
        <is>
          <t>VÄSTERNORRLANDS LÄN</t>
        </is>
      </c>
      <c r="E917" t="inlineStr">
        <is>
          <t>SOLLEFTEÅ</t>
        </is>
      </c>
      <c r="F917" t="inlineStr">
        <is>
          <t>SCA</t>
        </is>
      </c>
      <c r="G917" t="n">
        <v>16.2</v>
      </c>
      <c r="H917" t="n">
        <v>0</v>
      </c>
      <c r="I917" t="n">
        <v>0</v>
      </c>
      <c r="J917" t="n">
        <v>0</v>
      </c>
      <c r="K917" t="n">
        <v>0</v>
      </c>
      <c r="L917" t="n">
        <v>0</v>
      </c>
      <c r="M917" t="n">
        <v>0</v>
      </c>
      <c r="N917" t="n">
        <v>0</v>
      </c>
      <c r="O917" t="n">
        <v>0</v>
      </c>
      <c r="P917" t="n">
        <v>0</v>
      </c>
      <c r="Q917" t="n">
        <v>0</v>
      </c>
      <c r="R917" s="2" t="inlineStr"/>
    </row>
    <row r="918" ht="15" customHeight="1">
      <c r="A918" t="inlineStr">
        <is>
          <t>A 22562-2025</t>
        </is>
      </c>
      <c r="B918" s="1" t="n">
        <v>45789.34736111111</v>
      </c>
      <c r="C918" s="1" t="n">
        <v>45937</v>
      </c>
      <c r="D918" t="inlineStr">
        <is>
          <t>VÄSTERNORRLANDS LÄN</t>
        </is>
      </c>
      <c r="E918" t="inlineStr">
        <is>
          <t>SOLLEFTEÅ</t>
        </is>
      </c>
      <c r="G918" t="n">
        <v>1.1</v>
      </c>
      <c r="H918" t="n">
        <v>0</v>
      </c>
      <c r="I918" t="n">
        <v>0</v>
      </c>
      <c r="J918" t="n">
        <v>0</v>
      </c>
      <c r="K918" t="n">
        <v>0</v>
      </c>
      <c r="L918" t="n">
        <v>0</v>
      </c>
      <c r="M918" t="n">
        <v>0</v>
      </c>
      <c r="N918" t="n">
        <v>0</v>
      </c>
      <c r="O918" t="n">
        <v>0</v>
      </c>
      <c r="P918" t="n">
        <v>0</v>
      </c>
      <c r="Q918" t="n">
        <v>0</v>
      </c>
      <c r="R918" s="2" t="inlineStr"/>
    </row>
    <row r="919" ht="15" customHeight="1">
      <c r="A919" t="inlineStr">
        <is>
          <t>A 22803-2025</t>
        </is>
      </c>
      <c r="B919" s="1" t="n">
        <v>45789</v>
      </c>
      <c r="C919" s="1" t="n">
        <v>45937</v>
      </c>
      <c r="D919" t="inlineStr">
        <is>
          <t>VÄSTERNORRLANDS LÄN</t>
        </is>
      </c>
      <c r="E919" t="inlineStr">
        <is>
          <t>SOLLEFTEÅ</t>
        </is>
      </c>
      <c r="G919" t="n">
        <v>2.7</v>
      </c>
      <c r="H919" t="n">
        <v>0</v>
      </c>
      <c r="I919" t="n">
        <v>0</v>
      </c>
      <c r="J919" t="n">
        <v>0</v>
      </c>
      <c r="K919" t="n">
        <v>0</v>
      </c>
      <c r="L919" t="n">
        <v>0</v>
      </c>
      <c r="M919" t="n">
        <v>0</v>
      </c>
      <c r="N919" t="n">
        <v>0</v>
      </c>
      <c r="O919" t="n">
        <v>0</v>
      </c>
      <c r="P919" t="n">
        <v>0</v>
      </c>
      <c r="Q919" t="n">
        <v>0</v>
      </c>
      <c r="R919" s="2" t="inlineStr"/>
    </row>
    <row r="920" ht="15" customHeight="1">
      <c r="A920" t="inlineStr">
        <is>
          <t>A 22853-2025</t>
        </is>
      </c>
      <c r="B920" s="1" t="n">
        <v>45790.34443287037</v>
      </c>
      <c r="C920" s="1" t="n">
        <v>45937</v>
      </c>
      <c r="D920" t="inlineStr">
        <is>
          <t>VÄSTERNORRLANDS LÄN</t>
        </is>
      </c>
      <c r="E920" t="inlineStr">
        <is>
          <t>SOLLEFTEÅ</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49629-2024</t>
        </is>
      </c>
      <c r="B921" s="1" t="n">
        <v>45596</v>
      </c>
      <c r="C921" s="1" t="n">
        <v>45937</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22569-2025</t>
        </is>
      </c>
      <c r="B922" s="1" t="n">
        <v>45789.36363425926</v>
      </c>
      <c r="C922" s="1" t="n">
        <v>45937</v>
      </c>
      <c r="D922" t="inlineStr">
        <is>
          <t>VÄSTERNORRLANDS LÄN</t>
        </is>
      </c>
      <c r="E922" t="inlineStr">
        <is>
          <t>SOLLEFTEÅ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42663-2022</t>
        </is>
      </c>
      <c r="B923" s="1" t="n">
        <v>44831</v>
      </c>
      <c r="C923" s="1" t="n">
        <v>45937</v>
      </c>
      <c r="D923" t="inlineStr">
        <is>
          <t>VÄSTERNORRLANDS LÄN</t>
        </is>
      </c>
      <c r="E923" t="inlineStr">
        <is>
          <t>SOLLEFTEÅ</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31914-2023</t>
        </is>
      </c>
      <c r="B924" s="1" t="n">
        <v>45118</v>
      </c>
      <c r="C924" s="1" t="n">
        <v>45937</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14612-2025</t>
        </is>
      </c>
      <c r="B925" s="1" t="n">
        <v>45742</v>
      </c>
      <c r="C925" s="1" t="n">
        <v>45937</v>
      </c>
      <c r="D925" t="inlineStr">
        <is>
          <t>VÄSTERNORRLANDS LÄN</t>
        </is>
      </c>
      <c r="E925" t="inlineStr">
        <is>
          <t>SOLLEFTEÅ</t>
        </is>
      </c>
      <c r="G925" t="n">
        <v>1</v>
      </c>
      <c r="H925" t="n">
        <v>0</v>
      </c>
      <c r="I925" t="n">
        <v>0</v>
      </c>
      <c r="J925" t="n">
        <v>0</v>
      </c>
      <c r="K925" t="n">
        <v>0</v>
      </c>
      <c r="L925" t="n">
        <v>0</v>
      </c>
      <c r="M925" t="n">
        <v>0</v>
      </c>
      <c r="N925" t="n">
        <v>0</v>
      </c>
      <c r="O925" t="n">
        <v>0</v>
      </c>
      <c r="P925" t="n">
        <v>0</v>
      </c>
      <c r="Q925" t="n">
        <v>0</v>
      </c>
      <c r="R925" s="2" t="inlineStr"/>
    </row>
    <row r="926" ht="15" customHeight="1">
      <c r="A926" t="inlineStr">
        <is>
          <t>A 14656-2025</t>
        </is>
      </c>
      <c r="B926" s="1" t="n">
        <v>45742.51074074074</v>
      </c>
      <c r="C926" s="1" t="n">
        <v>45937</v>
      </c>
      <c r="D926" t="inlineStr">
        <is>
          <t>VÄSTERNORRLANDS LÄN</t>
        </is>
      </c>
      <c r="E926" t="inlineStr">
        <is>
          <t>SOLLEFTEÅ</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23522-2025</t>
        </is>
      </c>
      <c r="B927" s="1" t="n">
        <v>45792.51415509259</v>
      </c>
      <c r="C927" s="1" t="n">
        <v>45937</v>
      </c>
      <c r="D927" t="inlineStr">
        <is>
          <t>VÄSTERNORRLANDS LÄN</t>
        </is>
      </c>
      <c r="E927" t="inlineStr">
        <is>
          <t>SOLLEFTEÅ</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14109-2023</t>
        </is>
      </c>
      <c r="B928" s="1" t="n">
        <v>45008</v>
      </c>
      <c r="C928" s="1" t="n">
        <v>45937</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39449-2024</t>
        </is>
      </c>
      <c r="B929" s="1" t="n">
        <v>45551.61609953704</v>
      </c>
      <c r="C929" s="1" t="n">
        <v>45937</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51544-2022</t>
        </is>
      </c>
      <c r="B930" s="1" t="n">
        <v>44869</v>
      </c>
      <c r="C930" s="1" t="n">
        <v>45937</v>
      </c>
      <c r="D930" t="inlineStr">
        <is>
          <t>VÄSTERNORRLANDS LÄN</t>
        </is>
      </c>
      <c r="E930" t="inlineStr">
        <is>
          <t>SOLLEFTEÅ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32071-2024</t>
        </is>
      </c>
      <c r="B931" s="1" t="n">
        <v>45510.97246527778</v>
      </c>
      <c r="C931" s="1" t="n">
        <v>45937</v>
      </c>
      <c r="D931" t="inlineStr">
        <is>
          <t>VÄSTERNORRLANDS LÄN</t>
        </is>
      </c>
      <c r="E931" t="inlineStr">
        <is>
          <t>SOLLEFTEÅ</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40679-2024</t>
        </is>
      </c>
      <c r="B932" s="1" t="n">
        <v>45558</v>
      </c>
      <c r="C932" s="1" t="n">
        <v>45937</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11539-2024</t>
        </is>
      </c>
      <c r="B933" s="1" t="n">
        <v>45372.9560300926</v>
      </c>
      <c r="C933" s="1" t="n">
        <v>45937</v>
      </c>
      <c r="D933" t="inlineStr">
        <is>
          <t>VÄSTERNORRLANDS LÄN</t>
        </is>
      </c>
      <c r="E933" t="inlineStr">
        <is>
          <t>SOLLEFTEÅ</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2114-2023</t>
        </is>
      </c>
      <c r="B934" s="1" t="n">
        <v>44939.93809027778</v>
      </c>
      <c r="C934" s="1" t="n">
        <v>45937</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9831-2024</t>
        </is>
      </c>
      <c r="B935" s="1" t="n">
        <v>45363.04699074074</v>
      </c>
      <c r="C935" s="1" t="n">
        <v>45937</v>
      </c>
      <c r="D935" t="inlineStr">
        <is>
          <t>VÄSTERNORRLANDS LÄN</t>
        </is>
      </c>
      <c r="E935" t="inlineStr">
        <is>
          <t>SOLLEFTEÅ</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30329-2024</t>
        </is>
      </c>
      <c r="B936" s="1" t="n">
        <v>45490.95304398148</v>
      </c>
      <c r="C936" s="1" t="n">
        <v>45937</v>
      </c>
      <c r="D936" t="inlineStr">
        <is>
          <t>VÄSTERNORRLANDS LÄN</t>
        </is>
      </c>
      <c r="E936" t="inlineStr">
        <is>
          <t>SOLLEFTEÅ</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11318-2022</t>
        </is>
      </c>
      <c r="B937" s="1" t="n">
        <v>44629.94743055556</v>
      </c>
      <c r="C937" s="1" t="n">
        <v>45937</v>
      </c>
      <c r="D937" t="inlineStr">
        <is>
          <t>VÄSTERNORRLANDS LÄN</t>
        </is>
      </c>
      <c r="E937" t="inlineStr">
        <is>
          <t>SOLLEFTEÅ</t>
        </is>
      </c>
      <c r="G937" t="n">
        <v>1</v>
      </c>
      <c r="H937" t="n">
        <v>0</v>
      </c>
      <c r="I937" t="n">
        <v>0</v>
      </c>
      <c r="J937" t="n">
        <v>0</v>
      </c>
      <c r="K937" t="n">
        <v>0</v>
      </c>
      <c r="L937" t="n">
        <v>0</v>
      </c>
      <c r="M937" t="n">
        <v>0</v>
      </c>
      <c r="N937" t="n">
        <v>0</v>
      </c>
      <c r="O937" t="n">
        <v>0</v>
      </c>
      <c r="P937" t="n">
        <v>0</v>
      </c>
      <c r="Q937" t="n">
        <v>0</v>
      </c>
      <c r="R937" s="2" t="inlineStr"/>
    </row>
    <row r="938" ht="15" customHeight="1">
      <c r="A938" t="inlineStr">
        <is>
          <t>A 40571-2024</t>
        </is>
      </c>
      <c r="B938" s="1" t="n">
        <v>45555.67759259259</v>
      </c>
      <c r="C938" s="1" t="n">
        <v>45937</v>
      </c>
      <c r="D938" t="inlineStr">
        <is>
          <t>VÄSTERNORRLANDS LÄN</t>
        </is>
      </c>
      <c r="E938" t="inlineStr">
        <is>
          <t>SOLLEFTEÅ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72244-2021</t>
        </is>
      </c>
      <c r="B939" s="1" t="n">
        <v>44544.9390162037</v>
      </c>
      <c r="C939" s="1" t="n">
        <v>45937</v>
      </c>
      <c r="D939" t="inlineStr">
        <is>
          <t>VÄSTERNORRLANDS LÄN</t>
        </is>
      </c>
      <c r="E939" t="inlineStr">
        <is>
          <t>SOLLEFTEÅ</t>
        </is>
      </c>
      <c r="F939" t="inlineStr">
        <is>
          <t>SCA</t>
        </is>
      </c>
      <c r="G939" t="n">
        <v>6.8</v>
      </c>
      <c r="H939" t="n">
        <v>0</v>
      </c>
      <c r="I939" t="n">
        <v>0</v>
      </c>
      <c r="J939" t="n">
        <v>0</v>
      </c>
      <c r="K939" t="n">
        <v>0</v>
      </c>
      <c r="L939" t="n">
        <v>0</v>
      </c>
      <c r="M939" t="n">
        <v>0</v>
      </c>
      <c r="N939" t="n">
        <v>0</v>
      </c>
      <c r="O939" t="n">
        <v>0</v>
      </c>
      <c r="P939" t="n">
        <v>0</v>
      </c>
      <c r="Q939" t="n">
        <v>0</v>
      </c>
      <c r="R939" s="2" t="inlineStr"/>
    </row>
    <row r="940" ht="15" customHeight="1">
      <c r="A940" t="inlineStr">
        <is>
          <t>A 41834-2024</t>
        </is>
      </c>
      <c r="B940" s="1" t="n">
        <v>45561.4084375</v>
      </c>
      <c r="C940" s="1" t="n">
        <v>45937</v>
      </c>
      <c r="D940" t="inlineStr">
        <is>
          <t>VÄSTERNORRLANDS LÄN</t>
        </is>
      </c>
      <c r="E940" t="inlineStr">
        <is>
          <t>SOLLEFTEÅ</t>
        </is>
      </c>
      <c r="G940" t="n">
        <v>2.4</v>
      </c>
      <c r="H940" t="n">
        <v>0</v>
      </c>
      <c r="I940" t="n">
        <v>0</v>
      </c>
      <c r="J940" t="n">
        <v>0</v>
      </c>
      <c r="K940" t="n">
        <v>0</v>
      </c>
      <c r="L940" t="n">
        <v>0</v>
      </c>
      <c r="M940" t="n">
        <v>0</v>
      </c>
      <c r="N940" t="n">
        <v>0</v>
      </c>
      <c r="O940" t="n">
        <v>0</v>
      </c>
      <c r="P940" t="n">
        <v>0</v>
      </c>
      <c r="Q940" t="n">
        <v>0</v>
      </c>
      <c r="R940" s="2" t="inlineStr"/>
    </row>
    <row r="941" ht="15" customHeight="1">
      <c r="A941" t="inlineStr">
        <is>
          <t>A 41975-2024</t>
        </is>
      </c>
      <c r="B941" s="1" t="n">
        <v>45561</v>
      </c>
      <c r="C941" s="1" t="n">
        <v>45937</v>
      </c>
      <c r="D941" t="inlineStr">
        <is>
          <t>VÄSTERNORRLANDS LÄN</t>
        </is>
      </c>
      <c r="E941" t="inlineStr">
        <is>
          <t>SOLLEFTEÅ</t>
        </is>
      </c>
      <c r="G941" t="n">
        <v>5.4</v>
      </c>
      <c r="H941" t="n">
        <v>0</v>
      </c>
      <c r="I941" t="n">
        <v>0</v>
      </c>
      <c r="J941" t="n">
        <v>0</v>
      </c>
      <c r="K941" t="n">
        <v>0</v>
      </c>
      <c r="L941" t="n">
        <v>0</v>
      </c>
      <c r="M941" t="n">
        <v>0</v>
      </c>
      <c r="N941" t="n">
        <v>0</v>
      </c>
      <c r="O941" t="n">
        <v>0</v>
      </c>
      <c r="P941" t="n">
        <v>0</v>
      </c>
      <c r="Q941" t="n">
        <v>0</v>
      </c>
      <c r="R941" s="2" t="inlineStr"/>
    </row>
    <row r="942" ht="15" customHeight="1">
      <c r="A942" t="inlineStr">
        <is>
          <t>A 23634-2025</t>
        </is>
      </c>
      <c r="B942" s="1" t="n">
        <v>45792.67803240741</v>
      </c>
      <c r="C942" s="1" t="n">
        <v>45937</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23478-2025</t>
        </is>
      </c>
      <c r="B943" s="1" t="n">
        <v>45792</v>
      </c>
      <c r="C943" s="1" t="n">
        <v>45937</v>
      </c>
      <c r="D943" t="inlineStr">
        <is>
          <t>VÄSTERNORRLANDS LÄN</t>
        </is>
      </c>
      <c r="E943" t="inlineStr">
        <is>
          <t>SOLLEFTEÅ</t>
        </is>
      </c>
      <c r="F943" t="inlineStr">
        <is>
          <t>Holmen skog AB</t>
        </is>
      </c>
      <c r="G943" t="n">
        <v>6</v>
      </c>
      <c r="H943" t="n">
        <v>0</v>
      </c>
      <c r="I943" t="n">
        <v>0</v>
      </c>
      <c r="J943" t="n">
        <v>0</v>
      </c>
      <c r="K943" t="n">
        <v>0</v>
      </c>
      <c r="L943" t="n">
        <v>0</v>
      </c>
      <c r="M943" t="n">
        <v>0</v>
      </c>
      <c r="N943" t="n">
        <v>0</v>
      </c>
      <c r="O943" t="n">
        <v>0</v>
      </c>
      <c r="P943" t="n">
        <v>0</v>
      </c>
      <c r="Q943" t="n">
        <v>0</v>
      </c>
      <c r="R943" s="2" t="inlineStr"/>
    </row>
    <row r="944" ht="15" customHeight="1">
      <c r="A944" t="inlineStr">
        <is>
          <t>A 23515-2025</t>
        </is>
      </c>
      <c r="B944" s="1" t="n">
        <v>45792</v>
      </c>
      <c r="C944" s="1" t="n">
        <v>45937</v>
      </c>
      <c r="D944" t="inlineStr">
        <is>
          <t>VÄSTERNORRLANDS LÄN</t>
        </is>
      </c>
      <c r="E944" t="inlineStr">
        <is>
          <t>SOLLEFTEÅ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42915-2024</t>
        </is>
      </c>
      <c r="B945" s="1" t="n">
        <v>45566</v>
      </c>
      <c r="C945" s="1" t="n">
        <v>45937</v>
      </c>
      <c r="D945" t="inlineStr">
        <is>
          <t>VÄSTERNORRLANDS LÄN</t>
        </is>
      </c>
      <c r="E945" t="inlineStr">
        <is>
          <t>SOLLEFTEÅ</t>
        </is>
      </c>
      <c r="G945" t="n">
        <v>1.9</v>
      </c>
      <c r="H945" t="n">
        <v>0</v>
      </c>
      <c r="I945" t="n">
        <v>0</v>
      </c>
      <c r="J945" t="n">
        <v>0</v>
      </c>
      <c r="K945" t="n">
        <v>0</v>
      </c>
      <c r="L945" t="n">
        <v>0</v>
      </c>
      <c r="M945" t="n">
        <v>0</v>
      </c>
      <c r="N945" t="n">
        <v>0</v>
      </c>
      <c r="O945" t="n">
        <v>0</v>
      </c>
      <c r="P945" t="n">
        <v>0</v>
      </c>
      <c r="Q945" t="n">
        <v>0</v>
      </c>
      <c r="R945" s="2" t="inlineStr"/>
    </row>
    <row r="946" ht="15" customHeight="1">
      <c r="A946" t="inlineStr">
        <is>
          <t>A 23409-2025</t>
        </is>
      </c>
      <c r="B946" s="1" t="n">
        <v>45792.34560185186</v>
      </c>
      <c r="C946" s="1" t="n">
        <v>45937</v>
      </c>
      <c r="D946" t="inlineStr">
        <is>
          <t>VÄSTERNORRLANDS LÄN</t>
        </is>
      </c>
      <c r="E946" t="inlineStr">
        <is>
          <t>SOLLEFTEÅ</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18882-2021</t>
        </is>
      </c>
      <c r="B947" s="1" t="n">
        <v>44307.93505787037</v>
      </c>
      <c r="C947" s="1" t="n">
        <v>45937</v>
      </c>
      <c r="D947" t="inlineStr">
        <is>
          <t>VÄSTERNORRLANDS LÄN</t>
        </is>
      </c>
      <c r="E947" t="inlineStr">
        <is>
          <t>SOLLEFTEÅ</t>
        </is>
      </c>
      <c r="F947" t="inlineStr">
        <is>
          <t>SCA</t>
        </is>
      </c>
      <c r="G947" t="n">
        <v>6.1</v>
      </c>
      <c r="H947" t="n">
        <v>0</v>
      </c>
      <c r="I947" t="n">
        <v>0</v>
      </c>
      <c r="J947" t="n">
        <v>0</v>
      </c>
      <c r="K947" t="n">
        <v>0</v>
      </c>
      <c r="L947" t="n">
        <v>0</v>
      </c>
      <c r="M947" t="n">
        <v>0</v>
      </c>
      <c r="N947" t="n">
        <v>0</v>
      </c>
      <c r="O947" t="n">
        <v>0</v>
      </c>
      <c r="P947" t="n">
        <v>0</v>
      </c>
      <c r="Q947" t="n">
        <v>0</v>
      </c>
      <c r="R947" s="2" t="inlineStr"/>
    </row>
    <row r="948" ht="15" customHeight="1">
      <c r="A948" t="inlineStr">
        <is>
          <t>A 15273-2025</t>
        </is>
      </c>
      <c r="B948" s="1" t="n">
        <v>45744.67740740741</v>
      </c>
      <c r="C948" s="1" t="n">
        <v>45937</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14094-2025</t>
        </is>
      </c>
      <c r="B949" s="1" t="n">
        <v>45740.44827546296</v>
      </c>
      <c r="C949" s="1" t="n">
        <v>45937</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14096-2025</t>
        </is>
      </c>
      <c r="B950" s="1" t="n">
        <v>45740.44858796296</v>
      </c>
      <c r="C950" s="1" t="n">
        <v>45937</v>
      </c>
      <c r="D950" t="inlineStr">
        <is>
          <t>VÄSTERNORRLANDS LÄN</t>
        </is>
      </c>
      <c r="E950" t="inlineStr">
        <is>
          <t>SOLLEFTEÅ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18149-2023</t>
        </is>
      </c>
      <c r="B951" s="1" t="n">
        <v>45040</v>
      </c>
      <c r="C951" s="1" t="n">
        <v>45937</v>
      </c>
      <c r="D951" t="inlineStr">
        <is>
          <t>VÄSTERNORRLANDS LÄN</t>
        </is>
      </c>
      <c r="E951" t="inlineStr">
        <is>
          <t>SOLLEFTEÅ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25338-2022</t>
        </is>
      </c>
      <c r="B952" s="1" t="n">
        <v>44731</v>
      </c>
      <c r="C952" s="1" t="n">
        <v>45937</v>
      </c>
      <c r="D952" t="inlineStr">
        <is>
          <t>VÄSTERNORRLANDS LÄN</t>
        </is>
      </c>
      <c r="E952" t="inlineStr">
        <is>
          <t>SOLLEFTEÅ</t>
        </is>
      </c>
      <c r="F952" t="inlineStr">
        <is>
          <t>SCA</t>
        </is>
      </c>
      <c r="G952" t="n">
        <v>4.3</v>
      </c>
      <c r="H952" t="n">
        <v>0</v>
      </c>
      <c r="I952" t="n">
        <v>0</v>
      </c>
      <c r="J952" t="n">
        <v>0</v>
      </c>
      <c r="K952" t="n">
        <v>0</v>
      </c>
      <c r="L952" t="n">
        <v>0</v>
      </c>
      <c r="M952" t="n">
        <v>0</v>
      </c>
      <c r="N952" t="n">
        <v>0</v>
      </c>
      <c r="O952" t="n">
        <v>0</v>
      </c>
      <c r="P952" t="n">
        <v>0</v>
      </c>
      <c r="Q952" t="n">
        <v>0</v>
      </c>
      <c r="R952" s="2" t="inlineStr"/>
    </row>
    <row r="953" ht="15" customHeight="1">
      <c r="A953" t="inlineStr">
        <is>
          <t>A 12965-2025</t>
        </is>
      </c>
      <c r="B953" s="1" t="n">
        <v>45734.42753472222</v>
      </c>
      <c r="C953" s="1" t="n">
        <v>45937</v>
      </c>
      <c r="D953" t="inlineStr">
        <is>
          <t>VÄSTERNORRLANDS LÄN</t>
        </is>
      </c>
      <c r="E953" t="inlineStr">
        <is>
          <t>SOLLEFTEÅ</t>
        </is>
      </c>
      <c r="G953" t="n">
        <v>5.7</v>
      </c>
      <c r="H953" t="n">
        <v>0</v>
      </c>
      <c r="I953" t="n">
        <v>0</v>
      </c>
      <c r="J953" t="n">
        <v>0</v>
      </c>
      <c r="K953" t="n">
        <v>0</v>
      </c>
      <c r="L953" t="n">
        <v>0</v>
      </c>
      <c r="M953" t="n">
        <v>0</v>
      </c>
      <c r="N953" t="n">
        <v>0</v>
      </c>
      <c r="O953" t="n">
        <v>0</v>
      </c>
      <c r="P953" t="n">
        <v>0</v>
      </c>
      <c r="Q953" t="n">
        <v>0</v>
      </c>
      <c r="R953" s="2" t="inlineStr"/>
    </row>
    <row r="954" ht="15" customHeight="1">
      <c r="A954" t="inlineStr">
        <is>
          <t>A 23090-2025</t>
        </is>
      </c>
      <c r="B954" s="1" t="n">
        <v>45791.34443287037</v>
      </c>
      <c r="C954" s="1" t="n">
        <v>45937</v>
      </c>
      <c r="D954" t="inlineStr">
        <is>
          <t>VÄSTERNORRLANDS LÄN</t>
        </is>
      </c>
      <c r="E954" t="inlineStr">
        <is>
          <t>SOLLEFTEÅ</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21031-2024</t>
        </is>
      </c>
      <c r="B955" s="1" t="n">
        <v>45439</v>
      </c>
      <c r="C955" s="1" t="n">
        <v>45937</v>
      </c>
      <c r="D955" t="inlineStr">
        <is>
          <t>VÄSTERNORRLANDS LÄN</t>
        </is>
      </c>
      <c r="E955" t="inlineStr">
        <is>
          <t>SOLLEFTEÅ</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14975-2024</t>
        </is>
      </c>
      <c r="B956" s="1" t="n">
        <v>45398.94100694444</v>
      </c>
      <c r="C956" s="1" t="n">
        <v>45937</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14983-2024</t>
        </is>
      </c>
      <c r="B957" s="1" t="n">
        <v>45398.94237268518</v>
      </c>
      <c r="C957" s="1" t="n">
        <v>45937</v>
      </c>
      <c r="D957" t="inlineStr">
        <is>
          <t>VÄSTERNORRLANDS LÄN</t>
        </is>
      </c>
      <c r="E957" t="inlineStr">
        <is>
          <t>SOLLEFTEÅ</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918-2023</t>
        </is>
      </c>
      <c r="B958" s="1" t="n">
        <v>44931.95329861111</v>
      </c>
      <c r="C958" s="1" t="n">
        <v>45937</v>
      </c>
      <c r="D958" t="inlineStr">
        <is>
          <t>VÄSTERNORRLANDS LÄN</t>
        </is>
      </c>
      <c r="E958" t="inlineStr">
        <is>
          <t>SOLLEFTEÅ</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30069-2024</t>
        </is>
      </c>
      <c r="B959" s="1" t="n">
        <v>45488.9489699074</v>
      </c>
      <c r="C959" s="1" t="n">
        <v>45937</v>
      </c>
      <c r="D959" t="inlineStr">
        <is>
          <t>VÄSTERNORRLANDS LÄN</t>
        </is>
      </c>
      <c r="E959" t="inlineStr">
        <is>
          <t>SOLLEFTEÅ</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33642-2023</t>
        </is>
      </c>
      <c r="B960" s="1" t="n">
        <v>45119</v>
      </c>
      <c r="C960" s="1" t="n">
        <v>45937</v>
      </c>
      <c r="D960" t="inlineStr">
        <is>
          <t>VÄSTERNORRLANDS LÄN</t>
        </is>
      </c>
      <c r="E960" t="inlineStr">
        <is>
          <t>SOLLEFTEÅ</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33713-2023</t>
        </is>
      </c>
      <c r="B961" s="1" t="n">
        <v>45132.94952546297</v>
      </c>
      <c r="C961" s="1" t="n">
        <v>45937</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16726-2024</t>
        </is>
      </c>
      <c r="B962" s="1" t="n">
        <v>45409.98535879629</v>
      </c>
      <c r="C962" s="1" t="n">
        <v>45937</v>
      </c>
      <c r="D962" t="inlineStr">
        <is>
          <t>VÄSTERNORRLANDS LÄN</t>
        </is>
      </c>
      <c r="E962" t="inlineStr">
        <is>
          <t>SOLLEFTEÅ</t>
        </is>
      </c>
      <c r="F962" t="inlineStr">
        <is>
          <t>SCA</t>
        </is>
      </c>
      <c r="G962" t="n">
        <v>6.1</v>
      </c>
      <c r="H962" t="n">
        <v>0</v>
      </c>
      <c r="I962" t="n">
        <v>0</v>
      </c>
      <c r="J962" t="n">
        <v>0</v>
      </c>
      <c r="K962" t="n">
        <v>0</v>
      </c>
      <c r="L962" t="n">
        <v>0</v>
      </c>
      <c r="M962" t="n">
        <v>0</v>
      </c>
      <c r="N962" t="n">
        <v>0</v>
      </c>
      <c r="O962" t="n">
        <v>0</v>
      </c>
      <c r="P962" t="n">
        <v>0</v>
      </c>
      <c r="Q962" t="n">
        <v>0</v>
      </c>
      <c r="R962" s="2" t="inlineStr"/>
    </row>
    <row r="963" ht="15" customHeight="1">
      <c r="A963" t="inlineStr">
        <is>
          <t>A 59388-2024</t>
        </is>
      </c>
      <c r="B963" s="1" t="n">
        <v>45638.365</v>
      </c>
      <c r="C963" s="1" t="n">
        <v>45937</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46261-2024</t>
        </is>
      </c>
      <c r="B964" s="1" t="n">
        <v>45581.61048611111</v>
      </c>
      <c r="C964" s="1" t="n">
        <v>45937</v>
      </c>
      <c r="D964" t="inlineStr">
        <is>
          <t>VÄSTERNORRLANDS LÄN</t>
        </is>
      </c>
      <c r="E964" t="inlineStr">
        <is>
          <t>SOLLEFTEÅ</t>
        </is>
      </c>
      <c r="G964" t="n">
        <v>2.4</v>
      </c>
      <c r="H964" t="n">
        <v>0</v>
      </c>
      <c r="I964" t="n">
        <v>0</v>
      </c>
      <c r="J964" t="n">
        <v>0</v>
      </c>
      <c r="K964" t="n">
        <v>0</v>
      </c>
      <c r="L964" t="n">
        <v>0</v>
      </c>
      <c r="M964" t="n">
        <v>0</v>
      </c>
      <c r="N964" t="n">
        <v>0</v>
      </c>
      <c r="O964" t="n">
        <v>0</v>
      </c>
      <c r="P964" t="n">
        <v>0</v>
      </c>
      <c r="Q964" t="n">
        <v>0</v>
      </c>
      <c r="R964" s="2" t="inlineStr"/>
    </row>
    <row r="965" ht="15" customHeight="1">
      <c r="A965" t="inlineStr">
        <is>
          <t>A 53524-2021</t>
        </is>
      </c>
      <c r="B965" s="1" t="n">
        <v>44468</v>
      </c>
      <c r="C965" s="1" t="n">
        <v>45937</v>
      </c>
      <c r="D965" t="inlineStr">
        <is>
          <t>VÄSTERNORRLANDS LÄN</t>
        </is>
      </c>
      <c r="E965" t="inlineStr">
        <is>
          <t>SOLLEFTEÅ</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41595-2024</t>
        </is>
      </c>
      <c r="B966" s="1" t="n">
        <v>45560.57378472222</v>
      </c>
      <c r="C966" s="1" t="n">
        <v>45937</v>
      </c>
      <c r="D966" t="inlineStr">
        <is>
          <t>VÄSTERNORRLANDS LÄN</t>
        </is>
      </c>
      <c r="E966" t="inlineStr">
        <is>
          <t>SOLLEFTEÅ</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43845-2024</t>
        </is>
      </c>
      <c r="B967" s="1" t="n">
        <v>45572.34483796296</v>
      </c>
      <c r="C967" s="1" t="n">
        <v>45937</v>
      </c>
      <c r="D967" t="inlineStr">
        <is>
          <t>VÄSTERNORRLANDS LÄN</t>
        </is>
      </c>
      <c r="E967" t="inlineStr">
        <is>
          <t>SOLLEFTEÅ</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38275-2024</t>
        </is>
      </c>
      <c r="B968" s="1" t="n">
        <v>45545</v>
      </c>
      <c r="C968" s="1" t="n">
        <v>45937</v>
      </c>
      <c r="D968" t="inlineStr">
        <is>
          <t>VÄSTERNORRLANDS LÄN</t>
        </is>
      </c>
      <c r="E968" t="inlineStr">
        <is>
          <t>SOLLEFTEÅ</t>
        </is>
      </c>
      <c r="G968" t="n">
        <v>3.8</v>
      </c>
      <c r="H968" t="n">
        <v>0</v>
      </c>
      <c r="I968" t="n">
        <v>0</v>
      </c>
      <c r="J968" t="n">
        <v>0</v>
      </c>
      <c r="K968" t="n">
        <v>0</v>
      </c>
      <c r="L968" t="n">
        <v>0</v>
      </c>
      <c r="M968" t="n">
        <v>0</v>
      </c>
      <c r="N968" t="n">
        <v>0</v>
      </c>
      <c r="O968" t="n">
        <v>0</v>
      </c>
      <c r="P968" t="n">
        <v>0</v>
      </c>
      <c r="Q968" t="n">
        <v>0</v>
      </c>
      <c r="R968" s="2" t="inlineStr"/>
    </row>
    <row r="969" ht="15" customHeight="1">
      <c r="A969" t="inlineStr">
        <is>
          <t>A 40355-2024</t>
        </is>
      </c>
      <c r="B969" s="1" t="n">
        <v>45555.36541666667</v>
      </c>
      <c r="C969" s="1" t="n">
        <v>45937</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67702-2021</t>
        </is>
      </c>
      <c r="B970" s="1" t="n">
        <v>44524.94660879629</v>
      </c>
      <c r="C970" s="1" t="n">
        <v>45937</v>
      </c>
      <c r="D970" t="inlineStr">
        <is>
          <t>VÄSTERNORRLANDS LÄN</t>
        </is>
      </c>
      <c r="E970" t="inlineStr">
        <is>
          <t>SOLLEFTEÅ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20133-2025</t>
        </is>
      </c>
      <c r="B971" s="1" t="n">
        <v>45772.51092592593</v>
      </c>
      <c r="C971" s="1" t="n">
        <v>45937</v>
      </c>
      <c r="D971" t="inlineStr">
        <is>
          <t>VÄSTERNORRLANDS LÄN</t>
        </is>
      </c>
      <c r="E971" t="inlineStr">
        <is>
          <t>SOLLEFTEÅ</t>
        </is>
      </c>
      <c r="F971" t="inlineStr">
        <is>
          <t>SCA</t>
        </is>
      </c>
      <c r="G971" t="n">
        <v>58.2</v>
      </c>
      <c r="H971" t="n">
        <v>0</v>
      </c>
      <c r="I971" t="n">
        <v>0</v>
      </c>
      <c r="J971" t="n">
        <v>0</v>
      </c>
      <c r="K971" t="n">
        <v>0</v>
      </c>
      <c r="L971" t="n">
        <v>0</v>
      </c>
      <c r="M971" t="n">
        <v>0</v>
      </c>
      <c r="N971" t="n">
        <v>0</v>
      </c>
      <c r="O971" t="n">
        <v>0</v>
      </c>
      <c r="P971" t="n">
        <v>0</v>
      </c>
      <c r="Q971" t="n">
        <v>0</v>
      </c>
      <c r="R971" s="2" t="inlineStr"/>
    </row>
    <row r="972" ht="15" customHeight="1">
      <c r="A972" t="inlineStr">
        <is>
          <t>A 68034-2020</t>
        </is>
      </c>
      <c r="B972" s="1" t="n">
        <v>44182</v>
      </c>
      <c r="C972" s="1" t="n">
        <v>45937</v>
      </c>
      <c r="D972" t="inlineStr">
        <is>
          <t>VÄSTERNORRLANDS LÄN</t>
        </is>
      </c>
      <c r="E972" t="inlineStr">
        <is>
          <t>SOLLEFTEÅ</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20184-2025</t>
        </is>
      </c>
      <c r="B973" s="1" t="n">
        <v>45772.59458333333</v>
      </c>
      <c r="C973" s="1" t="n">
        <v>45937</v>
      </c>
      <c r="D973" t="inlineStr">
        <is>
          <t>VÄSTERNORRLANDS LÄN</t>
        </is>
      </c>
      <c r="E973" t="inlineStr">
        <is>
          <t>SOLLEFTEÅ</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10870-2024</t>
        </is>
      </c>
      <c r="B974" s="1" t="n">
        <v>45370.02083333334</v>
      </c>
      <c r="C974" s="1" t="n">
        <v>45937</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22514-2025</t>
        </is>
      </c>
      <c r="B975" s="1" t="n">
        <v>45786.67755787037</v>
      </c>
      <c r="C975" s="1" t="n">
        <v>45937</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57019-2022</t>
        </is>
      </c>
      <c r="B976" s="1" t="n">
        <v>44894.95877314815</v>
      </c>
      <c r="C976" s="1" t="n">
        <v>45937</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23339-2025</t>
        </is>
      </c>
      <c r="B977" s="1" t="n">
        <v>45791.65577546296</v>
      </c>
      <c r="C977" s="1" t="n">
        <v>45937</v>
      </c>
      <c r="D977" t="inlineStr">
        <is>
          <t>VÄSTERNORRLANDS LÄN</t>
        </is>
      </c>
      <c r="E977" t="inlineStr">
        <is>
          <t>SOLLEFTEÅ</t>
        </is>
      </c>
      <c r="G977" t="n">
        <v>3.9</v>
      </c>
      <c r="H977" t="n">
        <v>0</v>
      </c>
      <c r="I977" t="n">
        <v>0</v>
      </c>
      <c r="J977" t="n">
        <v>0</v>
      </c>
      <c r="K977" t="n">
        <v>0</v>
      </c>
      <c r="L977" t="n">
        <v>0</v>
      </c>
      <c r="M977" t="n">
        <v>0</v>
      </c>
      <c r="N977" t="n">
        <v>0</v>
      </c>
      <c r="O977" t="n">
        <v>0</v>
      </c>
      <c r="P977" t="n">
        <v>0</v>
      </c>
      <c r="Q977" t="n">
        <v>0</v>
      </c>
      <c r="R977" s="2" t="inlineStr"/>
    </row>
    <row r="978" ht="15" customHeight="1">
      <c r="A978" t="inlineStr">
        <is>
          <t>A 23542-2025</t>
        </is>
      </c>
      <c r="B978" s="1" t="n">
        <v>45792.56184027778</v>
      </c>
      <c r="C978" s="1" t="n">
        <v>45937</v>
      </c>
      <c r="D978" t="inlineStr">
        <is>
          <t>VÄSTERNORRLANDS LÄN</t>
        </is>
      </c>
      <c r="E978" t="inlineStr">
        <is>
          <t>SOLLEFTEÅ</t>
        </is>
      </c>
      <c r="F978" t="inlineStr">
        <is>
          <t>Holmen skog AB</t>
        </is>
      </c>
      <c r="G978" t="n">
        <v>2.9</v>
      </c>
      <c r="H978" t="n">
        <v>0</v>
      </c>
      <c r="I978" t="n">
        <v>0</v>
      </c>
      <c r="J978" t="n">
        <v>0</v>
      </c>
      <c r="K978" t="n">
        <v>0</v>
      </c>
      <c r="L978" t="n">
        <v>0</v>
      </c>
      <c r="M978" t="n">
        <v>0</v>
      </c>
      <c r="N978" t="n">
        <v>0</v>
      </c>
      <c r="O978" t="n">
        <v>0</v>
      </c>
      <c r="P978" t="n">
        <v>0</v>
      </c>
      <c r="Q978" t="n">
        <v>0</v>
      </c>
      <c r="R978" s="2" t="inlineStr"/>
    </row>
    <row r="979" ht="15" customHeight="1">
      <c r="A979" t="inlineStr">
        <is>
          <t>A 55912-2023</t>
        </is>
      </c>
      <c r="B979" s="1" t="n">
        <v>45239.92665509259</v>
      </c>
      <c r="C979" s="1" t="n">
        <v>45937</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23564-2025</t>
        </is>
      </c>
      <c r="B980" s="1" t="n">
        <v>45792.58840277778</v>
      </c>
      <c r="C980" s="1" t="n">
        <v>45937</v>
      </c>
      <c r="D980" t="inlineStr">
        <is>
          <t>VÄSTERNORRLANDS LÄN</t>
        </is>
      </c>
      <c r="E980" t="inlineStr">
        <is>
          <t>SOLLEFTEÅ</t>
        </is>
      </c>
      <c r="F980" t="inlineStr">
        <is>
          <t>Holmen skog AB</t>
        </is>
      </c>
      <c r="G980" t="n">
        <v>2.6</v>
      </c>
      <c r="H980" t="n">
        <v>0</v>
      </c>
      <c r="I980" t="n">
        <v>0</v>
      </c>
      <c r="J980" t="n">
        <v>0</v>
      </c>
      <c r="K980" t="n">
        <v>0</v>
      </c>
      <c r="L980" t="n">
        <v>0</v>
      </c>
      <c r="M980" t="n">
        <v>0</v>
      </c>
      <c r="N980" t="n">
        <v>0</v>
      </c>
      <c r="O980" t="n">
        <v>0</v>
      </c>
      <c r="P980" t="n">
        <v>0</v>
      </c>
      <c r="Q980" t="n">
        <v>0</v>
      </c>
      <c r="R980" s="2" t="inlineStr"/>
    </row>
    <row r="981" ht="15" customHeight="1">
      <c r="A981" t="inlineStr">
        <is>
          <t>A 58995-2024</t>
        </is>
      </c>
      <c r="B981" s="1" t="n">
        <v>45636.63726851852</v>
      </c>
      <c r="C981" s="1" t="n">
        <v>45937</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33110-2024</t>
        </is>
      </c>
      <c r="B982" s="1" t="n">
        <v>45517</v>
      </c>
      <c r="C982" s="1" t="n">
        <v>45937</v>
      </c>
      <c r="D982" t="inlineStr">
        <is>
          <t>VÄSTERNORRLANDS LÄN</t>
        </is>
      </c>
      <c r="E982" t="inlineStr">
        <is>
          <t>SOLLEFTEÅ</t>
        </is>
      </c>
      <c r="G982" t="n">
        <v>1.5</v>
      </c>
      <c r="H982" t="n">
        <v>0</v>
      </c>
      <c r="I982" t="n">
        <v>0</v>
      </c>
      <c r="J982" t="n">
        <v>0</v>
      </c>
      <c r="K982" t="n">
        <v>0</v>
      </c>
      <c r="L982" t="n">
        <v>0</v>
      </c>
      <c r="M982" t="n">
        <v>0</v>
      </c>
      <c r="N982" t="n">
        <v>0</v>
      </c>
      <c r="O982" t="n">
        <v>0</v>
      </c>
      <c r="P982" t="n">
        <v>0</v>
      </c>
      <c r="Q982" t="n">
        <v>0</v>
      </c>
      <c r="R982" s="2" t="inlineStr"/>
    </row>
    <row r="983" ht="15" customHeight="1">
      <c r="A983" t="inlineStr">
        <is>
          <t>A 4909-2025</t>
        </is>
      </c>
      <c r="B983" s="1" t="n">
        <v>45688</v>
      </c>
      <c r="C983" s="1" t="n">
        <v>45937</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23974-2025</t>
        </is>
      </c>
      <c r="B984" s="1" t="n">
        <v>45796.38594907407</v>
      </c>
      <c r="C984" s="1" t="n">
        <v>45937</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55610-2021</t>
        </is>
      </c>
      <c r="B985" s="1" t="n">
        <v>44475.94237268518</v>
      </c>
      <c r="C985" s="1" t="n">
        <v>45937</v>
      </c>
      <c r="D985" t="inlineStr">
        <is>
          <t>VÄSTERNORRLANDS LÄN</t>
        </is>
      </c>
      <c r="E985" t="inlineStr">
        <is>
          <t>SOLLEFTEÅ</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22668-2024</t>
        </is>
      </c>
      <c r="B986" s="1" t="n">
        <v>45447.94453703704</v>
      </c>
      <c r="C986" s="1" t="n">
        <v>45937</v>
      </c>
      <c r="D986" t="inlineStr">
        <is>
          <t>VÄSTERNORRLANDS LÄN</t>
        </is>
      </c>
      <c r="E986" t="inlineStr">
        <is>
          <t>SOLLEFTEÅ</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19326-2024</t>
        </is>
      </c>
      <c r="B987" s="1" t="n">
        <v>45428</v>
      </c>
      <c r="C987" s="1" t="n">
        <v>45937</v>
      </c>
      <c r="D987" t="inlineStr">
        <is>
          <t>VÄSTERNORRLANDS LÄN</t>
        </is>
      </c>
      <c r="E987" t="inlineStr">
        <is>
          <t>SOLLEFTEÅ</t>
        </is>
      </c>
      <c r="G987" t="n">
        <v>7.4</v>
      </c>
      <c r="H987" t="n">
        <v>0</v>
      </c>
      <c r="I987" t="n">
        <v>0</v>
      </c>
      <c r="J987" t="n">
        <v>0</v>
      </c>
      <c r="K987" t="n">
        <v>0</v>
      </c>
      <c r="L987" t="n">
        <v>0</v>
      </c>
      <c r="M987" t="n">
        <v>0</v>
      </c>
      <c r="N987" t="n">
        <v>0</v>
      </c>
      <c r="O987" t="n">
        <v>0</v>
      </c>
      <c r="P987" t="n">
        <v>0</v>
      </c>
      <c r="Q987" t="n">
        <v>0</v>
      </c>
      <c r="R987" s="2" t="inlineStr"/>
    </row>
    <row r="988" ht="15" customHeight="1">
      <c r="A988" t="inlineStr">
        <is>
          <t>A 31886-2024</t>
        </is>
      </c>
      <c r="B988" s="1" t="n">
        <v>45509.95780092593</v>
      </c>
      <c r="C988" s="1" t="n">
        <v>45937</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62523-2023</t>
        </is>
      </c>
      <c r="B989" s="1" t="n">
        <v>45267</v>
      </c>
      <c r="C989" s="1" t="n">
        <v>45937</v>
      </c>
      <c r="D989" t="inlineStr">
        <is>
          <t>VÄSTERNORRLANDS LÄN</t>
        </is>
      </c>
      <c r="E989" t="inlineStr">
        <is>
          <t>SOLLEFTEÅ</t>
        </is>
      </c>
      <c r="G989" t="n">
        <v>33.6</v>
      </c>
      <c r="H989" t="n">
        <v>0</v>
      </c>
      <c r="I989" t="n">
        <v>0</v>
      </c>
      <c r="J989" t="n">
        <v>0</v>
      </c>
      <c r="K989" t="n">
        <v>0</v>
      </c>
      <c r="L989" t="n">
        <v>0</v>
      </c>
      <c r="M989" t="n">
        <v>0</v>
      </c>
      <c r="N989" t="n">
        <v>0</v>
      </c>
      <c r="O989" t="n">
        <v>0</v>
      </c>
      <c r="P989" t="n">
        <v>0</v>
      </c>
      <c r="Q989" t="n">
        <v>0</v>
      </c>
      <c r="R989" s="2" t="inlineStr"/>
    </row>
    <row r="990" ht="15" customHeight="1">
      <c r="A990" t="inlineStr">
        <is>
          <t>A 469-2025</t>
        </is>
      </c>
      <c r="B990" s="1" t="n">
        <v>45664</v>
      </c>
      <c r="C990" s="1" t="n">
        <v>45937</v>
      </c>
      <c r="D990" t="inlineStr">
        <is>
          <t>VÄSTERNORRLANDS LÄN</t>
        </is>
      </c>
      <c r="E990" t="inlineStr">
        <is>
          <t>SOLLEFTEÅ</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5867-2024</t>
        </is>
      </c>
      <c r="B991" s="1" t="n">
        <v>45335.64733796296</v>
      </c>
      <c r="C991" s="1" t="n">
        <v>45937</v>
      </c>
      <c r="D991" t="inlineStr">
        <is>
          <t>VÄSTERNORRLANDS LÄN</t>
        </is>
      </c>
      <c r="E991" t="inlineStr">
        <is>
          <t>SOLLEFTEÅ</t>
        </is>
      </c>
      <c r="F991" t="inlineStr">
        <is>
          <t>Övriga Aktiebolag</t>
        </is>
      </c>
      <c r="G991" t="n">
        <v>2.6</v>
      </c>
      <c r="H991" t="n">
        <v>0</v>
      </c>
      <c r="I991" t="n">
        <v>0</v>
      </c>
      <c r="J991" t="n">
        <v>0</v>
      </c>
      <c r="K991" t="n">
        <v>0</v>
      </c>
      <c r="L991" t="n">
        <v>0</v>
      </c>
      <c r="M991" t="n">
        <v>0</v>
      </c>
      <c r="N991" t="n">
        <v>0</v>
      </c>
      <c r="O991" t="n">
        <v>0</v>
      </c>
      <c r="P991" t="n">
        <v>0</v>
      </c>
      <c r="Q991" t="n">
        <v>0</v>
      </c>
      <c r="R991" s="2" t="inlineStr"/>
    </row>
    <row r="992" ht="15" customHeight="1">
      <c r="A992" t="inlineStr">
        <is>
          <t>A 56260-2023</t>
        </is>
      </c>
      <c r="B992" s="1" t="n">
        <v>45240</v>
      </c>
      <c r="C992" s="1" t="n">
        <v>45937</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39230-2021</t>
        </is>
      </c>
      <c r="B993" s="1" t="n">
        <v>44413.43902777778</v>
      </c>
      <c r="C993" s="1" t="n">
        <v>45937</v>
      </c>
      <c r="D993" t="inlineStr">
        <is>
          <t>VÄSTERNORRLANDS LÄN</t>
        </is>
      </c>
      <c r="E993" t="inlineStr">
        <is>
          <t>SOLLEFTEÅ</t>
        </is>
      </c>
      <c r="G993" t="n">
        <v>13.6</v>
      </c>
      <c r="H993" t="n">
        <v>0</v>
      </c>
      <c r="I993" t="n">
        <v>0</v>
      </c>
      <c r="J993" t="n">
        <v>0</v>
      </c>
      <c r="K993" t="n">
        <v>0</v>
      </c>
      <c r="L993" t="n">
        <v>0</v>
      </c>
      <c r="M993" t="n">
        <v>0</v>
      </c>
      <c r="N993" t="n">
        <v>0</v>
      </c>
      <c r="O993" t="n">
        <v>0</v>
      </c>
      <c r="P993" t="n">
        <v>0</v>
      </c>
      <c r="Q993" t="n">
        <v>0</v>
      </c>
      <c r="R993" s="2" t="inlineStr"/>
    </row>
    <row r="994" ht="15" customHeight="1">
      <c r="A994" t="inlineStr">
        <is>
          <t>A 40575-2024</t>
        </is>
      </c>
      <c r="B994" s="1" t="n">
        <v>45555</v>
      </c>
      <c r="C994" s="1" t="n">
        <v>45937</v>
      </c>
      <c r="D994" t="inlineStr">
        <is>
          <t>VÄSTERNORRLANDS LÄN</t>
        </is>
      </c>
      <c r="E994" t="inlineStr">
        <is>
          <t>SOLLEFTEÅ</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23889-2025</t>
        </is>
      </c>
      <c r="B995" s="1" t="n">
        <v>45793.79209490741</v>
      </c>
      <c r="C995" s="1" t="n">
        <v>45937</v>
      </c>
      <c r="D995" t="inlineStr">
        <is>
          <t>VÄSTERNORRLANDS LÄN</t>
        </is>
      </c>
      <c r="E995" t="inlineStr">
        <is>
          <t>SOLLEFTEÅ</t>
        </is>
      </c>
      <c r="G995" t="n">
        <v>6.3</v>
      </c>
      <c r="H995" t="n">
        <v>0</v>
      </c>
      <c r="I995" t="n">
        <v>0</v>
      </c>
      <c r="J995" t="n">
        <v>0</v>
      </c>
      <c r="K995" t="n">
        <v>0</v>
      </c>
      <c r="L995" t="n">
        <v>0</v>
      </c>
      <c r="M995" t="n">
        <v>0</v>
      </c>
      <c r="N995" t="n">
        <v>0</v>
      </c>
      <c r="O995" t="n">
        <v>0</v>
      </c>
      <c r="P995" t="n">
        <v>0</v>
      </c>
      <c r="Q995" t="n">
        <v>0</v>
      </c>
      <c r="R995" s="2" t="inlineStr"/>
    </row>
    <row r="996" ht="15" customHeight="1">
      <c r="A996" t="inlineStr">
        <is>
          <t>A 38102-2022</t>
        </is>
      </c>
      <c r="B996" s="1" t="n">
        <v>44811</v>
      </c>
      <c r="C996" s="1" t="n">
        <v>45937</v>
      </c>
      <c r="D996" t="inlineStr">
        <is>
          <t>VÄSTERNORRLANDS LÄN</t>
        </is>
      </c>
      <c r="E996" t="inlineStr">
        <is>
          <t>SOLLEFTEÅ</t>
        </is>
      </c>
      <c r="F996" t="inlineStr">
        <is>
          <t>SCA</t>
        </is>
      </c>
      <c r="G996" t="n">
        <v>4.9</v>
      </c>
      <c r="H996" t="n">
        <v>0</v>
      </c>
      <c r="I996" t="n">
        <v>0</v>
      </c>
      <c r="J996" t="n">
        <v>0</v>
      </c>
      <c r="K996" t="n">
        <v>0</v>
      </c>
      <c r="L996" t="n">
        <v>0</v>
      </c>
      <c r="M996" t="n">
        <v>0</v>
      </c>
      <c r="N996" t="n">
        <v>0</v>
      </c>
      <c r="O996" t="n">
        <v>0</v>
      </c>
      <c r="P996" t="n">
        <v>0</v>
      </c>
      <c r="Q996" t="n">
        <v>0</v>
      </c>
      <c r="R996" s="2" t="inlineStr"/>
      <c r="U996">
        <f>HYPERLINK("https://klasma.github.io/Logging_2283/knärot/A 38102-2022 karta knärot.png", "A 38102-2022")</f>
        <v/>
      </c>
      <c r="V996">
        <f>HYPERLINK("https://klasma.github.io/Logging_2283/klagomål/A 38102-2022 FSC-klagomål.docx", "A 38102-2022")</f>
        <v/>
      </c>
      <c r="W996">
        <f>HYPERLINK("https://klasma.github.io/Logging_2283/klagomålsmail/A 38102-2022 FSC-klagomål mail.docx", "A 38102-2022")</f>
        <v/>
      </c>
      <c r="X996">
        <f>HYPERLINK("https://klasma.github.io/Logging_2283/tillsyn/A 38102-2022 tillsynsbegäran.docx", "A 38102-2022")</f>
        <v/>
      </c>
      <c r="Y996">
        <f>HYPERLINK("https://klasma.github.io/Logging_2283/tillsynsmail/A 38102-2022 tillsynsbegäran mail.docx", "A 38102-2022")</f>
        <v/>
      </c>
    </row>
    <row r="997" ht="15" customHeight="1">
      <c r="A997" t="inlineStr">
        <is>
          <t>A 34983-2023</t>
        </is>
      </c>
      <c r="B997" s="1" t="n">
        <v>45141</v>
      </c>
      <c r="C997" s="1" t="n">
        <v>45937</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10240-2025</t>
        </is>
      </c>
      <c r="B998" s="1" t="n">
        <v>45720.34508101852</v>
      </c>
      <c r="C998" s="1" t="n">
        <v>45937</v>
      </c>
      <c r="D998" t="inlineStr">
        <is>
          <t>VÄSTERNORRLANDS LÄN</t>
        </is>
      </c>
      <c r="E998" t="inlineStr">
        <is>
          <t>SOLLEFTEÅ</t>
        </is>
      </c>
      <c r="F998" t="inlineStr">
        <is>
          <t>SCA</t>
        </is>
      </c>
      <c r="G998" t="n">
        <v>18.8</v>
      </c>
      <c r="H998" t="n">
        <v>0</v>
      </c>
      <c r="I998" t="n">
        <v>0</v>
      </c>
      <c r="J998" t="n">
        <v>0</v>
      </c>
      <c r="K998" t="n">
        <v>0</v>
      </c>
      <c r="L998" t="n">
        <v>0</v>
      </c>
      <c r="M998" t="n">
        <v>0</v>
      </c>
      <c r="N998" t="n">
        <v>0</v>
      </c>
      <c r="O998" t="n">
        <v>0</v>
      </c>
      <c r="P998" t="n">
        <v>0</v>
      </c>
      <c r="Q998" t="n">
        <v>0</v>
      </c>
      <c r="R998" s="2" t="inlineStr"/>
    </row>
    <row r="999" ht="15" customHeight="1">
      <c r="A999" t="inlineStr">
        <is>
          <t>A 51847-2021</t>
        </is>
      </c>
      <c r="B999" s="1" t="n">
        <v>44462.69077546296</v>
      </c>
      <c r="C999" s="1" t="n">
        <v>45937</v>
      </c>
      <c r="D999" t="inlineStr">
        <is>
          <t>VÄSTERNORRLANDS LÄN</t>
        </is>
      </c>
      <c r="E999" t="inlineStr">
        <is>
          <t>SOLLEFTEÅ</t>
        </is>
      </c>
      <c r="F999" t="inlineStr">
        <is>
          <t>Holmen skog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31179-2023</t>
        </is>
      </c>
      <c r="B1000" s="1" t="n">
        <v>45113.92564814815</v>
      </c>
      <c r="C1000" s="1" t="n">
        <v>45937</v>
      </c>
      <c r="D1000" t="inlineStr">
        <is>
          <t>VÄSTERNORRLANDS LÄN</t>
        </is>
      </c>
      <c r="E1000" t="inlineStr">
        <is>
          <t>SOLLEFTEÅ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44393-2023</t>
        </is>
      </c>
      <c r="B1001" s="1" t="n">
        <v>45188.94534722222</v>
      </c>
      <c r="C1001" s="1" t="n">
        <v>45937</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37648-2021</t>
        </is>
      </c>
      <c r="B1002" s="1" t="n">
        <v>44400</v>
      </c>
      <c r="C1002" s="1" t="n">
        <v>45937</v>
      </c>
      <c r="D1002" t="inlineStr">
        <is>
          <t>VÄSTERNORRLANDS LÄN</t>
        </is>
      </c>
      <c r="E1002" t="inlineStr">
        <is>
          <t>SOLLEFTEÅ</t>
        </is>
      </c>
      <c r="G1002" t="n">
        <v>33.6</v>
      </c>
      <c r="H1002" t="n">
        <v>0</v>
      </c>
      <c r="I1002" t="n">
        <v>0</v>
      </c>
      <c r="J1002" t="n">
        <v>0</v>
      </c>
      <c r="K1002" t="n">
        <v>0</v>
      </c>
      <c r="L1002" t="n">
        <v>0</v>
      </c>
      <c r="M1002" t="n">
        <v>0</v>
      </c>
      <c r="N1002" t="n">
        <v>0</v>
      </c>
      <c r="O1002" t="n">
        <v>0</v>
      </c>
      <c r="P1002" t="n">
        <v>0</v>
      </c>
      <c r="Q1002" t="n">
        <v>0</v>
      </c>
      <c r="R1002" s="2" t="inlineStr"/>
    </row>
    <row r="1003" ht="15" customHeight="1">
      <c r="A1003" t="inlineStr">
        <is>
          <t>A 13008-2023</t>
        </is>
      </c>
      <c r="B1003" s="1" t="n">
        <v>45002</v>
      </c>
      <c r="C1003" s="1" t="n">
        <v>45937</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32157-2024</t>
        </is>
      </c>
      <c r="B1004" s="1" t="n">
        <v>45511.57340277778</v>
      </c>
      <c r="C1004" s="1" t="n">
        <v>45937</v>
      </c>
      <c r="D1004" t="inlineStr">
        <is>
          <t>VÄSTERNORRLANDS LÄN</t>
        </is>
      </c>
      <c r="E1004" t="inlineStr">
        <is>
          <t>SOLLEFTEÅ</t>
        </is>
      </c>
      <c r="F1004" t="inlineStr">
        <is>
          <t>Holmen skog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11009-2024</t>
        </is>
      </c>
      <c r="B1005" s="1" t="n">
        <v>45370</v>
      </c>
      <c r="C1005" s="1" t="n">
        <v>45937</v>
      </c>
      <c r="D1005" t="inlineStr">
        <is>
          <t>VÄSTERNORRLANDS LÄN</t>
        </is>
      </c>
      <c r="E1005" t="inlineStr">
        <is>
          <t>SOLLEFTEÅ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2699-2025</t>
        </is>
      </c>
      <c r="B1006" s="1" t="n">
        <v>45677.40665509259</v>
      </c>
      <c r="C1006" s="1" t="n">
        <v>45937</v>
      </c>
      <c r="D1006" t="inlineStr">
        <is>
          <t>VÄSTERNORRLANDS LÄN</t>
        </is>
      </c>
      <c r="E1006" t="inlineStr">
        <is>
          <t>SOLLEFTEÅ</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52602-2024</t>
        </is>
      </c>
      <c r="B1007" s="1" t="n">
        <v>45609</v>
      </c>
      <c r="C1007" s="1" t="n">
        <v>45937</v>
      </c>
      <c r="D1007" t="inlineStr">
        <is>
          <t>VÄSTERNORRLANDS LÄN</t>
        </is>
      </c>
      <c r="E1007" t="inlineStr">
        <is>
          <t>SOLLEFTEÅ</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6282-2024</t>
        </is>
      </c>
      <c r="B1008" s="1" t="n">
        <v>45337</v>
      </c>
      <c r="C1008" s="1" t="n">
        <v>45937</v>
      </c>
      <c r="D1008" t="inlineStr">
        <is>
          <t>VÄSTERNORRLANDS LÄN</t>
        </is>
      </c>
      <c r="E1008" t="inlineStr">
        <is>
          <t>SOLLEFTEÅ</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16693-2024</t>
        </is>
      </c>
      <c r="B1009" s="1" t="n">
        <v>45408</v>
      </c>
      <c r="C1009" s="1" t="n">
        <v>45937</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16710-2024</t>
        </is>
      </c>
      <c r="B1010" s="1" t="n">
        <v>45409.07748842592</v>
      </c>
      <c r="C1010" s="1" t="n">
        <v>45937</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37381-2023</t>
        </is>
      </c>
      <c r="B1011" s="1" t="n">
        <v>45155</v>
      </c>
      <c r="C1011" s="1" t="n">
        <v>45937</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35509-2024</t>
        </is>
      </c>
      <c r="B1012" s="1" t="n">
        <v>45531</v>
      </c>
      <c r="C1012" s="1" t="n">
        <v>45937</v>
      </c>
      <c r="D1012" t="inlineStr">
        <is>
          <t>VÄSTERNORRLANDS LÄN</t>
        </is>
      </c>
      <c r="E1012" t="inlineStr">
        <is>
          <t>SOLLEFTEÅ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35513-2024</t>
        </is>
      </c>
      <c r="B1013" s="1" t="n">
        <v>45531</v>
      </c>
      <c r="C1013" s="1" t="n">
        <v>45937</v>
      </c>
      <c r="D1013" t="inlineStr">
        <is>
          <t>VÄSTERNORRLANDS LÄN</t>
        </is>
      </c>
      <c r="E1013" t="inlineStr">
        <is>
          <t>SOLLEFTEÅ</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8914-2025</t>
        </is>
      </c>
      <c r="B1014" s="1" t="n">
        <v>45713.42743055556</v>
      </c>
      <c r="C1014" s="1" t="n">
        <v>45937</v>
      </c>
      <c r="D1014" t="inlineStr">
        <is>
          <t>VÄSTERNORRLANDS LÄN</t>
        </is>
      </c>
      <c r="E1014" t="inlineStr">
        <is>
          <t>SOLLEFTEÅ</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41787-2024</t>
        </is>
      </c>
      <c r="B1015" s="1" t="n">
        <v>45561.34986111111</v>
      </c>
      <c r="C1015" s="1" t="n">
        <v>45937</v>
      </c>
      <c r="D1015" t="inlineStr">
        <is>
          <t>VÄSTERNORRLANDS LÄN</t>
        </is>
      </c>
      <c r="E1015" t="inlineStr">
        <is>
          <t>SOLLEFTEÅ</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5548-2025</t>
        </is>
      </c>
      <c r="B1016" s="1" t="n">
        <v>45693.46940972222</v>
      </c>
      <c r="C1016" s="1" t="n">
        <v>45937</v>
      </c>
      <c r="D1016" t="inlineStr">
        <is>
          <t>VÄSTERNORRLANDS LÄN</t>
        </is>
      </c>
      <c r="E1016" t="inlineStr">
        <is>
          <t>SOLLEFTEÅ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23735-2025</t>
        </is>
      </c>
      <c r="B1017" s="1" t="n">
        <v>45793.42777777778</v>
      </c>
      <c r="C1017" s="1" t="n">
        <v>45937</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3633-2024</t>
        </is>
      </c>
      <c r="B1018" s="1" t="n">
        <v>45320</v>
      </c>
      <c r="C1018" s="1" t="n">
        <v>45937</v>
      </c>
      <c r="D1018" t="inlineStr">
        <is>
          <t>VÄSTERNORRLANDS LÄN</t>
        </is>
      </c>
      <c r="E1018" t="inlineStr">
        <is>
          <t>SOLLEFTEÅ</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28290-2024</t>
        </is>
      </c>
      <c r="B1019" s="1" t="n">
        <v>45477.46743055555</v>
      </c>
      <c r="C1019" s="1" t="n">
        <v>45937</v>
      </c>
      <c r="D1019" t="inlineStr">
        <is>
          <t>VÄSTERNORRLANDS LÄN</t>
        </is>
      </c>
      <c r="E1019" t="inlineStr">
        <is>
          <t>SOLLEFTEÅ</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3556-2022</t>
        </is>
      </c>
      <c r="B1020" s="1" t="n">
        <v>44585</v>
      </c>
      <c r="C1020" s="1" t="n">
        <v>45937</v>
      </c>
      <c r="D1020" t="inlineStr">
        <is>
          <t>VÄSTERNORRLANDS LÄN</t>
        </is>
      </c>
      <c r="E1020" t="inlineStr">
        <is>
          <t>SOLLEFTEÅ</t>
        </is>
      </c>
      <c r="F1020" t="inlineStr">
        <is>
          <t>SCA</t>
        </is>
      </c>
      <c r="G1020" t="n">
        <v>18.2</v>
      </c>
      <c r="H1020" t="n">
        <v>0</v>
      </c>
      <c r="I1020" t="n">
        <v>0</v>
      </c>
      <c r="J1020" t="n">
        <v>0</v>
      </c>
      <c r="K1020" t="n">
        <v>0</v>
      </c>
      <c r="L1020" t="n">
        <v>0</v>
      </c>
      <c r="M1020" t="n">
        <v>0</v>
      </c>
      <c r="N1020" t="n">
        <v>0</v>
      </c>
      <c r="O1020" t="n">
        <v>0</v>
      </c>
      <c r="P1020" t="n">
        <v>0</v>
      </c>
      <c r="Q1020" t="n">
        <v>0</v>
      </c>
      <c r="R1020" s="2" t="inlineStr"/>
    </row>
    <row r="1021" ht="15" customHeight="1">
      <c r="A1021" t="inlineStr">
        <is>
          <t>A 35358-2021</t>
        </is>
      </c>
      <c r="B1021" s="1" t="n">
        <v>44384.93591435185</v>
      </c>
      <c r="C1021" s="1" t="n">
        <v>45937</v>
      </c>
      <c r="D1021" t="inlineStr">
        <is>
          <t>VÄSTERNORRLANDS LÄN</t>
        </is>
      </c>
      <c r="E1021" t="inlineStr">
        <is>
          <t>SOLLEFTEÅ</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23977-2025</t>
        </is>
      </c>
      <c r="B1022" s="1" t="n">
        <v>45796.38637731481</v>
      </c>
      <c r="C1022" s="1" t="n">
        <v>45937</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23997-2025</t>
        </is>
      </c>
      <c r="B1023" s="1" t="n">
        <v>45796.42061342593</v>
      </c>
      <c r="C1023" s="1" t="n">
        <v>45937</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21852-2024</t>
        </is>
      </c>
      <c r="B1024" s="1" t="n">
        <v>45442.9628125</v>
      </c>
      <c r="C1024" s="1" t="n">
        <v>45937</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23738-2025</t>
        </is>
      </c>
      <c r="B1025" s="1" t="n">
        <v>45793.42819444444</v>
      </c>
      <c r="C1025" s="1" t="n">
        <v>45937</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40921-2024</t>
        </is>
      </c>
      <c r="B1026" s="1" t="n">
        <v>45558.6358912037</v>
      </c>
      <c r="C1026" s="1" t="n">
        <v>45937</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23871-2025</t>
        </is>
      </c>
      <c r="B1027" s="1" t="n">
        <v>45793.67741898148</v>
      </c>
      <c r="C1027" s="1" t="n">
        <v>45937</v>
      </c>
      <c r="D1027" t="inlineStr">
        <is>
          <t>VÄSTERNORRLANDS LÄN</t>
        </is>
      </c>
      <c r="E1027" t="inlineStr">
        <is>
          <t>SOLLEFTEÅ</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1268-2024</t>
        </is>
      </c>
      <c r="B1028" s="1" t="n">
        <v>45302</v>
      </c>
      <c r="C1028" s="1" t="n">
        <v>45937</v>
      </c>
      <c r="D1028" t="inlineStr">
        <is>
          <t>VÄSTERNORRLANDS LÄN</t>
        </is>
      </c>
      <c r="E1028" t="inlineStr">
        <is>
          <t>SOLLEFTEÅ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21100-2024</t>
        </is>
      </c>
      <c r="B1029" s="1" t="n">
        <v>45439.95072916667</v>
      </c>
      <c r="C1029" s="1" t="n">
        <v>45937</v>
      </c>
      <c r="D1029" t="inlineStr">
        <is>
          <t>VÄSTERNORRLANDS LÄN</t>
        </is>
      </c>
      <c r="E1029" t="inlineStr">
        <is>
          <t>SOLLEFTEÅ</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16365-2022</t>
        </is>
      </c>
      <c r="B1030" s="1" t="n">
        <v>44670.9406712963</v>
      </c>
      <c r="C1030" s="1" t="n">
        <v>45937</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39446-2024</t>
        </is>
      </c>
      <c r="B1031" s="1" t="n">
        <v>45551</v>
      </c>
      <c r="C1031" s="1" t="n">
        <v>45937</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23734-2025</t>
        </is>
      </c>
      <c r="B1032" s="1" t="n">
        <v>45793.4275462963</v>
      </c>
      <c r="C1032" s="1" t="n">
        <v>45937</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5394-2025</t>
        </is>
      </c>
      <c r="B1033" s="1" t="n">
        <v>45692.63591435185</v>
      </c>
      <c r="C1033" s="1" t="n">
        <v>45937</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47329-2023</t>
        </is>
      </c>
      <c r="B1034" s="1" t="n">
        <v>45196</v>
      </c>
      <c r="C1034" s="1" t="n">
        <v>45937</v>
      </c>
      <c r="D1034" t="inlineStr">
        <is>
          <t>VÄSTERNORRLANDS LÄN</t>
        </is>
      </c>
      <c r="E1034" t="inlineStr">
        <is>
          <t>SOLLEFTEÅ</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59563-2024</t>
        </is>
      </c>
      <c r="B1035" s="1" t="n">
        <v>45638.63733796297</v>
      </c>
      <c r="C1035" s="1" t="n">
        <v>45937</v>
      </c>
      <c r="D1035" t="inlineStr">
        <is>
          <t>VÄSTERNORRLANDS LÄN</t>
        </is>
      </c>
      <c r="E1035" t="inlineStr">
        <is>
          <t>SOLLEFTEÅ</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20461-2023</t>
        </is>
      </c>
      <c r="B1036" s="1" t="n">
        <v>45056.95284722222</v>
      </c>
      <c r="C1036" s="1" t="n">
        <v>45937</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42983-2024</t>
        </is>
      </c>
      <c r="B1037" s="1" t="n">
        <v>45567.37471064815</v>
      </c>
      <c r="C1037" s="1" t="n">
        <v>45937</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42984-2024</t>
        </is>
      </c>
      <c r="B1038" s="1" t="n">
        <v>45567.37532407408</v>
      </c>
      <c r="C1038" s="1" t="n">
        <v>45937</v>
      </c>
      <c r="D1038" t="inlineStr">
        <is>
          <t>VÄSTERNORRLANDS LÄN</t>
        </is>
      </c>
      <c r="E1038" t="inlineStr">
        <is>
          <t>SOLLEFTEÅ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42985-2024</t>
        </is>
      </c>
      <c r="B1039" s="1" t="n">
        <v>45567.37533564815</v>
      </c>
      <c r="C1039" s="1" t="n">
        <v>45937</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10618-2024</t>
        </is>
      </c>
      <c r="B1040" s="1" t="n">
        <v>45367</v>
      </c>
      <c r="C1040" s="1" t="n">
        <v>45937</v>
      </c>
      <c r="D1040" t="inlineStr">
        <is>
          <t>VÄSTERNORRLANDS LÄN</t>
        </is>
      </c>
      <c r="E1040" t="inlineStr">
        <is>
          <t>SOLLEFTEÅ</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40354-2024</t>
        </is>
      </c>
      <c r="B1041" s="1" t="n">
        <v>45555.36525462963</v>
      </c>
      <c r="C1041" s="1" t="n">
        <v>45937</v>
      </c>
      <c r="D1041" t="inlineStr">
        <is>
          <t>VÄSTERNORRLANDS LÄN</t>
        </is>
      </c>
      <c r="E1041" t="inlineStr">
        <is>
          <t>SOLLEFTEÅ</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58357-2024</t>
        </is>
      </c>
      <c r="B1042" s="1" t="n">
        <v>45632</v>
      </c>
      <c r="C1042" s="1" t="n">
        <v>45937</v>
      </c>
      <c r="D1042" t="inlineStr">
        <is>
          <t>VÄSTERNORRLANDS LÄN</t>
        </is>
      </c>
      <c r="E1042" t="inlineStr">
        <is>
          <t>SOLLEFTEÅ</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58360-2024</t>
        </is>
      </c>
      <c r="B1043" s="1" t="n">
        <v>45632</v>
      </c>
      <c r="C1043" s="1" t="n">
        <v>45937</v>
      </c>
      <c r="D1043" t="inlineStr">
        <is>
          <t>VÄSTERNORRLANDS LÄN</t>
        </is>
      </c>
      <c r="E1043" t="inlineStr">
        <is>
          <t>SOLLEFTEÅ</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15154-2024</t>
        </is>
      </c>
      <c r="B1044" s="1" t="n">
        <v>45399.94466435185</v>
      </c>
      <c r="C1044" s="1" t="n">
        <v>45937</v>
      </c>
      <c r="D1044" t="inlineStr">
        <is>
          <t>VÄSTERNORRLANDS LÄN</t>
        </is>
      </c>
      <c r="E1044" t="inlineStr">
        <is>
          <t>SOLLEFTEÅ</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7009-2023</t>
        </is>
      </c>
      <c r="B1045" s="1" t="n">
        <v>44967.92959490741</v>
      </c>
      <c r="C1045" s="1" t="n">
        <v>45937</v>
      </c>
      <c r="D1045" t="inlineStr">
        <is>
          <t>VÄSTERNORRLANDS LÄN</t>
        </is>
      </c>
      <c r="E1045" t="inlineStr">
        <is>
          <t>SOLLEFTEÅ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58179-2021</t>
        </is>
      </c>
      <c r="B1046" s="1" t="n">
        <v>44487</v>
      </c>
      <c r="C1046" s="1" t="n">
        <v>45937</v>
      </c>
      <c r="D1046" t="inlineStr">
        <is>
          <t>VÄSTERNORRLANDS LÄN</t>
        </is>
      </c>
      <c r="E1046" t="inlineStr">
        <is>
          <t>SOLLEFTEÅ</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27293-2024</t>
        </is>
      </c>
      <c r="B1047" s="1" t="n">
        <v>45471.94259259259</v>
      </c>
      <c r="C1047" s="1" t="n">
        <v>45937</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29957-2023</t>
        </is>
      </c>
      <c r="B1048" s="1" t="n">
        <v>45107</v>
      </c>
      <c r="C1048" s="1" t="n">
        <v>45937</v>
      </c>
      <c r="D1048" t="inlineStr">
        <is>
          <t>VÄSTERNORRLANDS LÄN</t>
        </is>
      </c>
      <c r="E1048" t="inlineStr">
        <is>
          <t>SOLLEFTEÅ</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24693-2025</t>
        </is>
      </c>
      <c r="B1049" s="1" t="n">
        <v>45798.6775462963</v>
      </c>
      <c r="C1049" s="1" t="n">
        <v>45937</v>
      </c>
      <c r="D1049" t="inlineStr">
        <is>
          <t>VÄSTERNORRLANDS LÄN</t>
        </is>
      </c>
      <c r="E1049" t="inlineStr">
        <is>
          <t>SOLLEFTEÅ</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55692-2024</t>
        </is>
      </c>
      <c r="B1050" s="1" t="n">
        <v>45622</v>
      </c>
      <c r="C1050" s="1" t="n">
        <v>45937</v>
      </c>
      <c r="D1050" t="inlineStr">
        <is>
          <t>VÄSTERNORRLANDS LÄN</t>
        </is>
      </c>
      <c r="E1050" t="inlineStr">
        <is>
          <t>SOLLEFTEÅ</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13009-2023</t>
        </is>
      </c>
      <c r="B1051" s="1" t="n">
        <v>45002.03643518518</v>
      </c>
      <c r="C1051" s="1" t="n">
        <v>45937</v>
      </c>
      <c r="D1051" t="inlineStr">
        <is>
          <t>VÄSTERNORRLANDS LÄN</t>
        </is>
      </c>
      <c r="E1051" t="inlineStr">
        <is>
          <t>SOLLEFTEÅ</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55792-2024</t>
        </is>
      </c>
      <c r="B1052" s="1" t="n">
        <v>45623</v>
      </c>
      <c r="C1052" s="1" t="n">
        <v>45937</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24488-2025</t>
        </is>
      </c>
      <c r="B1053" s="1" t="n">
        <v>45798.38576388889</v>
      </c>
      <c r="C1053" s="1" t="n">
        <v>45937</v>
      </c>
      <c r="D1053" t="inlineStr">
        <is>
          <t>VÄSTERNORRLANDS LÄN</t>
        </is>
      </c>
      <c r="E1053" t="inlineStr">
        <is>
          <t>SOLLEFTEÅ</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34638-2024</t>
        </is>
      </c>
      <c r="B1054" s="1" t="n">
        <v>45526</v>
      </c>
      <c r="C1054" s="1" t="n">
        <v>45937</v>
      </c>
      <c r="D1054" t="inlineStr">
        <is>
          <t>VÄSTERNORRLANDS LÄN</t>
        </is>
      </c>
      <c r="E1054" t="inlineStr">
        <is>
          <t>SOLLEFTEÅ</t>
        </is>
      </c>
      <c r="F1054" t="inlineStr">
        <is>
          <t>SCA</t>
        </is>
      </c>
      <c r="G1054" t="n">
        <v>3.3</v>
      </c>
      <c r="H1054" t="n">
        <v>0</v>
      </c>
      <c r="I1054" t="n">
        <v>0</v>
      </c>
      <c r="J1054" t="n">
        <v>0</v>
      </c>
      <c r="K1054" t="n">
        <v>0</v>
      </c>
      <c r="L1054" t="n">
        <v>0</v>
      </c>
      <c r="M1054" t="n">
        <v>0</v>
      </c>
      <c r="N1054" t="n">
        <v>0</v>
      </c>
      <c r="O1054" t="n">
        <v>0</v>
      </c>
      <c r="P1054" t="n">
        <v>0</v>
      </c>
      <c r="Q1054" t="n">
        <v>0</v>
      </c>
      <c r="R1054" s="2" t="inlineStr"/>
      <c r="U1054">
        <f>HYPERLINK("https://klasma.github.io/Logging_2283/knärot/A 34638-2024 karta knärot.png", "A 34638-2024")</f>
        <v/>
      </c>
      <c r="V1054">
        <f>HYPERLINK("https://klasma.github.io/Logging_2283/klagomål/A 34638-2024 FSC-klagomål.docx", "A 34638-2024")</f>
        <v/>
      </c>
      <c r="W1054">
        <f>HYPERLINK("https://klasma.github.io/Logging_2283/klagomålsmail/A 34638-2024 FSC-klagomål mail.docx", "A 34638-2024")</f>
        <v/>
      </c>
      <c r="X1054">
        <f>HYPERLINK("https://klasma.github.io/Logging_2283/tillsyn/A 34638-2024 tillsynsbegäran.docx", "A 34638-2024")</f>
        <v/>
      </c>
      <c r="Y1054">
        <f>HYPERLINK("https://klasma.github.io/Logging_2283/tillsynsmail/A 34638-2024 tillsynsbegäran mail.docx", "A 34638-2024")</f>
        <v/>
      </c>
    </row>
    <row r="1055" ht="15" customHeight="1">
      <c r="A1055" t="inlineStr">
        <is>
          <t>A 24393-2025</t>
        </is>
      </c>
      <c r="B1055" s="1" t="n">
        <v>45797.63653935185</v>
      </c>
      <c r="C1055" s="1" t="n">
        <v>45937</v>
      </c>
      <c r="D1055" t="inlineStr">
        <is>
          <t>VÄSTERNORRLANDS LÄN</t>
        </is>
      </c>
      <c r="E1055" t="inlineStr">
        <is>
          <t>SOLLEFTEÅ</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3001-2022</t>
        </is>
      </c>
      <c r="B1056" s="1" t="n">
        <v>44581</v>
      </c>
      <c r="C1056" s="1" t="n">
        <v>45937</v>
      </c>
      <c r="D1056" t="inlineStr">
        <is>
          <t>VÄSTERNORRLANDS LÄN</t>
        </is>
      </c>
      <c r="E1056" t="inlineStr">
        <is>
          <t>SOLLEFTEÅ</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23287-2023</t>
        </is>
      </c>
      <c r="B1057" s="1" t="n">
        <v>45075</v>
      </c>
      <c r="C1057" s="1" t="n">
        <v>45937</v>
      </c>
      <c r="D1057" t="inlineStr">
        <is>
          <t>VÄSTERNORRLANDS LÄN</t>
        </is>
      </c>
      <c r="E1057" t="inlineStr">
        <is>
          <t>SOLLEFTEÅ</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24461-2024</t>
        </is>
      </c>
      <c r="B1058" s="1" t="n">
        <v>45457.96806712963</v>
      </c>
      <c r="C1058" s="1" t="n">
        <v>45937</v>
      </c>
      <c r="D1058" t="inlineStr">
        <is>
          <t>VÄSTERNORRLANDS LÄN</t>
        </is>
      </c>
      <c r="E1058" t="inlineStr">
        <is>
          <t>SOLLEFTEÅ</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31670-2024</t>
        </is>
      </c>
      <c r="B1059" s="1" t="n">
        <v>45506.94805555556</v>
      </c>
      <c r="C1059" s="1" t="n">
        <v>45937</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31681-2024</t>
        </is>
      </c>
      <c r="B1060" s="1" t="n">
        <v>45506.94902777778</v>
      </c>
      <c r="C1060" s="1" t="n">
        <v>45937</v>
      </c>
      <c r="D1060" t="inlineStr">
        <is>
          <t>VÄSTERNORRLANDS LÄN</t>
        </is>
      </c>
      <c r="E1060" t="inlineStr">
        <is>
          <t>SOLLEFTEÅ</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57487-2024</t>
        </is>
      </c>
      <c r="B1061" s="1" t="n">
        <v>45630.36166666666</v>
      </c>
      <c r="C1061" s="1" t="n">
        <v>45937</v>
      </c>
      <c r="D1061" t="inlineStr">
        <is>
          <t>VÄSTERNORRLANDS LÄN</t>
        </is>
      </c>
      <c r="E1061" t="inlineStr">
        <is>
          <t>SOLLEFTEÅ</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57395-2023</t>
        </is>
      </c>
      <c r="B1062" s="1" t="n">
        <v>45245.9678125</v>
      </c>
      <c r="C1062" s="1" t="n">
        <v>45937</v>
      </c>
      <c r="D1062" t="inlineStr">
        <is>
          <t>VÄSTERNORRLANDS LÄN</t>
        </is>
      </c>
      <c r="E1062" t="inlineStr">
        <is>
          <t>SOLLEFTEÅ</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24552-2025</t>
        </is>
      </c>
      <c r="B1063" s="1" t="n">
        <v>45798.44865740741</v>
      </c>
      <c r="C1063" s="1" t="n">
        <v>45937</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24532-2025</t>
        </is>
      </c>
      <c r="B1064" s="1" t="n">
        <v>45798.42820601852</v>
      </c>
      <c r="C1064" s="1" t="n">
        <v>45937</v>
      </c>
      <c r="D1064" t="inlineStr">
        <is>
          <t>VÄSTERNORRLANDS LÄN</t>
        </is>
      </c>
      <c r="E1064" t="inlineStr">
        <is>
          <t>SOLLEFTEÅ</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48396-2024</t>
        </is>
      </c>
      <c r="B1065" s="1" t="n">
        <v>45590.61503472222</v>
      </c>
      <c r="C1065" s="1" t="n">
        <v>45937</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4623-2023</t>
        </is>
      </c>
      <c r="B1066" s="1" t="n">
        <v>44956.94013888889</v>
      </c>
      <c r="C1066" s="1" t="n">
        <v>45937</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49156-2024</t>
        </is>
      </c>
      <c r="B1067" s="1" t="n">
        <v>45594.834375</v>
      </c>
      <c r="C1067" s="1" t="n">
        <v>45937</v>
      </c>
      <c r="D1067" t="inlineStr">
        <is>
          <t>VÄSTERNORRLANDS LÄN</t>
        </is>
      </c>
      <c r="E1067" t="inlineStr">
        <is>
          <t>SOLLEFTEÅ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7721-2023</t>
        </is>
      </c>
      <c r="B1068" s="1" t="n">
        <v>44972.94123842593</v>
      </c>
      <c r="C1068" s="1" t="n">
        <v>45937</v>
      </c>
      <c r="D1068" t="inlineStr">
        <is>
          <t>VÄSTERNORRLANDS LÄN</t>
        </is>
      </c>
      <c r="E1068" t="inlineStr">
        <is>
          <t>SOLLEFTEÅ</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48038-2024</t>
        </is>
      </c>
      <c r="B1069" s="1" t="n">
        <v>45589.49350694445</v>
      </c>
      <c r="C1069" s="1" t="n">
        <v>45937</v>
      </c>
      <c r="D1069" t="inlineStr">
        <is>
          <t>VÄSTERNORRLANDS LÄN</t>
        </is>
      </c>
      <c r="E1069" t="inlineStr">
        <is>
          <t>SOLLEFTEÅ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10554-2022</t>
        </is>
      </c>
      <c r="B1070" s="1" t="n">
        <v>44623.93775462963</v>
      </c>
      <c r="C1070" s="1" t="n">
        <v>45937</v>
      </c>
      <c r="D1070" t="inlineStr">
        <is>
          <t>VÄSTERNORRLANDS LÄN</t>
        </is>
      </c>
      <c r="E1070" t="inlineStr">
        <is>
          <t>SOLLEFTEÅ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60328-2023</t>
        </is>
      </c>
      <c r="B1071" s="1" t="n">
        <v>45258</v>
      </c>
      <c r="C1071" s="1" t="n">
        <v>45937</v>
      </c>
      <c r="D1071" t="inlineStr">
        <is>
          <t>VÄSTERNORRLANDS LÄN</t>
        </is>
      </c>
      <c r="E1071" t="inlineStr">
        <is>
          <t>SOLLEFTEÅ</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55439-2024</t>
        </is>
      </c>
      <c r="B1072" s="1" t="n">
        <v>45622.40663194445</v>
      </c>
      <c r="C1072" s="1" t="n">
        <v>45937</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18623-2024</t>
        </is>
      </c>
      <c r="B1073" s="1" t="n">
        <v>45425.96378472223</v>
      </c>
      <c r="C1073" s="1" t="n">
        <v>45937</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40429-2024</t>
        </is>
      </c>
      <c r="B1074" s="1" t="n">
        <v>45555</v>
      </c>
      <c r="C1074" s="1" t="n">
        <v>45937</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24420-2025</t>
        </is>
      </c>
      <c r="B1075" s="1" t="n">
        <v>45797.67771990741</v>
      </c>
      <c r="C1075" s="1" t="n">
        <v>45937</v>
      </c>
      <c r="D1075" t="inlineStr">
        <is>
          <t>VÄSTERNORRLANDS LÄN</t>
        </is>
      </c>
      <c r="E1075" t="inlineStr">
        <is>
          <t>SOLLEFTEÅ</t>
        </is>
      </c>
      <c r="F1075" t="inlineStr">
        <is>
          <t>SCA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24530-2025</t>
        </is>
      </c>
      <c r="B1076" s="1" t="n">
        <v>45798.42799768518</v>
      </c>
      <c r="C1076" s="1" t="n">
        <v>45937</v>
      </c>
      <c r="D1076" t="inlineStr">
        <is>
          <t>VÄSTERNORRLANDS LÄN</t>
        </is>
      </c>
      <c r="E1076" t="inlineStr">
        <is>
          <t>SOLLEFTEÅ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24531-2025</t>
        </is>
      </c>
      <c r="B1077" s="1" t="n">
        <v>45798.42810185185</v>
      </c>
      <c r="C1077" s="1" t="n">
        <v>45937</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44410-2023</t>
        </is>
      </c>
      <c r="B1078" s="1" t="n">
        <v>45188.94677083333</v>
      </c>
      <c r="C1078" s="1" t="n">
        <v>45937</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2044-2025</t>
        </is>
      </c>
      <c r="B1079" s="1" t="n">
        <v>45672</v>
      </c>
      <c r="C1079" s="1" t="n">
        <v>45937</v>
      </c>
      <c r="D1079" t="inlineStr">
        <is>
          <t>VÄSTERNORRLANDS LÄN</t>
        </is>
      </c>
      <c r="E1079" t="inlineStr">
        <is>
          <t>SOLLEFTEÅ</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42755-2022</t>
        </is>
      </c>
      <c r="B1080" s="1" t="n">
        <v>44832</v>
      </c>
      <c r="C1080" s="1" t="n">
        <v>45937</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7184-2025</t>
        </is>
      </c>
      <c r="B1081" s="1" t="n">
        <v>45702</v>
      </c>
      <c r="C1081" s="1" t="n">
        <v>45937</v>
      </c>
      <c r="D1081" t="inlineStr">
        <is>
          <t>VÄSTERNORRLANDS LÄN</t>
        </is>
      </c>
      <c r="E1081" t="inlineStr">
        <is>
          <t>SOLLEFTEÅ</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54617-2023</t>
        </is>
      </c>
      <c r="B1082" s="1" t="n">
        <v>45233.95835648148</v>
      </c>
      <c r="C1082" s="1" t="n">
        <v>45937</v>
      </c>
      <c r="D1082" t="inlineStr">
        <is>
          <t>VÄSTERNORRLANDS LÄN</t>
        </is>
      </c>
      <c r="E1082" t="inlineStr">
        <is>
          <t>SOLLEFTEÅ</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25313-2025</t>
        </is>
      </c>
      <c r="B1083" s="1" t="n">
        <v>45799</v>
      </c>
      <c r="C1083" s="1" t="n">
        <v>45937</v>
      </c>
      <c r="D1083" t="inlineStr">
        <is>
          <t>VÄSTERNORRLANDS LÄN</t>
        </is>
      </c>
      <c r="E1083" t="inlineStr">
        <is>
          <t>SOLLEFTEÅ</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10725-2025</t>
        </is>
      </c>
      <c r="B1084" s="1" t="n">
        <v>45722</v>
      </c>
      <c r="C1084" s="1" t="n">
        <v>45937</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10737-2025</t>
        </is>
      </c>
      <c r="B1085" s="1" t="n">
        <v>45722</v>
      </c>
      <c r="C1085" s="1" t="n">
        <v>45937</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34397-2021</t>
        </is>
      </c>
      <c r="B1086" s="1" t="n">
        <v>44379</v>
      </c>
      <c r="C1086" s="1" t="n">
        <v>45937</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60420-2022</t>
        </is>
      </c>
      <c r="B1087" s="1" t="n">
        <v>44910</v>
      </c>
      <c r="C1087" s="1" t="n">
        <v>45937</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6896-2025</t>
        </is>
      </c>
      <c r="B1088" s="1" t="n">
        <v>45701.38577546296</v>
      </c>
      <c r="C1088" s="1" t="n">
        <v>45937</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25847-2024</t>
        </is>
      </c>
      <c r="B1089" s="1" t="n">
        <v>45467</v>
      </c>
      <c r="C1089" s="1" t="n">
        <v>45937</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25851-2024</t>
        </is>
      </c>
      <c r="B1090" s="1" t="n">
        <v>45467.44688657407</v>
      </c>
      <c r="C1090" s="1" t="n">
        <v>45937</v>
      </c>
      <c r="D1090" t="inlineStr">
        <is>
          <t>VÄSTERNORRLANDS LÄN</t>
        </is>
      </c>
      <c r="E1090" t="inlineStr">
        <is>
          <t>SOLLEFTEÅ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24730-2025</t>
        </is>
      </c>
      <c r="B1091" s="1" t="n">
        <v>45799.34150462963</v>
      </c>
      <c r="C1091" s="1" t="n">
        <v>45937</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25238-2025</t>
        </is>
      </c>
      <c r="B1092" s="1" t="n">
        <v>45800.49016203704</v>
      </c>
      <c r="C1092" s="1" t="n">
        <v>45937</v>
      </c>
      <c r="D1092" t="inlineStr">
        <is>
          <t>VÄSTERNORRLANDS LÄN</t>
        </is>
      </c>
      <c r="E1092" t="inlineStr">
        <is>
          <t>SOLLEFTEÅ</t>
        </is>
      </c>
      <c r="F1092" t="inlineStr">
        <is>
          <t>SCA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25132-2025</t>
        </is>
      </c>
      <c r="B1093" s="1" t="n">
        <v>45800</v>
      </c>
      <c r="C1093" s="1" t="n">
        <v>45937</v>
      </c>
      <c r="D1093" t="inlineStr">
        <is>
          <t>VÄSTERNORRLANDS LÄN</t>
        </is>
      </c>
      <c r="E1093" t="inlineStr">
        <is>
          <t>SOLLEFTEÅ</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44045-2022</t>
        </is>
      </c>
      <c r="B1094" s="1" t="n">
        <v>44838</v>
      </c>
      <c r="C1094" s="1" t="n">
        <v>45937</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25297-2025</t>
        </is>
      </c>
      <c r="B1095" s="1" t="n">
        <v>45800.5684837963</v>
      </c>
      <c r="C1095" s="1" t="n">
        <v>45937</v>
      </c>
      <c r="D1095" t="inlineStr">
        <is>
          <t>VÄSTERNORRLANDS LÄN</t>
        </is>
      </c>
      <c r="E1095" t="inlineStr">
        <is>
          <t>SOLLEFTEÅ</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46759-2024</t>
        </is>
      </c>
      <c r="B1096" s="1" t="n">
        <v>45583.49101851852</v>
      </c>
      <c r="C1096" s="1" t="n">
        <v>45937</v>
      </c>
      <c r="D1096" t="inlineStr">
        <is>
          <t>VÄSTERNORRLANDS LÄN</t>
        </is>
      </c>
      <c r="E1096" t="inlineStr">
        <is>
          <t>SOLLEFTEÅ</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48265-2024</t>
        </is>
      </c>
      <c r="B1097" s="1" t="n">
        <v>45590.42751157407</v>
      </c>
      <c r="C1097" s="1" t="n">
        <v>45937</v>
      </c>
      <c r="D1097" t="inlineStr">
        <is>
          <t>VÄSTERNORRLANDS LÄN</t>
        </is>
      </c>
      <c r="E1097" t="inlineStr">
        <is>
          <t>SOLLEFTEÅ</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47631-2024</t>
        </is>
      </c>
      <c r="B1098" s="1" t="n">
        <v>45588.34465277778</v>
      </c>
      <c r="C1098" s="1" t="n">
        <v>45937</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54575-2024</t>
        </is>
      </c>
      <c r="B1099" s="1" t="n">
        <v>45617.65232638889</v>
      </c>
      <c r="C1099" s="1" t="n">
        <v>45937</v>
      </c>
      <c r="D1099" t="inlineStr">
        <is>
          <t>VÄSTERNORRLANDS LÄN</t>
        </is>
      </c>
      <c r="E1099" t="inlineStr">
        <is>
          <t>SOLLEFTEÅ</t>
        </is>
      </c>
      <c r="F1099" t="inlineStr">
        <is>
          <t>Holmen skog AB</t>
        </is>
      </c>
      <c r="G1099" t="n">
        <v>1.7</v>
      </c>
      <c r="H1099" t="n">
        <v>0</v>
      </c>
      <c r="I1099" t="n">
        <v>0</v>
      </c>
      <c r="J1099" t="n">
        <v>0</v>
      </c>
      <c r="K1099" t="n">
        <v>0</v>
      </c>
      <c r="L1099" t="n">
        <v>0</v>
      </c>
      <c r="M1099" t="n">
        <v>0</v>
      </c>
      <c r="N1099" t="n">
        <v>0</v>
      </c>
      <c r="O1099" t="n">
        <v>0</v>
      </c>
      <c r="P1099" t="n">
        <v>0</v>
      </c>
      <c r="Q1099" t="n">
        <v>0</v>
      </c>
      <c r="R1099" s="2" t="inlineStr"/>
      <c r="U1099">
        <f>HYPERLINK("https://klasma.github.io/Logging_2283/knärot/A 54575-2024 karta knärot.png", "A 54575-2024")</f>
        <v/>
      </c>
      <c r="V1099">
        <f>HYPERLINK("https://klasma.github.io/Logging_2283/klagomål/A 54575-2024 FSC-klagomål.docx", "A 54575-2024")</f>
        <v/>
      </c>
      <c r="W1099">
        <f>HYPERLINK("https://klasma.github.io/Logging_2283/klagomålsmail/A 54575-2024 FSC-klagomål mail.docx", "A 54575-2024")</f>
        <v/>
      </c>
      <c r="X1099">
        <f>HYPERLINK("https://klasma.github.io/Logging_2283/tillsyn/A 54575-2024 tillsynsbegäran.docx", "A 54575-2024")</f>
        <v/>
      </c>
      <c r="Y1099">
        <f>HYPERLINK("https://klasma.github.io/Logging_2283/tillsynsmail/A 54575-2024 tillsynsbegäran mail.docx", "A 54575-2024")</f>
        <v/>
      </c>
    </row>
    <row r="1100" ht="15" customHeight="1">
      <c r="A1100" t="inlineStr">
        <is>
          <t>A 24759-2025</t>
        </is>
      </c>
      <c r="B1100" s="1" t="n">
        <v>45799.38284722222</v>
      </c>
      <c r="C1100" s="1" t="n">
        <v>45937</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24760-2025</t>
        </is>
      </c>
      <c r="B1101" s="1" t="n">
        <v>45799</v>
      </c>
      <c r="C1101" s="1" t="n">
        <v>45937</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31916-2023</t>
        </is>
      </c>
      <c r="B1102" s="1" t="n">
        <v>45118.93978009259</v>
      </c>
      <c r="C1102" s="1" t="n">
        <v>45937</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31919-2023</t>
        </is>
      </c>
      <c r="B1103" s="1" t="n">
        <v>45118</v>
      </c>
      <c r="C1103" s="1" t="n">
        <v>45937</v>
      </c>
      <c r="D1103" t="inlineStr">
        <is>
          <t>VÄSTERNORRLANDS LÄN</t>
        </is>
      </c>
      <c r="E1103" t="inlineStr">
        <is>
          <t>SOLLEFTEÅ</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7261-2024</t>
        </is>
      </c>
      <c r="B1104" s="1" t="n">
        <v>45344</v>
      </c>
      <c r="C1104" s="1" t="n">
        <v>45937</v>
      </c>
      <c r="D1104" t="inlineStr">
        <is>
          <t>VÄSTERNORRLANDS LÄN</t>
        </is>
      </c>
      <c r="E1104" t="inlineStr">
        <is>
          <t>SOLLEFTEÅ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22666-2024</t>
        </is>
      </c>
      <c r="B1105" s="1" t="n">
        <v>45447</v>
      </c>
      <c r="C1105" s="1" t="n">
        <v>45937</v>
      </c>
      <c r="D1105" t="inlineStr">
        <is>
          <t>VÄSTERNORRLANDS LÄN</t>
        </is>
      </c>
      <c r="E1105" t="inlineStr">
        <is>
          <t>SOLLEFTEÅ</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22675-2024</t>
        </is>
      </c>
      <c r="B1106" s="1" t="n">
        <v>45447.94508101852</v>
      </c>
      <c r="C1106" s="1" t="n">
        <v>45937</v>
      </c>
      <c r="D1106" t="inlineStr">
        <is>
          <t>VÄSTERNORRLANDS LÄN</t>
        </is>
      </c>
      <c r="E1106" t="inlineStr">
        <is>
          <t>SOLLEFTEÅ</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3689-2023</t>
        </is>
      </c>
      <c r="B1107" s="1" t="n">
        <v>44950</v>
      </c>
      <c r="C1107" s="1" t="n">
        <v>45937</v>
      </c>
      <c r="D1107" t="inlineStr">
        <is>
          <t>VÄSTERNORRLANDS LÄN</t>
        </is>
      </c>
      <c r="E1107" t="inlineStr">
        <is>
          <t>SOLLEFTEÅ</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31555-2024</t>
        </is>
      </c>
      <c r="B1108" s="1" t="n">
        <v>45505.96484953703</v>
      </c>
      <c r="C1108" s="1" t="n">
        <v>45937</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62750-2022</t>
        </is>
      </c>
      <c r="B1109" s="1" t="n">
        <v>44925.93922453704</v>
      </c>
      <c r="C1109" s="1" t="n">
        <v>45937</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25703-2024</t>
        </is>
      </c>
      <c r="B1110" s="1" t="n">
        <v>45463</v>
      </c>
      <c r="C1110" s="1" t="n">
        <v>45937</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25704-2024</t>
        </is>
      </c>
      <c r="B1111" s="1" t="n">
        <v>45463.94270833334</v>
      </c>
      <c r="C1111" s="1" t="n">
        <v>45937</v>
      </c>
      <c r="D1111" t="inlineStr">
        <is>
          <t>VÄSTERNORRLANDS LÄN</t>
        </is>
      </c>
      <c r="E1111" t="inlineStr">
        <is>
          <t>SOLLEFTEÅ</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36139-2024</t>
        </is>
      </c>
      <c r="B1112" s="1" t="n">
        <v>45534.35474537037</v>
      </c>
      <c r="C1112" s="1" t="n">
        <v>45937</v>
      </c>
      <c r="D1112" t="inlineStr">
        <is>
          <t>VÄSTERNORRLANDS LÄN</t>
        </is>
      </c>
      <c r="E1112" t="inlineStr">
        <is>
          <t>SOLLEFTEÅ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36144-2024</t>
        </is>
      </c>
      <c r="B1113" s="1" t="n">
        <v>45534.36309027778</v>
      </c>
      <c r="C1113" s="1" t="n">
        <v>45937</v>
      </c>
      <c r="D1113" t="inlineStr">
        <is>
          <t>VÄSTERNORRLANDS LÄN</t>
        </is>
      </c>
      <c r="E1113" t="inlineStr">
        <is>
          <t>SOLLEFTEÅ</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46212-2023</t>
        </is>
      </c>
      <c r="B1114" s="1" t="n">
        <v>45190</v>
      </c>
      <c r="C1114" s="1" t="n">
        <v>45937</v>
      </c>
      <c r="D1114" t="inlineStr">
        <is>
          <t>VÄSTERNORRLANDS LÄN</t>
        </is>
      </c>
      <c r="E1114" t="inlineStr">
        <is>
          <t>SOLLEFTEÅ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22468-2024</t>
        </is>
      </c>
      <c r="B1115" s="1" t="n">
        <v>45446.95068287037</v>
      </c>
      <c r="C1115" s="1" t="n">
        <v>45937</v>
      </c>
      <c r="D1115" t="inlineStr">
        <is>
          <t>VÄSTERNORRLANDS LÄN</t>
        </is>
      </c>
      <c r="E1115" t="inlineStr">
        <is>
          <t>SOLLEFTEÅ</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35417-2024</t>
        </is>
      </c>
      <c r="B1116" s="1" t="n">
        <v>45531.40851851852</v>
      </c>
      <c r="C1116" s="1" t="n">
        <v>45937</v>
      </c>
      <c r="D1116" t="inlineStr">
        <is>
          <t>VÄSTERNORRLANDS LÄN</t>
        </is>
      </c>
      <c r="E1116" t="inlineStr">
        <is>
          <t>SOLLEFTEÅ</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35420-2024</t>
        </is>
      </c>
      <c r="B1117" s="1" t="n">
        <v>45531</v>
      </c>
      <c r="C1117" s="1" t="n">
        <v>45937</v>
      </c>
      <c r="D1117" t="inlineStr">
        <is>
          <t>VÄSTERNORRLANDS LÄN</t>
        </is>
      </c>
      <c r="E1117" t="inlineStr">
        <is>
          <t>SOLLEFTEÅ</t>
        </is>
      </c>
      <c r="F1117" t="inlineStr">
        <is>
          <t>SCA</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25145-2025</t>
        </is>
      </c>
      <c r="B1118" s="1" t="n">
        <v>45800</v>
      </c>
      <c r="C1118" s="1" t="n">
        <v>45937</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25363-2024</t>
        </is>
      </c>
      <c r="B1119" s="1" t="n">
        <v>45462.95833333334</v>
      </c>
      <c r="C1119" s="1" t="n">
        <v>45937</v>
      </c>
      <c r="D1119" t="inlineStr">
        <is>
          <t>VÄSTERNORRLANDS LÄN</t>
        </is>
      </c>
      <c r="E1119" t="inlineStr">
        <is>
          <t>SOLLEFTEÅ</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25384-2024</t>
        </is>
      </c>
      <c r="B1120" s="1" t="n">
        <v>45462.96334490741</v>
      </c>
      <c r="C1120" s="1" t="n">
        <v>45937</v>
      </c>
      <c r="D1120" t="inlineStr">
        <is>
          <t>VÄSTERNORRLANDS LÄN</t>
        </is>
      </c>
      <c r="E1120" t="inlineStr">
        <is>
          <t>SOLLEFTEÅ</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2456-2025</t>
        </is>
      </c>
      <c r="B1121" s="1" t="n">
        <v>45673</v>
      </c>
      <c r="C1121" s="1" t="n">
        <v>45937</v>
      </c>
      <c r="D1121" t="inlineStr">
        <is>
          <t>VÄSTERNORRLANDS LÄN</t>
        </is>
      </c>
      <c r="E1121" t="inlineStr">
        <is>
          <t>SOLLEFTEÅ</t>
        </is>
      </c>
      <c r="F1121" t="inlineStr">
        <is>
          <t>Kommuner</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61480-2021</t>
        </is>
      </c>
      <c r="B1122" s="1" t="n">
        <v>44500</v>
      </c>
      <c r="C1122" s="1" t="n">
        <v>45937</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24787-2025</t>
        </is>
      </c>
      <c r="B1123" s="1" t="n">
        <v>45799.42791666667</v>
      </c>
      <c r="C1123" s="1" t="n">
        <v>45937</v>
      </c>
      <c r="D1123" t="inlineStr">
        <is>
          <t>VÄSTERNORRLANDS LÄN</t>
        </is>
      </c>
      <c r="E1123" t="inlineStr">
        <is>
          <t>SOLLEFTEÅ</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59371-2022</t>
        </is>
      </c>
      <c r="B1124" s="1" t="n">
        <v>44904</v>
      </c>
      <c r="C1124" s="1" t="n">
        <v>45937</v>
      </c>
      <c r="D1124" t="inlineStr">
        <is>
          <t>VÄSTERNORRLANDS LÄN</t>
        </is>
      </c>
      <c r="E1124" t="inlineStr">
        <is>
          <t>SOLLEFTEÅ</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56176-2022</t>
        </is>
      </c>
      <c r="B1125" s="1" t="n">
        <v>44889.94862268519</v>
      </c>
      <c r="C1125" s="1" t="n">
        <v>45937</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1464-2025</t>
        </is>
      </c>
      <c r="B1126" s="1" t="n">
        <v>45670.365</v>
      </c>
      <c r="C1126" s="1" t="n">
        <v>45937</v>
      </c>
      <c r="D1126" t="inlineStr">
        <is>
          <t>VÄSTERNORRLANDS LÄN</t>
        </is>
      </c>
      <c r="E1126" t="inlineStr">
        <is>
          <t>SOLLEFTEÅ</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34765-2024</t>
        </is>
      </c>
      <c r="B1127" s="1" t="n">
        <v>45526</v>
      </c>
      <c r="C1127" s="1" t="n">
        <v>45937</v>
      </c>
      <c r="D1127" t="inlineStr">
        <is>
          <t>VÄSTERNORRLANDS LÄN</t>
        </is>
      </c>
      <c r="E1127" t="inlineStr">
        <is>
          <t>SOLLEFTEÅ</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10077-2023</t>
        </is>
      </c>
      <c r="B1128" s="1" t="n">
        <v>44985.94408564815</v>
      </c>
      <c r="C1128" s="1" t="n">
        <v>45937</v>
      </c>
      <c r="D1128" t="inlineStr">
        <is>
          <t>VÄSTERNORRLANDS LÄN</t>
        </is>
      </c>
      <c r="E1128" t="inlineStr">
        <is>
          <t>SOLLEFTEÅ</t>
        </is>
      </c>
      <c r="F1128" t="inlineStr">
        <is>
          <t>SCA</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54330-2023</t>
        </is>
      </c>
      <c r="B1129" s="1" t="n">
        <v>45232.95814814815</v>
      </c>
      <c r="C1129" s="1" t="n">
        <v>45937</v>
      </c>
      <c r="D1129" t="inlineStr">
        <is>
          <t>VÄSTERNORRLANDS LÄN</t>
        </is>
      </c>
      <c r="E1129" t="inlineStr">
        <is>
          <t>SOLLEFTEÅ</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25939-2025</t>
        </is>
      </c>
      <c r="B1130" s="1" t="n">
        <v>45804.5943287037</v>
      </c>
      <c r="C1130" s="1" t="n">
        <v>45937</v>
      </c>
      <c r="D1130" t="inlineStr">
        <is>
          <t>VÄSTERNORRLANDS LÄN</t>
        </is>
      </c>
      <c r="E1130" t="inlineStr">
        <is>
          <t>SOLLEFTEÅ</t>
        </is>
      </c>
      <c r="F1130" t="inlineStr">
        <is>
          <t>SCA</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8656-2024</t>
        </is>
      </c>
      <c r="B1131" s="1" t="n">
        <v>45356</v>
      </c>
      <c r="C1131" s="1" t="n">
        <v>45937</v>
      </c>
      <c r="D1131" t="inlineStr">
        <is>
          <t>VÄSTERNORRLANDS LÄN</t>
        </is>
      </c>
      <c r="E1131" t="inlineStr">
        <is>
          <t>SOLLEFTEÅ</t>
        </is>
      </c>
      <c r="F1131" t="inlineStr">
        <is>
          <t>SCA</t>
        </is>
      </c>
      <c r="G1131" t="n">
        <v>18.4</v>
      </c>
      <c r="H1131" t="n">
        <v>0</v>
      </c>
      <c r="I1131" t="n">
        <v>0</v>
      </c>
      <c r="J1131" t="n">
        <v>0</v>
      </c>
      <c r="K1131" t="n">
        <v>0</v>
      </c>
      <c r="L1131" t="n">
        <v>0</v>
      </c>
      <c r="M1131" t="n">
        <v>0</v>
      </c>
      <c r="N1131" t="n">
        <v>0</v>
      </c>
      <c r="O1131" t="n">
        <v>0</v>
      </c>
      <c r="P1131" t="n">
        <v>0</v>
      </c>
      <c r="Q1131" t="n">
        <v>0</v>
      </c>
      <c r="R1131" s="2" t="inlineStr"/>
    </row>
    <row r="1132" ht="15" customHeight="1">
      <c r="A1132" t="inlineStr">
        <is>
          <t>A 20628-2023</t>
        </is>
      </c>
      <c r="B1132" s="1" t="n">
        <v>45057.94373842593</v>
      </c>
      <c r="C1132" s="1" t="n">
        <v>45937</v>
      </c>
      <c r="D1132" t="inlineStr">
        <is>
          <t>VÄSTERNORRLANDS LÄN</t>
        </is>
      </c>
      <c r="E1132" t="inlineStr">
        <is>
          <t>SOLLEFTEÅ</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6284-2025</t>
        </is>
      </c>
      <c r="B1133" s="1" t="n">
        <v>45698.63611111111</v>
      </c>
      <c r="C1133" s="1" t="n">
        <v>45937</v>
      </c>
      <c r="D1133" t="inlineStr">
        <is>
          <t>VÄSTERNORRLANDS LÄN</t>
        </is>
      </c>
      <c r="E1133" t="inlineStr">
        <is>
          <t>SOLLEFTEÅ</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62357-2023</t>
        </is>
      </c>
      <c r="B1134" s="1" t="n">
        <v>45267.95109953704</v>
      </c>
      <c r="C1134" s="1" t="n">
        <v>45937</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19295-2022</t>
        </is>
      </c>
      <c r="B1135" s="1" t="n">
        <v>44692</v>
      </c>
      <c r="C1135" s="1" t="n">
        <v>45937</v>
      </c>
      <c r="D1135" t="inlineStr">
        <is>
          <t>VÄSTERNORRLANDS LÄN</t>
        </is>
      </c>
      <c r="E1135" t="inlineStr">
        <is>
          <t>SOLLEFTEÅ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20516-2024</t>
        </is>
      </c>
      <c r="B1136" s="1" t="n">
        <v>45435</v>
      </c>
      <c r="C1136" s="1" t="n">
        <v>45937</v>
      </c>
      <c r="D1136" t="inlineStr">
        <is>
          <t>VÄSTERNORRLANDS LÄN</t>
        </is>
      </c>
      <c r="E1136" t="inlineStr">
        <is>
          <t>SOLLEFTEÅ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1986-2025</t>
        </is>
      </c>
      <c r="B1137" s="1" t="n">
        <v>45672.40684027778</v>
      </c>
      <c r="C1137" s="1" t="n">
        <v>45937</v>
      </c>
      <c r="D1137" t="inlineStr">
        <is>
          <t>VÄSTERNORRLANDS LÄN</t>
        </is>
      </c>
      <c r="E1137" t="inlineStr">
        <is>
          <t>SOLLEFTEÅ</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25517-2025</t>
        </is>
      </c>
      <c r="B1138" s="1" t="n">
        <v>45803.37570601852</v>
      </c>
      <c r="C1138" s="1" t="n">
        <v>45937</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55272-2024</t>
        </is>
      </c>
      <c r="B1139" s="1" t="n">
        <v>45621</v>
      </c>
      <c r="C1139" s="1" t="n">
        <v>45937</v>
      </c>
      <c r="D1139" t="inlineStr">
        <is>
          <t>VÄSTERNORRLANDS LÄN</t>
        </is>
      </c>
      <c r="E1139" t="inlineStr">
        <is>
          <t>SOLLEFTEÅ</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25833-2025</t>
        </is>
      </c>
      <c r="B1140" s="1" t="n">
        <v>45804.44827546296</v>
      </c>
      <c r="C1140" s="1" t="n">
        <v>45937</v>
      </c>
      <c r="D1140" t="inlineStr">
        <is>
          <t>VÄSTERNORRLANDS LÄN</t>
        </is>
      </c>
      <c r="E1140" t="inlineStr">
        <is>
          <t>SOLLEFTEÅ</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25856-2025</t>
        </is>
      </c>
      <c r="B1141" s="1" t="n">
        <v>45804.46944444445</v>
      </c>
      <c r="C1141" s="1" t="n">
        <v>45937</v>
      </c>
      <c r="D1141" t="inlineStr">
        <is>
          <t>VÄSTERNORRLANDS LÄN</t>
        </is>
      </c>
      <c r="E1141" t="inlineStr">
        <is>
          <t>SOLLEFTEÅ</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25963-2025</t>
        </is>
      </c>
      <c r="B1142" s="1" t="n">
        <v>45804.61568287037</v>
      </c>
      <c r="C1142" s="1" t="n">
        <v>45937</v>
      </c>
      <c r="D1142" t="inlineStr">
        <is>
          <t>VÄSTERNORRLANDS LÄN</t>
        </is>
      </c>
      <c r="E1142" t="inlineStr">
        <is>
          <t>SOLLEFTEÅ</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5359-2025</t>
        </is>
      </c>
      <c r="B1143" s="1" t="n">
        <v>45692</v>
      </c>
      <c r="C1143" s="1" t="n">
        <v>45937</v>
      </c>
      <c r="D1143" t="inlineStr">
        <is>
          <t>VÄSTERNORRLANDS LÄN</t>
        </is>
      </c>
      <c r="E1143" t="inlineStr">
        <is>
          <t>SOLLEFTEÅ</t>
        </is>
      </c>
      <c r="F1143" t="inlineStr">
        <is>
          <t>Övriga statliga verk och myndigheter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11057-2025</t>
        </is>
      </c>
      <c r="B1144" s="1" t="n">
        <v>45723.51069444444</v>
      </c>
      <c r="C1144" s="1" t="n">
        <v>45937</v>
      </c>
      <c r="D1144" t="inlineStr">
        <is>
          <t>VÄSTERNORRLANDS LÄN</t>
        </is>
      </c>
      <c r="E1144" t="inlineStr">
        <is>
          <t>SOLLEFTEÅ</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15147-2024</t>
        </is>
      </c>
      <c r="B1145" s="1" t="n">
        <v>45399.94372685185</v>
      </c>
      <c r="C1145" s="1" t="n">
        <v>45937</v>
      </c>
      <c r="D1145" t="inlineStr">
        <is>
          <t>VÄSTERNORRLANDS LÄN</t>
        </is>
      </c>
      <c r="E1145" t="inlineStr">
        <is>
          <t>SOLLEFTEÅ</t>
        </is>
      </c>
      <c r="F1145" t="inlineStr">
        <is>
          <t>SCA</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51942-2024</t>
        </is>
      </c>
      <c r="B1146" s="1" t="n">
        <v>45607.63592592593</v>
      </c>
      <c r="C1146" s="1" t="n">
        <v>45937</v>
      </c>
      <c r="D1146" t="inlineStr">
        <is>
          <t>VÄSTERNORRLANDS LÄN</t>
        </is>
      </c>
      <c r="E1146" t="inlineStr">
        <is>
          <t>SOLLEFTEÅ</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25855-2025</t>
        </is>
      </c>
      <c r="B1147" s="1" t="n">
        <v>45804.46934027778</v>
      </c>
      <c r="C1147" s="1" t="n">
        <v>45937</v>
      </c>
      <c r="D1147" t="inlineStr">
        <is>
          <t>VÄSTERNORRLANDS LÄN</t>
        </is>
      </c>
      <c r="E1147" t="inlineStr">
        <is>
          <t>SOLLEFTEÅ</t>
        </is>
      </c>
      <c r="F1147" t="inlineStr">
        <is>
          <t>SCA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25857-2025</t>
        </is>
      </c>
      <c r="B1148" s="1" t="n">
        <v>45804.46956018519</v>
      </c>
      <c r="C1148" s="1" t="n">
        <v>45937</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41924-2023</t>
        </is>
      </c>
      <c r="B1149" s="1" t="n">
        <v>45176</v>
      </c>
      <c r="C1149" s="1" t="n">
        <v>45937</v>
      </c>
      <c r="D1149" t="inlineStr">
        <is>
          <t>VÄSTERNORRLANDS LÄN</t>
        </is>
      </c>
      <c r="E1149" t="inlineStr">
        <is>
          <t>SOLLEFTEÅ</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59434-2024</t>
        </is>
      </c>
      <c r="B1150" s="1" t="n">
        <v>45638.43040509259</v>
      </c>
      <c r="C1150" s="1" t="n">
        <v>45937</v>
      </c>
      <c r="D1150" t="inlineStr">
        <is>
          <t>VÄSTERNORRLANDS LÄN</t>
        </is>
      </c>
      <c r="E1150" t="inlineStr">
        <is>
          <t>SOLLEFTEÅ</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25854-2025</t>
        </is>
      </c>
      <c r="B1151" s="1" t="n">
        <v>45804.46920138889</v>
      </c>
      <c r="C1151" s="1" t="n">
        <v>45937</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38493-2025</t>
        </is>
      </c>
      <c r="B1152" s="1" t="n">
        <v>45884.36516203704</v>
      </c>
      <c r="C1152" s="1" t="n">
        <v>45937</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12064-2025</t>
        </is>
      </c>
      <c r="B1153" s="1" t="n">
        <v>45728.69861111111</v>
      </c>
      <c r="C1153" s="1" t="n">
        <v>45937</v>
      </c>
      <c r="D1153" t="inlineStr">
        <is>
          <t>VÄSTERNORRLANDS LÄN</t>
        </is>
      </c>
      <c r="E1153" t="inlineStr">
        <is>
          <t>SOLLEFTEÅ</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50698-2023</t>
        </is>
      </c>
      <c r="B1154" s="1" t="n">
        <v>45210</v>
      </c>
      <c r="C1154" s="1" t="n">
        <v>45937</v>
      </c>
      <c r="D1154" t="inlineStr">
        <is>
          <t>VÄSTERNORRLANDS LÄN</t>
        </is>
      </c>
      <c r="E1154" t="inlineStr">
        <is>
          <t>SOLLEFTEÅ</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59407-2024</t>
        </is>
      </c>
      <c r="B1155" s="1" t="n">
        <v>45638.38917824074</v>
      </c>
      <c r="C1155" s="1" t="n">
        <v>45937</v>
      </c>
      <c r="D1155" t="inlineStr">
        <is>
          <t>VÄSTERNORRLANDS LÄN</t>
        </is>
      </c>
      <c r="E1155" t="inlineStr">
        <is>
          <t>SOLLEFTEÅ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59424-2024</t>
        </is>
      </c>
      <c r="B1156" s="1" t="n">
        <v>45638</v>
      </c>
      <c r="C1156" s="1" t="n">
        <v>45937</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52709-2024</t>
        </is>
      </c>
      <c r="B1157" s="1" t="n">
        <v>45610.42753472222</v>
      </c>
      <c r="C1157" s="1" t="n">
        <v>45937</v>
      </c>
      <c r="D1157" t="inlineStr">
        <is>
          <t>VÄSTERNORRLANDS LÄN</t>
        </is>
      </c>
      <c r="E1157" t="inlineStr">
        <is>
          <t>SOLLEFTEÅ</t>
        </is>
      </c>
      <c r="F1157" t="inlineStr">
        <is>
          <t>SCA</t>
        </is>
      </c>
      <c r="G1157" t="n">
        <v>11.6</v>
      </c>
      <c r="H1157" t="n">
        <v>0</v>
      </c>
      <c r="I1157" t="n">
        <v>0</v>
      </c>
      <c r="J1157" t="n">
        <v>0</v>
      </c>
      <c r="K1157" t="n">
        <v>0</v>
      </c>
      <c r="L1157" t="n">
        <v>0</v>
      </c>
      <c r="M1157" t="n">
        <v>0</v>
      </c>
      <c r="N1157" t="n">
        <v>0</v>
      </c>
      <c r="O1157" t="n">
        <v>0</v>
      </c>
      <c r="P1157" t="n">
        <v>0</v>
      </c>
      <c r="Q1157" t="n">
        <v>0</v>
      </c>
      <c r="R1157" s="2" t="inlineStr"/>
    </row>
    <row r="1158" ht="15" customHeight="1">
      <c r="A1158" t="inlineStr">
        <is>
          <t>A 45644-2023</t>
        </is>
      </c>
      <c r="B1158" s="1" t="n">
        <v>45188</v>
      </c>
      <c r="C1158" s="1" t="n">
        <v>45937</v>
      </c>
      <c r="D1158" t="inlineStr">
        <is>
          <t>VÄSTERNORRLANDS LÄN</t>
        </is>
      </c>
      <c r="E1158" t="inlineStr">
        <is>
          <t>SOLLEFTEÅ</t>
        </is>
      </c>
      <c r="F1158" t="inlineStr">
        <is>
          <t>SCA</t>
        </is>
      </c>
      <c r="G1158" t="n">
        <v>1</v>
      </c>
      <c r="H1158" t="n">
        <v>0</v>
      </c>
      <c r="I1158" t="n">
        <v>0</v>
      </c>
      <c r="J1158" t="n">
        <v>0</v>
      </c>
      <c r="K1158" t="n">
        <v>0</v>
      </c>
      <c r="L1158" t="n">
        <v>0</v>
      </c>
      <c r="M1158" t="n">
        <v>0</v>
      </c>
      <c r="N1158" t="n">
        <v>0</v>
      </c>
      <c r="O1158" t="n">
        <v>0</v>
      </c>
      <c r="P1158" t="n">
        <v>0</v>
      </c>
      <c r="Q1158" t="n">
        <v>0</v>
      </c>
      <c r="R1158" s="2" t="inlineStr"/>
      <c r="U1158">
        <f>HYPERLINK("https://klasma.github.io/Logging_2283/knärot/A 45644-2023 karta knärot.png", "A 45644-2023")</f>
        <v/>
      </c>
      <c r="V1158">
        <f>HYPERLINK("https://klasma.github.io/Logging_2283/klagomål/A 45644-2023 FSC-klagomål.docx", "A 45644-2023")</f>
        <v/>
      </c>
      <c r="W1158">
        <f>HYPERLINK("https://klasma.github.io/Logging_2283/klagomålsmail/A 45644-2023 FSC-klagomål mail.docx", "A 45644-2023")</f>
        <v/>
      </c>
      <c r="X1158">
        <f>HYPERLINK("https://klasma.github.io/Logging_2283/tillsyn/A 45644-2023 tillsynsbegäran.docx", "A 45644-2023")</f>
        <v/>
      </c>
      <c r="Y1158">
        <f>HYPERLINK("https://klasma.github.io/Logging_2283/tillsynsmail/A 45644-2023 tillsynsbegäran mail.docx", "A 45644-2023")</f>
        <v/>
      </c>
    </row>
    <row r="1159" ht="15" customHeight="1">
      <c r="A1159" t="inlineStr">
        <is>
          <t>A 73367-2021</t>
        </is>
      </c>
      <c r="B1159" s="1" t="n">
        <v>44550</v>
      </c>
      <c r="C1159" s="1" t="n">
        <v>45937</v>
      </c>
      <c r="D1159" t="inlineStr">
        <is>
          <t>VÄSTERNORRLANDS LÄN</t>
        </is>
      </c>
      <c r="E1159" t="inlineStr">
        <is>
          <t>SOLLEFTEÅ</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53831-2024</t>
        </is>
      </c>
      <c r="B1160" s="1" t="n">
        <v>45615.61575231481</v>
      </c>
      <c r="C1160" s="1" t="n">
        <v>45937</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45435-2024</t>
        </is>
      </c>
      <c r="B1161" s="1" t="n">
        <v>45576.61538194444</v>
      </c>
      <c r="C1161" s="1" t="n">
        <v>45937</v>
      </c>
      <c r="D1161" t="inlineStr">
        <is>
          <t>VÄSTERNORRLANDS LÄN</t>
        </is>
      </c>
      <c r="E1161" t="inlineStr">
        <is>
          <t>SOLLEFTEÅ</t>
        </is>
      </c>
      <c r="F1161" t="inlineStr">
        <is>
          <t>SCA</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48083-2023</t>
        </is>
      </c>
      <c r="B1162" s="1" t="n">
        <v>45204</v>
      </c>
      <c r="C1162" s="1" t="n">
        <v>45937</v>
      </c>
      <c r="D1162" t="inlineStr">
        <is>
          <t>VÄSTERNORRLANDS LÄN</t>
        </is>
      </c>
      <c r="E1162" t="inlineStr">
        <is>
          <t>SOLLEFTEÅ</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26088-2025</t>
        </is>
      </c>
      <c r="B1163" s="1" t="n">
        <v>45805.34497685185</v>
      </c>
      <c r="C1163" s="1" t="n">
        <v>45937</v>
      </c>
      <c r="D1163" t="inlineStr">
        <is>
          <t>VÄSTERNORRLANDS LÄN</t>
        </is>
      </c>
      <c r="E1163" t="inlineStr">
        <is>
          <t>SOLLEFTEÅ</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43585-2024</t>
        </is>
      </c>
      <c r="B1164" s="1" t="n">
        <v>45569.42770833334</v>
      </c>
      <c r="C1164" s="1" t="n">
        <v>45937</v>
      </c>
      <c r="D1164" t="inlineStr">
        <is>
          <t>VÄSTERNORRLANDS LÄN</t>
        </is>
      </c>
      <c r="E1164" t="inlineStr">
        <is>
          <t>SOLLEFTEÅ</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40115-2023</t>
        </is>
      </c>
      <c r="B1165" s="1" t="n">
        <v>45168.93859953704</v>
      </c>
      <c r="C1165" s="1" t="n">
        <v>45937</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26338-2025</t>
        </is>
      </c>
      <c r="B1166" s="1" t="n">
        <v>45805.69841435185</v>
      </c>
      <c r="C1166" s="1" t="n">
        <v>45937</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26341-2025</t>
        </is>
      </c>
      <c r="B1167" s="1" t="n">
        <v>45805.69878472222</v>
      </c>
      <c r="C1167" s="1" t="n">
        <v>45937</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52461-2024</t>
        </is>
      </c>
      <c r="B1168" s="1" t="n">
        <v>45609.51947916667</v>
      </c>
      <c r="C1168" s="1" t="n">
        <v>45937</v>
      </c>
      <c r="D1168" t="inlineStr">
        <is>
          <t>VÄSTERNORRLANDS LÄN</t>
        </is>
      </c>
      <c r="E1168" t="inlineStr">
        <is>
          <t>SOLLEFTEÅ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52438-2024</t>
        </is>
      </c>
      <c r="B1169" s="1" t="n">
        <v>45609.48300925926</v>
      </c>
      <c r="C1169" s="1" t="n">
        <v>45937</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12311-2023</t>
        </is>
      </c>
      <c r="B1170" s="1" t="n">
        <v>44995</v>
      </c>
      <c r="C1170" s="1" t="n">
        <v>45937</v>
      </c>
      <c r="D1170" t="inlineStr">
        <is>
          <t>VÄSTERNORRLANDS LÄN</t>
        </is>
      </c>
      <c r="E1170" t="inlineStr">
        <is>
          <t>SOLLEFTEÅ</t>
        </is>
      </c>
      <c r="G1170" t="n">
        <v>16.8</v>
      </c>
      <c r="H1170" t="n">
        <v>0</v>
      </c>
      <c r="I1170" t="n">
        <v>0</v>
      </c>
      <c r="J1170" t="n">
        <v>0</v>
      </c>
      <c r="K1170" t="n">
        <v>0</v>
      </c>
      <c r="L1170" t="n">
        <v>0</v>
      </c>
      <c r="M1170" t="n">
        <v>0</v>
      </c>
      <c r="N1170" t="n">
        <v>0</v>
      </c>
      <c r="O1170" t="n">
        <v>0</v>
      </c>
      <c r="P1170" t="n">
        <v>0</v>
      </c>
      <c r="Q1170" t="n">
        <v>0</v>
      </c>
      <c r="R1170" s="2" t="inlineStr"/>
    </row>
    <row r="1171" ht="15" customHeight="1">
      <c r="A1171" t="inlineStr">
        <is>
          <t>A 12764-2022</t>
        </is>
      </c>
      <c r="B1171" s="1" t="n">
        <v>44641.93445601852</v>
      </c>
      <c r="C1171" s="1" t="n">
        <v>45937</v>
      </c>
      <c r="D1171" t="inlineStr">
        <is>
          <t>VÄSTERNORRLANDS LÄN</t>
        </is>
      </c>
      <c r="E1171" t="inlineStr">
        <is>
          <t>SOLLEFTEÅ</t>
        </is>
      </c>
      <c r="F1171" t="inlineStr">
        <is>
          <t>SCA</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26478-2025</t>
        </is>
      </c>
      <c r="B1172" s="1" t="n">
        <v>45807.47013888889</v>
      </c>
      <c r="C1172" s="1" t="n">
        <v>45937</v>
      </c>
      <c r="D1172" t="inlineStr">
        <is>
          <t>VÄSTERNORRLANDS LÄN</t>
        </is>
      </c>
      <c r="E1172" t="inlineStr">
        <is>
          <t>SOLLEFTEÅ</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46750-2025</t>
        </is>
      </c>
      <c r="B1173" s="1" t="n">
        <v>45926.61511574074</v>
      </c>
      <c r="C1173" s="1" t="n">
        <v>45937</v>
      </c>
      <c r="D1173" t="inlineStr">
        <is>
          <t>VÄSTERNORRLANDS LÄN</t>
        </is>
      </c>
      <c r="E1173" t="inlineStr">
        <is>
          <t>SOLLEFTEÅ</t>
        </is>
      </c>
      <c r="F1173" t="inlineStr">
        <is>
          <t>SCA</t>
        </is>
      </c>
      <c r="G1173" t="n">
        <v>59.9</v>
      </c>
      <c r="H1173" t="n">
        <v>0</v>
      </c>
      <c r="I1173" t="n">
        <v>0</v>
      </c>
      <c r="J1173" t="n">
        <v>0</v>
      </c>
      <c r="K1173" t="n">
        <v>0</v>
      </c>
      <c r="L1173" t="n">
        <v>0</v>
      </c>
      <c r="M1173" t="n">
        <v>0</v>
      </c>
      <c r="N1173" t="n">
        <v>0</v>
      </c>
      <c r="O1173" t="n">
        <v>0</v>
      </c>
      <c r="P1173" t="n">
        <v>0</v>
      </c>
      <c r="Q1173" t="n">
        <v>0</v>
      </c>
      <c r="R1173" s="2" t="inlineStr"/>
    </row>
    <row r="1174" ht="15" customHeight="1">
      <c r="A1174" t="inlineStr">
        <is>
          <t>A 50008-2024</t>
        </is>
      </c>
      <c r="B1174" s="1" t="n">
        <v>45598.57908564815</v>
      </c>
      <c r="C1174" s="1" t="n">
        <v>45937</v>
      </c>
      <c r="D1174" t="inlineStr">
        <is>
          <t>VÄSTERNORRLANDS LÄN</t>
        </is>
      </c>
      <c r="E1174" t="inlineStr">
        <is>
          <t>SOLLEFTEÅ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31925-2023</t>
        </is>
      </c>
      <c r="B1175" s="1" t="n">
        <v>45118</v>
      </c>
      <c r="C1175" s="1" t="n">
        <v>45937</v>
      </c>
      <c r="D1175" t="inlineStr">
        <is>
          <t>VÄSTERNORRLANDS LÄN</t>
        </is>
      </c>
      <c r="E1175" t="inlineStr">
        <is>
          <t>SOLLEFTEÅ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12164-2023</t>
        </is>
      </c>
      <c r="B1176" s="1" t="n">
        <v>44995</v>
      </c>
      <c r="C1176" s="1" t="n">
        <v>45937</v>
      </c>
      <c r="D1176" t="inlineStr">
        <is>
          <t>VÄSTERNORRLANDS LÄN</t>
        </is>
      </c>
      <c r="E1176" t="inlineStr">
        <is>
          <t>SOLLEFTEÅ</t>
        </is>
      </c>
      <c r="G1176" t="n">
        <v>18.3</v>
      </c>
      <c r="H1176" t="n">
        <v>0</v>
      </c>
      <c r="I1176" t="n">
        <v>0</v>
      </c>
      <c r="J1176" t="n">
        <v>0</v>
      </c>
      <c r="K1176" t="n">
        <v>0</v>
      </c>
      <c r="L1176" t="n">
        <v>0</v>
      </c>
      <c r="M1176" t="n">
        <v>0</v>
      </c>
      <c r="N1176" t="n">
        <v>0</v>
      </c>
      <c r="O1176" t="n">
        <v>0</v>
      </c>
      <c r="P1176" t="n">
        <v>0</v>
      </c>
      <c r="Q1176" t="n">
        <v>0</v>
      </c>
      <c r="R1176" s="2" t="inlineStr"/>
    </row>
    <row r="1177" ht="15" customHeight="1">
      <c r="A1177" t="inlineStr">
        <is>
          <t>A 18951-2025</t>
        </is>
      </c>
      <c r="B1177" s="1" t="n">
        <v>45764.51086805556</v>
      </c>
      <c r="C1177" s="1" t="n">
        <v>45937</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66844-2020</t>
        </is>
      </c>
      <c r="B1178" s="1" t="n">
        <v>44179</v>
      </c>
      <c r="C1178" s="1" t="n">
        <v>45937</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4895-2025</t>
        </is>
      </c>
      <c r="B1179" s="1" t="n">
        <v>45688.67891203704</v>
      </c>
      <c r="C1179" s="1" t="n">
        <v>45937</v>
      </c>
      <c r="D1179" t="inlineStr">
        <is>
          <t>VÄSTERNORRLANDS LÄN</t>
        </is>
      </c>
      <c r="E1179" t="inlineStr">
        <is>
          <t>SOLLEFTEÅ</t>
        </is>
      </c>
      <c r="F1179" t="inlineStr">
        <is>
          <t>SCA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9632-2025</t>
        </is>
      </c>
      <c r="B1180" s="1" t="n">
        <v>45715.71921296296</v>
      </c>
      <c r="C1180" s="1" t="n">
        <v>45937</v>
      </c>
      <c r="D1180" t="inlineStr">
        <is>
          <t>VÄSTERNORRLANDS LÄN</t>
        </is>
      </c>
      <c r="E1180" t="inlineStr">
        <is>
          <t>SOLLEFTEÅ</t>
        </is>
      </c>
      <c r="F1180" t="inlineStr">
        <is>
          <t>SCA</t>
        </is>
      </c>
      <c r="G1180" t="n">
        <v>21.6</v>
      </c>
      <c r="H1180" t="n">
        <v>0</v>
      </c>
      <c r="I1180" t="n">
        <v>0</v>
      </c>
      <c r="J1180" t="n">
        <v>0</v>
      </c>
      <c r="K1180" t="n">
        <v>0</v>
      </c>
      <c r="L1180" t="n">
        <v>0</v>
      </c>
      <c r="M1180" t="n">
        <v>0</v>
      </c>
      <c r="N1180" t="n">
        <v>0</v>
      </c>
      <c r="O1180" t="n">
        <v>0</v>
      </c>
      <c r="P1180" t="n">
        <v>0</v>
      </c>
      <c r="Q1180" t="n">
        <v>0</v>
      </c>
      <c r="R1180" s="2" t="inlineStr"/>
    </row>
    <row r="1181" ht="15" customHeight="1">
      <c r="A1181" t="inlineStr">
        <is>
          <t>A 26426-2025</t>
        </is>
      </c>
      <c r="B1181" s="1" t="n">
        <v>45807.38574074074</v>
      </c>
      <c r="C1181" s="1" t="n">
        <v>45937</v>
      </c>
      <c r="D1181" t="inlineStr">
        <is>
          <t>VÄSTERNORRLANDS LÄN</t>
        </is>
      </c>
      <c r="E1181" t="inlineStr">
        <is>
          <t>SOLLEFTEÅ</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13138-2024</t>
        </is>
      </c>
      <c r="B1182" s="1" t="n">
        <v>45386</v>
      </c>
      <c r="C1182" s="1" t="n">
        <v>45937</v>
      </c>
      <c r="D1182" t="inlineStr">
        <is>
          <t>VÄSTERNORRLANDS LÄN</t>
        </is>
      </c>
      <c r="E1182" t="inlineStr">
        <is>
          <t>SOLLEFTEÅ</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32969-2022</t>
        </is>
      </c>
      <c r="B1183" s="1" t="n">
        <v>44784.9402662037</v>
      </c>
      <c r="C1183" s="1" t="n">
        <v>45937</v>
      </c>
      <c r="D1183" t="inlineStr">
        <is>
          <t>VÄSTERNORRLANDS LÄN</t>
        </is>
      </c>
      <c r="E1183" t="inlineStr">
        <is>
          <t>SOLLEFTEÅ</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38271-2025</t>
        </is>
      </c>
      <c r="B1184" s="1" t="n">
        <v>45883.4071412037</v>
      </c>
      <c r="C1184" s="1" t="n">
        <v>45937</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12561-2022</t>
        </is>
      </c>
      <c r="B1185" s="1" t="n">
        <v>44638</v>
      </c>
      <c r="C1185" s="1" t="n">
        <v>45937</v>
      </c>
      <c r="D1185" t="inlineStr">
        <is>
          <t>VÄSTERNORRLANDS LÄN</t>
        </is>
      </c>
      <c r="E1185" t="inlineStr">
        <is>
          <t>SOLLEFTEÅ</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14448-2022</t>
        </is>
      </c>
      <c r="B1186" s="1" t="n">
        <v>44652</v>
      </c>
      <c r="C1186" s="1" t="n">
        <v>45937</v>
      </c>
      <c r="D1186" t="inlineStr">
        <is>
          <t>VÄSTERNORRLANDS LÄN</t>
        </is>
      </c>
      <c r="E1186" t="inlineStr">
        <is>
          <t>SOLLEFTEÅ</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27392-2023</t>
        </is>
      </c>
      <c r="B1187" s="1" t="n">
        <v>45096.93997685185</v>
      </c>
      <c r="C1187" s="1" t="n">
        <v>45937</v>
      </c>
      <c r="D1187" t="inlineStr">
        <is>
          <t>VÄSTERNORRLANDS LÄN</t>
        </is>
      </c>
      <c r="E1187" t="inlineStr">
        <is>
          <t>SOLLEFTEÅ</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13492-2022</t>
        </is>
      </c>
      <c r="B1188" s="1" t="n">
        <v>44646.92120370371</v>
      </c>
      <c r="C1188" s="1" t="n">
        <v>45937</v>
      </c>
      <c r="D1188" t="inlineStr">
        <is>
          <t>VÄSTERNORRLANDS LÄN</t>
        </is>
      </c>
      <c r="E1188" t="inlineStr">
        <is>
          <t>SOLLEFTEÅ</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13300-2022</t>
        </is>
      </c>
      <c r="B1189" s="1" t="n">
        <v>44644</v>
      </c>
      <c r="C1189" s="1" t="n">
        <v>45937</v>
      </c>
      <c r="D1189" t="inlineStr">
        <is>
          <t>VÄSTERNORRLANDS LÄN</t>
        </is>
      </c>
      <c r="E1189" t="inlineStr">
        <is>
          <t>SOLLEFTEÅ</t>
        </is>
      </c>
      <c r="F1189" t="inlineStr">
        <is>
          <t>SCA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41041-2024</t>
        </is>
      </c>
      <c r="B1190" s="1" t="n">
        <v>45558</v>
      </c>
      <c r="C1190" s="1" t="n">
        <v>45937</v>
      </c>
      <c r="D1190" t="inlineStr">
        <is>
          <t>VÄSTERNORRLANDS LÄN</t>
        </is>
      </c>
      <c r="E1190" t="inlineStr">
        <is>
          <t>SOLLEFTEÅ</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41042-2024</t>
        </is>
      </c>
      <c r="B1191" s="1" t="n">
        <v>45559.36490740741</v>
      </c>
      <c r="C1191" s="1" t="n">
        <v>45937</v>
      </c>
      <c r="D1191" t="inlineStr">
        <is>
          <t>VÄSTERNORRLANDS LÄN</t>
        </is>
      </c>
      <c r="E1191" t="inlineStr">
        <is>
          <t>SOLLEFTEÅ</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23394-2021</t>
        </is>
      </c>
      <c r="B1192" s="1" t="n">
        <v>44333</v>
      </c>
      <c r="C1192" s="1" t="n">
        <v>45937</v>
      </c>
      <c r="D1192" t="inlineStr">
        <is>
          <t>VÄSTERNORRLANDS LÄN</t>
        </is>
      </c>
      <c r="E1192" t="inlineStr">
        <is>
          <t>SOLLEFTEÅ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22750-2023</t>
        </is>
      </c>
      <c r="B1193" s="1" t="n">
        <v>45071.94090277778</v>
      </c>
      <c r="C1193" s="1" t="n">
        <v>45937</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26570-2025</t>
        </is>
      </c>
      <c r="B1194" s="1" t="n">
        <v>45807.67743055556</v>
      </c>
      <c r="C1194" s="1" t="n">
        <v>45937</v>
      </c>
      <c r="D1194" t="inlineStr">
        <is>
          <t>VÄSTERNORRLANDS LÄN</t>
        </is>
      </c>
      <c r="E1194" t="inlineStr">
        <is>
          <t>SOLLEFTEÅ</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39801-2024</t>
        </is>
      </c>
      <c r="B1195" s="1" t="n">
        <v>45553.34439814815</v>
      </c>
      <c r="C1195" s="1" t="n">
        <v>45937</v>
      </c>
      <c r="D1195" t="inlineStr">
        <is>
          <t>VÄSTERNORRLANDS LÄN</t>
        </is>
      </c>
      <c r="E1195" t="inlineStr">
        <is>
          <t>SOLLEFTEÅ</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27943-2022</t>
        </is>
      </c>
      <c r="B1196" s="1" t="n">
        <v>44743</v>
      </c>
      <c r="C1196" s="1" t="n">
        <v>45937</v>
      </c>
      <c r="D1196" t="inlineStr">
        <is>
          <t>VÄSTERNORRLANDS LÄN</t>
        </is>
      </c>
      <c r="E1196" t="inlineStr">
        <is>
          <t>SOLLEFTEÅ</t>
        </is>
      </c>
      <c r="F1196" t="inlineStr">
        <is>
          <t>SCA</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22207-2025</t>
        </is>
      </c>
      <c r="B1197" s="1" t="n">
        <v>45785.65710648148</v>
      </c>
      <c r="C1197" s="1" t="n">
        <v>45937</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38560-2025</t>
        </is>
      </c>
      <c r="B1198" s="1" t="n">
        <v>45884.44844907407</v>
      </c>
      <c r="C1198" s="1" t="n">
        <v>45937</v>
      </c>
      <c r="D1198" t="inlineStr">
        <is>
          <t>VÄSTERNORRLANDS LÄN</t>
        </is>
      </c>
      <c r="E1198" t="inlineStr">
        <is>
          <t>SOLLEFTEÅ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31453-2022</t>
        </is>
      </c>
      <c r="B1199" s="1" t="n">
        <v>44774.94159722222</v>
      </c>
      <c r="C1199" s="1" t="n">
        <v>45937</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22473-2024</t>
        </is>
      </c>
      <c r="B1200" s="1" t="n">
        <v>45446</v>
      </c>
      <c r="C1200" s="1" t="n">
        <v>45937</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26642-2025</t>
        </is>
      </c>
      <c r="B1201" s="1" t="n">
        <v>45810.36521990741</v>
      </c>
      <c r="C1201" s="1" t="n">
        <v>45937</v>
      </c>
      <c r="D1201" t="inlineStr">
        <is>
          <t>VÄSTERNORRLANDS LÄN</t>
        </is>
      </c>
      <c r="E1201" t="inlineStr">
        <is>
          <t>SOLLEFTEÅ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26409-2025</t>
        </is>
      </c>
      <c r="B1202" s="1" t="n">
        <v>45807.344375</v>
      </c>
      <c r="C1202" s="1" t="n">
        <v>45937</v>
      </c>
      <c r="D1202" t="inlineStr">
        <is>
          <t>VÄSTERNORRLANDS LÄN</t>
        </is>
      </c>
      <c r="E1202" t="inlineStr">
        <is>
          <t>SOLLEFTEÅ</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26477-2025</t>
        </is>
      </c>
      <c r="B1203" s="1" t="n">
        <v>45807.47011574074</v>
      </c>
      <c r="C1203" s="1" t="n">
        <v>45937</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29956-2023</t>
        </is>
      </c>
      <c r="B1204" s="1" t="n">
        <v>45107</v>
      </c>
      <c r="C1204" s="1" t="n">
        <v>45937</v>
      </c>
      <c r="D1204" t="inlineStr">
        <is>
          <t>VÄSTERNORRLANDS LÄN</t>
        </is>
      </c>
      <c r="E1204" t="inlineStr">
        <is>
          <t>SOLLEFTEÅ</t>
        </is>
      </c>
      <c r="F1204" t="inlineStr">
        <is>
          <t>SCA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26641-2025</t>
        </is>
      </c>
      <c r="B1205" s="1" t="n">
        <v>45810.36509259259</v>
      </c>
      <c r="C1205" s="1" t="n">
        <v>45937</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16312-2025</t>
        </is>
      </c>
      <c r="B1206" s="1" t="n">
        <v>45751.3474074074</v>
      </c>
      <c r="C1206" s="1" t="n">
        <v>45937</v>
      </c>
      <c r="D1206" t="inlineStr">
        <is>
          <t>VÄSTERNORRLANDS LÄN</t>
        </is>
      </c>
      <c r="E1206" t="inlineStr">
        <is>
          <t>SOLLEFTEÅ</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39799-2024</t>
        </is>
      </c>
      <c r="B1207" s="1" t="n">
        <v>45553.34415509259</v>
      </c>
      <c r="C1207" s="1" t="n">
        <v>45937</v>
      </c>
      <c r="D1207" t="inlineStr">
        <is>
          <t>VÄSTERNORRLANDS LÄN</t>
        </is>
      </c>
      <c r="E1207" t="inlineStr">
        <is>
          <t>SOLLEFTEÅ</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18442-2025</t>
        </is>
      </c>
      <c r="B1208" s="1" t="n">
        <v>45762.65658564815</v>
      </c>
      <c r="C1208" s="1" t="n">
        <v>45937</v>
      </c>
      <c r="D1208" t="inlineStr">
        <is>
          <t>VÄSTERNORRLANDS LÄN</t>
        </is>
      </c>
      <c r="E1208" t="inlineStr">
        <is>
          <t>SOLLEFTEÅ</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26733-2025</t>
        </is>
      </c>
      <c r="B1209" s="1" t="n">
        <v>45810.51078703703</v>
      </c>
      <c r="C1209" s="1" t="n">
        <v>45937</v>
      </c>
      <c r="D1209" t="inlineStr">
        <is>
          <t>VÄSTERNORRLANDS LÄN</t>
        </is>
      </c>
      <c r="E1209" t="inlineStr">
        <is>
          <t>SOLLEFTEÅ</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54532-2024</t>
        </is>
      </c>
      <c r="B1210" s="1" t="n">
        <v>45617.60480324074</v>
      </c>
      <c r="C1210" s="1" t="n">
        <v>45937</v>
      </c>
      <c r="D1210" t="inlineStr">
        <is>
          <t>VÄSTERNORRLANDS LÄN</t>
        </is>
      </c>
      <c r="E1210" t="inlineStr">
        <is>
          <t>SOLLEFTEÅ</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42115-2024</t>
        </is>
      </c>
      <c r="B1211" s="1" t="n">
        <v>45562.38615740741</v>
      </c>
      <c r="C1211" s="1" t="n">
        <v>45937</v>
      </c>
      <c r="D1211" t="inlineStr">
        <is>
          <t>VÄSTERNORRLANDS LÄN</t>
        </is>
      </c>
      <c r="E1211" t="inlineStr">
        <is>
          <t>SOLLEFTEÅ</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2408-2023</t>
        </is>
      </c>
      <c r="B1212" s="1" t="n">
        <v>44942</v>
      </c>
      <c r="C1212" s="1" t="n">
        <v>45937</v>
      </c>
      <c r="D1212" t="inlineStr">
        <is>
          <t>VÄSTERNORRLANDS LÄN</t>
        </is>
      </c>
      <c r="E1212" t="inlineStr">
        <is>
          <t>SOLLEFTEÅ</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7258-2024</t>
        </is>
      </c>
      <c r="B1213" s="1" t="n">
        <v>45344.74564814815</v>
      </c>
      <c r="C1213" s="1" t="n">
        <v>45937</v>
      </c>
      <c r="D1213" t="inlineStr">
        <is>
          <t>VÄSTERNORRLANDS LÄN</t>
        </is>
      </c>
      <c r="E1213" t="inlineStr">
        <is>
          <t>SOLLEFTEÅ</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19633-2025</t>
        </is>
      </c>
      <c r="B1214" s="1" t="n">
        <v>45770.64655092593</v>
      </c>
      <c r="C1214" s="1" t="n">
        <v>45937</v>
      </c>
      <c r="D1214" t="inlineStr">
        <is>
          <t>VÄSTERNORRLANDS LÄN</t>
        </is>
      </c>
      <c r="E1214" t="inlineStr">
        <is>
          <t>SOLLEFTEÅ</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26937-2025</t>
        </is>
      </c>
      <c r="B1215" s="1" t="n">
        <v>45811.40989583333</v>
      </c>
      <c r="C1215" s="1" t="n">
        <v>45937</v>
      </c>
      <c r="D1215" t="inlineStr">
        <is>
          <t>VÄSTERNORRLANDS LÄN</t>
        </is>
      </c>
      <c r="E1215" t="inlineStr">
        <is>
          <t>SOLLEFTEÅ</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38240-2025</t>
        </is>
      </c>
      <c r="B1216" s="1" t="n">
        <v>45883.36532407408</v>
      </c>
      <c r="C1216" s="1" t="n">
        <v>45937</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20515-2024</t>
        </is>
      </c>
      <c r="B1217" s="1" t="n">
        <v>45435</v>
      </c>
      <c r="C1217" s="1" t="n">
        <v>45937</v>
      </c>
      <c r="D1217" t="inlineStr">
        <is>
          <t>VÄSTERNORRLANDS LÄN</t>
        </is>
      </c>
      <c r="E1217" t="inlineStr">
        <is>
          <t>SOLLEFTEÅ</t>
        </is>
      </c>
      <c r="F1217" t="inlineStr">
        <is>
          <t>SCA</t>
        </is>
      </c>
      <c r="G1217" t="n">
        <v>18.8</v>
      </c>
      <c r="H1217" t="n">
        <v>0</v>
      </c>
      <c r="I1217" t="n">
        <v>0</v>
      </c>
      <c r="J1217" t="n">
        <v>0</v>
      </c>
      <c r="K1217" t="n">
        <v>0</v>
      </c>
      <c r="L1217" t="n">
        <v>0</v>
      </c>
      <c r="M1217" t="n">
        <v>0</v>
      </c>
      <c r="N1217" t="n">
        <v>0</v>
      </c>
      <c r="O1217" t="n">
        <v>0</v>
      </c>
      <c r="P1217" t="n">
        <v>0</v>
      </c>
      <c r="Q1217" t="n">
        <v>0</v>
      </c>
      <c r="R1217" s="2" t="inlineStr"/>
    </row>
    <row r="1218" ht="15" customHeight="1">
      <c r="A1218" t="inlineStr">
        <is>
          <t>A 21092-2024</t>
        </is>
      </c>
      <c r="B1218" s="1" t="n">
        <v>45439.95009259259</v>
      </c>
      <c r="C1218" s="1" t="n">
        <v>45937</v>
      </c>
      <c r="D1218" t="inlineStr">
        <is>
          <t>VÄSTERNORRLANDS LÄN</t>
        </is>
      </c>
      <c r="E1218" t="inlineStr">
        <is>
          <t>SOLLEFTEÅ</t>
        </is>
      </c>
      <c r="F1218" t="inlineStr">
        <is>
          <t>SCA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25356-2024</t>
        </is>
      </c>
      <c r="B1219" s="1" t="n">
        <v>45462.9565162037</v>
      </c>
      <c r="C1219" s="1" t="n">
        <v>45937</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16308-2025</t>
        </is>
      </c>
      <c r="B1220" s="1" t="n">
        <v>45751.34700231482</v>
      </c>
      <c r="C1220" s="1" t="n">
        <v>45937</v>
      </c>
      <c r="D1220" t="inlineStr">
        <is>
          <t>VÄSTERNORRLANDS LÄN</t>
        </is>
      </c>
      <c r="E1220" t="inlineStr">
        <is>
          <t>SOLLEFTEÅ</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31662-2024</t>
        </is>
      </c>
      <c r="B1221" s="1" t="n">
        <v>45506.92857638889</v>
      </c>
      <c r="C1221" s="1" t="n">
        <v>45937</v>
      </c>
      <c r="D1221" t="inlineStr">
        <is>
          <t>VÄSTERNORRLANDS LÄN</t>
        </is>
      </c>
      <c r="E1221" t="inlineStr">
        <is>
          <t>SOLLEFTEÅ</t>
        </is>
      </c>
      <c r="G1221" t="n">
        <v>11.7</v>
      </c>
      <c r="H1221" t="n">
        <v>0</v>
      </c>
      <c r="I1221" t="n">
        <v>0</v>
      </c>
      <c r="J1221" t="n">
        <v>0</v>
      </c>
      <c r="K1221" t="n">
        <v>0</v>
      </c>
      <c r="L1221" t="n">
        <v>0</v>
      </c>
      <c r="M1221" t="n">
        <v>0</v>
      </c>
      <c r="N1221" t="n">
        <v>0</v>
      </c>
      <c r="O1221" t="n">
        <v>0</v>
      </c>
      <c r="P1221" t="n">
        <v>0</v>
      </c>
      <c r="Q1221" t="n">
        <v>0</v>
      </c>
      <c r="R1221" s="2" t="inlineStr"/>
    </row>
    <row r="1222" ht="15" customHeight="1">
      <c r="A1222" t="inlineStr">
        <is>
          <t>A 27288-2025</t>
        </is>
      </c>
      <c r="B1222" s="1" t="n">
        <v>45812.55234953704</v>
      </c>
      <c r="C1222" s="1" t="n">
        <v>45937</v>
      </c>
      <c r="D1222" t="inlineStr">
        <is>
          <t>VÄSTERNORRLANDS LÄN</t>
        </is>
      </c>
      <c r="E1222" t="inlineStr">
        <is>
          <t>SOLLEFTEÅ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26921-2025</t>
        </is>
      </c>
      <c r="B1223" s="1" t="n">
        <v>45811.38575231482</v>
      </c>
      <c r="C1223" s="1" t="n">
        <v>45937</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56416-2023</t>
        </is>
      </c>
      <c r="B1224" s="1" t="n">
        <v>45237</v>
      </c>
      <c r="C1224" s="1" t="n">
        <v>45937</v>
      </c>
      <c r="D1224" t="inlineStr">
        <is>
          <t>VÄSTERNORRLANDS LÄN</t>
        </is>
      </c>
      <c r="E1224" t="inlineStr">
        <is>
          <t>SOLLEFTEÅ</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26953-2025</t>
        </is>
      </c>
      <c r="B1225" s="1" t="n">
        <v>45811.44856481482</v>
      </c>
      <c r="C1225" s="1" t="n">
        <v>45937</v>
      </c>
      <c r="D1225" t="inlineStr">
        <is>
          <t>VÄSTERNORRLANDS LÄN</t>
        </is>
      </c>
      <c r="E1225" t="inlineStr">
        <is>
          <t>SOLLEFTEÅ</t>
        </is>
      </c>
      <c r="F1225" t="inlineStr">
        <is>
          <t>SCA</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2346-2025</t>
        </is>
      </c>
      <c r="B1226" s="1" t="n">
        <v>45673.67767361111</v>
      </c>
      <c r="C1226" s="1" t="n">
        <v>45937</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26935-2025</t>
        </is>
      </c>
      <c r="B1227" s="1" t="n">
        <v>45811.40413194444</v>
      </c>
      <c r="C1227" s="1" t="n">
        <v>45937</v>
      </c>
      <c r="D1227" t="inlineStr">
        <is>
          <t>VÄSTERNORRLANDS LÄN</t>
        </is>
      </c>
      <c r="E1227" t="inlineStr">
        <is>
          <t>SOLLEFTEÅ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26938-2025</t>
        </is>
      </c>
      <c r="B1228" s="1" t="n">
        <v>45811.41346064815</v>
      </c>
      <c r="C1228" s="1" t="n">
        <v>45937</v>
      </c>
      <c r="D1228" t="inlineStr">
        <is>
          <t>VÄSTERNORRLANDS LÄN</t>
        </is>
      </c>
      <c r="E1228" t="inlineStr">
        <is>
          <t>SOLLEFTEÅ</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26952-2025</t>
        </is>
      </c>
      <c r="B1229" s="1" t="n">
        <v>45811.4484375</v>
      </c>
      <c r="C1229" s="1" t="n">
        <v>45937</v>
      </c>
      <c r="D1229" t="inlineStr">
        <is>
          <t>VÄSTERNORRLANDS LÄN</t>
        </is>
      </c>
      <c r="E1229" t="inlineStr">
        <is>
          <t>SOLLEFTEÅ</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14055-2022</t>
        </is>
      </c>
      <c r="B1230" s="1" t="n">
        <v>44650.93824074074</v>
      </c>
      <c r="C1230" s="1" t="n">
        <v>45937</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56134-2023</t>
        </is>
      </c>
      <c r="B1231" s="1" t="n">
        <v>45240</v>
      </c>
      <c r="C1231" s="1" t="n">
        <v>45937</v>
      </c>
      <c r="D1231" t="inlineStr">
        <is>
          <t>VÄSTERNORRLANDS LÄN</t>
        </is>
      </c>
      <c r="E1231" t="inlineStr">
        <is>
          <t>SOLLEFTEÅ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56137-2023</t>
        </is>
      </c>
      <c r="B1232" s="1" t="n">
        <v>45240.59096064815</v>
      </c>
      <c r="C1232" s="1" t="n">
        <v>45937</v>
      </c>
      <c r="D1232" t="inlineStr">
        <is>
          <t>VÄSTERNORRLANDS LÄN</t>
        </is>
      </c>
      <c r="E1232" t="inlineStr">
        <is>
          <t>SOLLEFTEÅ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27167-2025</t>
        </is>
      </c>
      <c r="B1233" s="1" t="n">
        <v>45812.34465277778</v>
      </c>
      <c r="C1233" s="1" t="n">
        <v>45937</v>
      </c>
      <c r="D1233" t="inlineStr">
        <is>
          <t>VÄSTERNORRLANDS LÄN</t>
        </is>
      </c>
      <c r="E1233" t="inlineStr">
        <is>
          <t>SOLLEFTEÅ</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26916-2025</t>
        </is>
      </c>
      <c r="B1234" s="1" t="n">
        <v>45811.37184027778</v>
      </c>
      <c r="C1234" s="1" t="n">
        <v>45937</v>
      </c>
      <c r="D1234" t="inlineStr">
        <is>
          <t>VÄSTERNORRLANDS LÄN</t>
        </is>
      </c>
      <c r="E1234" t="inlineStr">
        <is>
          <t>SOLLEFTEÅ</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2583-2025</t>
        </is>
      </c>
      <c r="B1235" s="1" t="n">
        <v>45674.67803240741</v>
      </c>
      <c r="C1235" s="1" t="n">
        <v>45937</v>
      </c>
      <c r="D1235" t="inlineStr">
        <is>
          <t>VÄSTERNORRLANDS LÄN</t>
        </is>
      </c>
      <c r="E1235" t="inlineStr">
        <is>
          <t>SOLLEFTEÅ</t>
        </is>
      </c>
      <c r="F1235" t="inlineStr">
        <is>
          <t>SCA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7234-2024</t>
        </is>
      </c>
      <c r="B1236" s="1" t="n">
        <v>45344.65627314815</v>
      </c>
      <c r="C1236" s="1" t="n">
        <v>45937</v>
      </c>
      <c r="D1236" t="inlineStr">
        <is>
          <t>VÄSTERNORRLANDS LÄN</t>
        </is>
      </c>
      <c r="E1236" t="inlineStr">
        <is>
          <t>SOLLEFTEÅ</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17512-2024</t>
        </is>
      </c>
      <c r="B1237" s="1" t="n">
        <v>45415</v>
      </c>
      <c r="C1237" s="1" t="n">
        <v>45937</v>
      </c>
      <c r="D1237" t="inlineStr">
        <is>
          <t>VÄSTERNORRLANDS LÄN</t>
        </is>
      </c>
      <c r="E1237" t="inlineStr">
        <is>
          <t>SOLLEFTEÅ</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27407-2025</t>
        </is>
      </c>
      <c r="B1238" s="1" t="n">
        <v>45812.74519675926</v>
      </c>
      <c r="C1238" s="1" t="n">
        <v>45937</v>
      </c>
      <c r="D1238" t="inlineStr">
        <is>
          <t>VÄSTERNORRLANDS LÄN</t>
        </is>
      </c>
      <c r="E1238" t="inlineStr">
        <is>
          <t>SOLLEFTEÅ</t>
        </is>
      </c>
      <c r="G1238" t="n">
        <v>23.2</v>
      </c>
      <c r="H1238" t="n">
        <v>0</v>
      </c>
      <c r="I1238" t="n">
        <v>0</v>
      </c>
      <c r="J1238" t="n">
        <v>0</v>
      </c>
      <c r="K1238" t="n">
        <v>0</v>
      </c>
      <c r="L1238" t="n">
        <v>0</v>
      </c>
      <c r="M1238" t="n">
        <v>0</v>
      </c>
      <c r="N1238" t="n">
        <v>0</v>
      </c>
      <c r="O1238" t="n">
        <v>0</v>
      </c>
      <c r="P1238" t="n">
        <v>0</v>
      </c>
      <c r="Q1238" t="n">
        <v>0</v>
      </c>
      <c r="R1238" s="2" t="inlineStr"/>
    </row>
    <row r="1239" ht="15" customHeight="1">
      <c r="A1239" t="inlineStr">
        <is>
          <t>A 42987-2024</t>
        </is>
      </c>
      <c r="B1239" s="1" t="n">
        <v>45567</v>
      </c>
      <c r="C1239" s="1" t="n">
        <v>45937</v>
      </c>
      <c r="D1239" t="inlineStr">
        <is>
          <t>VÄSTERNORRLANDS LÄN</t>
        </is>
      </c>
      <c r="E1239" t="inlineStr">
        <is>
          <t>SOLLEFTEÅ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51693-2024</t>
        </is>
      </c>
      <c r="B1240" s="1" t="n">
        <v>45607.34570601852</v>
      </c>
      <c r="C1240" s="1" t="n">
        <v>45937</v>
      </c>
      <c r="D1240" t="inlineStr">
        <is>
          <t>VÄSTERNORRLANDS LÄN</t>
        </is>
      </c>
      <c r="E1240" t="inlineStr">
        <is>
          <t>SOLLEFTEÅ</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56249-2023</t>
        </is>
      </c>
      <c r="B1241" s="1" t="n">
        <v>45240.9468287037</v>
      </c>
      <c r="C1241" s="1" t="n">
        <v>45937</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27142-2025</t>
        </is>
      </c>
      <c r="B1242" s="1" t="n">
        <v>45812.28087962963</v>
      </c>
      <c r="C1242" s="1" t="n">
        <v>45937</v>
      </c>
      <c r="D1242" t="inlineStr">
        <is>
          <t>VÄSTERNORRLANDS LÄN</t>
        </is>
      </c>
      <c r="E1242" t="inlineStr">
        <is>
          <t>SOLLEFTEÅ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26896-2025</t>
        </is>
      </c>
      <c r="B1243" s="1" t="n">
        <v>45811.33834490741</v>
      </c>
      <c r="C1243" s="1" t="n">
        <v>45937</v>
      </c>
      <c r="D1243" t="inlineStr">
        <is>
          <t>VÄSTERNORRLANDS LÄN</t>
        </is>
      </c>
      <c r="E1243" t="inlineStr">
        <is>
          <t>SOLLEFTEÅ</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7157-2025</t>
        </is>
      </c>
      <c r="B1244" s="1" t="n">
        <v>45702.38637731481</v>
      </c>
      <c r="C1244" s="1" t="n">
        <v>45937</v>
      </c>
      <c r="D1244" t="inlineStr">
        <is>
          <t>VÄSTERNORRLANDS LÄN</t>
        </is>
      </c>
      <c r="E1244" t="inlineStr">
        <is>
          <t>SOLLEFTEÅ</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20204-2025</t>
        </is>
      </c>
      <c r="B1245" s="1" t="n">
        <v>45772.61537037037</v>
      </c>
      <c r="C1245" s="1" t="n">
        <v>45937</v>
      </c>
      <c r="D1245" t="inlineStr">
        <is>
          <t>VÄSTERNORRLANDS LÄN</t>
        </is>
      </c>
      <c r="E1245" t="inlineStr">
        <is>
          <t>SOLLEFTEÅ</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8033-2024</t>
        </is>
      </c>
      <c r="B1246" s="1" t="n">
        <v>45350.95284722222</v>
      </c>
      <c r="C1246" s="1" t="n">
        <v>45937</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8038-2024</t>
        </is>
      </c>
      <c r="B1247" s="1" t="n">
        <v>45350</v>
      </c>
      <c r="C1247" s="1" t="n">
        <v>45937</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8039-2024</t>
        </is>
      </c>
      <c r="B1248" s="1" t="n">
        <v>45350</v>
      </c>
      <c r="C1248" s="1" t="n">
        <v>45937</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27519-2025</t>
        </is>
      </c>
      <c r="B1249" s="1" t="n">
        <v>45813.44186342593</v>
      </c>
      <c r="C1249" s="1" t="n">
        <v>45937</v>
      </c>
      <c r="D1249" t="inlineStr">
        <is>
          <t>VÄSTERNORRLANDS LÄN</t>
        </is>
      </c>
      <c r="E1249" t="inlineStr">
        <is>
          <t>SOLLEFTEÅ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27592-2025</t>
        </is>
      </c>
      <c r="B1250" s="1" t="n">
        <v>45813.5191550926</v>
      </c>
      <c r="C1250" s="1" t="n">
        <v>45937</v>
      </c>
      <c r="D1250" t="inlineStr">
        <is>
          <t>VÄSTERNORRLANDS LÄN</t>
        </is>
      </c>
      <c r="E1250" t="inlineStr">
        <is>
          <t>SOLLEFTEÅ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27660-2025</t>
        </is>
      </c>
      <c r="B1251" s="1" t="n">
        <v>45813.61490740741</v>
      </c>
      <c r="C1251" s="1" t="n">
        <v>45937</v>
      </c>
      <c r="D1251" t="inlineStr">
        <is>
          <t>VÄSTERNORRLANDS LÄN</t>
        </is>
      </c>
      <c r="E1251" t="inlineStr">
        <is>
          <t>SOLLEFTEÅ</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8653-2024</t>
        </is>
      </c>
      <c r="B1252" s="1" t="n">
        <v>45356</v>
      </c>
      <c r="C1252" s="1" t="n">
        <v>45937</v>
      </c>
      <c r="D1252" t="inlineStr">
        <is>
          <t>VÄSTERNORRLANDS LÄN</t>
        </is>
      </c>
      <c r="E1252" t="inlineStr">
        <is>
          <t>SOLLEFTEÅ</t>
        </is>
      </c>
      <c r="F1252" t="inlineStr">
        <is>
          <t>SCA</t>
        </is>
      </c>
      <c r="G1252" t="n">
        <v>67.8</v>
      </c>
      <c r="H1252" t="n">
        <v>0</v>
      </c>
      <c r="I1252" t="n">
        <v>0</v>
      </c>
      <c r="J1252" t="n">
        <v>0</v>
      </c>
      <c r="K1252" t="n">
        <v>0</v>
      </c>
      <c r="L1252" t="n">
        <v>0</v>
      </c>
      <c r="M1252" t="n">
        <v>0</v>
      </c>
      <c r="N1252" t="n">
        <v>0</v>
      </c>
      <c r="O1252" t="n">
        <v>0</v>
      </c>
      <c r="P1252" t="n">
        <v>0</v>
      </c>
      <c r="Q1252" t="n">
        <v>0</v>
      </c>
      <c r="R1252" s="2" t="inlineStr"/>
    </row>
    <row r="1253" ht="15" customHeight="1">
      <c r="A1253" t="inlineStr">
        <is>
          <t>A 31559-2024</t>
        </is>
      </c>
      <c r="B1253" s="1" t="n">
        <v>45505.96555555556</v>
      </c>
      <c r="C1253" s="1" t="n">
        <v>45937</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38562-2025</t>
        </is>
      </c>
      <c r="B1254" s="1" t="n">
        <v>45884.44865740741</v>
      </c>
      <c r="C1254" s="1" t="n">
        <v>45937</v>
      </c>
      <c r="D1254" t="inlineStr">
        <is>
          <t>VÄSTERNORRLANDS LÄN</t>
        </is>
      </c>
      <c r="E1254" t="inlineStr">
        <is>
          <t>SOLLEFTEÅ</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4894-2025</t>
        </is>
      </c>
      <c r="B1255" s="1" t="n">
        <v>45688.67888888889</v>
      </c>
      <c r="C1255" s="1" t="n">
        <v>45937</v>
      </c>
      <c r="D1255" t="inlineStr">
        <is>
          <t>VÄSTERNORRLANDS LÄN</t>
        </is>
      </c>
      <c r="E1255" t="inlineStr">
        <is>
          <t>SOLLEFTEÅ</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4931-2025</t>
        </is>
      </c>
      <c r="B1256" s="1" t="n">
        <v>45688.68476851852</v>
      </c>
      <c r="C1256" s="1" t="n">
        <v>45937</v>
      </c>
      <c r="D1256" t="inlineStr">
        <is>
          <t>VÄSTERNORRLANDS LÄN</t>
        </is>
      </c>
      <c r="E1256" t="inlineStr">
        <is>
          <t>SOLLEFTEÅ</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2677-2025</t>
        </is>
      </c>
      <c r="B1257" s="1" t="n">
        <v>45677</v>
      </c>
      <c r="C1257" s="1" t="n">
        <v>45937</v>
      </c>
      <c r="D1257" t="inlineStr">
        <is>
          <t>VÄSTERNORRLANDS LÄN</t>
        </is>
      </c>
      <c r="E1257" t="inlineStr">
        <is>
          <t>SOLLEFTEÅ</t>
        </is>
      </c>
      <c r="F1257" t="inlineStr">
        <is>
          <t>SCA</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27427-2025</t>
        </is>
      </c>
      <c r="B1258" s="1" t="n">
        <v>45813.28706018518</v>
      </c>
      <c r="C1258" s="1" t="n">
        <v>45937</v>
      </c>
      <c r="D1258" t="inlineStr">
        <is>
          <t>VÄSTERNORRLANDS LÄN</t>
        </is>
      </c>
      <c r="E1258" t="inlineStr">
        <is>
          <t>SOLLEFTEÅ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42164-2023</t>
        </is>
      </c>
      <c r="B1259" s="1" t="n">
        <v>45177.93747685185</v>
      </c>
      <c r="C1259" s="1" t="n">
        <v>45937</v>
      </c>
      <c r="D1259" t="inlineStr">
        <is>
          <t>VÄSTERNORRLANDS LÄN</t>
        </is>
      </c>
      <c r="E1259" t="inlineStr">
        <is>
          <t>SOLLEFTEÅ</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23025-2024</t>
        </is>
      </c>
      <c r="B1260" s="1" t="n">
        <v>45450.36578703704</v>
      </c>
      <c r="C1260" s="1" t="n">
        <v>45937</v>
      </c>
      <c r="D1260" t="inlineStr">
        <is>
          <t>VÄSTERNORRLANDS LÄN</t>
        </is>
      </c>
      <c r="E1260" t="inlineStr">
        <is>
          <t>SOLLEFTEÅ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48088-2023</t>
        </is>
      </c>
      <c r="B1261" s="1" t="n">
        <v>45204.94657407407</v>
      </c>
      <c r="C1261" s="1" t="n">
        <v>45937</v>
      </c>
      <c r="D1261" t="inlineStr">
        <is>
          <t>VÄSTERNORRLANDS LÄN</t>
        </is>
      </c>
      <c r="E1261" t="inlineStr">
        <is>
          <t>SOLLEFTEÅ</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38220-2025</t>
        </is>
      </c>
      <c r="B1262" s="1" t="n">
        <v>45883.34418981482</v>
      </c>
      <c r="C1262" s="1" t="n">
        <v>45937</v>
      </c>
      <c r="D1262" t="inlineStr">
        <is>
          <t>VÄSTERNORRLANDS LÄN</t>
        </is>
      </c>
      <c r="E1262" t="inlineStr">
        <is>
          <t>SOLLEFTEÅ</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36004-2024</t>
        </is>
      </c>
      <c r="B1263" s="1" t="n">
        <v>45533.54848379629</v>
      </c>
      <c r="C1263" s="1" t="n">
        <v>45937</v>
      </c>
      <c r="D1263" t="inlineStr">
        <is>
          <t>VÄSTERNORRLANDS LÄN</t>
        </is>
      </c>
      <c r="E1263" t="inlineStr">
        <is>
          <t>SOLLEFTEÅ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20335-2025</t>
        </is>
      </c>
      <c r="B1264" s="1" t="n">
        <v>45775.36510416667</v>
      </c>
      <c r="C1264" s="1" t="n">
        <v>45937</v>
      </c>
      <c r="D1264" t="inlineStr">
        <is>
          <t>VÄSTERNORRLANDS LÄN</t>
        </is>
      </c>
      <c r="E1264" t="inlineStr">
        <is>
          <t>SOLLEFTEÅ</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14718-2023</t>
        </is>
      </c>
      <c r="B1265" s="1" t="n">
        <v>45012</v>
      </c>
      <c r="C1265" s="1" t="n">
        <v>45937</v>
      </c>
      <c r="D1265" t="inlineStr">
        <is>
          <t>VÄSTERNORRLANDS LÄN</t>
        </is>
      </c>
      <c r="E1265" t="inlineStr">
        <is>
          <t>SOLLEFTEÅ</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12617-2025</t>
        </is>
      </c>
      <c r="B1266" s="1" t="n">
        <v>45733.34895833334</v>
      </c>
      <c r="C1266" s="1" t="n">
        <v>45937</v>
      </c>
      <c r="D1266" t="inlineStr">
        <is>
          <t>VÄSTERNORRLANDS LÄN</t>
        </is>
      </c>
      <c r="E1266" t="inlineStr">
        <is>
          <t>SOLLEFTEÅ</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24596-2023</t>
        </is>
      </c>
      <c r="B1267" s="1" t="n">
        <v>45083.94011574074</v>
      </c>
      <c r="C1267" s="1" t="n">
        <v>45937</v>
      </c>
      <c r="D1267" t="inlineStr">
        <is>
          <t>VÄSTERNORRLANDS LÄN</t>
        </is>
      </c>
      <c r="E1267" t="inlineStr">
        <is>
          <t>SOLLEFTEÅ</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58845-2024</t>
        </is>
      </c>
      <c r="B1268" s="1" t="n">
        <v>45636.3862037037</v>
      </c>
      <c r="C1268" s="1" t="n">
        <v>45937</v>
      </c>
      <c r="D1268" t="inlineStr">
        <is>
          <t>VÄSTERNORRLANDS LÄN</t>
        </is>
      </c>
      <c r="E1268" t="inlineStr">
        <is>
          <t>SOLLEFTEÅ</t>
        </is>
      </c>
      <c r="F1268" t="inlineStr">
        <is>
          <t>SCA</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5258-2025</t>
        </is>
      </c>
      <c r="B1269" s="1" t="n">
        <v>45692</v>
      </c>
      <c r="C1269" s="1" t="n">
        <v>45937</v>
      </c>
      <c r="D1269" t="inlineStr">
        <is>
          <t>VÄSTERNORRLANDS LÄN</t>
        </is>
      </c>
      <c r="E1269" t="inlineStr">
        <is>
          <t>SOLLEFTEÅ</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15429-2025</t>
        </is>
      </c>
      <c r="B1270" s="1" t="n">
        <v>45747.47</v>
      </c>
      <c r="C1270" s="1" t="n">
        <v>45937</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17889-2025</t>
        </is>
      </c>
      <c r="B1271" s="1" t="n">
        <v>45758.67746527777</v>
      </c>
      <c r="C1271" s="1" t="n">
        <v>45937</v>
      </c>
      <c r="D1271" t="inlineStr">
        <is>
          <t>VÄSTERNORRLANDS LÄN</t>
        </is>
      </c>
      <c r="E1271" t="inlineStr">
        <is>
          <t>SOLLEFTEÅ</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28580-2024</t>
        </is>
      </c>
      <c r="B1272" s="1" t="n">
        <v>45478</v>
      </c>
      <c r="C1272" s="1" t="n">
        <v>45937</v>
      </c>
      <c r="D1272" t="inlineStr">
        <is>
          <t>VÄSTERNORRLANDS LÄN</t>
        </is>
      </c>
      <c r="E1272" t="inlineStr">
        <is>
          <t>SOLLEFTEÅ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23030-2021</t>
        </is>
      </c>
      <c r="B1273" s="1" t="n">
        <v>44328.94091435185</v>
      </c>
      <c r="C1273" s="1" t="n">
        <v>45937</v>
      </c>
      <c r="D1273" t="inlineStr">
        <is>
          <t>VÄSTERNORRLANDS LÄN</t>
        </is>
      </c>
      <c r="E1273" t="inlineStr">
        <is>
          <t>SOLLEFTEÅ</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55710-2024</t>
        </is>
      </c>
      <c r="B1274" s="1" t="n">
        <v>45622.6985300926</v>
      </c>
      <c r="C1274" s="1" t="n">
        <v>45937</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46784-2025</t>
        </is>
      </c>
      <c r="B1275" s="1" t="n">
        <v>45926.64270833333</v>
      </c>
      <c r="C1275" s="1" t="n">
        <v>45937</v>
      </c>
      <c r="D1275" t="inlineStr">
        <is>
          <t>VÄSTERNORRLANDS LÄN</t>
        </is>
      </c>
      <c r="E1275" t="inlineStr">
        <is>
          <t>SOLLEFTEÅ</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20458-2025</t>
        </is>
      </c>
      <c r="B1276" s="1" t="n">
        <v>45775.52623842593</v>
      </c>
      <c r="C1276" s="1" t="n">
        <v>45937</v>
      </c>
      <c r="D1276" t="inlineStr">
        <is>
          <t>VÄSTERNORRLANDS LÄN</t>
        </is>
      </c>
      <c r="E1276" t="inlineStr">
        <is>
          <t>SOLLEFTEÅ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56261-2023</t>
        </is>
      </c>
      <c r="B1277" s="1" t="n">
        <v>45240</v>
      </c>
      <c r="C1277" s="1" t="n">
        <v>45937</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35502-2024</t>
        </is>
      </c>
      <c r="B1278" s="1" t="n">
        <v>45531</v>
      </c>
      <c r="C1278" s="1" t="n">
        <v>45937</v>
      </c>
      <c r="D1278" t="inlineStr">
        <is>
          <t>VÄSTERNORRLANDS LÄN</t>
        </is>
      </c>
      <c r="E1278" t="inlineStr">
        <is>
          <t>SOLLEFTEÅ</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55726-2024</t>
        </is>
      </c>
      <c r="B1279" s="1" t="n">
        <v>45622.84653935185</v>
      </c>
      <c r="C1279" s="1" t="n">
        <v>45937</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55756-2024</t>
        </is>
      </c>
      <c r="B1280" s="1" t="n">
        <v>45623</v>
      </c>
      <c r="C1280" s="1" t="n">
        <v>45937</v>
      </c>
      <c r="D1280" t="inlineStr">
        <is>
          <t>VÄSTERNORRLANDS LÄN</t>
        </is>
      </c>
      <c r="E1280" t="inlineStr">
        <is>
          <t>SOLLEFTEÅ</t>
        </is>
      </c>
      <c r="F1280" t="inlineStr">
        <is>
          <t>Holmen skog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20061-2022</t>
        </is>
      </c>
      <c r="B1281" s="1" t="n">
        <v>44697.94140046297</v>
      </c>
      <c r="C1281" s="1" t="n">
        <v>45937</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20551-2022</t>
        </is>
      </c>
      <c r="B1282" s="1" t="n">
        <v>44699</v>
      </c>
      <c r="C1282" s="1" t="n">
        <v>45937</v>
      </c>
      <c r="D1282" t="inlineStr">
        <is>
          <t>VÄSTERNORRLANDS LÄN</t>
        </is>
      </c>
      <c r="E1282" t="inlineStr">
        <is>
          <t>SOLLEFTEÅ</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35556-2023</t>
        </is>
      </c>
      <c r="B1283" s="1" t="n">
        <v>45147</v>
      </c>
      <c r="C1283" s="1" t="n">
        <v>45937</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38561-2025</t>
        </is>
      </c>
      <c r="B1284" s="1" t="n">
        <v>45884.44849537037</v>
      </c>
      <c r="C1284" s="1" t="n">
        <v>45937</v>
      </c>
      <c r="D1284" t="inlineStr">
        <is>
          <t>VÄSTERNORRLANDS LÄN</t>
        </is>
      </c>
      <c r="E1284" t="inlineStr">
        <is>
          <t>SOLLEFTEÅ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30822-2023</t>
        </is>
      </c>
      <c r="B1285" s="1" t="n">
        <v>45112.94289351852</v>
      </c>
      <c r="C1285" s="1" t="n">
        <v>45937</v>
      </c>
      <c r="D1285" t="inlineStr">
        <is>
          <t>VÄSTERNORRLANDS LÄN</t>
        </is>
      </c>
      <c r="E1285" t="inlineStr">
        <is>
          <t>SOLLEFTEÅ</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38330-2025</t>
        </is>
      </c>
      <c r="B1286" s="1" t="n">
        <v>45883.49123842592</v>
      </c>
      <c r="C1286" s="1" t="n">
        <v>45937</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38492-2025</t>
        </is>
      </c>
      <c r="B1287" s="1" t="n">
        <v>45884.36496527777</v>
      </c>
      <c r="C1287" s="1" t="n">
        <v>45937</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4722-2025</t>
        </is>
      </c>
      <c r="B1288" s="1" t="n">
        <v>45688.41627314815</v>
      </c>
      <c r="C1288" s="1" t="n">
        <v>45937</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4726-2025</t>
        </is>
      </c>
      <c r="B1289" s="1" t="n">
        <v>45688</v>
      </c>
      <c r="C1289" s="1" t="n">
        <v>45937</v>
      </c>
      <c r="D1289" t="inlineStr">
        <is>
          <t>VÄSTERNORRLANDS LÄN</t>
        </is>
      </c>
      <c r="E1289" t="inlineStr">
        <is>
          <t>SOLLEFTEÅ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55769-2024</t>
        </is>
      </c>
      <c r="B1290" s="1" t="n">
        <v>45623.38574074074</v>
      </c>
      <c r="C1290" s="1" t="n">
        <v>45937</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57492-2024</t>
        </is>
      </c>
      <c r="B1291" s="1" t="n">
        <v>45630.36827546296</v>
      </c>
      <c r="C1291" s="1" t="n">
        <v>45937</v>
      </c>
      <c r="D1291" t="inlineStr">
        <is>
          <t>VÄSTERNORRLANDS LÄN</t>
        </is>
      </c>
      <c r="E1291" t="inlineStr">
        <is>
          <t>SOLLEFTEÅ</t>
        </is>
      </c>
      <c r="F1291" t="inlineStr">
        <is>
          <t>Holmen skog AB</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58226-2024</t>
        </is>
      </c>
      <c r="B1292" s="1" t="n">
        <v>45632.51076388889</v>
      </c>
      <c r="C1292" s="1" t="n">
        <v>45937</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56204-2024</t>
        </is>
      </c>
      <c r="B1293" s="1" t="n">
        <v>45624</v>
      </c>
      <c r="C1293" s="1" t="n">
        <v>45937</v>
      </c>
      <c r="D1293" t="inlineStr">
        <is>
          <t>VÄSTERNORRLANDS LÄN</t>
        </is>
      </c>
      <c r="E1293" t="inlineStr">
        <is>
          <t>SOLLEFTEÅ</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31481-2024</t>
        </is>
      </c>
      <c r="B1294" s="1" t="n">
        <v>45505</v>
      </c>
      <c r="C1294" s="1" t="n">
        <v>45937</v>
      </c>
      <c r="D1294" t="inlineStr">
        <is>
          <t>VÄSTERNORRLANDS LÄN</t>
        </is>
      </c>
      <c r="E1294" t="inlineStr">
        <is>
          <t>SOLLEFTEÅ</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51505-2024</t>
        </is>
      </c>
      <c r="B1295" s="1" t="n">
        <v>45604</v>
      </c>
      <c r="C1295" s="1" t="n">
        <v>45937</v>
      </c>
      <c r="D1295" t="inlineStr">
        <is>
          <t>VÄSTERNORRLANDS LÄN</t>
        </is>
      </c>
      <c r="E1295" t="inlineStr">
        <is>
          <t>SOLLEFTEÅ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57107-2024</t>
        </is>
      </c>
      <c r="B1296" s="1" t="n">
        <v>45629</v>
      </c>
      <c r="C1296" s="1" t="n">
        <v>45937</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27956-2025</t>
        </is>
      </c>
      <c r="B1297" s="1" t="n">
        <v>45817.5344675926</v>
      </c>
      <c r="C1297" s="1" t="n">
        <v>45937</v>
      </c>
      <c r="D1297" t="inlineStr">
        <is>
          <t>VÄSTERNORRLANDS LÄN</t>
        </is>
      </c>
      <c r="E1297" t="inlineStr">
        <is>
          <t>SOLLEFTEÅ</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5519-2023</t>
        </is>
      </c>
      <c r="B1298" s="1" t="n">
        <v>44960.42409722223</v>
      </c>
      <c r="C1298" s="1" t="n">
        <v>45937</v>
      </c>
      <c r="D1298" t="inlineStr">
        <is>
          <t>VÄSTERNORRLANDS LÄN</t>
        </is>
      </c>
      <c r="E1298" t="inlineStr">
        <is>
          <t>SOLLEFTEÅ</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48999-2023</t>
        </is>
      </c>
      <c r="B1299" s="1" t="n">
        <v>45209.66075231481</v>
      </c>
      <c r="C1299" s="1" t="n">
        <v>45937</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28142-2025</t>
        </is>
      </c>
      <c r="B1300" s="1" t="n">
        <v>45818.34538194445</v>
      </c>
      <c r="C1300" s="1" t="n">
        <v>45937</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38581-2025</t>
        </is>
      </c>
      <c r="B1301" s="1" t="n">
        <v>45884.46965277778</v>
      </c>
      <c r="C1301" s="1" t="n">
        <v>45937</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38596-2025</t>
        </is>
      </c>
      <c r="B1302" s="1" t="n">
        <v>45884.49040509259</v>
      </c>
      <c r="C1302" s="1" t="n">
        <v>45937</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38598-2025</t>
        </is>
      </c>
      <c r="B1303" s="1" t="n">
        <v>45884.49074074074</v>
      </c>
      <c r="C1303" s="1" t="n">
        <v>45937</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55824-2024</t>
        </is>
      </c>
      <c r="B1304" s="1" t="n">
        <v>45623.47813657407</v>
      </c>
      <c r="C1304" s="1" t="n">
        <v>45937</v>
      </c>
      <c r="D1304" t="inlineStr">
        <is>
          <t>VÄSTERNORRLANDS LÄN</t>
        </is>
      </c>
      <c r="E1304" t="inlineStr">
        <is>
          <t>SOLLEFTEÅ</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27748-2025</t>
        </is>
      </c>
      <c r="B1305" s="1" t="n">
        <v>45815.67740740741</v>
      </c>
      <c r="C1305" s="1" t="n">
        <v>45937</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7036-2025</t>
        </is>
      </c>
      <c r="B1306" s="1" t="n">
        <v>45701.63597222222</v>
      </c>
      <c r="C1306" s="1" t="n">
        <v>45937</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27822-2025</t>
        </is>
      </c>
      <c r="B1307" s="1" t="n">
        <v>45817.34410879629</v>
      </c>
      <c r="C1307" s="1" t="n">
        <v>45937</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17422-2025</t>
        </is>
      </c>
      <c r="B1308" s="1" t="n">
        <v>45757.38570601852</v>
      </c>
      <c r="C1308" s="1" t="n">
        <v>45937</v>
      </c>
      <c r="D1308" t="inlineStr">
        <is>
          <t>VÄSTERNORRLANDS LÄN</t>
        </is>
      </c>
      <c r="E1308" t="inlineStr">
        <is>
          <t>SOLLEFTEÅ</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62406-2022</t>
        </is>
      </c>
      <c r="B1309" s="1" t="n">
        <v>44923</v>
      </c>
      <c r="C1309" s="1" t="n">
        <v>45937</v>
      </c>
      <c r="D1309" t="inlineStr">
        <is>
          <t>VÄSTERNORRLANDS LÄN</t>
        </is>
      </c>
      <c r="E1309" t="inlineStr">
        <is>
          <t>SOLLEFTEÅ</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28195-2025</t>
        </is>
      </c>
      <c r="B1310" s="1" t="n">
        <v>45818</v>
      </c>
      <c r="C1310" s="1" t="n">
        <v>45937</v>
      </c>
      <c r="D1310" t="inlineStr">
        <is>
          <t>VÄSTERNORRLANDS LÄN</t>
        </is>
      </c>
      <c r="E1310" t="inlineStr">
        <is>
          <t>SOLLEFTEÅ</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12627-2025</t>
        </is>
      </c>
      <c r="B1311" s="1" t="n">
        <v>45733.36728009259</v>
      </c>
      <c r="C1311" s="1" t="n">
        <v>45937</v>
      </c>
      <c r="D1311" t="inlineStr">
        <is>
          <t>VÄSTERNORRLANDS LÄN</t>
        </is>
      </c>
      <c r="E1311" t="inlineStr">
        <is>
          <t>SOLLEFTEÅ</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41925-2024</t>
        </is>
      </c>
      <c r="B1312" s="1" t="n">
        <v>45561</v>
      </c>
      <c r="C1312" s="1" t="n">
        <v>45937</v>
      </c>
      <c r="D1312" t="inlineStr">
        <is>
          <t>VÄSTERNORRLANDS LÄN</t>
        </is>
      </c>
      <c r="E1312" t="inlineStr">
        <is>
          <t>SOLLEFTEÅ</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59421-2024</t>
        </is>
      </c>
      <c r="B1313" s="1" t="n">
        <v>45638.41244212963</v>
      </c>
      <c r="C1313" s="1" t="n">
        <v>45937</v>
      </c>
      <c r="D1313" t="inlineStr">
        <is>
          <t>VÄSTERNORRLANDS LÄN</t>
        </is>
      </c>
      <c r="E1313" t="inlineStr">
        <is>
          <t>SOLLEFTEÅ</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59491-2024</t>
        </is>
      </c>
      <c r="B1314" s="1" t="n">
        <v>45637</v>
      </c>
      <c r="C1314" s="1" t="n">
        <v>45937</v>
      </c>
      <c r="D1314" t="inlineStr">
        <is>
          <t>VÄSTERNORRLANDS LÄN</t>
        </is>
      </c>
      <c r="E1314" t="inlineStr">
        <is>
          <t>SOLLEFTEÅ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154-2025</t>
        </is>
      </c>
      <c r="B1315" s="1" t="n">
        <v>45659</v>
      </c>
      <c r="C1315" s="1" t="n">
        <v>45937</v>
      </c>
      <c r="D1315" t="inlineStr">
        <is>
          <t>VÄSTERNORRLANDS LÄN</t>
        </is>
      </c>
      <c r="E1315" t="inlineStr">
        <is>
          <t>SOLLEFTEÅ</t>
        </is>
      </c>
      <c r="F1315" t="inlineStr">
        <is>
          <t>Holmen skog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28579-2025</t>
        </is>
      </c>
      <c r="B1316" s="1" t="n">
        <v>45819.57334490741</v>
      </c>
      <c r="C1316" s="1" t="n">
        <v>45937</v>
      </c>
      <c r="D1316" t="inlineStr">
        <is>
          <t>VÄSTERNORRLANDS LÄN</t>
        </is>
      </c>
      <c r="E1316" t="inlineStr">
        <is>
          <t>SOLLEFTEÅ</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1114-2025</t>
        </is>
      </c>
      <c r="B1317" s="1" t="n">
        <v>45666.65664351852</v>
      </c>
      <c r="C1317" s="1" t="n">
        <v>45937</v>
      </c>
      <c r="D1317" t="inlineStr">
        <is>
          <t>VÄSTERNORRLANDS LÄN</t>
        </is>
      </c>
      <c r="E1317" t="inlineStr">
        <is>
          <t>SOLLEFTEÅ</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19433-2021</t>
        </is>
      </c>
      <c r="B1318" s="1" t="n">
        <v>44309.94400462963</v>
      </c>
      <c r="C1318" s="1" t="n">
        <v>45937</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28686-2025</t>
        </is>
      </c>
      <c r="B1319" s="1" t="n">
        <v>45819</v>
      </c>
      <c r="C1319" s="1" t="n">
        <v>45937</v>
      </c>
      <c r="D1319" t="inlineStr">
        <is>
          <t>VÄSTERNORRLANDS LÄN</t>
        </is>
      </c>
      <c r="E1319" t="inlineStr">
        <is>
          <t>SOLLEFTEÅ</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53855-2024</t>
        </is>
      </c>
      <c r="B1320" s="1" t="n">
        <v>45615.63724537037</v>
      </c>
      <c r="C1320" s="1" t="n">
        <v>45937</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22444-2025</t>
        </is>
      </c>
      <c r="B1321" s="1" t="n">
        <v>45786</v>
      </c>
      <c r="C1321" s="1" t="n">
        <v>45937</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28743-2025</t>
        </is>
      </c>
      <c r="B1322" s="1" t="n">
        <v>45820.38586805556</v>
      </c>
      <c r="C1322" s="1" t="n">
        <v>45937</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28715-2025</t>
        </is>
      </c>
      <c r="B1323" s="1" t="n">
        <v>45820</v>
      </c>
      <c r="C1323" s="1" t="n">
        <v>45937</v>
      </c>
      <c r="D1323" t="inlineStr">
        <is>
          <t>VÄSTERNORRLANDS LÄN</t>
        </is>
      </c>
      <c r="E1323" t="inlineStr">
        <is>
          <t>SOLLEFTEÅ</t>
        </is>
      </c>
      <c r="F1323" t="inlineStr">
        <is>
          <t>SCA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28719-2025</t>
        </is>
      </c>
      <c r="B1324" s="1" t="n">
        <v>45820</v>
      </c>
      <c r="C1324" s="1" t="n">
        <v>45937</v>
      </c>
      <c r="D1324" t="inlineStr">
        <is>
          <t>VÄSTERNORRLANDS LÄN</t>
        </is>
      </c>
      <c r="E1324" t="inlineStr">
        <is>
          <t>SOLLEFTEÅ</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49324-2023</t>
        </is>
      </c>
      <c r="B1325" s="1" t="n">
        <v>45210</v>
      </c>
      <c r="C1325" s="1" t="n">
        <v>45937</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38507-2025</t>
        </is>
      </c>
      <c r="B1326" s="1" t="n">
        <v>45884.38591435185</v>
      </c>
      <c r="C1326" s="1" t="n">
        <v>45937</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12006-2022</t>
        </is>
      </c>
      <c r="B1327" s="1" t="n">
        <v>44635.92496527778</v>
      </c>
      <c r="C1327" s="1" t="n">
        <v>45937</v>
      </c>
      <c r="D1327" t="inlineStr">
        <is>
          <t>VÄSTERNORRLANDS LÄN</t>
        </is>
      </c>
      <c r="E1327" t="inlineStr">
        <is>
          <t>SOLLEFTEÅ</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12022-2022</t>
        </is>
      </c>
      <c r="B1328" s="1" t="n">
        <v>44635.94396990741</v>
      </c>
      <c r="C1328" s="1" t="n">
        <v>45937</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46765-2024</t>
        </is>
      </c>
      <c r="B1329" s="1" t="n">
        <v>45583.49491898148</v>
      </c>
      <c r="C1329" s="1" t="n">
        <v>45937</v>
      </c>
      <c r="D1329" t="inlineStr">
        <is>
          <t>VÄSTERNORRLANDS LÄN</t>
        </is>
      </c>
      <c r="E1329" t="inlineStr">
        <is>
          <t>SOLLEFTEÅ</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16463-2024</t>
        </is>
      </c>
      <c r="B1330" s="1" t="n">
        <v>45408.05027777778</v>
      </c>
      <c r="C1330" s="1" t="n">
        <v>45937</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25017-2022</t>
        </is>
      </c>
      <c r="B1331" s="1" t="n">
        <v>44728.94331018518</v>
      </c>
      <c r="C1331" s="1" t="n">
        <v>45937</v>
      </c>
      <c r="D1331" t="inlineStr">
        <is>
          <t>VÄSTERNORRLANDS LÄN</t>
        </is>
      </c>
      <c r="E1331" t="inlineStr">
        <is>
          <t>SOLLEFTEÅ</t>
        </is>
      </c>
      <c r="F1331" t="inlineStr">
        <is>
          <t>SCA</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55851-2024</t>
        </is>
      </c>
      <c r="B1332" s="1" t="n">
        <v>45623.51140046296</v>
      </c>
      <c r="C1332" s="1" t="n">
        <v>45937</v>
      </c>
      <c r="D1332" t="inlineStr">
        <is>
          <t>VÄSTERNORRLANDS LÄN</t>
        </is>
      </c>
      <c r="E1332" t="inlineStr">
        <is>
          <t>SOLLEFTEÅ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54806-2024</t>
        </is>
      </c>
      <c r="B1333" s="1" t="n">
        <v>45618.51133101852</v>
      </c>
      <c r="C1333" s="1" t="n">
        <v>45937</v>
      </c>
      <c r="D1333" t="inlineStr">
        <is>
          <t>VÄSTERNORRLANDS LÄN</t>
        </is>
      </c>
      <c r="E1333" t="inlineStr">
        <is>
          <t>SOLLEFTEÅ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55338-2023</t>
        </is>
      </c>
      <c r="B1334" s="1" t="n">
        <v>45237.97476851852</v>
      </c>
      <c r="C1334" s="1" t="n">
        <v>45937</v>
      </c>
      <c r="D1334" t="inlineStr">
        <is>
          <t>VÄSTERNORRLANDS LÄN</t>
        </is>
      </c>
      <c r="E1334" t="inlineStr">
        <is>
          <t>SOLLEFTEÅ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4031-2025</t>
        </is>
      </c>
      <c r="B1335" s="1" t="n">
        <v>45684.5978125</v>
      </c>
      <c r="C1335" s="1" t="n">
        <v>45937</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28749-2023</t>
        </is>
      </c>
      <c r="B1336" s="1" t="n">
        <v>45103</v>
      </c>
      <c r="C1336" s="1" t="n">
        <v>45937</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28698-2025</t>
        </is>
      </c>
      <c r="B1337" s="1" t="n">
        <v>45819.925625</v>
      </c>
      <c r="C1337" s="1" t="n">
        <v>45937</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42514-2023</t>
        </is>
      </c>
      <c r="B1338" s="1" t="n">
        <v>45180.95969907408</v>
      </c>
      <c r="C1338" s="1" t="n">
        <v>45937</v>
      </c>
      <c r="D1338" t="inlineStr">
        <is>
          <t>VÄSTERNORRLANDS LÄN</t>
        </is>
      </c>
      <c r="E1338" t="inlineStr">
        <is>
          <t>SOLLEFTEÅ</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28672-2025</t>
        </is>
      </c>
      <c r="B1339" s="1" t="n">
        <v>45819.6754050926</v>
      </c>
      <c r="C1339" s="1" t="n">
        <v>45937</v>
      </c>
      <c r="D1339" t="inlineStr">
        <is>
          <t>VÄSTERNORRLANDS LÄN</t>
        </is>
      </c>
      <c r="E1339" t="inlineStr">
        <is>
          <t>SOLLEFTEÅ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44839-2025</t>
        </is>
      </c>
      <c r="B1340" s="1" t="n">
        <v>45918.42751157407</v>
      </c>
      <c r="C1340" s="1" t="n">
        <v>45937</v>
      </c>
      <c r="D1340" t="inlineStr">
        <is>
          <t>VÄSTERNORRLANDS LÄN</t>
        </is>
      </c>
      <c r="E1340" t="inlineStr">
        <is>
          <t>SOLLEFTEÅ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15859-2024</t>
        </is>
      </c>
      <c r="B1341" s="1" t="n">
        <v>45404.99732638889</v>
      </c>
      <c r="C1341" s="1" t="n">
        <v>45937</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61384-2022</t>
        </is>
      </c>
      <c r="B1342" s="1" t="n">
        <v>44915</v>
      </c>
      <c r="C1342" s="1" t="n">
        <v>45937</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21582-2022</t>
        </is>
      </c>
      <c r="B1343" s="1" t="n">
        <v>44706</v>
      </c>
      <c r="C1343" s="1" t="n">
        <v>45937</v>
      </c>
      <c r="D1343" t="inlineStr">
        <is>
          <t>VÄSTERNORRLANDS LÄN</t>
        </is>
      </c>
      <c r="E1343" t="inlineStr">
        <is>
          <t>SOLLEFTEÅ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18691-2025</t>
        </is>
      </c>
      <c r="B1344" s="1" t="n">
        <v>45763.61511574074</v>
      </c>
      <c r="C1344" s="1" t="n">
        <v>45937</v>
      </c>
      <c r="D1344" t="inlineStr">
        <is>
          <t>VÄSTERNORRLANDS LÄN</t>
        </is>
      </c>
      <c r="E1344" t="inlineStr">
        <is>
          <t>SOLLEFTEÅ</t>
        </is>
      </c>
      <c r="G1344" t="n">
        <v>9.300000000000001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29309-2025</t>
        </is>
      </c>
      <c r="B1345" s="1" t="n">
        <v>45824.46333333333</v>
      </c>
      <c r="C1345" s="1" t="n">
        <v>45937</v>
      </c>
      <c r="D1345" t="inlineStr">
        <is>
          <t>VÄSTERNORRLANDS LÄN</t>
        </is>
      </c>
      <c r="E1345" t="inlineStr">
        <is>
          <t>SOLLEFTEÅ</t>
        </is>
      </c>
      <c r="F1345" t="inlineStr">
        <is>
          <t>Holmen skog AB</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28995-2025</t>
        </is>
      </c>
      <c r="B1346" s="1" t="n">
        <v>45821.38596064815</v>
      </c>
      <c r="C1346" s="1" t="n">
        <v>45937</v>
      </c>
      <c r="D1346" t="inlineStr">
        <is>
          <t>VÄSTERNORRLANDS LÄN</t>
        </is>
      </c>
      <c r="E1346" t="inlineStr">
        <is>
          <t>SOLLEFTEÅ</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28998-2025</t>
        </is>
      </c>
      <c r="B1347" s="1" t="n">
        <v>45821.38626157407</v>
      </c>
      <c r="C1347" s="1" t="n">
        <v>45937</v>
      </c>
      <c r="D1347" t="inlineStr">
        <is>
          <t>VÄSTERNORRLANDS LÄN</t>
        </is>
      </c>
      <c r="E1347" t="inlineStr">
        <is>
          <t>SOLLEFTEÅ</t>
        </is>
      </c>
      <c r="F1347" t="inlineStr">
        <is>
          <t>SCA</t>
        </is>
      </c>
      <c r="G1347" t="n">
        <v>14.2</v>
      </c>
      <c r="H1347" t="n">
        <v>0</v>
      </c>
      <c r="I1347" t="n">
        <v>0</v>
      </c>
      <c r="J1347" t="n">
        <v>0</v>
      </c>
      <c r="K1347" t="n">
        <v>0</v>
      </c>
      <c r="L1347" t="n">
        <v>0</v>
      </c>
      <c r="M1347" t="n">
        <v>0</v>
      </c>
      <c r="N1347" t="n">
        <v>0</v>
      </c>
      <c r="O1347" t="n">
        <v>0</v>
      </c>
      <c r="P1347" t="n">
        <v>0</v>
      </c>
      <c r="Q1347" t="n">
        <v>0</v>
      </c>
      <c r="R1347" s="2" t="inlineStr"/>
    </row>
    <row r="1348" ht="15" customHeight="1">
      <c r="A1348" t="inlineStr">
        <is>
          <t>A 17999-2022</t>
        </is>
      </c>
      <c r="B1348" s="1" t="n">
        <v>44683</v>
      </c>
      <c r="C1348" s="1" t="n">
        <v>45937</v>
      </c>
      <c r="D1348" t="inlineStr">
        <is>
          <t>VÄSTERNORRLANDS LÄN</t>
        </is>
      </c>
      <c r="E1348" t="inlineStr">
        <is>
          <t>SOLLEFTEÅ</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36513-2023</t>
        </is>
      </c>
      <c r="B1349" s="1" t="n">
        <v>45152.9537037037</v>
      </c>
      <c r="C1349" s="1" t="n">
        <v>45937</v>
      </c>
      <c r="D1349" t="inlineStr">
        <is>
          <t>VÄSTERNORRLANDS LÄN</t>
        </is>
      </c>
      <c r="E1349" t="inlineStr">
        <is>
          <t>SOLLEFTEÅ</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15809-2022</t>
        </is>
      </c>
      <c r="B1350" s="1" t="n">
        <v>44663</v>
      </c>
      <c r="C1350" s="1" t="n">
        <v>45937</v>
      </c>
      <c r="D1350" t="inlineStr">
        <is>
          <t>VÄSTERNORRLANDS LÄN</t>
        </is>
      </c>
      <c r="E1350" t="inlineStr">
        <is>
          <t>SOLLEFTEÅ</t>
        </is>
      </c>
      <c r="F1350" t="inlineStr">
        <is>
          <t>SCA</t>
        </is>
      </c>
      <c r="G1350" t="n">
        <v>16.3</v>
      </c>
      <c r="H1350" t="n">
        <v>0</v>
      </c>
      <c r="I1350" t="n">
        <v>0</v>
      </c>
      <c r="J1350" t="n">
        <v>0</v>
      </c>
      <c r="K1350" t="n">
        <v>0</v>
      </c>
      <c r="L1350" t="n">
        <v>0</v>
      </c>
      <c r="M1350" t="n">
        <v>0</v>
      </c>
      <c r="N1350" t="n">
        <v>0</v>
      </c>
      <c r="O1350" t="n">
        <v>0</v>
      </c>
      <c r="P1350" t="n">
        <v>0</v>
      </c>
      <c r="Q1350" t="n">
        <v>0</v>
      </c>
      <c r="R1350" s="2" t="inlineStr"/>
    </row>
    <row r="1351" ht="15" customHeight="1">
      <c r="A1351" t="inlineStr">
        <is>
          <t>A 47448-2025</t>
        </is>
      </c>
      <c r="B1351" s="1" t="n">
        <v>45930.64592592593</v>
      </c>
      <c r="C1351" s="1" t="n">
        <v>45937</v>
      </c>
      <c r="D1351" t="inlineStr">
        <is>
          <t>VÄSTERNORRLANDS LÄN</t>
        </is>
      </c>
      <c r="E1351" t="inlineStr">
        <is>
          <t>SOLLEFTEÅ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47489-2025</t>
        </is>
      </c>
      <c r="B1352" s="1" t="n">
        <v>45930.69912037037</v>
      </c>
      <c r="C1352" s="1" t="n">
        <v>45937</v>
      </c>
      <c r="D1352" t="inlineStr">
        <is>
          <t>VÄSTERNORRLANDS LÄN</t>
        </is>
      </c>
      <c r="E1352" t="inlineStr">
        <is>
          <t>SOLLEFTEÅ</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29103-2025</t>
        </is>
      </c>
      <c r="B1353" s="1" t="n">
        <v>45821.57219907407</v>
      </c>
      <c r="C1353" s="1" t="n">
        <v>45937</v>
      </c>
      <c r="D1353" t="inlineStr">
        <is>
          <t>VÄSTERNORRLANDS LÄN</t>
        </is>
      </c>
      <c r="E1353" t="inlineStr">
        <is>
          <t>SOLLEFTEÅ</t>
        </is>
      </c>
      <c r="G1353" t="n">
        <v>9.1</v>
      </c>
      <c r="H1353" t="n">
        <v>0</v>
      </c>
      <c r="I1353" t="n">
        <v>0</v>
      </c>
      <c r="J1353" t="n">
        <v>0</v>
      </c>
      <c r="K1353" t="n">
        <v>0</v>
      </c>
      <c r="L1353" t="n">
        <v>0</v>
      </c>
      <c r="M1353" t="n">
        <v>0</v>
      </c>
      <c r="N1353" t="n">
        <v>0</v>
      </c>
      <c r="O1353" t="n">
        <v>0</v>
      </c>
      <c r="P1353" t="n">
        <v>0</v>
      </c>
      <c r="Q1353" t="n">
        <v>0</v>
      </c>
      <c r="R1353" s="2" t="inlineStr"/>
    </row>
    <row r="1354" ht="15" customHeight="1">
      <c r="A1354" t="inlineStr">
        <is>
          <t>A 29039-2025</t>
        </is>
      </c>
      <c r="B1354" s="1" t="n">
        <v>45821.44844907407</v>
      </c>
      <c r="C1354" s="1" t="n">
        <v>45937</v>
      </c>
      <c r="D1354" t="inlineStr">
        <is>
          <t>VÄSTERNORRLANDS LÄN</t>
        </is>
      </c>
      <c r="E1354" t="inlineStr">
        <is>
          <t>SOLLEFTEÅ</t>
        </is>
      </c>
      <c r="F1354" t="inlineStr">
        <is>
          <t>SCA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29435-2025</t>
        </is>
      </c>
      <c r="B1355" s="1" t="n">
        <v>45824.65762731482</v>
      </c>
      <c r="C1355" s="1" t="n">
        <v>45937</v>
      </c>
      <c r="D1355" t="inlineStr">
        <is>
          <t>VÄSTERNORRLANDS LÄN</t>
        </is>
      </c>
      <c r="E1355" t="inlineStr">
        <is>
          <t>SOLLEFTEÅ</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38958-2025</t>
        </is>
      </c>
      <c r="B1356" s="1" t="n">
        <v>45887.67751157407</v>
      </c>
      <c r="C1356" s="1" t="n">
        <v>45937</v>
      </c>
      <c r="D1356" t="inlineStr">
        <is>
          <t>VÄSTERNORRLANDS LÄN</t>
        </is>
      </c>
      <c r="E1356" t="inlineStr">
        <is>
          <t>SOLLEFTEÅ</t>
        </is>
      </c>
      <c r="F1356" t="inlineStr">
        <is>
          <t>SCA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39195-2025</t>
        </is>
      </c>
      <c r="B1357" s="1" t="n">
        <v>45888</v>
      </c>
      <c r="C1357" s="1" t="n">
        <v>45937</v>
      </c>
      <c r="D1357" t="inlineStr">
        <is>
          <t>VÄSTERNORRLANDS LÄN</t>
        </is>
      </c>
      <c r="E1357" t="inlineStr">
        <is>
          <t>SOLLEFTEÅ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47292-2025</t>
        </is>
      </c>
      <c r="B1358" s="1" t="n">
        <v>45930.4903125</v>
      </c>
      <c r="C1358" s="1" t="n">
        <v>45937</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29011-2025</t>
        </is>
      </c>
      <c r="B1359" s="1" t="n">
        <v>45821.40659722222</v>
      </c>
      <c r="C1359" s="1" t="n">
        <v>45937</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47490-2025</t>
        </is>
      </c>
      <c r="B1360" s="1" t="n">
        <v>45930.69918981481</v>
      </c>
      <c r="C1360" s="1" t="n">
        <v>45937</v>
      </c>
      <c r="D1360" t="inlineStr">
        <is>
          <t>VÄSTERNORRLANDS LÄN</t>
        </is>
      </c>
      <c r="E1360" t="inlineStr">
        <is>
          <t>SOLLEFTEÅ</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43627-2024</t>
        </is>
      </c>
      <c r="B1361" s="1" t="n">
        <v>45569.49006944444</v>
      </c>
      <c r="C1361" s="1" t="n">
        <v>45937</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12734-2023</t>
        </is>
      </c>
      <c r="B1362" s="1" t="n">
        <v>45000.92436342593</v>
      </c>
      <c r="C1362" s="1" t="n">
        <v>45937</v>
      </c>
      <c r="D1362" t="inlineStr">
        <is>
          <t>VÄSTERNORRLANDS LÄN</t>
        </is>
      </c>
      <c r="E1362" t="inlineStr">
        <is>
          <t>SOLLEFTEÅ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12820-2023</t>
        </is>
      </c>
      <c r="B1363" s="1" t="n">
        <v>45000</v>
      </c>
      <c r="C1363" s="1" t="n">
        <v>45937</v>
      </c>
      <c r="D1363" t="inlineStr">
        <is>
          <t>VÄSTERNORRLANDS LÄN</t>
        </is>
      </c>
      <c r="E1363" t="inlineStr">
        <is>
          <t>SOLLEFTEÅ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19053-2022</t>
        </is>
      </c>
      <c r="B1364" s="1" t="n">
        <v>44691.41626157407</v>
      </c>
      <c r="C1364" s="1" t="n">
        <v>45937</v>
      </c>
      <c r="D1364" t="inlineStr">
        <is>
          <t>VÄSTERNORRLANDS LÄN</t>
        </is>
      </c>
      <c r="E1364" t="inlineStr">
        <is>
          <t>SOLLEFTEÅ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27391-2023</t>
        </is>
      </c>
      <c r="B1365" s="1" t="n">
        <v>45096.93991898148</v>
      </c>
      <c r="C1365" s="1" t="n">
        <v>45937</v>
      </c>
      <c r="D1365" t="inlineStr">
        <is>
          <t>VÄSTERNORRLANDS LÄN</t>
        </is>
      </c>
      <c r="E1365" t="inlineStr">
        <is>
          <t>SOLLEFTEÅ</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38959-2025</t>
        </is>
      </c>
      <c r="B1366" s="1" t="n">
        <v>45887.67769675926</v>
      </c>
      <c r="C1366" s="1" t="n">
        <v>45937</v>
      </c>
      <c r="D1366" t="inlineStr">
        <is>
          <t>VÄSTERNORRLANDS LÄN</t>
        </is>
      </c>
      <c r="E1366" t="inlineStr">
        <is>
          <t>SOLLEFTEÅ</t>
        </is>
      </c>
      <c r="F1366" t="inlineStr">
        <is>
          <t>SCA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47293-2025</t>
        </is>
      </c>
      <c r="B1367" s="1" t="n">
        <v>45930.49034722222</v>
      </c>
      <c r="C1367" s="1" t="n">
        <v>45937</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28994-2025</t>
        </is>
      </c>
      <c r="B1368" s="1" t="n">
        <v>45821.38587962963</v>
      </c>
      <c r="C1368" s="1" t="n">
        <v>45937</v>
      </c>
      <c r="D1368" t="inlineStr">
        <is>
          <t>VÄSTERNORRLANDS LÄN</t>
        </is>
      </c>
      <c r="E1368" t="inlineStr">
        <is>
          <t>SOLLEFTEÅ</t>
        </is>
      </c>
      <c r="F1368" t="inlineStr">
        <is>
          <t>SCA</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20599-2023</t>
        </is>
      </c>
      <c r="B1369" s="1" t="n">
        <v>45057.94172453704</v>
      </c>
      <c r="C1369" s="1" t="n">
        <v>45937</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11039-2023</t>
        </is>
      </c>
      <c r="B1370" s="1" t="n">
        <v>44991.94622685185</v>
      </c>
      <c r="C1370" s="1" t="n">
        <v>45937</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47234-2025</t>
        </is>
      </c>
      <c r="B1371" s="1" t="n">
        <v>45930.40663194445</v>
      </c>
      <c r="C1371" s="1" t="n">
        <v>45937</v>
      </c>
      <c r="D1371" t="inlineStr">
        <is>
          <t>VÄSTERNORRLANDS LÄN</t>
        </is>
      </c>
      <c r="E1371" t="inlineStr">
        <is>
          <t>SOLLEFTEÅ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40819-2024</t>
        </is>
      </c>
      <c r="B1372" s="1" t="n">
        <v>45558.55271990741</v>
      </c>
      <c r="C1372" s="1" t="n">
        <v>45937</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4129-2025</t>
        </is>
      </c>
      <c r="B1373" s="1" t="n">
        <v>45685.34425925926</v>
      </c>
      <c r="C1373" s="1" t="n">
        <v>45937</v>
      </c>
      <c r="D1373" t="inlineStr">
        <is>
          <t>VÄSTERNORRLANDS LÄN</t>
        </is>
      </c>
      <c r="E1373" t="inlineStr">
        <is>
          <t>SOLLEFTEÅ</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4133-2025</t>
        </is>
      </c>
      <c r="B1374" s="1" t="n">
        <v>45685.34559027778</v>
      </c>
      <c r="C1374" s="1" t="n">
        <v>45937</v>
      </c>
      <c r="D1374" t="inlineStr">
        <is>
          <t>VÄSTERNORRLANDS LÄN</t>
        </is>
      </c>
      <c r="E1374" t="inlineStr">
        <is>
          <t>SOLLEFTEÅ</t>
        </is>
      </c>
      <c r="F1374" t="inlineStr">
        <is>
          <t>SCA</t>
        </is>
      </c>
      <c r="G1374" t="n">
        <v>37.2</v>
      </c>
      <c r="H1374" t="n">
        <v>0</v>
      </c>
      <c r="I1374" t="n">
        <v>0</v>
      </c>
      <c r="J1374" t="n">
        <v>0</v>
      </c>
      <c r="K1374" t="n">
        <v>0</v>
      </c>
      <c r="L1374" t="n">
        <v>0</v>
      </c>
      <c r="M1374" t="n">
        <v>0</v>
      </c>
      <c r="N1374" t="n">
        <v>0</v>
      </c>
      <c r="O1374" t="n">
        <v>0</v>
      </c>
      <c r="P1374" t="n">
        <v>0</v>
      </c>
      <c r="Q1374" t="n">
        <v>0</v>
      </c>
      <c r="R1374" s="2" t="inlineStr"/>
    </row>
    <row r="1375" ht="15" customHeight="1">
      <c r="A1375" t="inlineStr">
        <is>
          <t>A 38931-2025</t>
        </is>
      </c>
      <c r="B1375" s="1" t="n">
        <v>45887.63664351852</v>
      </c>
      <c r="C1375" s="1" t="n">
        <v>45937</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29273-2025</t>
        </is>
      </c>
      <c r="B1376" s="1" t="n">
        <v>45824.41125</v>
      </c>
      <c r="C1376" s="1" t="n">
        <v>45937</v>
      </c>
      <c r="D1376" t="inlineStr">
        <is>
          <t>VÄSTERNORRLANDS LÄN</t>
        </is>
      </c>
      <c r="E1376" t="inlineStr">
        <is>
          <t>SOLLEFTEÅ</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64133-2023</t>
        </is>
      </c>
      <c r="B1377" s="1" t="n">
        <v>45279</v>
      </c>
      <c r="C1377" s="1" t="n">
        <v>45937</v>
      </c>
      <c r="D1377" t="inlineStr">
        <is>
          <t>VÄSTERNORRLANDS LÄN</t>
        </is>
      </c>
      <c r="E1377" t="inlineStr">
        <is>
          <t>SOLLEFTEÅ</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46905-2025</t>
        </is>
      </c>
      <c r="B1378" s="1" t="n">
        <v>45929.40055555556</v>
      </c>
      <c r="C1378" s="1" t="n">
        <v>45937</v>
      </c>
      <c r="D1378" t="inlineStr">
        <is>
          <t>VÄSTERNORRLANDS LÄN</t>
        </is>
      </c>
      <c r="E1378" t="inlineStr">
        <is>
          <t>SOLLEFTEÅ</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46920-2025</t>
        </is>
      </c>
      <c r="B1379" s="1" t="n">
        <v>45929.43368055556</v>
      </c>
      <c r="C1379" s="1" t="n">
        <v>45937</v>
      </c>
      <c r="D1379" t="inlineStr">
        <is>
          <t>VÄSTERNORRLANDS LÄN</t>
        </is>
      </c>
      <c r="E1379" t="inlineStr">
        <is>
          <t>SOLLEFTEÅ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47069-2025</t>
        </is>
      </c>
      <c r="B1380" s="1" t="n">
        <v>45929.63596064815</v>
      </c>
      <c r="C1380" s="1" t="n">
        <v>45937</v>
      </c>
      <c r="D1380" t="inlineStr">
        <is>
          <t>VÄSTERNORRLANDS LÄN</t>
        </is>
      </c>
      <c r="E1380" t="inlineStr">
        <is>
          <t>SOLLEFTEÅ</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28993-2025</t>
        </is>
      </c>
      <c r="B1381" s="1" t="n">
        <v>45821.38574074074</v>
      </c>
      <c r="C1381" s="1" t="n">
        <v>45937</v>
      </c>
      <c r="D1381" t="inlineStr">
        <is>
          <t>VÄSTERNORRLANDS LÄN</t>
        </is>
      </c>
      <c r="E1381" t="inlineStr">
        <is>
          <t>SOLLEFTEÅ</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26962-2024</t>
        </is>
      </c>
      <c r="B1382" s="1" t="n">
        <v>45470.9716087963</v>
      </c>
      <c r="C1382" s="1" t="n">
        <v>45937</v>
      </c>
      <c r="D1382" t="inlineStr">
        <is>
          <t>VÄSTERNORRLANDS LÄN</t>
        </is>
      </c>
      <c r="E1382" t="inlineStr">
        <is>
          <t>SOLLEFTEÅ</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29142-2025</t>
        </is>
      </c>
      <c r="B1383" s="1" t="n">
        <v>45821.61518518518</v>
      </c>
      <c r="C1383" s="1" t="n">
        <v>45937</v>
      </c>
      <c r="D1383" t="inlineStr">
        <is>
          <t>VÄSTERNORRLANDS LÄN</t>
        </is>
      </c>
      <c r="E1383" t="inlineStr">
        <is>
          <t>SOLLEFTEÅ</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22235-2024</t>
        </is>
      </c>
      <c r="B1384" s="1" t="n">
        <v>45446</v>
      </c>
      <c r="C1384" s="1" t="n">
        <v>45937</v>
      </c>
      <c r="D1384" t="inlineStr">
        <is>
          <t>VÄSTERNORRLANDS LÄN</t>
        </is>
      </c>
      <c r="E1384" t="inlineStr">
        <is>
          <t>SOLLEFTEÅ</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57094-2024</t>
        </is>
      </c>
      <c r="B1385" s="1" t="n">
        <v>45629.35780092593</v>
      </c>
      <c r="C1385" s="1" t="n">
        <v>45937</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23282-2022</t>
        </is>
      </c>
      <c r="B1386" s="1" t="n">
        <v>44720</v>
      </c>
      <c r="C1386" s="1" t="n">
        <v>45937</v>
      </c>
      <c r="D1386" t="inlineStr">
        <is>
          <t>VÄSTERNORRLANDS LÄN</t>
        </is>
      </c>
      <c r="E1386" t="inlineStr">
        <is>
          <t>SOLLEFTEÅ</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46973-2025</t>
        </is>
      </c>
      <c r="B1387" s="1" t="n">
        <v>45929.51083333333</v>
      </c>
      <c r="C1387" s="1" t="n">
        <v>45937</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16492-2025</t>
        </is>
      </c>
      <c r="B1388" s="1" t="n">
        <v>45751.59414351852</v>
      </c>
      <c r="C1388" s="1" t="n">
        <v>45937</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38910-2025</t>
        </is>
      </c>
      <c r="B1389" s="1" t="n">
        <v>45887.61509259259</v>
      </c>
      <c r="C1389" s="1" t="n">
        <v>45937</v>
      </c>
      <c r="D1389" t="inlineStr">
        <is>
          <t>VÄSTERNORRLANDS LÄN</t>
        </is>
      </c>
      <c r="E1389" t="inlineStr">
        <is>
          <t>SOLLEFTEÅ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3873-2025</t>
        </is>
      </c>
      <c r="B1390" s="1" t="n">
        <v>45684</v>
      </c>
      <c r="C1390" s="1" t="n">
        <v>45937</v>
      </c>
      <c r="D1390" t="inlineStr">
        <is>
          <t>VÄSTERNORRLANDS LÄN</t>
        </is>
      </c>
      <c r="E1390" t="inlineStr">
        <is>
          <t>SOLLEFTEÅ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41478-2022</t>
        </is>
      </c>
      <c r="B1391" s="1" t="n">
        <v>44826.94892361111</v>
      </c>
      <c r="C1391" s="1" t="n">
        <v>45937</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29445-2025</t>
        </is>
      </c>
      <c r="B1392" s="1" t="n">
        <v>45824.66322916667</v>
      </c>
      <c r="C1392" s="1" t="n">
        <v>45937</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29436-2025</t>
        </is>
      </c>
      <c r="B1393" s="1" t="n">
        <v>45824.65766203704</v>
      </c>
      <c r="C1393" s="1" t="n">
        <v>45937</v>
      </c>
      <c r="D1393" t="inlineStr">
        <is>
          <t>VÄSTERNORRLANDS LÄN</t>
        </is>
      </c>
      <c r="E1393" t="inlineStr">
        <is>
          <t>SOLLEFTEÅ</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5862-2025</t>
        </is>
      </c>
      <c r="B1394" s="1" t="n">
        <v>45695.35061342592</v>
      </c>
      <c r="C1394" s="1" t="n">
        <v>45937</v>
      </c>
      <c r="D1394" t="inlineStr">
        <is>
          <t>VÄSTERNORRLANDS LÄN</t>
        </is>
      </c>
      <c r="E1394" t="inlineStr">
        <is>
          <t>SOLLEFTEÅ</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61201-2024</t>
        </is>
      </c>
      <c r="B1395" s="1" t="n">
        <v>45645.6360300926</v>
      </c>
      <c r="C1395" s="1" t="n">
        <v>45937</v>
      </c>
      <c r="D1395" t="inlineStr">
        <is>
          <t>VÄSTERNORRLANDS LÄN</t>
        </is>
      </c>
      <c r="E1395" t="inlineStr">
        <is>
          <t>SOLLEFTEÅ</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46898-2025</t>
        </is>
      </c>
      <c r="B1396" s="1" t="n">
        <v>45929.38613425926</v>
      </c>
      <c r="C1396" s="1" t="n">
        <v>45937</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18188-2022</t>
        </is>
      </c>
      <c r="B1397" s="1" t="n">
        <v>44684.94004629629</v>
      </c>
      <c r="C1397" s="1" t="n">
        <v>45937</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20205-2025</t>
        </is>
      </c>
      <c r="B1398" s="1" t="n">
        <v>45772.61548611111</v>
      </c>
      <c r="C1398" s="1" t="n">
        <v>45937</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5989-2021</t>
        </is>
      </c>
      <c r="B1399" s="1" t="n">
        <v>44231</v>
      </c>
      <c r="C1399" s="1" t="n">
        <v>45937</v>
      </c>
      <c r="D1399" t="inlineStr">
        <is>
          <t>VÄSTERNORRLANDS LÄN</t>
        </is>
      </c>
      <c r="E1399" t="inlineStr">
        <is>
          <t>SOLLEFTEÅ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29760-2025</t>
        </is>
      </c>
      <c r="B1400" s="1" t="n">
        <v>45825.61805555555</v>
      </c>
      <c r="C1400" s="1" t="n">
        <v>45937</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29769-2025</t>
        </is>
      </c>
      <c r="B1401" s="1" t="n">
        <v>45825.62796296296</v>
      </c>
      <c r="C1401" s="1" t="n">
        <v>45937</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47965-2024</t>
        </is>
      </c>
      <c r="B1402" s="1" t="n">
        <v>45589.38638888889</v>
      </c>
      <c r="C1402" s="1" t="n">
        <v>45937</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29762-2025</t>
        </is>
      </c>
      <c r="B1403" s="1" t="n">
        <v>45825.61826388889</v>
      </c>
      <c r="C1403" s="1" t="n">
        <v>45937</v>
      </c>
      <c r="D1403" t="inlineStr">
        <is>
          <t>VÄSTERNORRLANDS LÄN</t>
        </is>
      </c>
      <c r="E1403" t="inlineStr">
        <is>
          <t>SOLLEFTEÅ</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11125-2022</t>
        </is>
      </c>
      <c r="B1404" s="1" t="n">
        <v>44628</v>
      </c>
      <c r="C1404" s="1" t="n">
        <v>45937</v>
      </c>
      <c r="D1404" t="inlineStr">
        <is>
          <t>VÄSTERNORRLANDS LÄN</t>
        </is>
      </c>
      <c r="E1404" t="inlineStr">
        <is>
          <t>SOLLEFTEÅ</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25243-2025</t>
        </is>
      </c>
      <c r="B1405" s="1" t="n">
        <v>45800.49063657408</v>
      </c>
      <c r="C1405" s="1" t="n">
        <v>45937</v>
      </c>
      <c r="D1405" t="inlineStr">
        <is>
          <t>VÄSTERNORRLANDS LÄN</t>
        </is>
      </c>
      <c r="E1405" t="inlineStr">
        <is>
          <t>SOLLEFTEÅ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47376-2025</t>
        </is>
      </c>
      <c r="B1406" s="1" t="n">
        <v>45930.59454861111</v>
      </c>
      <c r="C1406" s="1" t="n">
        <v>45937</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30073-2025</t>
        </is>
      </c>
      <c r="B1407" s="1" t="n">
        <v>45826.63643518519</v>
      </c>
      <c r="C1407" s="1" t="n">
        <v>45937</v>
      </c>
      <c r="D1407" t="inlineStr">
        <is>
          <t>VÄSTERNORRLANDS LÄN</t>
        </is>
      </c>
      <c r="E1407" t="inlineStr">
        <is>
          <t>SOLLEFTEÅ</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30018-2025</t>
        </is>
      </c>
      <c r="B1408" s="1" t="n">
        <v>45826.55332175926</v>
      </c>
      <c r="C1408" s="1" t="n">
        <v>45937</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30020-2025</t>
        </is>
      </c>
      <c r="B1409" s="1" t="n">
        <v>45826.55337962963</v>
      </c>
      <c r="C1409" s="1" t="n">
        <v>45937</v>
      </c>
      <c r="D1409" t="inlineStr">
        <is>
          <t>VÄSTERNORRLANDS LÄN</t>
        </is>
      </c>
      <c r="E1409" t="inlineStr">
        <is>
          <t>SOLLEFTEÅ</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25242-2025</t>
        </is>
      </c>
      <c r="B1410" s="1" t="n">
        <v>45800.49059027778</v>
      </c>
      <c r="C1410" s="1" t="n">
        <v>45937</v>
      </c>
      <c r="D1410" t="inlineStr">
        <is>
          <t>VÄSTERNORRLANDS LÄN</t>
        </is>
      </c>
      <c r="E1410" t="inlineStr">
        <is>
          <t>SOLLEFTEÅ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58427-2023</t>
        </is>
      </c>
      <c r="B1411" s="1" t="n">
        <v>45250</v>
      </c>
      <c r="C1411" s="1" t="n">
        <v>45937</v>
      </c>
      <c r="D1411" t="inlineStr">
        <is>
          <t>VÄSTERNORRLANDS LÄN</t>
        </is>
      </c>
      <c r="E1411" t="inlineStr">
        <is>
          <t>SOLLEFTEÅ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17096-2025</t>
        </is>
      </c>
      <c r="B1412" s="1" t="n">
        <v>45755.65662037037</v>
      </c>
      <c r="C1412" s="1" t="n">
        <v>45937</v>
      </c>
      <c r="D1412" t="inlineStr">
        <is>
          <t>VÄSTERNORRLANDS LÄN</t>
        </is>
      </c>
      <c r="E1412" t="inlineStr">
        <is>
          <t>SOLLEFTEÅ</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47217-2025</t>
        </is>
      </c>
      <c r="B1413" s="1" t="n">
        <v>45930.38625</v>
      </c>
      <c r="C1413" s="1" t="n">
        <v>45937</v>
      </c>
      <c r="D1413" t="inlineStr">
        <is>
          <t>VÄSTERNORRLANDS LÄN</t>
        </is>
      </c>
      <c r="E1413" t="inlineStr">
        <is>
          <t>SOLLEFTEÅ</t>
        </is>
      </c>
      <c r="F1413" t="inlineStr">
        <is>
          <t>SCA</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47218-2025</t>
        </is>
      </c>
      <c r="B1414" s="1" t="n">
        <v>45930.38640046296</v>
      </c>
      <c r="C1414" s="1" t="n">
        <v>45937</v>
      </c>
      <c r="D1414" t="inlineStr">
        <is>
          <t>VÄSTERNORRLANDS LÄN</t>
        </is>
      </c>
      <c r="E1414" t="inlineStr">
        <is>
          <t>SOLLEFTEÅ</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18949-2025</t>
        </is>
      </c>
      <c r="B1415" s="1" t="n">
        <v>45764</v>
      </c>
      <c r="C1415" s="1" t="n">
        <v>45937</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29562-2025</t>
        </is>
      </c>
      <c r="B1416" s="1" t="n">
        <v>45825</v>
      </c>
      <c r="C1416" s="1" t="n">
        <v>45937</v>
      </c>
      <c r="D1416" t="inlineStr">
        <is>
          <t>VÄSTERNORRLANDS LÄN</t>
        </is>
      </c>
      <c r="E1416" t="inlineStr">
        <is>
          <t>SOLLEFTEÅ</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17604-2021</t>
        </is>
      </c>
      <c r="B1417" s="1" t="n">
        <v>44299</v>
      </c>
      <c r="C1417" s="1" t="n">
        <v>45937</v>
      </c>
      <c r="D1417" t="inlineStr">
        <is>
          <t>VÄSTERNORRLANDS LÄN</t>
        </is>
      </c>
      <c r="E1417" t="inlineStr">
        <is>
          <t>SOLLEFTEÅ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29535-2025</t>
        </is>
      </c>
      <c r="B1418" s="1" t="n">
        <v>45825.34486111111</v>
      </c>
      <c r="C1418" s="1" t="n">
        <v>45937</v>
      </c>
      <c r="D1418" t="inlineStr">
        <is>
          <t>VÄSTERNORRLANDS LÄN</t>
        </is>
      </c>
      <c r="E1418" t="inlineStr">
        <is>
          <t>SOLLEFTEÅ</t>
        </is>
      </c>
      <c r="F1418" t="inlineStr">
        <is>
          <t>SCA</t>
        </is>
      </c>
      <c r="G1418" t="n">
        <v>20.6</v>
      </c>
      <c r="H1418" t="n">
        <v>0</v>
      </c>
      <c r="I1418" t="n">
        <v>0</v>
      </c>
      <c r="J1418" t="n">
        <v>0</v>
      </c>
      <c r="K1418" t="n">
        <v>0</v>
      </c>
      <c r="L1418" t="n">
        <v>0</v>
      </c>
      <c r="M1418" t="n">
        <v>0</v>
      </c>
      <c r="N1418" t="n">
        <v>0</v>
      </c>
      <c r="O1418" t="n">
        <v>0</v>
      </c>
      <c r="P1418" t="n">
        <v>0</v>
      </c>
      <c r="Q1418" t="n">
        <v>0</v>
      </c>
      <c r="R1418" s="2" t="inlineStr"/>
    </row>
    <row r="1419" ht="15" customHeight="1">
      <c r="A1419" t="inlineStr">
        <is>
          <t>A 29759-2025</t>
        </is>
      </c>
      <c r="B1419" s="1" t="n">
        <v>45825</v>
      </c>
      <c r="C1419" s="1" t="n">
        <v>45937</v>
      </c>
      <c r="D1419" t="inlineStr">
        <is>
          <t>VÄSTERNORRLANDS LÄN</t>
        </is>
      </c>
      <c r="E1419" t="inlineStr">
        <is>
          <t>SOLLEFTEÅ</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9120-2024</t>
        </is>
      </c>
      <c r="B1420" s="1" t="n">
        <v>45358.04091435186</v>
      </c>
      <c r="C1420" s="1" t="n">
        <v>45937</v>
      </c>
      <c r="D1420" t="inlineStr">
        <is>
          <t>VÄSTERNORRLANDS LÄN</t>
        </is>
      </c>
      <c r="E1420" t="inlineStr">
        <is>
          <t>SOLLEFTEÅ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9122-2024</t>
        </is>
      </c>
      <c r="B1421" s="1" t="n">
        <v>45358.04107638889</v>
      </c>
      <c r="C1421" s="1" t="n">
        <v>45937</v>
      </c>
      <c r="D1421" t="inlineStr">
        <is>
          <t>VÄSTERNORRLANDS LÄN</t>
        </is>
      </c>
      <c r="E1421" t="inlineStr">
        <is>
          <t>SOLLEFTEÅ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46968-2025</t>
        </is>
      </c>
      <c r="B1422" s="1" t="n">
        <v>45929.50158564815</v>
      </c>
      <c r="C1422" s="1" t="n">
        <v>45937</v>
      </c>
      <c r="D1422" t="inlineStr">
        <is>
          <t>VÄSTERNORRLANDS LÄN</t>
        </is>
      </c>
      <c r="E1422" t="inlineStr">
        <is>
          <t>SOLLEFTEÅ</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64115-2023</t>
        </is>
      </c>
      <c r="B1423" s="1" t="n">
        <v>45279</v>
      </c>
      <c r="C1423" s="1" t="n">
        <v>45937</v>
      </c>
      <c r="D1423" t="inlineStr">
        <is>
          <t>VÄSTERNORRLANDS LÄN</t>
        </is>
      </c>
      <c r="E1423" t="inlineStr">
        <is>
          <t>SOLLEFTEÅ</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47291-2025</t>
        </is>
      </c>
      <c r="B1424" s="1" t="n">
        <v>45930.49019675926</v>
      </c>
      <c r="C1424" s="1" t="n">
        <v>45937</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46873-2025</t>
        </is>
      </c>
      <c r="B1425" s="1" t="n">
        <v>45929.34421296296</v>
      </c>
      <c r="C1425" s="1" t="n">
        <v>45937</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47219-2025</t>
        </is>
      </c>
      <c r="B1426" s="1" t="n">
        <v>45930.38649305556</v>
      </c>
      <c r="C1426" s="1" t="n">
        <v>45937</v>
      </c>
      <c r="D1426" t="inlineStr">
        <is>
          <t>VÄSTERNORRLANDS LÄN</t>
        </is>
      </c>
      <c r="E1426" t="inlineStr">
        <is>
          <t>SOLLEFTEÅ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48035-2025</t>
        </is>
      </c>
      <c r="B1427" s="1" t="n">
        <v>45932</v>
      </c>
      <c r="C1427" s="1" t="n">
        <v>45937</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60827-2024</t>
        </is>
      </c>
      <c r="B1428" s="1" t="n">
        <v>45644.63590277778</v>
      </c>
      <c r="C1428" s="1" t="n">
        <v>45937</v>
      </c>
      <c r="D1428" t="inlineStr">
        <is>
          <t>VÄSTERNORRLANDS LÄN</t>
        </is>
      </c>
      <c r="E1428" t="inlineStr">
        <is>
          <t>SOLLEFTEÅ</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45937</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945-2025</t>
        </is>
      </c>
      <c r="B1430" s="1" t="n">
        <v>45666.34412037037</v>
      </c>
      <c r="C1430" s="1" t="n">
        <v>45937</v>
      </c>
      <c r="D1430" t="inlineStr">
        <is>
          <t>VÄSTERNORRLANDS LÄN</t>
        </is>
      </c>
      <c r="E1430" t="inlineStr">
        <is>
          <t>SOLLEFTEÅ</t>
        </is>
      </c>
      <c r="F1430" t="inlineStr">
        <is>
          <t>SCA</t>
        </is>
      </c>
      <c r="G1430" t="n">
        <v>36.6</v>
      </c>
      <c r="H1430" t="n">
        <v>0</v>
      </c>
      <c r="I1430" t="n">
        <v>0</v>
      </c>
      <c r="J1430" t="n">
        <v>0</v>
      </c>
      <c r="K1430" t="n">
        <v>0</v>
      </c>
      <c r="L1430" t="n">
        <v>0</v>
      </c>
      <c r="M1430" t="n">
        <v>0</v>
      </c>
      <c r="N1430" t="n">
        <v>0</v>
      </c>
      <c r="O1430" t="n">
        <v>0</v>
      </c>
      <c r="P1430" t="n">
        <v>0</v>
      </c>
      <c r="Q1430" t="n">
        <v>0</v>
      </c>
      <c r="R1430" s="2" t="inlineStr"/>
    </row>
    <row r="1431" ht="15" customHeight="1">
      <c r="A1431" t="inlineStr">
        <is>
          <t>A 59317-2024</t>
        </is>
      </c>
      <c r="B1431" s="1" t="n">
        <v>45637.69873842593</v>
      </c>
      <c r="C1431" s="1" t="n">
        <v>45937</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10967-2025</t>
        </is>
      </c>
      <c r="B1432" s="1" t="n">
        <v>45723.38615740741</v>
      </c>
      <c r="C1432" s="1" t="n">
        <v>45937</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39568-2025</t>
        </is>
      </c>
      <c r="B1433" s="1" t="n">
        <v>45890.48993055556</v>
      </c>
      <c r="C1433" s="1" t="n">
        <v>45937</v>
      </c>
      <c r="D1433" t="inlineStr">
        <is>
          <t>VÄSTERNORRLANDS LÄN</t>
        </is>
      </c>
      <c r="E1433" t="inlineStr">
        <is>
          <t>SOLLEFTEÅ</t>
        </is>
      </c>
      <c r="F1433" t="inlineStr">
        <is>
          <t>SCA</t>
        </is>
      </c>
      <c r="G1433" t="n">
        <v>14.4</v>
      </c>
      <c r="H1433" t="n">
        <v>0</v>
      </c>
      <c r="I1433" t="n">
        <v>0</v>
      </c>
      <c r="J1433" t="n">
        <v>0</v>
      </c>
      <c r="K1433" t="n">
        <v>0</v>
      </c>
      <c r="L1433" t="n">
        <v>0</v>
      </c>
      <c r="M1433" t="n">
        <v>0</v>
      </c>
      <c r="N1433" t="n">
        <v>0</v>
      </c>
      <c r="O1433" t="n">
        <v>0</v>
      </c>
      <c r="P1433" t="n">
        <v>0</v>
      </c>
      <c r="Q1433" t="n">
        <v>0</v>
      </c>
      <c r="R1433" s="2" t="inlineStr"/>
    </row>
    <row r="1434" ht="15" customHeight="1">
      <c r="A1434" t="inlineStr">
        <is>
          <t>A 39602-2025</t>
        </is>
      </c>
      <c r="B1434" s="1" t="n">
        <v>45890.55296296296</v>
      </c>
      <c r="C1434" s="1" t="n">
        <v>45937</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39664-2025</t>
        </is>
      </c>
      <c r="B1435" s="1" t="n">
        <v>45890.63596064815</v>
      </c>
      <c r="C1435" s="1" t="n">
        <v>45937</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39671-2025</t>
        </is>
      </c>
      <c r="B1436" s="1" t="n">
        <v>45890</v>
      </c>
      <c r="C1436" s="1" t="n">
        <v>45937</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21095-2024</t>
        </is>
      </c>
      <c r="B1437" s="1" t="n">
        <v>45439.95034722222</v>
      </c>
      <c r="C1437" s="1" t="n">
        <v>45937</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1880-2024</t>
        </is>
      </c>
      <c r="B1438" s="1" t="n">
        <v>45307</v>
      </c>
      <c r="C1438" s="1" t="n">
        <v>45937</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13257-2025</t>
        </is>
      </c>
      <c r="B1439" s="1" t="n">
        <v>45735.51075231482</v>
      </c>
      <c r="C1439" s="1" t="n">
        <v>45937</v>
      </c>
      <c r="D1439" t="inlineStr">
        <is>
          <t>VÄSTERNORRLANDS LÄN</t>
        </is>
      </c>
      <c r="E1439" t="inlineStr">
        <is>
          <t>SOLLEFTEÅ</t>
        </is>
      </c>
      <c r="F1439" t="inlineStr">
        <is>
          <t>SCA</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8959-2023</t>
        </is>
      </c>
      <c r="B1440" s="1" t="n">
        <v>44974</v>
      </c>
      <c r="C1440" s="1" t="n">
        <v>45937</v>
      </c>
      <c r="D1440" t="inlineStr">
        <is>
          <t>VÄSTERNORRLANDS LÄN</t>
        </is>
      </c>
      <c r="E1440" t="inlineStr">
        <is>
          <t>SOLLEFTEÅ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47851-2025</t>
        </is>
      </c>
      <c r="B1441" s="1" t="n">
        <v>45932.38645833333</v>
      </c>
      <c r="C1441" s="1" t="n">
        <v>45937</v>
      </c>
      <c r="D1441" t="inlineStr">
        <is>
          <t>VÄSTERNORRLANDS LÄN</t>
        </is>
      </c>
      <c r="E1441" t="inlineStr">
        <is>
          <t>SOLLEFTEÅ</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47536-2025</t>
        </is>
      </c>
      <c r="B1442" s="1" t="n">
        <v>45931.34695601852</v>
      </c>
      <c r="C1442" s="1" t="n">
        <v>45937</v>
      </c>
      <c r="D1442" t="inlineStr">
        <is>
          <t>VÄSTERNORRLANDS LÄN</t>
        </is>
      </c>
      <c r="E1442" t="inlineStr">
        <is>
          <t>SOLLEFTEÅ</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2345-2025</t>
        </is>
      </c>
      <c r="B1443" s="1" t="n">
        <v>45673.67747685185</v>
      </c>
      <c r="C1443" s="1" t="n">
        <v>45937</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39515-2025</t>
        </is>
      </c>
      <c r="B1444" s="1" t="n">
        <v>45890.42078703704</v>
      </c>
      <c r="C1444" s="1" t="n">
        <v>45937</v>
      </c>
      <c r="D1444" t="inlineStr">
        <is>
          <t>VÄSTERNORRLANDS LÄN</t>
        </is>
      </c>
      <c r="E1444" t="inlineStr">
        <is>
          <t>SOLLEFTEÅ</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42478-2025</t>
        </is>
      </c>
      <c r="B1445" s="1" t="n">
        <v>45905</v>
      </c>
      <c r="C1445" s="1" t="n">
        <v>45937</v>
      </c>
      <c r="D1445" t="inlineStr">
        <is>
          <t>VÄSTERNORRLANDS LÄN</t>
        </is>
      </c>
      <c r="E1445" t="inlineStr">
        <is>
          <t>SOLLEFTEÅ</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10971-2025</t>
        </is>
      </c>
      <c r="B1446" s="1" t="n">
        <v>45723.38659722222</v>
      </c>
      <c r="C1446" s="1" t="n">
        <v>45937</v>
      </c>
      <c r="D1446" t="inlineStr">
        <is>
          <t>VÄSTERNORRLANDS LÄN</t>
        </is>
      </c>
      <c r="E1446" t="inlineStr">
        <is>
          <t>SOLLEFTEÅ</t>
        </is>
      </c>
      <c r="F1446" t="inlineStr">
        <is>
          <t>SCA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42879-2025</t>
        </is>
      </c>
      <c r="B1447" s="1" t="n">
        <v>45908</v>
      </c>
      <c r="C1447" s="1" t="n">
        <v>45937</v>
      </c>
      <c r="D1447" t="inlineStr">
        <is>
          <t>VÄSTERNORRLANDS LÄN</t>
        </is>
      </c>
      <c r="E1447" t="inlineStr">
        <is>
          <t>SOLLEFTEÅ</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39270-2025</t>
        </is>
      </c>
      <c r="B1448" s="1" t="n">
        <v>45889.38609953703</v>
      </c>
      <c r="C1448" s="1" t="n">
        <v>45937</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39286-2025</t>
        </is>
      </c>
      <c r="B1449" s="1" t="n">
        <v>45889.40690972222</v>
      </c>
      <c r="C1449" s="1" t="n">
        <v>45937</v>
      </c>
      <c r="D1449" t="inlineStr">
        <is>
          <t>VÄSTERNORRLANDS LÄN</t>
        </is>
      </c>
      <c r="E1449" t="inlineStr">
        <is>
          <t>SOLLEFTEÅ</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48053-2025</t>
        </is>
      </c>
      <c r="B1450" s="1" t="n">
        <v>45932.67856481481</v>
      </c>
      <c r="C1450" s="1" t="n">
        <v>45937</v>
      </c>
      <c r="D1450" t="inlineStr">
        <is>
          <t>VÄSTERNORRLANDS LÄN</t>
        </is>
      </c>
      <c r="E1450" t="inlineStr">
        <is>
          <t>SOLLEFTEÅ</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47732-2025</t>
        </is>
      </c>
      <c r="B1451" s="1" t="n">
        <v>45931.63561342593</v>
      </c>
      <c r="C1451" s="1" t="n">
        <v>45937</v>
      </c>
      <c r="D1451" t="inlineStr">
        <is>
          <t>VÄSTERNORRLANDS LÄN</t>
        </is>
      </c>
      <c r="E1451" t="inlineStr">
        <is>
          <t>SOLLEFTEÅ</t>
        </is>
      </c>
      <c r="F1451" t="inlineStr">
        <is>
          <t>Holmen skog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12539-2023</t>
        </is>
      </c>
      <c r="B1452" s="1" t="n">
        <v>45000.01452546296</v>
      </c>
      <c r="C1452" s="1" t="n">
        <v>45937</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47636-2025</t>
        </is>
      </c>
      <c r="B1453" s="1" t="n">
        <v>45931.49577546296</v>
      </c>
      <c r="C1453" s="1" t="n">
        <v>45937</v>
      </c>
      <c r="D1453" t="inlineStr">
        <is>
          <t>VÄSTERNORRLANDS LÄN</t>
        </is>
      </c>
      <c r="E1453" t="inlineStr">
        <is>
          <t>SOLLEFTEÅ</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2481-2025</t>
        </is>
      </c>
      <c r="B1454" s="1" t="n">
        <v>45674.48996527777</v>
      </c>
      <c r="C1454" s="1" t="n">
        <v>45937</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56252-2024</t>
        </is>
      </c>
      <c r="B1455" s="1" t="n">
        <v>45624</v>
      </c>
      <c r="C1455" s="1" t="n">
        <v>45937</v>
      </c>
      <c r="D1455" t="inlineStr">
        <is>
          <t>VÄSTERNORRLANDS LÄN</t>
        </is>
      </c>
      <c r="E1455" t="inlineStr">
        <is>
          <t>SOLLEFTEÅ</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47702-2025</t>
        </is>
      </c>
      <c r="B1456" s="1" t="n">
        <v>45931.60685185185</v>
      </c>
      <c r="C1456" s="1" t="n">
        <v>45937</v>
      </c>
      <c r="D1456" t="inlineStr">
        <is>
          <t>VÄSTERNORRLANDS LÄN</t>
        </is>
      </c>
      <c r="E1456" t="inlineStr">
        <is>
          <t>SOLLEFTEÅ</t>
        </is>
      </c>
      <c r="F1456" t="inlineStr">
        <is>
          <t>Holmen skog AB</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47675-2025</t>
        </is>
      </c>
      <c r="B1457" s="1" t="n">
        <v>45931.5742824074</v>
      </c>
      <c r="C1457" s="1" t="n">
        <v>45937</v>
      </c>
      <c r="D1457" t="inlineStr">
        <is>
          <t>VÄSTERNORRLANDS LÄN</t>
        </is>
      </c>
      <c r="E1457" t="inlineStr">
        <is>
          <t>SOLLEFTEÅ</t>
        </is>
      </c>
      <c r="F1457" t="inlineStr">
        <is>
          <t>SCA</t>
        </is>
      </c>
      <c r="G1457" t="n">
        <v>27.8</v>
      </c>
      <c r="H1457" t="n">
        <v>0</v>
      </c>
      <c r="I1457" t="n">
        <v>0</v>
      </c>
      <c r="J1457" t="n">
        <v>0</v>
      </c>
      <c r="K1457" t="n">
        <v>0</v>
      </c>
      <c r="L1457" t="n">
        <v>0</v>
      </c>
      <c r="M1457" t="n">
        <v>0</v>
      </c>
      <c r="N1457" t="n">
        <v>0</v>
      </c>
      <c r="O1457" t="n">
        <v>0</v>
      </c>
      <c r="P1457" t="n">
        <v>0</v>
      </c>
      <c r="Q1457" t="n">
        <v>0</v>
      </c>
      <c r="R1457" s="2" t="inlineStr"/>
    </row>
    <row r="1458" ht="15" customHeight="1">
      <c r="A1458" t="inlineStr">
        <is>
          <t>A 39475-2025</t>
        </is>
      </c>
      <c r="B1458" s="1" t="n">
        <v>45890.34447916667</v>
      </c>
      <c r="C1458" s="1" t="n">
        <v>45937</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47532-2025</t>
        </is>
      </c>
      <c r="B1459" s="1" t="n">
        <v>45931.34635416666</v>
      </c>
      <c r="C1459" s="1" t="n">
        <v>45937</v>
      </c>
      <c r="D1459" t="inlineStr">
        <is>
          <t>VÄSTERNORRLANDS LÄN</t>
        </is>
      </c>
      <c r="E1459" t="inlineStr">
        <is>
          <t>SOLLEFTEÅ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48070-2025</t>
        </is>
      </c>
      <c r="B1460" s="1" t="n">
        <v>45932.69886574074</v>
      </c>
      <c r="C1460" s="1" t="n">
        <v>45937</v>
      </c>
      <c r="D1460" t="inlineStr">
        <is>
          <t>VÄSTERNORRLANDS LÄN</t>
        </is>
      </c>
      <c r="E1460" t="inlineStr">
        <is>
          <t>SOLLEFTEÅ</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29884-2025</t>
        </is>
      </c>
      <c r="B1461" s="1" t="n">
        <v>45826.36582175926</v>
      </c>
      <c r="C1461" s="1" t="n">
        <v>45937</v>
      </c>
      <c r="D1461" t="inlineStr">
        <is>
          <t>VÄSTERNORRLANDS LÄN</t>
        </is>
      </c>
      <c r="E1461" t="inlineStr">
        <is>
          <t>SOLLEFTEÅ</t>
        </is>
      </c>
      <c r="F1461" t="inlineStr">
        <is>
          <t>SCA</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39287-2025</t>
        </is>
      </c>
      <c r="B1462" s="1" t="n">
        <v>45889.40693287037</v>
      </c>
      <c r="C1462" s="1" t="n">
        <v>45937</v>
      </c>
      <c r="D1462" t="inlineStr">
        <is>
          <t>VÄSTERNORRLANDS LÄN</t>
        </is>
      </c>
      <c r="E1462" t="inlineStr">
        <is>
          <t>SOLLEFTEÅ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29793-2025</t>
        </is>
      </c>
      <c r="B1463" s="1" t="n">
        <v>45825</v>
      </c>
      <c r="C1463" s="1" t="n">
        <v>45937</v>
      </c>
      <c r="D1463" t="inlineStr">
        <is>
          <t>VÄSTERNORRLANDS LÄN</t>
        </is>
      </c>
      <c r="E1463" t="inlineStr">
        <is>
          <t>SOLLEFTEÅ</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26014-2025</t>
        </is>
      </c>
      <c r="B1464" s="1" t="n">
        <v>45804.67773148148</v>
      </c>
      <c r="C1464" s="1" t="n">
        <v>45937</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29883-2025</t>
        </is>
      </c>
      <c r="B1465" s="1" t="n">
        <v>45826.36568287037</v>
      </c>
      <c r="C1465" s="1" t="n">
        <v>45937</v>
      </c>
      <c r="D1465" t="inlineStr">
        <is>
          <t>VÄSTERNORRLANDS LÄN</t>
        </is>
      </c>
      <c r="E1465" t="inlineStr">
        <is>
          <t>SOLLEFTEÅ</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43490-2025</t>
        </is>
      </c>
      <c r="B1466" s="1" t="n">
        <v>45911</v>
      </c>
      <c r="C1466" s="1" t="n">
        <v>45937</v>
      </c>
      <c r="D1466" t="inlineStr">
        <is>
          <t>VÄSTERNORRLANDS LÄN</t>
        </is>
      </c>
      <c r="E1466" t="inlineStr">
        <is>
          <t>SOLLEFTEÅ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47647-2025</t>
        </is>
      </c>
      <c r="B1467" s="1" t="n">
        <v>45931.51834490741</v>
      </c>
      <c r="C1467" s="1" t="n">
        <v>45937</v>
      </c>
      <c r="D1467" t="inlineStr">
        <is>
          <t>VÄSTERNORRLANDS LÄN</t>
        </is>
      </c>
      <c r="E1467" t="inlineStr">
        <is>
          <t>SOLLEFTEÅ</t>
        </is>
      </c>
      <c r="F1467" t="inlineStr">
        <is>
          <t>Holmen skog AB</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30311-2025</t>
        </is>
      </c>
      <c r="B1468" s="1" t="n">
        <v>45827.49015046296</v>
      </c>
      <c r="C1468" s="1" t="n">
        <v>45937</v>
      </c>
      <c r="D1468" t="inlineStr">
        <is>
          <t>VÄSTERNORRLANDS LÄN</t>
        </is>
      </c>
      <c r="E1468" t="inlineStr">
        <is>
          <t>SOLLEFTEÅ</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39619-2025</t>
        </is>
      </c>
      <c r="B1469" s="1" t="n">
        <v>45890.57347222222</v>
      </c>
      <c r="C1469" s="1" t="n">
        <v>45937</v>
      </c>
      <c r="D1469" t="inlineStr">
        <is>
          <t>VÄSTERNORRLANDS LÄN</t>
        </is>
      </c>
      <c r="E1469" t="inlineStr">
        <is>
          <t>SOLLEFTEÅ</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30369-2025</t>
        </is>
      </c>
      <c r="B1470" s="1" t="n">
        <v>45827.55729166666</v>
      </c>
      <c r="C1470" s="1" t="n">
        <v>45937</v>
      </c>
      <c r="D1470" t="inlineStr">
        <is>
          <t>VÄSTERNORRLANDS LÄN</t>
        </is>
      </c>
      <c r="E1470" t="inlineStr">
        <is>
          <t>SOLLEFTEÅ</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26407-2022</t>
        </is>
      </c>
      <c r="B1471" s="1" t="n">
        <v>44735</v>
      </c>
      <c r="C1471" s="1" t="n">
        <v>45937</v>
      </c>
      <c r="D1471" t="inlineStr">
        <is>
          <t>VÄSTERNORRLANDS LÄN</t>
        </is>
      </c>
      <c r="E1471" t="inlineStr">
        <is>
          <t>SOLLEFTEÅ</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39433-2025</t>
        </is>
      </c>
      <c r="B1472" s="1" t="n">
        <v>45889.67799768518</v>
      </c>
      <c r="C1472" s="1" t="n">
        <v>45937</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8099-2025</t>
        </is>
      </c>
      <c r="B1473" s="1" t="n">
        <v>45707.69086805556</v>
      </c>
      <c r="C1473" s="1" t="n">
        <v>45937</v>
      </c>
      <c r="D1473" t="inlineStr">
        <is>
          <t>VÄSTERNORRLANDS LÄN</t>
        </is>
      </c>
      <c r="E1473" t="inlineStr">
        <is>
          <t>SOLLEFTEÅ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30389-2025</t>
        </is>
      </c>
      <c r="B1474" s="1" t="n">
        <v>45827.57356481482</v>
      </c>
      <c r="C1474" s="1" t="n">
        <v>45937</v>
      </c>
      <c r="D1474" t="inlineStr">
        <is>
          <t>VÄSTERNORRLANDS LÄN</t>
        </is>
      </c>
      <c r="E1474" t="inlineStr">
        <is>
          <t>SOLLEFTEÅ</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43842-2025</t>
        </is>
      </c>
      <c r="B1475" s="1" t="n">
        <v>45912.63587962963</v>
      </c>
      <c r="C1475" s="1" t="n">
        <v>45937</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48052-2025</t>
        </is>
      </c>
      <c r="B1476" s="1" t="n">
        <v>45932.67831018518</v>
      </c>
      <c r="C1476" s="1" t="n">
        <v>45937</v>
      </c>
      <c r="D1476" t="inlineStr">
        <is>
          <t>VÄSTERNORRLANDS LÄN</t>
        </is>
      </c>
      <c r="E1476" t="inlineStr">
        <is>
          <t>SOLLEFTEÅ</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39656-2025</t>
        </is>
      </c>
      <c r="B1477" s="1" t="n">
        <v>45890</v>
      </c>
      <c r="C1477" s="1" t="n">
        <v>45937</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47771-2025</t>
        </is>
      </c>
      <c r="B1478" s="1" t="n">
        <v>45931.719375</v>
      </c>
      <c r="C1478" s="1" t="n">
        <v>45937</v>
      </c>
      <c r="D1478" t="inlineStr">
        <is>
          <t>VÄSTERNORRLANDS LÄN</t>
        </is>
      </c>
      <c r="E1478" t="inlineStr">
        <is>
          <t>SOLLEFTEÅ</t>
        </is>
      </c>
      <c r="F1478" t="inlineStr">
        <is>
          <t>SCA</t>
        </is>
      </c>
      <c r="G1478" t="n">
        <v>23.8</v>
      </c>
      <c r="H1478" t="n">
        <v>0</v>
      </c>
      <c r="I1478" t="n">
        <v>0</v>
      </c>
      <c r="J1478" t="n">
        <v>0</v>
      </c>
      <c r="K1478" t="n">
        <v>0</v>
      </c>
      <c r="L1478" t="n">
        <v>0</v>
      </c>
      <c r="M1478" t="n">
        <v>0</v>
      </c>
      <c r="N1478" t="n">
        <v>0</v>
      </c>
      <c r="O1478" t="n">
        <v>0</v>
      </c>
      <c r="P1478" t="n">
        <v>0</v>
      </c>
      <c r="Q1478" t="n">
        <v>0</v>
      </c>
      <c r="R1478" s="2" t="inlineStr"/>
    </row>
    <row r="1479" ht="15" customHeight="1">
      <c r="A1479" t="inlineStr">
        <is>
          <t>A 39319-2025</t>
        </is>
      </c>
      <c r="B1479" s="1" t="n">
        <v>45889.46916666667</v>
      </c>
      <c r="C1479" s="1" t="n">
        <v>45937</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47641-2025</t>
        </is>
      </c>
      <c r="B1480" s="1" t="n">
        <v>45931.51086805556</v>
      </c>
      <c r="C1480" s="1" t="n">
        <v>45937</v>
      </c>
      <c r="D1480" t="inlineStr">
        <is>
          <t>VÄSTERNORRLANDS LÄN</t>
        </is>
      </c>
      <c r="E1480" t="inlineStr">
        <is>
          <t>SOLLEFTEÅ</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47642-2025</t>
        </is>
      </c>
      <c r="B1481" s="1" t="n">
        <v>45931.51105324074</v>
      </c>
      <c r="C1481" s="1" t="n">
        <v>45937</v>
      </c>
      <c r="D1481" t="inlineStr">
        <is>
          <t>VÄSTERNORRLANDS LÄN</t>
        </is>
      </c>
      <c r="E1481" t="inlineStr">
        <is>
          <t>SOLLEFTEÅ</t>
        </is>
      </c>
      <c r="F1481" t="inlineStr">
        <is>
          <t>SCA</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47947-2025</t>
        </is>
      </c>
      <c r="B1482" s="1" t="n">
        <v>45932.5740625</v>
      </c>
      <c r="C1482" s="1" t="n">
        <v>45937</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47962-2025</t>
        </is>
      </c>
      <c r="B1483" s="1" t="n">
        <v>45932.59434027778</v>
      </c>
      <c r="C1483" s="1" t="n">
        <v>45937</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30279-2025</t>
        </is>
      </c>
      <c r="B1484" s="1" t="n">
        <v>45827</v>
      </c>
      <c r="C1484" s="1" t="n">
        <v>45937</v>
      </c>
      <c r="D1484" t="inlineStr">
        <is>
          <t>VÄSTERNORRLANDS LÄN</t>
        </is>
      </c>
      <c r="E1484" t="inlineStr">
        <is>
          <t>SOLLEFTEÅ</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30401-2025</t>
        </is>
      </c>
      <c r="B1485" s="1" t="n">
        <v>45827.59135416667</v>
      </c>
      <c r="C1485" s="1" t="n">
        <v>45937</v>
      </c>
      <c r="D1485" t="inlineStr">
        <is>
          <t>VÄSTERNORRLANDS LÄN</t>
        </is>
      </c>
      <c r="E1485" t="inlineStr">
        <is>
          <t>SOLLEFTEÅ</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40175-2025</t>
        </is>
      </c>
      <c r="B1486" s="1" t="n">
        <v>45894.63609953703</v>
      </c>
      <c r="C1486" s="1" t="n">
        <v>45937</v>
      </c>
      <c r="D1486" t="inlineStr">
        <is>
          <t>VÄSTERNORRLANDS LÄN</t>
        </is>
      </c>
      <c r="E1486" t="inlineStr">
        <is>
          <t>SOLLEFTEÅ</t>
        </is>
      </c>
      <c r="F1486" t="inlineStr">
        <is>
          <t>SCA</t>
        </is>
      </c>
      <c r="G1486" t="n">
        <v>21.2</v>
      </c>
      <c r="H1486" t="n">
        <v>0</v>
      </c>
      <c r="I1486" t="n">
        <v>0</v>
      </c>
      <c r="J1486" t="n">
        <v>0</v>
      </c>
      <c r="K1486" t="n">
        <v>0</v>
      </c>
      <c r="L1486" t="n">
        <v>0</v>
      </c>
      <c r="M1486" t="n">
        <v>0</v>
      </c>
      <c r="N1486" t="n">
        <v>0</v>
      </c>
      <c r="O1486" t="n">
        <v>0</v>
      </c>
      <c r="P1486" t="n">
        <v>0</v>
      </c>
      <c r="Q1486" t="n">
        <v>0</v>
      </c>
      <c r="R1486" s="2" t="inlineStr"/>
    </row>
    <row r="1487" ht="15" customHeight="1">
      <c r="A1487" t="inlineStr">
        <is>
          <t>A 62262-2022</t>
        </is>
      </c>
      <c r="B1487" s="1" t="n">
        <v>44922.94387731481</v>
      </c>
      <c r="C1487" s="1" t="n">
        <v>45937</v>
      </c>
      <c r="D1487" t="inlineStr">
        <is>
          <t>VÄSTERNORRLANDS LÄN</t>
        </is>
      </c>
      <c r="E1487" t="inlineStr">
        <is>
          <t>SOLLEFTEÅ</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30478-2025</t>
        </is>
      </c>
      <c r="B1488" s="1" t="n">
        <v>45828.45866898148</v>
      </c>
      <c r="C1488" s="1" t="n">
        <v>45937</v>
      </c>
      <c r="D1488" t="inlineStr">
        <is>
          <t>VÄSTERNORRLANDS LÄN</t>
        </is>
      </c>
      <c r="E1488" t="inlineStr">
        <is>
          <t>SOLLEFTEÅ</t>
        </is>
      </c>
      <c r="G1488" t="n">
        <v>1.5</v>
      </c>
      <c r="H1488" t="n">
        <v>0</v>
      </c>
      <c r="I1488" t="n">
        <v>0</v>
      </c>
      <c r="J1488" t="n">
        <v>0</v>
      </c>
      <c r="K1488" t="n">
        <v>0</v>
      </c>
      <c r="L1488" t="n">
        <v>0</v>
      </c>
      <c r="M1488" t="n">
        <v>0</v>
      </c>
      <c r="N1488" t="n">
        <v>0</v>
      </c>
      <c r="O1488" t="n">
        <v>0</v>
      </c>
      <c r="P1488" t="n">
        <v>0</v>
      </c>
      <c r="Q1488" t="n">
        <v>0</v>
      </c>
      <c r="R1488" s="2" t="inlineStr"/>
      <c r="U1488">
        <f>HYPERLINK("https://klasma.github.io/Logging_2283/knärot/A 30478-2025 karta knärot.png", "A 30478-2025")</f>
        <v/>
      </c>
      <c r="V1488">
        <f>HYPERLINK("https://klasma.github.io/Logging_2283/klagomål/A 30478-2025 FSC-klagomål.docx", "A 30478-2025")</f>
        <v/>
      </c>
      <c r="W1488">
        <f>HYPERLINK("https://klasma.github.io/Logging_2283/klagomålsmail/A 30478-2025 FSC-klagomål mail.docx", "A 30478-2025")</f>
        <v/>
      </c>
      <c r="X1488">
        <f>HYPERLINK("https://klasma.github.io/Logging_2283/tillsyn/A 30478-2025 tillsynsbegäran.docx", "A 30478-2025")</f>
        <v/>
      </c>
      <c r="Y1488">
        <f>HYPERLINK("https://klasma.github.io/Logging_2283/tillsynsmail/A 30478-2025 tillsynsbegäran mail.docx", "A 30478-2025")</f>
        <v/>
      </c>
    </row>
    <row r="1489" ht="15" customHeight="1">
      <c r="A1489" t="inlineStr">
        <is>
          <t>A 3082-2025</t>
        </is>
      </c>
      <c r="B1489" s="1" t="n">
        <v>45678.64443287037</v>
      </c>
      <c r="C1489" s="1" t="n">
        <v>45937</v>
      </c>
      <c r="D1489" t="inlineStr">
        <is>
          <t>VÄSTERNORRLANDS LÄN</t>
        </is>
      </c>
      <c r="E1489" t="inlineStr">
        <is>
          <t>SOLLEFTEÅ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3095-2025</t>
        </is>
      </c>
      <c r="B1490" s="1" t="n">
        <v>45678.66633101852</v>
      </c>
      <c r="C1490" s="1" t="n">
        <v>45937</v>
      </c>
      <c r="D1490" t="inlineStr">
        <is>
          <t>VÄSTERNORRLANDS LÄN</t>
        </is>
      </c>
      <c r="E1490" t="inlineStr">
        <is>
          <t>SOLLEFTEÅ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3103-2025</t>
        </is>
      </c>
      <c r="B1491" s="1" t="n">
        <v>45678.67739583334</v>
      </c>
      <c r="C1491" s="1" t="n">
        <v>45937</v>
      </c>
      <c r="D1491" t="inlineStr">
        <is>
          <t>VÄSTERNORRLANDS LÄN</t>
        </is>
      </c>
      <c r="E1491" t="inlineStr">
        <is>
          <t>SOLLEFTEÅ</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40190-2025</t>
        </is>
      </c>
      <c r="B1492" s="1" t="n">
        <v>45894.65664351852</v>
      </c>
      <c r="C1492" s="1" t="n">
        <v>45937</v>
      </c>
      <c r="D1492" t="inlineStr">
        <is>
          <t>VÄSTERNORRLANDS LÄN</t>
        </is>
      </c>
      <c r="E1492" t="inlineStr">
        <is>
          <t>SOLLEFTEÅ</t>
        </is>
      </c>
      <c r="F1492" t="inlineStr">
        <is>
          <t>SCA</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53483-2024</t>
        </is>
      </c>
      <c r="B1493" s="1" t="n">
        <v>45611</v>
      </c>
      <c r="C1493" s="1" t="n">
        <v>45937</v>
      </c>
      <c r="D1493" t="inlineStr">
        <is>
          <t>VÄSTERNORRLANDS LÄN</t>
        </is>
      </c>
      <c r="E1493" t="inlineStr">
        <is>
          <t>SOLLEFTEÅ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21191-2022</t>
        </is>
      </c>
      <c r="B1494" s="1" t="n">
        <v>44704.94193287037</v>
      </c>
      <c r="C1494" s="1" t="n">
        <v>45937</v>
      </c>
      <c r="D1494" t="inlineStr">
        <is>
          <t>VÄSTERNORRLANDS LÄN</t>
        </is>
      </c>
      <c r="E1494" t="inlineStr">
        <is>
          <t>SOLLEFTEÅ</t>
        </is>
      </c>
      <c r="F1494" t="inlineStr">
        <is>
          <t>SCA</t>
        </is>
      </c>
      <c r="G1494" t="n">
        <v>26.5</v>
      </c>
      <c r="H1494" t="n">
        <v>0</v>
      </c>
      <c r="I1494" t="n">
        <v>0</v>
      </c>
      <c r="J1494" t="n">
        <v>0</v>
      </c>
      <c r="K1494" t="n">
        <v>0</v>
      </c>
      <c r="L1494" t="n">
        <v>0</v>
      </c>
      <c r="M1494" t="n">
        <v>0</v>
      </c>
      <c r="N1494" t="n">
        <v>0</v>
      </c>
      <c r="O1494" t="n">
        <v>0</v>
      </c>
      <c r="P1494" t="n">
        <v>0</v>
      </c>
      <c r="Q1494" t="n">
        <v>0</v>
      </c>
      <c r="R1494" s="2" t="inlineStr"/>
    </row>
    <row r="1495" ht="15" customHeight="1">
      <c r="A1495" t="inlineStr">
        <is>
          <t>A 40174-2025</t>
        </is>
      </c>
      <c r="B1495" s="1" t="n">
        <v>45894.63587962963</v>
      </c>
      <c r="C1495" s="1" t="n">
        <v>45937</v>
      </c>
      <c r="D1495" t="inlineStr">
        <is>
          <t>VÄSTERNORRLANDS LÄN</t>
        </is>
      </c>
      <c r="E1495" t="inlineStr">
        <is>
          <t>SOLLEFTEÅ</t>
        </is>
      </c>
      <c r="F1495" t="inlineStr">
        <is>
          <t>SCA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42664-2022</t>
        </is>
      </c>
      <c r="B1496" s="1" t="n">
        <v>44831</v>
      </c>
      <c r="C1496" s="1" t="n">
        <v>45937</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16632-2025</t>
        </is>
      </c>
      <c r="B1497" s="1" t="n">
        <v>45754.36490740741</v>
      </c>
      <c r="C1497" s="1" t="n">
        <v>45937</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4501-2023</t>
        </is>
      </c>
      <c r="B1498" s="1" t="n">
        <v>44952</v>
      </c>
      <c r="C1498" s="1" t="n">
        <v>45937</v>
      </c>
      <c r="D1498" t="inlineStr">
        <is>
          <t>VÄSTERNORRLANDS LÄN</t>
        </is>
      </c>
      <c r="E1498" t="inlineStr">
        <is>
          <t>SOLLEFTEÅ</t>
        </is>
      </c>
      <c r="F1498" t="inlineStr">
        <is>
          <t>Övriga Aktiebolag</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12107-2023</t>
        </is>
      </c>
      <c r="B1499" s="1" t="n">
        <v>44995</v>
      </c>
      <c r="C1499" s="1" t="n">
        <v>45937</v>
      </c>
      <c r="D1499" t="inlineStr">
        <is>
          <t>VÄSTERNORRLANDS LÄN</t>
        </is>
      </c>
      <c r="E1499" t="inlineStr">
        <is>
          <t>SOLLEFTEÅ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64638-2021</t>
        </is>
      </c>
      <c r="B1500" s="1" t="n">
        <v>44511</v>
      </c>
      <c r="C1500" s="1" t="n">
        <v>45937</v>
      </c>
      <c r="D1500" t="inlineStr">
        <is>
          <t>VÄSTERNORRLANDS LÄN</t>
        </is>
      </c>
      <c r="E1500" t="inlineStr">
        <is>
          <t>SOLLEFTEÅ</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30834-2025</t>
        </is>
      </c>
      <c r="B1501" s="1" t="n">
        <v>45831.6984837963</v>
      </c>
      <c r="C1501" s="1" t="n">
        <v>45937</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40049-2025</t>
        </is>
      </c>
      <c r="B1502" s="1" t="n">
        <v>45894</v>
      </c>
      <c r="C1502" s="1" t="n">
        <v>45937</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35019-2022</t>
        </is>
      </c>
      <c r="B1503" s="1" t="n">
        <v>44796.94684027778</v>
      </c>
      <c r="C1503" s="1" t="n">
        <v>45937</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30733-2025</t>
        </is>
      </c>
      <c r="B1504" s="1" t="n">
        <v>45831.57340277778</v>
      </c>
      <c r="C1504" s="1" t="n">
        <v>45937</v>
      </c>
      <c r="D1504" t="inlineStr">
        <is>
          <t>VÄSTERNORRLANDS LÄN</t>
        </is>
      </c>
      <c r="E1504" t="inlineStr">
        <is>
          <t>SOLLEFTEÅ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30734-2025</t>
        </is>
      </c>
      <c r="B1505" s="1" t="n">
        <v>45831.5734375</v>
      </c>
      <c r="C1505" s="1" t="n">
        <v>45937</v>
      </c>
      <c r="D1505" t="inlineStr">
        <is>
          <t>VÄSTERNORRLANDS LÄN</t>
        </is>
      </c>
      <c r="E1505" t="inlineStr">
        <is>
          <t>SOLLEFTEÅ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40280-2025</t>
        </is>
      </c>
      <c r="B1506" s="1" t="n">
        <v>45895</v>
      </c>
      <c r="C1506" s="1" t="n">
        <v>45937</v>
      </c>
      <c r="D1506" t="inlineStr">
        <is>
          <t>VÄSTERNORRLANDS LÄN</t>
        </is>
      </c>
      <c r="E1506" t="inlineStr">
        <is>
          <t>SOLLEFTEÅ</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53452-2023</t>
        </is>
      </c>
      <c r="B1507" s="1" t="n">
        <v>45229</v>
      </c>
      <c r="C1507" s="1" t="n">
        <v>45937</v>
      </c>
      <c r="D1507" t="inlineStr">
        <is>
          <t>VÄSTERNORRLANDS LÄN</t>
        </is>
      </c>
      <c r="E1507" t="inlineStr">
        <is>
          <t>SOLLEFTEÅ</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53453-2023</t>
        </is>
      </c>
      <c r="B1508" s="1" t="n">
        <v>45229.96586805556</v>
      </c>
      <c r="C1508" s="1" t="n">
        <v>45937</v>
      </c>
      <c r="D1508" t="inlineStr">
        <is>
          <t>VÄSTERNORRLANDS LÄN</t>
        </is>
      </c>
      <c r="E1508" t="inlineStr">
        <is>
          <t>SOLLEFTEÅ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54307-2023</t>
        </is>
      </c>
      <c r="B1509" s="1" t="n">
        <v>45225</v>
      </c>
      <c r="C1509" s="1" t="n">
        <v>45937</v>
      </c>
      <c r="D1509" t="inlineStr">
        <is>
          <t>VÄSTERNORRLANDS LÄN</t>
        </is>
      </c>
      <c r="E1509" t="inlineStr">
        <is>
          <t>SOLLEFTEÅ</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48467-2025</t>
        </is>
      </c>
      <c r="B1510" s="1" t="n">
        <v>45936.34452546296</v>
      </c>
      <c r="C1510" s="1" t="n">
        <v>45937</v>
      </c>
      <c r="D1510" t="inlineStr">
        <is>
          <t>VÄSTERNORRLANDS LÄN</t>
        </is>
      </c>
      <c r="E1510" t="inlineStr">
        <is>
          <t>SOLLEFTEÅ</t>
        </is>
      </c>
      <c r="F1510" t="inlineStr">
        <is>
          <t>SCA</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25079-2023</t>
        </is>
      </c>
      <c r="B1511" s="1" t="n">
        <v>45086</v>
      </c>
      <c r="C1511" s="1" t="n">
        <v>45937</v>
      </c>
      <c r="D1511" t="inlineStr">
        <is>
          <t>VÄSTERNORRLANDS LÄN</t>
        </is>
      </c>
      <c r="E1511" t="inlineStr">
        <is>
          <t>SOLLEFTEÅ</t>
        </is>
      </c>
      <c r="F1511" t="inlineStr">
        <is>
          <t>Kommuner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16709-2024</t>
        </is>
      </c>
      <c r="B1512" s="1" t="n">
        <v>45409.07737268518</v>
      </c>
      <c r="C1512" s="1" t="n">
        <v>45937</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54618-2023</t>
        </is>
      </c>
      <c r="B1513" s="1" t="n">
        <v>45233</v>
      </c>
      <c r="C1513" s="1" t="n">
        <v>45937</v>
      </c>
      <c r="D1513" t="inlineStr">
        <is>
          <t>VÄSTERNORRLANDS LÄN</t>
        </is>
      </c>
      <c r="E1513" t="inlineStr">
        <is>
          <t>SOLLEFTEÅ</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10437-2025</t>
        </is>
      </c>
      <c r="B1514" s="1" t="n">
        <v>45720.67740740741</v>
      </c>
      <c r="C1514" s="1" t="n">
        <v>45937</v>
      </c>
      <c r="D1514" t="inlineStr">
        <is>
          <t>VÄSTERNORRLANDS LÄN</t>
        </is>
      </c>
      <c r="E1514" t="inlineStr">
        <is>
          <t>SOLLEFTEÅ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48125-2025</t>
        </is>
      </c>
      <c r="B1515" s="1" t="n">
        <v>45933.36511574074</v>
      </c>
      <c r="C1515" s="1" t="n">
        <v>45937</v>
      </c>
      <c r="D1515" t="inlineStr">
        <is>
          <t>VÄSTERNORRLANDS LÄN</t>
        </is>
      </c>
      <c r="E1515" t="inlineStr">
        <is>
          <t>SOLLEFTEÅ</t>
        </is>
      </c>
      <c r="F1515" t="inlineStr">
        <is>
          <t>SCA</t>
        </is>
      </c>
      <c r="G1515" t="n">
        <v>13.3</v>
      </c>
      <c r="H1515" t="n">
        <v>0</v>
      </c>
      <c r="I1515" t="n">
        <v>0</v>
      </c>
      <c r="J1515" t="n">
        <v>0</v>
      </c>
      <c r="K1515" t="n">
        <v>0</v>
      </c>
      <c r="L1515" t="n">
        <v>0</v>
      </c>
      <c r="M1515" t="n">
        <v>0</v>
      </c>
      <c r="N1515" t="n">
        <v>0</v>
      </c>
      <c r="O1515" t="n">
        <v>0</v>
      </c>
      <c r="P1515" t="n">
        <v>0</v>
      </c>
      <c r="Q1515" t="n">
        <v>0</v>
      </c>
      <c r="R1515" s="2" t="inlineStr"/>
    </row>
    <row r="1516" ht="15" customHeight="1">
      <c r="A1516" t="inlineStr">
        <is>
          <t>A 48126-2025</t>
        </is>
      </c>
      <c r="B1516" s="1" t="n">
        <v>45933.36530092593</v>
      </c>
      <c r="C1516" s="1" t="n">
        <v>45937</v>
      </c>
      <c r="D1516" t="inlineStr">
        <is>
          <t>VÄSTERNORRLANDS LÄN</t>
        </is>
      </c>
      <c r="E1516" t="inlineStr">
        <is>
          <t>SOLLEFTEÅ</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62171-2024</t>
        </is>
      </c>
      <c r="B1517" s="1" t="n">
        <v>45657.65657407408</v>
      </c>
      <c r="C1517" s="1" t="n">
        <v>45937</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30964-2025</t>
        </is>
      </c>
      <c r="B1518" s="1" t="n">
        <v>45832.45111111111</v>
      </c>
      <c r="C1518" s="1" t="n">
        <v>45937</v>
      </c>
      <c r="D1518" t="inlineStr">
        <is>
          <t>VÄSTERNORRLANDS LÄN</t>
        </is>
      </c>
      <c r="E1518" t="inlineStr">
        <is>
          <t>SOLLEFTEÅ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657-2025</t>
        </is>
      </c>
      <c r="B1519" s="1" t="n">
        <v>45664.67766203704</v>
      </c>
      <c r="C1519" s="1" t="n">
        <v>45937</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48306-2025</t>
        </is>
      </c>
      <c r="B1520" s="1" t="n">
        <v>45933.615</v>
      </c>
      <c r="C1520" s="1" t="n">
        <v>45937</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48311-2025</t>
        </is>
      </c>
      <c r="B1521" s="1" t="n">
        <v>45933.61584490741</v>
      </c>
      <c r="C1521" s="1" t="n">
        <v>45937</v>
      </c>
      <c r="D1521" t="inlineStr">
        <is>
          <t>VÄSTERNORRLANDS LÄN</t>
        </is>
      </c>
      <c r="E1521" t="inlineStr">
        <is>
          <t>SOLLEFTEÅ</t>
        </is>
      </c>
      <c r="F1521" t="inlineStr">
        <is>
          <t>SCA</t>
        </is>
      </c>
      <c r="G1521" t="n">
        <v>61.2</v>
      </c>
      <c r="H1521" t="n">
        <v>0</v>
      </c>
      <c r="I1521" t="n">
        <v>0</v>
      </c>
      <c r="J1521" t="n">
        <v>0</v>
      </c>
      <c r="K1521" t="n">
        <v>0</v>
      </c>
      <c r="L1521" t="n">
        <v>0</v>
      </c>
      <c r="M1521" t="n">
        <v>0</v>
      </c>
      <c r="N1521" t="n">
        <v>0</v>
      </c>
      <c r="O1521" t="n">
        <v>0</v>
      </c>
      <c r="P1521" t="n">
        <v>0</v>
      </c>
      <c r="Q1521" t="n">
        <v>0</v>
      </c>
      <c r="R1521" s="2" t="inlineStr"/>
    </row>
    <row r="1522" ht="15" customHeight="1">
      <c r="A1522" t="inlineStr">
        <is>
          <t>A 31183-2025</t>
        </is>
      </c>
      <c r="B1522" s="1" t="n">
        <v>45832.67774305555</v>
      </c>
      <c r="C1522" s="1" t="n">
        <v>45937</v>
      </c>
      <c r="D1522" t="inlineStr">
        <is>
          <t>VÄSTERNORRLANDS LÄN</t>
        </is>
      </c>
      <c r="E1522" t="inlineStr">
        <is>
          <t>SOLLEFTEÅ</t>
        </is>
      </c>
      <c r="F1522" t="inlineStr">
        <is>
          <t>SCA</t>
        </is>
      </c>
      <c r="G1522" t="n">
        <v>11.2</v>
      </c>
      <c r="H1522" t="n">
        <v>0</v>
      </c>
      <c r="I1522" t="n">
        <v>0</v>
      </c>
      <c r="J1522" t="n">
        <v>0</v>
      </c>
      <c r="K1522" t="n">
        <v>0</v>
      </c>
      <c r="L1522" t="n">
        <v>0</v>
      </c>
      <c r="M1522" t="n">
        <v>0</v>
      </c>
      <c r="N1522" t="n">
        <v>0</v>
      </c>
      <c r="O1522" t="n">
        <v>0</v>
      </c>
      <c r="P1522" t="n">
        <v>0</v>
      </c>
      <c r="Q1522" t="n">
        <v>0</v>
      </c>
      <c r="R1522" s="2" t="inlineStr"/>
    </row>
    <row r="1523" ht="15" customHeight="1">
      <c r="A1523" t="inlineStr">
        <is>
          <t>A 37726-2023</t>
        </is>
      </c>
      <c r="B1523" s="1" t="n">
        <v>45156</v>
      </c>
      <c r="C1523" s="1" t="n">
        <v>45937</v>
      </c>
      <c r="D1523" t="inlineStr">
        <is>
          <t>VÄSTERNORRLANDS LÄN</t>
        </is>
      </c>
      <c r="E1523" t="inlineStr">
        <is>
          <t>SOLLEFTEÅ</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8712-2025</t>
        </is>
      </c>
      <c r="B1524" s="1" t="n">
        <v>45712.49872685185</v>
      </c>
      <c r="C1524" s="1" t="n">
        <v>45937</v>
      </c>
      <c r="D1524" t="inlineStr">
        <is>
          <t>VÄSTERNORRLANDS LÄN</t>
        </is>
      </c>
      <c r="E1524" t="inlineStr">
        <is>
          <t>SOLLEFTEÅ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38973-2025</t>
        </is>
      </c>
      <c r="B1525" s="1" t="n">
        <v>45887</v>
      </c>
      <c r="C1525" s="1" t="n">
        <v>45937</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48340-2025</t>
        </is>
      </c>
      <c r="B1526" s="1" t="n">
        <v>45933.64240740741</v>
      </c>
      <c r="C1526" s="1" t="n">
        <v>45937</v>
      </c>
      <c r="D1526" t="inlineStr">
        <is>
          <t>VÄSTERNORRLANDS LÄN</t>
        </is>
      </c>
      <c r="E1526" t="inlineStr">
        <is>
          <t>SOLLEFTEÅ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60360-2024</t>
        </is>
      </c>
      <c r="B1527" s="1" t="n">
        <v>45643.44837962963</v>
      </c>
      <c r="C1527" s="1" t="n">
        <v>45937</v>
      </c>
      <c r="D1527" t="inlineStr">
        <is>
          <t>VÄSTERNORRLANDS LÄN</t>
        </is>
      </c>
      <c r="E1527" t="inlineStr">
        <is>
          <t>SOLLEFTEÅ</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27593-2022</t>
        </is>
      </c>
      <c r="B1528" s="1" t="n">
        <v>44742</v>
      </c>
      <c r="C1528" s="1" t="n">
        <v>45937</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48422-2025</t>
        </is>
      </c>
      <c r="B1529" s="1" t="n">
        <v>45934.67761574074</v>
      </c>
      <c r="C1529" s="1" t="n">
        <v>45937</v>
      </c>
      <c r="D1529" t="inlineStr">
        <is>
          <t>VÄSTERNORRLANDS LÄN</t>
        </is>
      </c>
      <c r="E1529" t="inlineStr">
        <is>
          <t>SOLLEFTEÅ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47185-2023</t>
        </is>
      </c>
      <c r="B1530" s="1" t="n">
        <v>45201</v>
      </c>
      <c r="C1530" s="1" t="n">
        <v>45937</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48351-2025</t>
        </is>
      </c>
      <c r="B1531" s="1" t="n">
        <v>45933.65725694445</v>
      </c>
      <c r="C1531" s="1" t="n">
        <v>45937</v>
      </c>
      <c r="D1531" t="inlineStr">
        <is>
          <t>VÄSTERNORRLANDS LÄN</t>
        </is>
      </c>
      <c r="E1531" t="inlineStr">
        <is>
          <t>SOLLEFTEÅ</t>
        </is>
      </c>
      <c r="F1531" t="inlineStr">
        <is>
          <t>SCA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30889-2025</t>
        </is>
      </c>
      <c r="B1532" s="1" t="n">
        <v>45832.34618055556</v>
      </c>
      <c r="C1532" s="1" t="n">
        <v>45937</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49567-2024</t>
        </is>
      </c>
      <c r="B1533" s="1" t="n">
        <v>45596.49003472222</v>
      </c>
      <c r="C1533" s="1" t="n">
        <v>45937</v>
      </c>
      <c r="D1533" t="inlineStr">
        <is>
          <t>VÄSTERNORRLANDS LÄN</t>
        </is>
      </c>
      <c r="E1533" t="inlineStr">
        <is>
          <t>SOLLEFTEÅ</t>
        </is>
      </c>
      <c r="F1533" t="inlineStr">
        <is>
          <t>SCA</t>
        </is>
      </c>
      <c r="G1533" t="n">
        <v>4.3</v>
      </c>
      <c r="H1533" t="n">
        <v>0</v>
      </c>
      <c r="I1533" t="n">
        <v>0</v>
      </c>
      <c r="J1533" t="n">
        <v>0</v>
      </c>
      <c r="K1533" t="n">
        <v>0</v>
      </c>
      <c r="L1533" t="n">
        <v>0</v>
      </c>
      <c r="M1533" t="n">
        <v>0</v>
      </c>
      <c r="N1533" t="n">
        <v>0</v>
      </c>
      <c r="O1533" t="n">
        <v>0</v>
      </c>
      <c r="P1533" t="n">
        <v>0</v>
      </c>
      <c r="Q1533" t="n">
        <v>0</v>
      </c>
      <c r="R1533" s="2" t="inlineStr"/>
      <c r="U1533">
        <f>HYPERLINK("https://klasma.github.io/Logging_2283/knärot/A 49567-2024 karta knärot.png", "A 49567-2024")</f>
        <v/>
      </c>
      <c r="V1533">
        <f>HYPERLINK("https://klasma.github.io/Logging_2283/klagomål/A 49567-2024 FSC-klagomål.docx", "A 49567-2024")</f>
        <v/>
      </c>
      <c r="W1533">
        <f>HYPERLINK("https://klasma.github.io/Logging_2283/klagomålsmail/A 49567-2024 FSC-klagomål mail.docx", "A 49567-2024")</f>
        <v/>
      </c>
      <c r="X1533">
        <f>HYPERLINK("https://klasma.github.io/Logging_2283/tillsyn/A 49567-2024 tillsynsbegäran.docx", "A 49567-2024")</f>
        <v/>
      </c>
      <c r="Y1533">
        <f>HYPERLINK("https://klasma.github.io/Logging_2283/tillsynsmail/A 49567-2024 tillsynsbegäran mail.docx", "A 49567-2024")</f>
        <v/>
      </c>
    </row>
    <row r="1534" ht="15" customHeight="1">
      <c r="A1534" t="inlineStr">
        <is>
          <t>A 30750-2025</t>
        </is>
      </c>
      <c r="B1534" s="1" t="n">
        <v>45831.58900462963</v>
      </c>
      <c r="C1534" s="1" t="n">
        <v>45937</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30754-2025</t>
        </is>
      </c>
      <c r="B1535" s="1" t="n">
        <v>45831.59417824074</v>
      </c>
      <c r="C1535" s="1" t="n">
        <v>45937</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30774-2025</t>
        </is>
      </c>
      <c r="B1536" s="1" t="n">
        <v>45831.61501157407</v>
      </c>
      <c r="C1536" s="1" t="n">
        <v>45937</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48290-2025</t>
        </is>
      </c>
      <c r="B1537" s="1" t="n">
        <v>45933.59497685185</v>
      </c>
      <c r="C1537" s="1" t="n">
        <v>45937</v>
      </c>
      <c r="D1537" t="inlineStr">
        <is>
          <t>VÄSTERNORRLANDS LÄN</t>
        </is>
      </c>
      <c r="E1537" t="inlineStr">
        <is>
          <t>SOLLEFTEÅ</t>
        </is>
      </c>
      <c r="F1537" t="inlineStr">
        <is>
          <t>SCA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48713-2025</t>
        </is>
      </c>
      <c r="B1538" s="1" t="n">
        <v>45936.63592592593</v>
      </c>
      <c r="C1538" s="1" t="n">
        <v>45937</v>
      </c>
      <c r="D1538" t="inlineStr">
        <is>
          <t>VÄSTERNORRLANDS LÄN</t>
        </is>
      </c>
      <c r="E1538" t="inlineStr">
        <is>
          <t>SOLLEFTEÅ</t>
        </is>
      </c>
      <c r="F1538" t="inlineStr">
        <is>
          <t>SCA</t>
        </is>
      </c>
      <c r="G1538" t="n">
        <v>24.2</v>
      </c>
      <c r="H1538" t="n">
        <v>0</v>
      </c>
      <c r="I1538" t="n">
        <v>0</v>
      </c>
      <c r="J1538" t="n">
        <v>0</v>
      </c>
      <c r="K1538" t="n">
        <v>0</v>
      </c>
      <c r="L1538" t="n">
        <v>0</v>
      </c>
      <c r="M1538" t="n">
        <v>0</v>
      </c>
      <c r="N1538" t="n">
        <v>0</v>
      </c>
      <c r="O1538" t="n">
        <v>0</v>
      </c>
      <c r="P1538" t="n">
        <v>0</v>
      </c>
      <c r="Q1538" t="n">
        <v>0</v>
      </c>
      <c r="R1538" s="2" t="inlineStr"/>
    </row>
    <row r="1539" ht="15" customHeight="1">
      <c r="A1539" t="inlineStr">
        <is>
          <t>A 7007-2025</t>
        </is>
      </c>
      <c r="B1539" s="1" t="n">
        <v>45701</v>
      </c>
      <c r="C1539" s="1" t="n">
        <v>45937</v>
      </c>
      <c r="D1539" t="inlineStr">
        <is>
          <t>VÄSTERNORRLANDS LÄN</t>
        </is>
      </c>
      <c r="E1539" t="inlineStr">
        <is>
          <t>SOLLEFTEÅ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37671-2023</t>
        </is>
      </c>
      <c r="B1540" s="1" t="n">
        <v>45156</v>
      </c>
      <c r="C1540" s="1" t="n">
        <v>45937</v>
      </c>
      <c r="D1540" t="inlineStr">
        <is>
          <t>VÄSTERNORRLANDS LÄN</t>
        </is>
      </c>
      <c r="E1540" t="inlineStr">
        <is>
          <t>SOLLEFTEÅ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4859-2025</t>
        </is>
      </c>
      <c r="B1541" s="1" t="n">
        <v>45688.67451388889</v>
      </c>
      <c r="C1541" s="1" t="n">
        <v>45937</v>
      </c>
      <c r="D1541" t="inlineStr">
        <is>
          <t>VÄSTERNORRLANDS LÄN</t>
        </is>
      </c>
      <c r="E1541" t="inlineStr">
        <is>
          <t>SOLLEFTEÅ</t>
        </is>
      </c>
      <c r="F1541" t="inlineStr">
        <is>
          <t>SCA</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54978-2023</t>
        </is>
      </c>
      <c r="B1542" s="1" t="n">
        <v>45236.96600694444</v>
      </c>
      <c r="C1542" s="1" t="n">
        <v>45937</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31396-2025</t>
        </is>
      </c>
      <c r="B1543" s="1" t="n">
        <v>45833.4658912037</v>
      </c>
      <c r="C1543" s="1" t="n">
        <v>45937</v>
      </c>
      <c r="D1543" t="inlineStr">
        <is>
          <t>VÄSTERNORRLANDS LÄN</t>
        </is>
      </c>
      <c r="E1543" t="inlineStr">
        <is>
          <t>SOLLEFTEÅ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8895-2025</t>
        </is>
      </c>
      <c r="B1544" s="1" t="n">
        <v>45713.40670138889</v>
      </c>
      <c r="C1544" s="1" t="n">
        <v>45937</v>
      </c>
      <c r="D1544" t="inlineStr">
        <is>
          <t>VÄSTERNORRLANDS LÄN</t>
        </is>
      </c>
      <c r="E1544" t="inlineStr">
        <is>
          <t>SOLLEFTEÅ</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31423-2025</t>
        </is>
      </c>
      <c r="B1545" s="1" t="n">
        <v>45833.48957175926</v>
      </c>
      <c r="C1545" s="1" t="n">
        <v>45937</v>
      </c>
      <c r="D1545" t="inlineStr">
        <is>
          <t>VÄSTERNORRLANDS LÄN</t>
        </is>
      </c>
      <c r="E1545" t="inlineStr">
        <is>
          <t>SOLLEFTEÅ</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31435-2025</t>
        </is>
      </c>
      <c r="B1546" s="1" t="n">
        <v>45833.49708333334</v>
      </c>
      <c r="C1546" s="1" t="n">
        <v>45937</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11108-2025</t>
        </is>
      </c>
      <c r="B1547" s="1" t="n">
        <v>45723.6150462963</v>
      </c>
      <c r="C1547" s="1" t="n">
        <v>45937</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47181-2023</t>
        </is>
      </c>
      <c r="B1548" s="1" t="n">
        <v>45201.94876157407</v>
      </c>
      <c r="C1548" s="1" t="n">
        <v>45937</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31345-2025</t>
        </is>
      </c>
      <c r="B1549" s="1" t="n">
        <v>45833.42854166667</v>
      </c>
      <c r="C1549" s="1" t="n">
        <v>45937</v>
      </c>
      <c r="D1549" t="inlineStr">
        <is>
          <t>VÄSTERNORRLANDS LÄN</t>
        </is>
      </c>
      <c r="E1549" t="inlineStr">
        <is>
          <t>SOLLEFTEÅ</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31347-2025</t>
        </is>
      </c>
      <c r="B1550" s="1" t="n">
        <v>45833</v>
      </c>
      <c r="C1550" s="1" t="n">
        <v>45937</v>
      </c>
      <c r="D1550" t="inlineStr">
        <is>
          <t>VÄSTERNORRLANDS LÄN</t>
        </is>
      </c>
      <c r="E1550" t="inlineStr">
        <is>
          <t>SOLLEFTEÅ</t>
        </is>
      </c>
      <c r="F1550" t="inlineStr">
        <is>
          <t>SCA</t>
        </is>
      </c>
      <c r="G1550" t="n">
        <v>19.5</v>
      </c>
      <c r="H1550" t="n">
        <v>0</v>
      </c>
      <c r="I1550" t="n">
        <v>0</v>
      </c>
      <c r="J1550" t="n">
        <v>0</v>
      </c>
      <c r="K1550" t="n">
        <v>0</v>
      </c>
      <c r="L1550" t="n">
        <v>0</v>
      </c>
      <c r="M1550" t="n">
        <v>0</v>
      </c>
      <c r="N1550" t="n">
        <v>0</v>
      </c>
      <c r="O1550" t="n">
        <v>0</v>
      </c>
      <c r="P1550" t="n">
        <v>0</v>
      </c>
      <c r="Q1550" t="n">
        <v>0</v>
      </c>
      <c r="R1550" s="2" t="inlineStr"/>
    </row>
    <row r="1551" ht="15" customHeight="1">
      <c r="A1551" t="inlineStr">
        <is>
          <t>A 9072-2025</t>
        </is>
      </c>
      <c r="B1551" s="1" t="n">
        <v>45713.65673611111</v>
      </c>
      <c r="C1551" s="1" t="n">
        <v>45937</v>
      </c>
      <c r="D1551" t="inlineStr">
        <is>
          <t>VÄSTERNORRLANDS LÄN</t>
        </is>
      </c>
      <c r="E1551" t="inlineStr">
        <is>
          <t>SOLLEFTEÅ</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34309-2023</t>
        </is>
      </c>
      <c r="B1552" s="1" t="n">
        <v>45138.92300925926</v>
      </c>
      <c r="C1552" s="1" t="n">
        <v>45937</v>
      </c>
      <c r="D1552" t="inlineStr">
        <is>
          <t>VÄSTERNORRLANDS LÄN</t>
        </is>
      </c>
      <c r="E1552" t="inlineStr">
        <is>
          <t>SOLLEFTEÅ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34328-2023</t>
        </is>
      </c>
      <c r="B1553" s="1" t="n">
        <v>45138.9499074074</v>
      </c>
      <c r="C1553" s="1" t="n">
        <v>45937</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34330-2023</t>
        </is>
      </c>
      <c r="B1554" s="1" t="n">
        <v>45138</v>
      </c>
      <c r="C1554" s="1" t="n">
        <v>45937</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12062-2025</t>
        </is>
      </c>
      <c r="B1555" s="1" t="n">
        <v>45728.6984837963</v>
      </c>
      <c r="C1555" s="1" t="n">
        <v>45937</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774-2025</t>
        </is>
      </c>
      <c r="B1556" s="1" t="n">
        <v>45659</v>
      </c>
      <c r="C1556" s="1" t="n">
        <v>45937</v>
      </c>
      <c r="D1556" t="inlineStr">
        <is>
          <t>VÄSTERNORRLANDS LÄN</t>
        </is>
      </c>
      <c r="E1556" t="inlineStr">
        <is>
          <t>SOLLEFTEÅ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775-2025</t>
        </is>
      </c>
      <c r="B1557" s="1" t="n">
        <v>45659</v>
      </c>
      <c r="C1557" s="1" t="n">
        <v>45937</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31177-2023</t>
        </is>
      </c>
      <c r="B1558" s="1" t="n">
        <v>45113</v>
      </c>
      <c r="C1558" s="1" t="n">
        <v>45937</v>
      </c>
      <c r="D1558" t="inlineStr">
        <is>
          <t>VÄSTERNORRLANDS LÄN</t>
        </is>
      </c>
      <c r="E1558" t="inlineStr">
        <is>
          <t>SOLLEFTEÅ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31306-2025</t>
        </is>
      </c>
      <c r="B1559" s="1" t="n">
        <v>45833</v>
      </c>
      <c r="C1559" s="1" t="n">
        <v>45937</v>
      </c>
      <c r="D1559" t="inlineStr">
        <is>
          <t>VÄSTERNORRLANDS LÄN</t>
        </is>
      </c>
      <c r="E1559" t="inlineStr">
        <is>
          <t>SOLLEFTEÅ</t>
        </is>
      </c>
      <c r="F1559" t="inlineStr">
        <is>
          <t>SCA</t>
        </is>
      </c>
      <c r="G1559" t="n">
        <v>19.3</v>
      </c>
      <c r="H1559" t="n">
        <v>0</v>
      </c>
      <c r="I1559" t="n">
        <v>0</v>
      </c>
      <c r="J1559" t="n">
        <v>0</v>
      </c>
      <c r="K1559" t="n">
        <v>0</v>
      </c>
      <c r="L1559" t="n">
        <v>0</v>
      </c>
      <c r="M1559" t="n">
        <v>0</v>
      </c>
      <c r="N1559" t="n">
        <v>0</v>
      </c>
      <c r="O1559" t="n">
        <v>0</v>
      </c>
      <c r="P1559" t="n">
        <v>0</v>
      </c>
      <c r="Q1559" t="n">
        <v>0</v>
      </c>
      <c r="R1559" s="2" t="inlineStr"/>
    </row>
    <row r="1560" ht="15" customHeight="1">
      <c r="A1560" t="inlineStr">
        <is>
          <t>A 55650-2023</t>
        </is>
      </c>
      <c r="B1560" s="1" t="n">
        <v>45238.96600694444</v>
      </c>
      <c r="C1560" s="1" t="n">
        <v>45937</v>
      </c>
      <c r="D1560" t="inlineStr">
        <is>
          <t>VÄSTERNORRLANDS LÄN</t>
        </is>
      </c>
      <c r="E1560" t="inlineStr">
        <is>
          <t>SOLLEFTEÅ</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55654-2023</t>
        </is>
      </c>
      <c r="B1561" s="1" t="n">
        <v>45238.96642361111</v>
      </c>
      <c r="C1561" s="1" t="n">
        <v>45937</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31337-2025</t>
        </is>
      </c>
      <c r="B1562" s="1" t="n">
        <v>45833.42751157407</v>
      </c>
      <c r="C1562" s="1" t="n">
        <v>45937</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5040-2024</t>
        </is>
      </c>
      <c r="B1563" s="1" t="n">
        <v>45329.88962962963</v>
      </c>
      <c r="C1563" s="1" t="n">
        <v>45937</v>
      </c>
      <c r="D1563" t="inlineStr">
        <is>
          <t>VÄSTERNORRLANDS LÄN</t>
        </is>
      </c>
      <c r="E1563" t="inlineStr">
        <is>
          <t>SOLLEFTEÅ</t>
        </is>
      </c>
      <c r="F1563" t="inlineStr">
        <is>
          <t>Övriga Aktiebolag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31479-2025</t>
        </is>
      </c>
      <c r="B1564" s="1" t="n">
        <v>45833.57333333333</v>
      </c>
      <c r="C1564" s="1" t="n">
        <v>45937</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62099-2023</t>
        </is>
      </c>
      <c r="B1565" s="1" t="n">
        <v>45266</v>
      </c>
      <c r="C1565" s="1" t="n">
        <v>45937</v>
      </c>
      <c r="D1565" t="inlineStr">
        <is>
          <t>VÄSTERNORRLANDS LÄN</t>
        </is>
      </c>
      <c r="E1565" t="inlineStr">
        <is>
          <t>SOLLEFTEÅ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13539-2024</t>
        </is>
      </c>
      <c r="B1566" s="1" t="n">
        <v>45387.92583333333</v>
      </c>
      <c r="C1566" s="1" t="n">
        <v>45937</v>
      </c>
      <c r="D1566" t="inlineStr">
        <is>
          <t>VÄSTERNORRLANDS LÄN</t>
        </is>
      </c>
      <c r="E1566" t="inlineStr">
        <is>
          <t>SOLLEFTEÅ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48349-2025</t>
        </is>
      </c>
      <c r="B1567" s="1" t="n">
        <v>45933.65673611111</v>
      </c>
      <c r="C1567" s="1" t="n">
        <v>45937</v>
      </c>
      <c r="D1567" t="inlineStr">
        <is>
          <t>VÄSTERNORRLANDS LÄN</t>
        </is>
      </c>
      <c r="E1567" t="inlineStr">
        <is>
          <t>SOLLEFTEÅ</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31304-2025</t>
        </is>
      </c>
      <c r="B1568" s="1" t="n">
        <v>45833.38600694444</v>
      </c>
      <c r="C1568" s="1" t="n">
        <v>45937</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53669-2023</t>
        </is>
      </c>
      <c r="B1569" s="1" t="n">
        <v>45230</v>
      </c>
      <c r="C1569" s="1" t="n">
        <v>45937</v>
      </c>
      <c r="D1569" t="inlineStr">
        <is>
          <t>VÄSTERNORRLANDS LÄN</t>
        </is>
      </c>
      <c r="E1569" t="inlineStr">
        <is>
          <t>SOLLEFTEÅ</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31338-2025</t>
        </is>
      </c>
      <c r="B1570" s="1" t="n">
        <v>45833.42768518518</v>
      </c>
      <c r="C1570" s="1" t="n">
        <v>45937</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53120-2024</t>
        </is>
      </c>
      <c r="B1571" s="1" t="n">
        <v>45611</v>
      </c>
      <c r="C1571" s="1" t="n">
        <v>45937</v>
      </c>
      <c r="D1571" t="inlineStr">
        <is>
          <t>VÄSTERNORRLANDS LÄN</t>
        </is>
      </c>
      <c r="E1571" t="inlineStr">
        <is>
          <t>SOLLEFTEÅ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31432-2025</t>
        </is>
      </c>
      <c r="B1572" s="1" t="n">
        <v>45833.49442129629</v>
      </c>
      <c r="C1572" s="1" t="n">
        <v>45937</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16795-2025</t>
        </is>
      </c>
      <c r="B1573" s="1" t="n">
        <v>45754.61487268518</v>
      </c>
      <c r="C1573" s="1" t="n">
        <v>45937</v>
      </c>
      <c r="D1573" t="inlineStr">
        <is>
          <t>VÄSTERNORRLANDS LÄN</t>
        </is>
      </c>
      <c r="E1573" t="inlineStr">
        <is>
          <t>SOLLEFTEÅ</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57846-2024</t>
        </is>
      </c>
      <c r="B1574" s="1" t="n">
        <v>45631.40759259259</v>
      </c>
      <c r="C1574" s="1" t="n">
        <v>45937</v>
      </c>
      <c r="D1574" t="inlineStr">
        <is>
          <t>VÄSTERNORRLANDS LÄN</t>
        </is>
      </c>
      <c r="E1574" t="inlineStr">
        <is>
          <t>SOLLEFTEÅ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58808-2024</t>
        </is>
      </c>
      <c r="B1575" s="1" t="n">
        <v>45636.34446759259</v>
      </c>
      <c r="C1575" s="1" t="n">
        <v>45937</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3750-2025</t>
        </is>
      </c>
      <c r="B1576" s="1" t="n">
        <v>45681.580625</v>
      </c>
      <c r="C1576" s="1" t="n">
        <v>45937</v>
      </c>
      <c r="D1576" t="inlineStr">
        <is>
          <t>VÄSTERNORRLANDS LÄN</t>
        </is>
      </c>
      <c r="E1576" t="inlineStr">
        <is>
          <t>SOLLEFTEÅ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17279-2025</t>
        </is>
      </c>
      <c r="B1577" s="1" t="n">
        <v>45756.56396990741</v>
      </c>
      <c r="C1577" s="1" t="n">
        <v>45937</v>
      </c>
      <c r="D1577" t="inlineStr">
        <is>
          <t>VÄSTERNORRLANDS LÄN</t>
        </is>
      </c>
      <c r="E1577" t="inlineStr">
        <is>
          <t>SOLLEFTEÅ</t>
        </is>
      </c>
      <c r="G1577" t="n">
        <v>22.4</v>
      </c>
      <c r="H1577" t="n">
        <v>0</v>
      </c>
      <c r="I1577" t="n">
        <v>0</v>
      </c>
      <c r="J1577" t="n">
        <v>0</v>
      </c>
      <c r="K1577" t="n">
        <v>0</v>
      </c>
      <c r="L1577" t="n">
        <v>0</v>
      </c>
      <c r="M1577" t="n">
        <v>0</v>
      </c>
      <c r="N1577" t="n">
        <v>0</v>
      </c>
      <c r="O1577" t="n">
        <v>0</v>
      </c>
      <c r="P1577" t="n">
        <v>0</v>
      </c>
      <c r="Q1577" t="n">
        <v>0</v>
      </c>
      <c r="R1577" s="2" t="inlineStr"/>
    </row>
    <row r="1578" ht="15" customHeight="1">
      <c r="A1578" t="inlineStr">
        <is>
          <t>A 12941-2025</t>
        </is>
      </c>
      <c r="B1578" s="1" t="n">
        <v>45734.36525462963</v>
      </c>
      <c r="C1578" s="1" t="n">
        <v>45937</v>
      </c>
      <c r="D1578" t="inlineStr">
        <is>
          <t>VÄSTERNORRLANDS LÄN</t>
        </is>
      </c>
      <c r="E1578" t="inlineStr">
        <is>
          <t>SOLLEFTEÅ</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43531-2023</t>
        </is>
      </c>
      <c r="B1579" s="1" t="n">
        <v>45184.52731481481</v>
      </c>
      <c r="C1579" s="1" t="n">
        <v>45937</v>
      </c>
      <c r="D1579" t="inlineStr">
        <is>
          <t>VÄSTERNORRLANDS LÄN</t>
        </is>
      </c>
      <c r="E1579" t="inlineStr">
        <is>
          <t>SOLLEFTEÅ</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56311-2023</t>
        </is>
      </c>
      <c r="B1580" s="1" t="n">
        <v>45242.94203703704</v>
      </c>
      <c r="C1580" s="1" t="n">
        <v>45937</v>
      </c>
      <c r="D1580" t="inlineStr">
        <is>
          <t>VÄSTERNORRLANDS LÄN</t>
        </is>
      </c>
      <c r="E1580" t="inlineStr">
        <is>
          <t>SOLLEFTEÅ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57394-2023</t>
        </is>
      </c>
      <c r="B1581" s="1" t="n">
        <v>45245.96774305555</v>
      </c>
      <c r="C1581" s="1" t="n">
        <v>45937</v>
      </c>
      <c r="D1581" t="inlineStr">
        <is>
          <t>VÄSTERNORRLANDS LÄN</t>
        </is>
      </c>
      <c r="E1581" t="inlineStr">
        <is>
          <t>SOLLEFTEÅ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31428-2025</t>
        </is>
      </c>
      <c r="B1582" s="1" t="n">
        <v>45833.4930787037</v>
      </c>
      <c r="C1582" s="1" t="n">
        <v>45937</v>
      </c>
      <c r="D1582" t="inlineStr">
        <is>
          <t>VÄSTERNORRLANDS LÄN</t>
        </is>
      </c>
      <c r="E1582" t="inlineStr">
        <is>
          <t>SOLLEFTEÅ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31437-2025</t>
        </is>
      </c>
      <c r="B1583" s="1" t="n">
        <v>45833.49855324074</v>
      </c>
      <c r="C1583" s="1" t="n">
        <v>45937</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31545-2025</t>
        </is>
      </c>
      <c r="B1584" s="1" t="n">
        <v>45833.63615740741</v>
      </c>
      <c r="C1584" s="1" t="n">
        <v>45937</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31665-2025</t>
        </is>
      </c>
      <c r="B1585" s="1" t="n">
        <v>45834.36497685185</v>
      </c>
      <c r="C1585" s="1" t="n">
        <v>45937</v>
      </c>
      <c r="D1585" t="inlineStr">
        <is>
          <t>VÄSTERNORRLANDS LÄN</t>
        </is>
      </c>
      <c r="E1585" t="inlineStr">
        <is>
          <t>SOLLEFTEÅ</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31801-2025</t>
        </is>
      </c>
      <c r="B1586" s="1" t="n">
        <v>45834.55290509259</v>
      </c>
      <c r="C1586" s="1" t="n">
        <v>45937</v>
      </c>
      <c r="D1586" t="inlineStr">
        <is>
          <t>VÄSTERNORRLANDS LÄN</t>
        </is>
      </c>
      <c r="E1586" t="inlineStr">
        <is>
          <t>SOLLEFTEÅ</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32069-2025</t>
        </is>
      </c>
      <c r="B1587" s="1" t="n">
        <v>45835.4487037037</v>
      </c>
      <c r="C1587" s="1" t="n">
        <v>45937</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21589-2021</t>
        </is>
      </c>
      <c r="B1588" s="1" t="n">
        <v>44321.66534722222</v>
      </c>
      <c r="C1588" s="1" t="n">
        <v>45937</v>
      </c>
      <c r="D1588" t="inlineStr">
        <is>
          <t>VÄSTERNORRLANDS LÄN</t>
        </is>
      </c>
      <c r="E1588" t="inlineStr">
        <is>
          <t>SOLLEFTEÅ</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11727-2025</t>
        </is>
      </c>
      <c r="B1589" s="1" t="n">
        <v>45727.61512731481</v>
      </c>
      <c r="C1589" s="1" t="n">
        <v>45937</v>
      </c>
      <c r="D1589" t="inlineStr">
        <is>
          <t>VÄSTERNORRLANDS LÄN</t>
        </is>
      </c>
      <c r="E1589" t="inlineStr">
        <is>
          <t>SOLLEFTEÅ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32291-2025</t>
        </is>
      </c>
      <c r="B1590" s="1" t="n">
        <v>45835.69961805556</v>
      </c>
      <c r="C1590" s="1" t="n">
        <v>45937</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9967-2025</t>
        </is>
      </c>
      <c r="B1591" s="1" t="n">
        <v>45719.37890046297</v>
      </c>
      <c r="C1591" s="1" t="n">
        <v>45937</v>
      </c>
      <c r="D1591" t="inlineStr">
        <is>
          <t>VÄSTERNORRLANDS LÄN</t>
        </is>
      </c>
      <c r="E1591" t="inlineStr">
        <is>
          <t>SOLLEFTEÅ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32271-2025</t>
        </is>
      </c>
      <c r="B1592" s="1" t="n">
        <v>45835.65662037037</v>
      </c>
      <c r="C1592" s="1" t="n">
        <v>45937</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40014-2025</t>
        </is>
      </c>
      <c r="B1593" s="1" t="n">
        <v>45894</v>
      </c>
      <c r="C1593" s="1" t="n">
        <v>45937</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40048-2025</t>
        </is>
      </c>
      <c r="B1594" s="1" t="n">
        <v>45894.40679398148</v>
      </c>
      <c r="C1594" s="1" t="n">
        <v>45937</v>
      </c>
      <c r="D1594" t="inlineStr">
        <is>
          <t>VÄSTERNORRLANDS LÄN</t>
        </is>
      </c>
      <c r="E1594" t="inlineStr">
        <is>
          <t>SOLLEFTEÅ</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40050-2025</t>
        </is>
      </c>
      <c r="B1595" s="1" t="n">
        <v>45894.40717592592</v>
      </c>
      <c r="C1595" s="1" t="n">
        <v>45937</v>
      </c>
      <c r="D1595" t="inlineStr">
        <is>
          <t>VÄSTERNORRLANDS LÄN</t>
        </is>
      </c>
      <c r="E1595" t="inlineStr">
        <is>
          <t>SOLLEFTEÅ</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31963-2025</t>
        </is>
      </c>
      <c r="B1596" s="1" t="n">
        <v>45835.34480324074</v>
      </c>
      <c r="C1596" s="1" t="n">
        <v>45937</v>
      </c>
      <c r="D1596" t="inlineStr">
        <is>
          <t>VÄSTERNORRLANDS LÄN</t>
        </is>
      </c>
      <c r="E1596" t="inlineStr">
        <is>
          <t>SOLLEFTEÅ</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39935-2025</t>
        </is>
      </c>
      <c r="B1597" s="1" t="n">
        <v>45891</v>
      </c>
      <c r="C1597" s="1" t="n">
        <v>45937</v>
      </c>
      <c r="D1597" t="inlineStr">
        <is>
          <t>VÄSTERNORRLANDS LÄN</t>
        </is>
      </c>
      <c r="E1597" t="inlineStr">
        <is>
          <t>SOLLEFTEÅ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20550-2025</t>
        </is>
      </c>
      <c r="B1598" s="1" t="n">
        <v>45775.6360300926</v>
      </c>
      <c r="C1598" s="1" t="n">
        <v>45937</v>
      </c>
      <c r="D1598" t="inlineStr">
        <is>
          <t>VÄSTERNORRLANDS LÄN</t>
        </is>
      </c>
      <c r="E1598" t="inlineStr">
        <is>
          <t>SOLLEFTEÅ</t>
        </is>
      </c>
      <c r="F1598" t="inlineStr">
        <is>
          <t>SCA</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23753-2021</t>
        </is>
      </c>
      <c r="B1599" s="1" t="n">
        <v>44334</v>
      </c>
      <c r="C1599" s="1" t="n">
        <v>45937</v>
      </c>
      <c r="D1599" t="inlineStr">
        <is>
          <t>VÄSTERNORRLANDS LÄN</t>
        </is>
      </c>
      <c r="E1599" t="inlineStr">
        <is>
          <t>SOLLEFTEÅ</t>
        </is>
      </c>
      <c r="G1599" t="n">
        <v>14.8</v>
      </c>
      <c r="H1599" t="n">
        <v>0</v>
      </c>
      <c r="I1599" t="n">
        <v>0</v>
      </c>
      <c r="J1599" t="n">
        <v>0</v>
      </c>
      <c r="K1599" t="n">
        <v>0</v>
      </c>
      <c r="L1599" t="n">
        <v>0</v>
      </c>
      <c r="M1599" t="n">
        <v>0</v>
      </c>
      <c r="N1599" t="n">
        <v>0</v>
      </c>
      <c r="O1599" t="n">
        <v>0</v>
      </c>
      <c r="P1599" t="n">
        <v>0</v>
      </c>
      <c r="Q1599" t="n">
        <v>0</v>
      </c>
      <c r="R1599" s="2" t="inlineStr"/>
    </row>
    <row r="1600" ht="15" customHeight="1">
      <c r="A1600" t="inlineStr">
        <is>
          <t>A 19145-2025</t>
        </is>
      </c>
      <c r="B1600" s="1" t="n">
        <v>45769.34452546296</v>
      </c>
      <c r="C1600" s="1" t="n">
        <v>45937</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32338-2025</t>
        </is>
      </c>
      <c r="B1601" s="1" t="n">
        <v>45836.67751157407</v>
      </c>
      <c r="C1601" s="1" t="n">
        <v>45937</v>
      </c>
      <c r="D1601" t="inlineStr">
        <is>
          <t>VÄSTERNORRLANDS LÄN</t>
        </is>
      </c>
      <c r="E1601" t="inlineStr">
        <is>
          <t>SOLLEFTEÅ</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14982-2024</t>
        </is>
      </c>
      <c r="B1602" s="1" t="n">
        <v>45398.94193287037</v>
      </c>
      <c r="C1602" s="1" t="n">
        <v>45937</v>
      </c>
      <c r="D1602" t="inlineStr">
        <is>
          <t>VÄSTERNORRLANDS LÄN</t>
        </is>
      </c>
      <c r="E1602" t="inlineStr">
        <is>
          <t>SOLLEFTEÅ</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32139-2025</t>
        </is>
      </c>
      <c r="B1603" s="1" t="n">
        <v>45835</v>
      </c>
      <c r="C1603" s="1" t="n">
        <v>45937</v>
      </c>
      <c r="D1603" t="inlineStr">
        <is>
          <t>VÄSTERNORRLANDS LÄN</t>
        </is>
      </c>
      <c r="E1603" t="inlineStr">
        <is>
          <t>SOLLEFTEÅ</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8084-2025</t>
        </is>
      </c>
      <c r="B1604" s="1" t="n">
        <v>45707</v>
      </c>
      <c r="C1604" s="1" t="n">
        <v>45937</v>
      </c>
      <c r="D1604" t="inlineStr">
        <is>
          <t>VÄSTERNORRLANDS LÄN</t>
        </is>
      </c>
      <c r="E1604" t="inlineStr">
        <is>
          <t>SOLLEFTEÅ</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6065-2024</t>
        </is>
      </c>
      <c r="B1605" s="1" t="n">
        <v>45336.87826388889</v>
      </c>
      <c r="C1605" s="1" t="n">
        <v>45937</v>
      </c>
      <c r="D1605" t="inlineStr">
        <is>
          <t>VÄSTERNORRLANDS LÄN</t>
        </is>
      </c>
      <c r="E1605" t="inlineStr">
        <is>
          <t>SOLLEFTEÅ</t>
        </is>
      </c>
      <c r="F1605" t="inlineStr">
        <is>
          <t>Övriga Aktiebolag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32537-2025</t>
        </is>
      </c>
      <c r="B1606" s="1" t="n">
        <v>45838.49689814815</v>
      </c>
      <c r="C1606" s="1" t="n">
        <v>45937</v>
      </c>
      <c r="D1606" t="inlineStr">
        <is>
          <t>VÄSTERNORRLANDS LÄN</t>
        </is>
      </c>
      <c r="E1606" t="inlineStr">
        <is>
          <t>SOLLEFTEÅ</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32029-2025</t>
        </is>
      </c>
      <c r="B1607" s="1" t="n">
        <v>45835.40788194445</v>
      </c>
      <c r="C1607" s="1" t="n">
        <v>45937</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48425-2025</t>
        </is>
      </c>
      <c r="B1608" s="1" t="n">
        <v>45934.6984837963</v>
      </c>
      <c r="C1608" s="1" t="n">
        <v>45937</v>
      </c>
      <c r="D1608" t="inlineStr">
        <is>
          <t>VÄSTERNORRLANDS LÄN</t>
        </is>
      </c>
      <c r="E1608" t="inlineStr">
        <is>
          <t>SOLLEFTEÅ</t>
        </is>
      </c>
      <c r="F1608" t="inlineStr">
        <is>
          <t>SCA</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32112-2025</t>
        </is>
      </c>
      <c r="B1609" s="1" t="n">
        <v>45835.48392361111</v>
      </c>
      <c r="C1609" s="1" t="n">
        <v>45937</v>
      </c>
      <c r="D1609" t="inlineStr">
        <is>
          <t>VÄSTERNORRLANDS LÄN</t>
        </is>
      </c>
      <c r="E1609" t="inlineStr">
        <is>
          <t>SOLLEFTEÅ</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40009-2025</t>
        </is>
      </c>
      <c r="B1610" s="1" t="n">
        <v>45894.34446759259</v>
      </c>
      <c r="C1610" s="1" t="n">
        <v>45937</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48308-2025</t>
        </is>
      </c>
      <c r="B1611" s="1" t="n">
        <v>45933</v>
      </c>
      <c r="C1611" s="1" t="n">
        <v>45937</v>
      </c>
      <c r="D1611" t="inlineStr">
        <is>
          <t>VÄSTERNORRLANDS LÄN</t>
        </is>
      </c>
      <c r="E1611" t="inlineStr">
        <is>
          <t>SOLLEFTEÅ</t>
        </is>
      </c>
      <c r="F1611" t="inlineStr">
        <is>
          <t>SCA</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48313-2025</t>
        </is>
      </c>
      <c r="B1612" s="1" t="n">
        <v>45933.61605324074</v>
      </c>
      <c r="C1612" s="1" t="n">
        <v>45937</v>
      </c>
      <c r="D1612" t="inlineStr">
        <is>
          <t>VÄSTERNORRLANDS LÄN</t>
        </is>
      </c>
      <c r="E1612" t="inlineStr">
        <is>
          <t>SOLLEFTEÅ</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23025-2025</t>
        </is>
      </c>
      <c r="B1613" s="1" t="n">
        <v>45790</v>
      </c>
      <c r="C1613" s="1" t="n">
        <v>45937</v>
      </c>
      <c r="D1613" t="inlineStr">
        <is>
          <t>VÄSTERNORRLANDS LÄN</t>
        </is>
      </c>
      <c r="E1613" t="inlineStr">
        <is>
          <t>SOLLEFTEÅ</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57922-2024</t>
        </is>
      </c>
      <c r="B1614" s="1" t="n">
        <v>45631.5107175926</v>
      </c>
      <c r="C1614" s="1" t="n">
        <v>45937</v>
      </c>
      <c r="D1614" t="inlineStr">
        <is>
          <t>VÄSTERNORRLANDS LÄN</t>
        </is>
      </c>
      <c r="E1614" t="inlineStr">
        <is>
          <t>SOLLEFTEÅ</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48181-2025</t>
        </is>
      </c>
      <c r="B1615" s="1" t="n">
        <v>45933.45269675926</v>
      </c>
      <c r="C1615" s="1" t="n">
        <v>45937</v>
      </c>
      <c r="D1615" t="inlineStr">
        <is>
          <t>VÄSTERNORRLANDS LÄN</t>
        </is>
      </c>
      <c r="E1615" t="inlineStr">
        <is>
          <t>SOLLEFTEÅ</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48307-2025</t>
        </is>
      </c>
      <c r="B1616" s="1" t="n">
        <v>45933.61519675926</v>
      </c>
      <c r="C1616" s="1" t="n">
        <v>45937</v>
      </c>
      <c r="D1616" t="inlineStr">
        <is>
          <t>VÄSTERNORRLANDS LÄN</t>
        </is>
      </c>
      <c r="E1616" t="inlineStr">
        <is>
          <t>SOLLEFTEÅ</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48310-2025</t>
        </is>
      </c>
      <c r="B1617" s="1" t="n">
        <v>45933.61559027778</v>
      </c>
      <c r="C1617" s="1" t="n">
        <v>45937</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40008-2025</t>
        </is>
      </c>
      <c r="B1618" s="1" t="n">
        <v>45894.34431712963</v>
      </c>
      <c r="C1618" s="1" t="n">
        <v>45937</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50757-2023</t>
        </is>
      </c>
      <c r="B1619" s="1" t="n">
        <v>45217</v>
      </c>
      <c r="C1619" s="1" t="n">
        <v>45937</v>
      </c>
      <c r="D1619" t="inlineStr">
        <is>
          <t>VÄSTERNORRLANDS LÄN</t>
        </is>
      </c>
      <c r="E1619" t="inlineStr">
        <is>
          <t>SOLLEFTEÅ</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32073-2025</t>
        </is>
      </c>
      <c r="B1620" s="1" t="n">
        <v>45835.44931712963</v>
      </c>
      <c r="C1620" s="1" t="n">
        <v>45937</v>
      </c>
      <c r="D1620" t="inlineStr">
        <is>
          <t>VÄSTERNORRLANDS LÄN</t>
        </is>
      </c>
      <c r="E1620" t="inlineStr">
        <is>
          <t>SOLLEFTEÅ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32346-2025</t>
        </is>
      </c>
      <c r="B1621" s="1" t="n">
        <v>45837.44827546296</v>
      </c>
      <c r="C1621" s="1" t="n">
        <v>45937</v>
      </c>
      <c r="D1621" t="inlineStr">
        <is>
          <t>VÄSTERNORRLANDS LÄN</t>
        </is>
      </c>
      <c r="E1621" t="inlineStr">
        <is>
          <t>SOLLEFTEÅ</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63529-2023</t>
        </is>
      </c>
      <c r="B1622" s="1" t="n">
        <v>45274.94859953703</v>
      </c>
      <c r="C1622" s="1" t="n">
        <v>45937</v>
      </c>
      <c r="D1622" t="inlineStr">
        <is>
          <t>VÄSTERNORRLANDS LÄN</t>
        </is>
      </c>
      <c r="E1622" t="inlineStr">
        <is>
          <t>SOLLEFTEÅ</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32280-2025</t>
        </is>
      </c>
      <c r="B1623" s="1" t="n">
        <v>45835.67638888889</v>
      </c>
      <c r="C1623" s="1" t="n">
        <v>45937</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28658-2025</t>
        </is>
      </c>
      <c r="B1624" s="1" t="n">
        <v>45819</v>
      </c>
      <c r="C1624" s="1" t="n">
        <v>45937</v>
      </c>
      <c r="D1624" t="inlineStr">
        <is>
          <t>VÄSTERNORRLANDS LÄN</t>
        </is>
      </c>
      <c r="E1624" t="inlineStr">
        <is>
          <t>SOLLEFTEÅ</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60583-2024</t>
        </is>
      </c>
      <c r="B1625" s="1" t="n">
        <v>45644</v>
      </c>
      <c r="C1625" s="1" t="n">
        <v>45937</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21711-2022</t>
        </is>
      </c>
      <c r="B1626" s="1" t="n">
        <v>44707</v>
      </c>
      <c r="C1626" s="1" t="n">
        <v>45937</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3211-2024</t>
        </is>
      </c>
      <c r="B1627" s="1" t="n">
        <v>45316</v>
      </c>
      <c r="C1627" s="1" t="n">
        <v>45937</v>
      </c>
      <c r="D1627" t="inlineStr">
        <is>
          <t>VÄSTERNORRLANDS LÄN</t>
        </is>
      </c>
      <c r="E1627" t="inlineStr">
        <is>
          <t>SOLLEFTEÅ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3231-2024</t>
        </is>
      </c>
      <c r="B1628" s="1" t="n">
        <v>45316</v>
      </c>
      <c r="C1628" s="1" t="n">
        <v>45937</v>
      </c>
      <c r="D1628" t="inlineStr">
        <is>
          <t>VÄSTERNORRLANDS LÄN</t>
        </is>
      </c>
      <c r="E1628" t="inlineStr">
        <is>
          <t>SOLLEFTEÅ</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3252-2024</t>
        </is>
      </c>
      <c r="B1629" s="1" t="n">
        <v>45316</v>
      </c>
      <c r="C1629" s="1" t="n">
        <v>45937</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40136-2025</t>
        </is>
      </c>
      <c r="B1630" s="1" t="n">
        <v>45894.5588425926</v>
      </c>
      <c r="C1630" s="1" t="n">
        <v>45937</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33013-2025</t>
        </is>
      </c>
      <c r="B1631" s="1" t="n">
        <v>45840.36518518518</v>
      </c>
      <c r="C1631" s="1" t="n">
        <v>45937</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35261-2025</t>
        </is>
      </c>
      <c r="B1632" s="1" t="n">
        <v>45853</v>
      </c>
      <c r="C1632" s="1" t="n">
        <v>45937</v>
      </c>
      <c r="D1632" t="inlineStr">
        <is>
          <t>VÄSTERNORRLANDS LÄN</t>
        </is>
      </c>
      <c r="E1632" t="inlineStr">
        <is>
          <t>SOLLEFTEÅ</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38972-2025</t>
        </is>
      </c>
      <c r="B1633" s="1" t="n">
        <v>45887</v>
      </c>
      <c r="C1633" s="1" t="n">
        <v>45937</v>
      </c>
      <c r="D1633" t="inlineStr">
        <is>
          <t>VÄSTERNORRLANDS LÄN</t>
        </is>
      </c>
      <c r="E1633" t="inlineStr">
        <is>
          <t>SOLLEFTEÅ</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40098-2023</t>
        </is>
      </c>
      <c r="B1634" s="1" t="n">
        <v>45168.93726851852</v>
      </c>
      <c r="C1634" s="1" t="n">
        <v>45937</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5255-2024</t>
        </is>
      </c>
      <c r="B1635" s="1" t="n">
        <v>45330</v>
      </c>
      <c r="C1635" s="1" t="n">
        <v>45937</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20507-2024</t>
        </is>
      </c>
      <c r="B1636" s="1" t="n">
        <v>45435</v>
      </c>
      <c r="C1636" s="1" t="n">
        <v>45937</v>
      </c>
      <c r="D1636" t="inlineStr">
        <is>
          <t>VÄSTERNORRLANDS LÄN</t>
        </is>
      </c>
      <c r="E1636" t="inlineStr">
        <is>
          <t>SOLLEFTEÅ</t>
        </is>
      </c>
      <c r="F1636" t="inlineStr">
        <is>
          <t>SCA</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61616-2024</t>
        </is>
      </c>
      <c r="B1637" s="1" t="n">
        <v>45645</v>
      </c>
      <c r="C1637" s="1" t="n">
        <v>45937</v>
      </c>
      <c r="D1637" t="inlineStr">
        <is>
          <t>VÄSTERNORRLANDS LÄN</t>
        </is>
      </c>
      <c r="E1637" t="inlineStr">
        <is>
          <t>SOLLEFTEÅ</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35277-2023</t>
        </is>
      </c>
      <c r="B1638" s="1" t="n">
        <v>45145</v>
      </c>
      <c r="C1638" s="1" t="n">
        <v>45937</v>
      </c>
      <c r="D1638" t="inlineStr">
        <is>
          <t>VÄSTERNORRLANDS LÄN</t>
        </is>
      </c>
      <c r="E1638" t="inlineStr">
        <is>
          <t>SOLLEFTEÅ</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48743-2025</t>
        </is>
      </c>
      <c r="B1639" s="1" t="n">
        <v>45936.67827546296</v>
      </c>
      <c r="C1639" s="1" t="n">
        <v>45937</v>
      </c>
      <c r="D1639" t="inlineStr">
        <is>
          <t>VÄSTERNORRLANDS LÄN</t>
        </is>
      </c>
      <c r="E1639" t="inlineStr">
        <is>
          <t>SOLLEFTEÅ</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48603-2025</t>
        </is>
      </c>
      <c r="B1640" s="1" t="n">
        <v>45936.46928240741</v>
      </c>
      <c r="C1640" s="1" t="n">
        <v>45937</v>
      </c>
      <c r="D1640" t="inlineStr">
        <is>
          <t>VÄSTERNORRLANDS LÄN</t>
        </is>
      </c>
      <c r="E1640" t="inlineStr">
        <is>
          <t>SOLLEFTEÅ</t>
        </is>
      </c>
      <c r="F1640" t="inlineStr">
        <is>
          <t>SCA</t>
        </is>
      </c>
      <c r="G1640" t="n">
        <v>25.6</v>
      </c>
      <c r="H1640" t="n">
        <v>0</v>
      </c>
      <c r="I1640" t="n">
        <v>0</v>
      </c>
      <c r="J1640" t="n">
        <v>0</v>
      </c>
      <c r="K1640" t="n">
        <v>0</v>
      </c>
      <c r="L1640" t="n">
        <v>0</v>
      </c>
      <c r="M1640" t="n">
        <v>0</v>
      </c>
      <c r="N1640" t="n">
        <v>0</v>
      </c>
      <c r="O1640" t="n">
        <v>0</v>
      </c>
      <c r="P1640" t="n">
        <v>0</v>
      </c>
      <c r="Q1640" t="n">
        <v>0</v>
      </c>
      <c r="R1640" s="2" t="inlineStr"/>
    </row>
    <row r="1641" ht="15" customHeight="1">
      <c r="A1641" t="inlineStr">
        <is>
          <t>A 41449-2025</t>
        </is>
      </c>
      <c r="B1641" s="1" t="n">
        <v>45901.42787037037</v>
      </c>
      <c r="C1641" s="1" t="n">
        <v>45937</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23488-2023</t>
        </is>
      </c>
      <c r="B1642" s="1" t="n">
        <v>45072</v>
      </c>
      <c r="C1642" s="1" t="n">
        <v>45937</v>
      </c>
      <c r="D1642" t="inlineStr">
        <is>
          <t>VÄSTERNORRLANDS LÄN</t>
        </is>
      </c>
      <c r="E1642" t="inlineStr">
        <is>
          <t>SOLLEFTEÅ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13598-2022</t>
        </is>
      </c>
      <c r="B1643" s="1" t="n">
        <v>44648</v>
      </c>
      <c r="C1643" s="1" t="n">
        <v>45937</v>
      </c>
      <c r="D1643" t="inlineStr">
        <is>
          <t>VÄSTERNORRLANDS LÄN</t>
        </is>
      </c>
      <c r="E1643" t="inlineStr">
        <is>
          <t>SOLLEFTEÅ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1030-2025</t>
        </is>
      </c>
      <c r="B1644" s="1" t="n">
        <v>45666</v>
      </c>
      <c r="C1644" s="1" t="n">
        <v>45937</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32745-2025</t>
        </is>
      </c>
      <c r="B1645" s="1" t="n">
        <v>45839.42753472222</v>
      </c>
      <c r="C1645" s="1" t="n">
        <v>45937</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8244-2024</t>
        </is>
      </c>
      <c r="B1646" s="1" t="n">
        <v>45351</v>
      </c>
      <c r="C1646" s="1" t="n">
        <v>45937</v>
      </c>
      <c r="D1646" t="inlineStr">
        <is>
          <t>VÄSTERNORRLANDS LÄN</t>
        </is>
      </c>
      <c r="E1646" t="inlineStr">
        <is>
          <t>SOLLEFTEÅ</t>
        </is>
      </c>
      <c r="F1646" t="inlineStr">
        <is>
          <t>SCA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32749-2025</t>
        </is>
      </c>
      <c r="B1647" s="1" t="n">
        <v>45839.42834490741</v>
      </c>
      <c r="C1647" s="1" t="n">
        <v>45937</v>
      </c>
      <c r="D1647" t="inlineStr">
        <is>
          <t>VÄSTERNORRLANDS LÄN</t>
        </is>
      </c>
      <c r="E1647" t="inlineStr">
        <is>
          <t>SOLLEFTEÅ</t>
        </is>
      </c>
      <c r="F1647" t="inlineStr">
        <is>
          <t>SCA</t>
        </is>
      </c>
      <c r="G1647" t="n">
        <v>15.3</v>
      </c>
      <c r="H1647" t="n">
        <v>0</v>
      </c>
      <c r="I1647" t="n">
        <v>0</v>
      </c>
      <c r="J1647" t="n">
        <v>0</v>
      </c>
      <c r="K1647" t="n">
        <v>0</v>
      </c>
      <c r="L1647" t="n">
        <v>0</v>
      </c>
      <c r="M1647" t="n">
        <v>0</v>
      </c>
      <c r="N1647" t="n">
        <v>0</v>
      </c>
      <c r="O1647" t="n">
        <v>0</v>
      </c>
      <c r="P1647" t="n">
        <v>0</v>
      </c>
      <c r="Q1647" t="n">
        <v>0</v>
      </c>
      <c r="R1647" s="2" t="inlineStr"/>
    </row>
    <row r="1648" ht="15" customHeight="1">
      <c r="A1648" t="inlineStr">
        <is>
          <t>A 33012-2025</t>
        </is>
      </c>
      <c r="B1648" s="1" t="n">
        <v>45840.36498842593</v>
      </c>
      <c r="C1648" s="1" t="n">
        <v>45937</v>
      </c>
      <c r="D1648" t="inlineStr">
        <is>
          <t>VÄSTERNORRLANDS LÄN</t>
        </is>
      </c>
      <c r="E1648" t="inlineStr">
        <is>
          <t>SOLLEFTEÅ</t>
        </is>
      </c>
      <c r="F1648" t="inlineStr">
        <is>
          <t>SCA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48489-2024</t>
        </is>
      </c>
      <c r="B1649" s="1" t="n">
        <v>45592</v>
      </c>
      <c r="C1649" s="1" t="n">
        <v>45937</v>
      </c>
      <c r="D1649" t="inlineStr">
        <is>
          <t>VÄSTERNORRLANDS LÄN</t>
        </is>
      </c>
      <c r="E1649" t="inlineStr">
        <is>
          <t>SOLLEFTEÅ</t>
        </is>
      </c>
      <c r="F1649" t="inlineStr">
        <is>
          <t>SCA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8670-2023</t>
        </is>
      </c>
      <c r="B1650" s="1" t="n">
        <v>44977</v>
      </c>
      <c r="C1650" s="1" t="n">
        <v>45937</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44533-2023</t>
        </is>
      </c>
      <c r="B1651" s="1" t="n">
        <v>45183</v>
      </c>
      <c r="C1651" s="1" t="n">
        <v>45937</v>
      </c>
      <c r="D1651" t="inlineStr">
        <is>
          <t>VÄSTERNORRLANDS LÄN</t>
        </is>
      </c>
      <c r="E1651" t="inlineStr">
        <is>
          <t>SOLLEFTEÅ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10726-2025</t>
        </is>
      </c>
      <c r="B1652" s="1" t="n">
        <v>45722.38599537037</v>
      </c>
      <c r="C1652" s="1" t="n">
        <v>45937</v>
      </c>
      <c r="D1652" t="inlineStr">
        <is>
          <t>VÄSTERNORRLANDS LÄN</t>
        </is>
      </c>
      <c r="E1652" t="inlineStr">
        <is>
          <t>SOLLEFTEÅ</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33675-2025</t>
        </is>
      </c>
      <c r="B1653" s="1" t="n">
        <v>45841.67796296296</v>
      </c>
      <c r="C1653" s="1" t="n">
        <v>45937</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33855-2025</t>
        </is>
      </c>
      <c r="B1654" s="1" t="n">
        <v>45842.51125</v>
      </c>
      <c r="C1654" s="1" t="n">
        <v>45937</v>
      </c>
      <c r="D1654" t="inlineStr">
        <is>
          <t>VÄSTERNORRLANDS LÄN</t>
        </is>
      </c>
      <c r="E1654" t="inlineStr">
        <is>
          <t>SOLLEFTEÅ</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33676-2025</t>
        </is>
      </c>
      <c r="B1655" s="1" t="n">
        <v>45841.67818287037</v>
      </c>
      <c r="C1655" s="1" t="n">
        <v>45937</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33957-2025</t>
        </is>
      </c>
      <c r="B1656" s="1" t="n">
        <v>45842.67762731481</v>
      </c>
      <c r="C1656" s="1" t="n">
        <v>45937</v>
      </c>
      <c r="D1656" t="inlineStr">
        <is>
          <t>VÄSTERNORRLANDS LÄN</t>
        </is>
      </c>
      <c r="E1656" t="inlineStr">
        <is>
          <t>SOLLEFTEÅ</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6876-2025</t>
        </is>
      </c>
      <c r="B1657" s="1" t="n">
        <v>45701.34446759259</v>
      </c>
      <c r="C1657" s="1" t="n">
        <v>45937</v>
      </c>
      <c r="D1657" t="inlineStr">
        <is>
          <t>VÄSTERNORRLANDS LÄN</t>
        </is>
      </c>
      <c r="E1657" t="inlineStr">
        <is>
          <t>SOLLEFTEÅ</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46804-2023</t>
        </is>
      </c>
      <c r="B1658" s="1" t="n">
        <v>45198</v>
      </c>
      <c r="C1658" s="1" t="n">
        <v>45937</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58578-2024</t>
        </is>
      </c>
      <c r="B1659" s="1" t="n">
        <v>45635</v>
      </c>
      <c r="C1659" s="1" t="n">
        <v>45937</v>
      </c>
      <c r="D1659" t="inlineStr">
        <is>
          <t>VÄSTERNORRLANDS LÄN</t>
        </is>
      </c>
      <c r="E1659" t="inlineStr">
        <is>
          <t>SOLLEFTEÅ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58588-2024</t>
        </is>
      </c>
      <c r="B1660" s="1" t="n">
        <v>45635.50605324074</v>
      </c>
      <c r="C1660" s="1" t="n">
        <v>45937</v>
      </c>
      <c r="D1660" t="inlineStr">
        <is>
          <t>VÄSTERNORRLANDS LÄN</t>
        </is>
      </c>
      <c r="E1660" t="inlineStr">
        <is>
          <t>SOLLEFTEÅ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33917-2025</t>
        </is>
      </c>
      <c r="B1661" s="1" t="n">
        <v>45842.61491898148</v>
      </c>
      <c r="C1661" s="1" t="n">
        <v>45937</v>
      </c>
      <c r="D1661" t="inlineStr">
        <is>
          <t>VÄSTERNORRLANDS LÄN</t>
        </is>
      </c>
      <c r="E1661" t="inlineStr">
        <is>
          <t>SOLLEFTEÅ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10738-2025</t>
        </is>
      </c>
      <c r="B1662" s="1" t="n">
        <v>45722.40704861111</v>
      </c>
      <c r="C1662" s="1" t="n">
        <v>45937</v>
      </c>
      <c r="D1662" t="inlineStr">
        <is>
          <t>VÄSTERNORRLANDS LÄN</t>
        </is>
      </c>
      <c r="E1662" t="inlineStr">
        <is>
          <t>SOLLEFTEÅ</t>
        </is>
      </c>
      <c r="F1662" t="inlineStr">
        <is>
          <t>SCA</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46130-2022</t>
        </is>
      </c>
      <c r="B1663" s="1" t="n">
        <v>44844</v>
      </c>
      <c r="C1663" s="1" t="n">
        <v>45937</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33430-2025</t>
        </is>
      </c>
      <c r="B1664" s="1" t="n">
        <v>45841.44829861111</v>
      </c>
      <c r="C1664" s="1" t="n">
        <v>45937</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4061-2024</t>
        </is>
      </c>
      <c r="B1665" s="1" t="n">
        <v>45323</v>
      </c>
      <c r="C1665" s="1" t="n">
        <v>45937</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33436-2025</t>
        </is>
      </c>
      <c r="B1666" s="1" t="n">
        <v>45841.44898148148</v>
      </c>
      <c r="C1666" s="1" t="n">
        <v>45937</v>
      </c>
      <c r="D1666" t="inlineStr">
        <is>
          <t>VÄSTERNORRLANDS LÄN</t>
        </is>
      </c>
      <c r="E1666" t="inlineStr">
        <is>
          <t>SOLLEFTEÅ</t>
        </is>
      </c>
      <c r="F1666" t="inlineStr">
        <is>
          <t>SCA</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33674-2025</t>
        </is>
      </c>
      <c r="B1667" s="1" t="n">
        <v>45841.67770833334</v>
      </c>
      <c r="C1667" s="1" t="n">
        <v>45937</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21362-2021</t>
        </is>
      </c>
      <c r="B1668" s="1" t="n">
        <v>44320.95611111111</v>
      </c>
      <c r="C1668" s="1" t="n">
        <v>45937</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33442-2025</t>
        </is>
      </c>
      <c r="B1669" s="1" t="n">
        <v>45841.46092592592</v>
      </c>
      <c r="C1669" s="1" t="n">
        <v>45937</v>
      </c>
      <c r="D1669" t="inlineStr">
        <is>
          <t>VÄSTERNORRLANDS LÄN</t>
        </is>
      </c>
      <c r="E1669" t="inlineStr">
        <is>
          <t>SOLLEFTEÅ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33437-2025</t>
        </is>
      </c>
      <c r="B1670" s="1" t="n">
        <v>45841.4502199074</v>
      </c>
      <c r="C1670" s="1" t="n">
        <v>45937</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27633-2024</t>
        </is>
      </c>
      <c r="B1671" s="1" t="n">
        <v>45474.94590277778</v>
      </c>
      <c r="C1671" s="1" t="n">
        <v>45937</v>
      </c>
      <c r="D1671" t="inlineStr">
        <is>
          <t>VÄSTERNORRLANDS LÄN</t>
        </is>
      </c>
      <c r="E1671" t="inlineStr">
        <is>
          <t>SOLLEFTEÅ</t>
        </is>
      </c>
      <c r="F1671" t="inlineStr">
        <is>
          <t>SCA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27634-2024</t>
        </is>
      </c>
      <c r="B1672" s="1" t="n">
        <v>45474.94599537037</v>
      </c>
      <c r="C1672" s="1" t="n">
        <v>45937</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38054-2024</t>
        </is>
      </c>
      <c r="B1673" s="1" t="n">
        <v>45544.71916666667</v>
      </c>
      <c r="C1673" s="1" t="n">
        <v>45937</v>
      </c>
      <c r="D1673" t="inlineStr">
        <is>
          <t>VÄSTERNORRLANDS LÄN</t>
        </is>
      </c>
      <c r="E1673" t="inlineStr">
        <is>
          <t>SOLLEFTEÅ</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33936-2025</t>
        </is>
      </c>
      <c r="B1674" s="1" t="n">
        <v>45842.63630787037</v>
      </c>
      <c r="C1674" s="1" t="n">
        <v>45937</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27641-2024</t>
        </is>
      </c>
      <c r="B1675" s="1" t="n">
        <v>45474.94694444445</v>
      </c>
      <c r="C1675" s="1" t="n">
        <v>45937</v>
      </c>
      <c r="D1675" t="inlineStr">
        <is>
          <t>VÄSTERNORRLANDS LÄN</t>
        </is>
      </c>
      <c r="E1675" t="inlineStr">
        <is>
          <t>SOLLEFTEÅ</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33825-2025</t>
        </is>
      </c>
      <c r="B1676" s="1" t="n">
        <v>45842.46930555555</v>
      </c>
      <c r="C1676" s="1" t="n">
        <v>45937</v>
      </c>
      <c r="D1676" t="inlineStr">
        <is>
          <t>VÄSTERNORRLANDS LÄN</t>
        </is>
      </c>
      <c r="E1676" t="inlineStr">
        <is>
          <t>SOLLEFTEÅ</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29459-2024</t>
        </is>
      </c>
      <c r="B1677" s="1" t="n">
        <v>45483.96939814815</v>
      </c>
      <c r="C1677" s="1" t="n">
        <v>45937</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33607-2025</t>
        </is>
      </c>
      <c r="B1678" s="1" t="n">
        <v>45841.61521990741</v>
      </c>
      <c r="C1678" s="1" t="n">
        <v>45937</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33673-2025</t>
        </is>
      </c>
      <c r="B1679" s="1" t="n">
        <v>45841.67761574074</v>
      </c>
      <c r="C1679" s="1" t="n">
        <v>45937</v>
      </c>
      <c r="D1679" t="inlineStr">
        <is>
          <t>VÄSTERNORRLANDS LÄN</t>
        </is>
      </c>
      <c r="E1679" t="inlineStr">
        <is>
          <t>SOLLEFTEÅ</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33935-2025</t>
        </is>
      </c>
      <c r="B1680" s="1" t="n">
        <v>45842.63614583333</v>
      </c>
      <c r="C1680" s="1" t="n">
        <v>45937</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33502-2025</t>
        </is>
      </c>
      <c r="B1681" s="1" t="n">
        <v>45841.51101851852</v>
      </c>
      <c r="C1681" s="1" t="n">
        <v>45937</v>
      </c>
      <c r="D1681" t="inlineStr">
        <is>
          <t>VÄSTERNORRLANDS LÄN</t>
        </is>
      </c>
      <c r="E1681" t="inlineStr">
        <is>
          <t>SOLLEFTEÅ</t>
        </is>
      </c>
      <c r="F1681" t="inlineStr">
        <is>
          <t>SCA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8104-2025</t>
        </is>
      </c>
      <c r="B1682" s="1" t="n">
        <v>45707.69835648148</v>
      </c>
      <c r="C1682" s="1" t="n">
        <v>45937</v>
      </c>
      <c r="D1682" t="inlineStr">
        <is>
          <t>VÄSTERNORRLANDS LÄN</t>
        </is>
      </c>
      <c r="E1682" t="inlineStr">
        <is>
          <t>SOLLEFTEÅ</t>
        </is>
      </c>
      <c r="F1682" t="inlineStr">
        <is>
          <t>SCA</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8124-2025</t>
        </is>
      </c>
      <c r="B1683" s="1" t="n">
        <v>45707</v>
      </c>
      <c r="C1683" s="1" t="n">
        <v>45937</v>
      </c>
      <c r="D1683" t="inlineStr">
        <is>
          <t>VÄSTERNORRLANDS LÄN</t>
        </is>
      </c>
      <c r="E1683" t="inlineStr">
        <is>
          <t>SOLLEFTEÅ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18696-2025</t>
        </is>
      </c>
      <c r="B1684" s="1" t="n">
        <v>45763.61578703704</v>
      </c>
      <c r="C1684" s="1" t="n">
        <v>45937</v>
      </c>
      <c r="D1684" t="inlineStr">
        <is>
          <t>VÄSTERNORRLANDS LÄN</t>
        </is>
      </c>
      <c r="E1684" t="inlineStr">
        <is>
          <t>SOLLEFTEÅ</t>
        </is>
      </c>
      <c r="F1684" t="inlineStr">
        <is>
          <t>SCA</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8880-2023</t>
        </is>
      </c>
      <c r="B1685" s="1" t="n">
        <v>44978.94346064814</v>
      </c>
      <c r="C1685" s="1" t="n">
        <v>45937</v>
      </c>
      <c r="D1685" t="inlineStr">
        <is>
          <t>VÄSTERNORRLANDS LÄN</t>
        </is>
      </c>
      <c r="E1685" t="inlineStr">
        <is>
          <t>SOLLEFTEÅ</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6068-2024</t>
        </is>
      </c>
      <c r="B1686" s="1" t="n">
        <v>45336.89725694444</v>
      </c>
      <c r="C1686" s="1" t="n">
        <v>45937</v>
      </c>
      <c r="D1686" t="inlineStr">
        <is>
          <t>VÄSTERNORRLANDS LÄN</t>
        </is>
      </c>
      <c r="E1686" t="inlineStr">
        <is>
          <t>SOLLEFTEÅ</t>
        </is>
      </c>
      <c r="F1686" t="inlineStr">
        <is>
          <t>Övriga Aktiebolag</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33452-2025</t>
        </is>
      </c>
      <c r="B1687" s="1" t="n">
        <v>45841.46940972222</v>
      </c>
      <c r="C1687" s="1" t="n">
        <v>45937</v>
      </c>
      <c r="D1687" t="inlineStr">
        <is>
          <t>VÄSTERNORRLANDS LÄN</t>
        </is>
      </c>
      <c r="E1687" t="inlineStr">
        <is>
          <t>SOLLEFTEÅ</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51107-2023</t>
        </is>
      </c>
      <c r="B1688" s="1" t="n">
        <v>45218.92530092593</v>
      </c>
      <c r="C1688" s="1" t="n">
        <v>45937</v>
      </c>
      <c r="D1688" t="inlineStr">
        <is>
          <t>VÄSTERNORRLANDS LÄN</t>
        </is>
      </c>
      <c r="E1688" t="inlineStr">
        <is>
          <t>SOLLEFTEÅ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33852-2025</t>
        </is>
      </c>
      <c r="B1689" s="1" t="n">
        <v>45842.51079861111</v>
      </c>
      <c r="C1689" s="1" t="n">
        <v>45937</v>
      </c>
      <c r="D1689" t="inlineStr">
        <is>
          <t>VÄSTERNORRLANDS LÄN</t>
        </is>
      </c>
      <c r="E1689" t="inlineStr">
        <is>
          <t>SOLLEFTEÅ</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61790-2024</t>
        </is>
      </c>
      <c r="B1690" s="1" t="n">
        <v>45649</v>
      </c>
      <c r="C1690" s="1" t="n">
        <v>45937</v>
      </c>
      <c r="D1690" t="inlineStr">
        <is>
          <t>VÄSTERNORRLANDS LÄN</t>
        </is>
      </c>
      <c r="E1690" t="inlineStr">
        <is>
          <t>SOLLEFTEÅ</t>
        </is>
      </c>
      <c r="F1690" t="inlineStr">
        <is>
          <t>Övriga statliga verk och myndigheter</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11455-2025</t>
        </is>
      </c>
      <c r="B1691" s="1" t="n">
        <v>45726.64886574074</v>
      </c>
      <c r="C1691" s="1" t="n">
        <v>45937</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44407-2023</t>
        </is>
      </c>
      <c r="B1692" s="1" t="n">
        <v>45188.9465625</v>
      </c>
      <c r="C1692" s="1" t="n">
        <v>45937</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44408-2023</t>
        </is>
      </c>
      <c r="B1693" s="1" t="n">
        <v>45188.94663194445</v>
      </c>
      <c r="C1693" s="1" t="n">
        <v>45937</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17682-2025</t>
        </is>
      </c>
      <c r="B1694" s="1" t="n">
        <v>45758</v>
      </c>
      <c r="C1694" s="1" t="n">
        <v>45937</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36078-2022</t>
        </is>
      </c>
      <c r="B1695" s="1" t="n">
        <v>44802.9459375</v>
      </c>
      <c r="C1695" s="1" t="n">
        <v>45937</v>
      </c>
      <c r="D1695" t="inlineStr">
        <is>
          <t>VÄSTERNORRLANDS LÄN</t>
        </is>
      </c>
      <c r="E1695" t="inlineStr">
        <is>
          <t>SOLLEFTEÅ</t>
        </is>
      </c>
      <c r="F1695" t="inlineStr">
        <is>
          <t>SCA</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34000-2025</t>
        </is>
      </c>
      <c r="B1696" s="1" t="n">
        <v>45844.37024305556</v>
      </c>
      <c r="C1696" s="1" t="n">
        <v>45937</v>
      </c>
      <c r="D1696" t="inlineStr">
        <is>
          <t>VÄSTERNORRLANDS LÄN</t>
        </is>
      </c>
      <c r="E1696" t="inlineStr">
        <is>
          <t>SOLLEFTEÅ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10865-2025</t>
        </is>
      </c>
      <c r="B1697" s="1" t="n">
        <v>45722.61526620371</v>
      </c>
      <c r="C1697" s="1" t="n">
        <v>45937</v>
      </c>
      <c r="D1697" t="inlineStr">
        <is>
          <t>VÄSTERNORRLANDS LÄN</t>
        </is>
      </c>
      <c r="E1697" t="inlineStr">
        <is>
          <t>SOLLEFTEÅ</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26500-2024</t>
        </is>
      </c>
      <c r="B1698" s="1" t="n">
        <v>45469.57174768519</v>
      </c>
      <c r="C1698" s="1" t="n">
        <v>45937</v>
      </c>
      <c r="D1698" t="inlineStr">
        <is>
          <t>VÄSTERNORRLANDS LÄN</t>
        </is>
      </c>
      <c r="E1698" t="inlineStr">
        <is>
          <t>SOLLEFTEÅ</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38432-2022</t>
        </is>
      </c>
      <c r="B1699" s="1" t="n">
        <v>44812</v>
      </c>
      <c r="C1699" s="1" t="n">
        <v>45937</v>
      </c>
      <c r="D1699" t="inlineStr">
        <is>
          <t>VÄSTERNORRLANDS LÄN</t>
        </is>
      </c>
      <c r="E1699" t="inlineStr">
        <is>
          <t>SOLLEFTEÅ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30692-2021</t>
        </is>
      </c>
      <c r="B1700" s="1" t="n">
        <v>44365</v>
      </c>
      <c r="C1700" s="1" t="n">
        <v>45937</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22690-2024</t>
        </is>
      </c>
      <c r="B1701" s="1" t="n">
        <v>45448.31293981482</v>
      </c>
      <c r="C1701" s="1" t="n">
        <v>45937</v>
      </c>
      <c r="D1701" t="inlineStr">
        <is>
          <t>VÄSTERNORRLANDS LÄN</t>
        </is>
      </c>
      <c r="E1701" t="inlineStr">
        <is>
          <t>SOLLEFTEÅ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41456-2022</t>
        </is>
      </c>
      <c r="B1702" s="1" t="n">
        <v>44826</v>
      </c>
      <c r="C1702" s="1" t="n">
        <v>45937</v>
      </c>
      <c r="D1702" t="inlineStr">
        <is>
          <t>VÄSTERNORRLANDS LÄN</t>
        </is>
      </c>
      <c r="E1702" t="inlineStr">
        <is>
          <t>SOLLEFTEÅ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33999-2025</t>
        </is>
      </c>
      <c r="B1703" s="1" t="n">
        <v>45844.36113425926</v>
      </c>
      <c r="C1703" s="1" t="n">
        <v>45937</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29914-2024</t>
        </is>
      </c>
      <c r="B1704" s="1" t="n">
        <v>45487.92814814814</v>
      </c>
      <c r="C1704" s="1" t="n">
        <v>45937</v>
      </c>
      <c r="D1704" t="inlineStr">
        <is>
          <t>VÄSTERNORRLANDS LÄN</t>
        </is>
      </c>
      <c r="E1704" t="inlineStr">
        <is>
          <t>SOLLEFTEÅ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34051-2025</t>
        </is>
      </c>
      <c r="B1705" s="1" t="n">
        <v>45845.40672453704</v>
      </c>
      <c r="C1705" s="1" t="n">
        <v>45937</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17032-2025</t>
        </is>
      </c>
      <c r="B1706" s="1" t="n">
        <v>45755</v>
      </c>
      <c r="C1706" s="1" t="n">
        <v>45937</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56356-2023</t>
        </is>
      </c>
      <c r="B1707" s="1" t="n">
        <v>45236</v>
      </c>
      <c r="C1707" s="1" t="n">
        <v>45937</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7014-2025</t>
        </is>
      </c>
      <c r="B1708" s="1" t="n">
        <v>45701.61085648148</v>
      </c>
      <c r="C1708" s="1" t="n">
        <v>45937</v>
      </c>
      <c r="D1708" t="inlineStr">
        <is>
          <t>VÄSTERNORRLANDS LÄN</t>
        </is>
      </c>
      <c r="E1708" t="inlineStr">
        <is>
          <t>SOLLEFTEÅ</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34476-2025</t>
        </is>
      </c>
      <c r="B1709" s="1" t="n">
        <v>45847.36752314815</v>
      </c>
      <c r="C1709" s="1" t="n">
        <v>45937</v>
      </c>
      <c r="D1709" t="inlineStr">
        <is>
          <t>VÄSTERNORRLANDS LÄN</t>
        </is>
      </c>
      <c r="E1709" t="inlineStr">
        <is>
          <t>SOLLEFTEÅ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62363-2023</t>
        </is>
      </c>
      <c r="B1710" s="1" t="n">
        <v>45267</v>
      </c>
      <c r="C1710" s="1" t="n">
        <v>45937</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52034-2022</t>
        </is>
      </c>
      <c r="B1711" s="1" t="n">
        <v>44872</v>
      </c>
      <c r="C1711" s="1" t="n">
        <v>45937</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58994-2024</t>
        </is>
      </c>
      <c r="B1712" s="1" t="n">
        <v>45636.63717592593</v>
      </c>
      <c r="C1712" s="1" t="n">
        <v>45937</v>
      </c>
      <c r="D1712" t="inlineStr">
        <is>
          <t>VÄSTERNORRLANDS LÄN</t>
        </is>
      </c>
      <c r="E1712" t="inlineStr">
        <is>
          <t>SOLLEFTEÅ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58085-2023</t>
        </is>
      </c>
      <c r="B1713" s="1" t="n">
        <v>45247</v>
      </c>
      <c r="C1713" s="1" t="n">
        <v>45937</v>
      </c>
      <c r="D1713" t="inlineStr">
        <is>
          <t>VÄSTERNORRLANDS LÄN</t>
        </is>
      </c>
      <c r="E1713" t="inlineStr">
        <is>
          <t>SOLLEFTEÅ</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34459-2025</t>
        </is>
      </c>
      <c r="B1714" s="1" t="n">
        <v>45847.34442129629</v>
      </c>
      <c r="C1714" s="1" t="n">
        <v>45937</v>
      </c>
      <c r="D1714" t="inlineStr">
        <is>
          <t>VÄSTERNORRLANDS LÄN</t>
        </is>
      </c>
      <c r="E1714" t="inlineStr">
        <is>
          <t>SOLLEFTEÅ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64120-2023</t>
        </is>
      </c>
      <c r="B1715" s="1" t="n">
        <v>45279</v>
      </c>
      <c r="C1715" s="1" t="n">
        <v>45937</v>
      </c>
      <c r="D1715" t="inlineStr">
        <is>
          <t>VÄSTERNORRLANDS LÄN</t>
        </is>
      </c>
      <c r="E1715" t="inlineStr">
        <is>
          <t>SOLLEFTEÅ</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63138-2023</t>
        </is>
      </c>
      <c r="B1716" s="1" t="n">
        <v>45272</v>
      </c>
      <c r="C1716" s="1" t="n">
        <v>45937</v>
      </c>
      <c r="D1716" t="inlineStr">
        <is>
          <t>VÄSTERNORRLANDS LÄN</t>
        </is>
      </c>
      <c r="E1716" t="inlineStr">
        <is>
          <t>SOLLEFTEÅ</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35217-2024</t>
        </is>
      </c>
      <c r="B1717" s="1" t="n">
        <v>45530</v>
      </c>
      <c r="C1717" s="1" t="n">
        <v>45937</v>
      </c>
      <c r="D1717" t="inlineStr">
        <is>
          <t>VÄSTERNORRLANDS LÄN</t>
        </is>
      </c>
      <c r="E1717" t="inlineStr">
        <is>
          <t>SOLLEFTEÅ</t>
        </is>
      </c>
      <c r="F1717" t="inlineStr">
        <is>
          <t>Kommuner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34462-2025</t>
        </is>
      </c>
      <c r="B1718" s="1" t="n">
        <v>45847.34498842592</v>
      </c>
      <c r="C1718" s="1" t="n">
        <v>45937</v>
      </c>
      <c r="D1718" t="inlineStr">
        <is>
          <t>VÄSTERNORRLANDS LÄN</t>
        </is>
      </c>
      <c r="E1718" t="inlineStr">
        <is>
          <t>SOLLEFTEÅ</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16633-2025</t>
        </is>
      </c>
      <c r="B1719" s="1" t="n">
        <v>45754.36517361111</v>
      </c>
      <c r="C1719" s="1" t="n">
        <v>45937</v>
      </c>
      <c r="D1719" t="inlineStr">
        <is>
          <t>VÄSTERNORRLANDS LÄN</t>
        </is>
      </c>
      <c r="E1719" t="inlineStr">
        <is>
          <t>SOLLEFTEÅ</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12706-2025</t>
        </is>
      </c>
      <c r="B1720" s="1" t="n">
        <v>45733.46958333333</v>
      </c>
      <c r="C1720" s="1" t="n">
        <v>45937</v>
      </c>
      <c r="D1720" t="inlineStr">
        <is>
          <t>VÄSTERNORRLANDS LÄN</t>
        </is>
      </c>
      <c r="E1720" t="inlineStr">
        <is>
          <t>SOLLEFTEÅ</t>
        </is>
      </c>
      <c r="F1720" t="inlineStr">
        <is>
          <t>SCA</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34473-2025</t>
        </is>
      </c>
      <c r="B1721" s="1" t="n">
        <v>45847.36511574074</v>
      </c>
      <c r="C1721" s="1" t="n">
        <v>45937</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3424-2025</t>
        </is>
      </c>
      <c r="B1722" s="1" t="n">
        <v>45680</v>
      </c>
      <c r="C1722" s="1" t="n">
        <v>45937</v>
      </c>
      <c r="D1722" t="inlineStr">
        <is>
          <t>VÄSTERNORRLANDS LÄN</t>
        </is>
      </c>
      <c r="E1722" t="inlineStr">
        <is>
          <t>SOLLEFTEÅ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9254-2025</t>
        </is>
      </c>
      <c r="B1723" s="1" t="n">
        <v>45714.59442129629</v>
      </c>
      <c r="C1723" s="1" t="n">
        <v>45937</v>
      </c>
      <c r="D1723" t="inlineStr">
        <is>
          <t>VÄSTERNORRLANDS LÄN</t>
        </is>
      </c>
      <c r="E1723" t="inlineStr">
        <is>
          <t>SOLLEFTEÅ</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35041-2025</t>
        </is>
      </c>
      <c r="B1724" s="1" t="n">
        <v>45852.3443287037</v>
      </c>
      <c r="C1724" s="1" t="n">
        <v>45937</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15621-2025</t>
        </is>
      </c>
      <c r="B1725" s="1" t="n">
        <v>45748.35635416667</v>
      </c>
      <c r="C1725" s="1" t="n">
        <v>45937</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35086-2025</t>
        </is>
      </c>
      <c r="B1726" s="1" t="n">
        <v>45852.51719907407</v>
      </c>
      <c r="C1726" s="1" t="n">
        <v>45937</v>
      </c>
      <c r="D1726" t="inlineStr">
        <is>
          <t>VÄSTERNORRLANDS LÄN</t>
        </is>
      </c>
      <c r="E1726" t="inlineStr">
        <is>
          <t>SOLLEFTEÅ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49829-2024</t>
        </is>
      </c>
      <c r="B1727" s="1" t="n">
        <v>45597</v>
      </c>
      <c r="C1727" s="1" t="n">
        <v>45937</v>
      </c>
      <c r="D1727" t="inlineStr">
        <is>
          <t>VÄSTERNORRLANDS LÄN</t>
        </is>
      </c>
      <c r="E1727" t="inlineStr">
        <is>
          <t>SOLLEFTEÅ</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4897-2025</t>
        </is>
      </c>
      <c r="B1728" s="1" t="n">
        <v>45688.67913194445</v>
      </c>
      <c r="C1728" s="1" t="n">
        <v>45937</v>
      </c>
      <c r="D1728" t="inlineStr">
        <is>
          <t>VÄSTERNORRLANDS LÄN</t>
        </is>
      </c>
      <c r="E1728" t="inlineStr">
        <is>
          <t>SOLLEFTEÅ</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6736-2025</t>
        </is>
      </c>
      <c r="B1729" s="1" t="n">
        <v>45700.59442129629</v>
      </c>
      <c r="C1729" s="1" t="n">
        <v>45937</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35042-2025</t>
        </is>
      </c>
      <c r="B1730" s="1" t="n">
        <v>45852.34447916667</v>
      </c>
      <c r="C1730" s="1" t="n">
        <v>45937</v>
      </c>
      <c r="D1730" t="inlineStr">
        <is>
          <t>VÄSTERNORRLANDS LÄN</t>
        </is>
      </c>
      <c r="E1730" t="inlineStr">
        <is>
          <t>SOLLEFTEÅ</t>
        </is>
      </c>
      <c r="F1730" t="inlineStr">
        <is>
          <t>SCA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35132-2025</t>
        </is>
      </c>
      <c r="B1731" s="1" t="n">
        <v>45852.63618055556</v>
      </c>
      <c r="C1731" s="1" t="n">
        <v>45937</v>
      </c>
      <c r="D1731" t="inlineStr">
        <is>
          <t>VÄSTERNORRLANDS LÄN</t>
        </is>
      </c>
      <c r="E1731" t="inlineStr">
        <is>
          <t>SOLLEFTEÅ</t>
        </is>
      </c>
      <c r="F1731" t="inlineStr">
        <is>
          <t>SCA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34870-2025</t>
        </is>
      </c>
      <c r="B1732" s="1" t="n">
        <v>45849.44729166666</v>
      </c>
      <c r="C1732" s="1" t="n">
        <v>45937</v>
      </c>
      <c r="D1732" t="inlineStr">
        <is>
          <t>VÄSTERNORRLANDS LÄN</t>
        </is>
      </c>
      <c r="E1732" t="inlineStr">
        <is>
          <t>SOLLEFTEÅ</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13584-2025</t>
        </is>
      </c>
      <c r="B1733" s="1" t="n">
        <v>45736.59193287037</v>
      </c>
      <c r="C1733" s="1" t="n">
        <v>45937</v>
      </c>
      <c r="D1733" t="inlineStr">
        <is>
          <t>VÄSTERNORRLANDS LÄN</t>
        </is>
      </c>
      <c r="E1733" t="inlineStr">
        <is>
          <t>SOLLEFTEÅ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59179-2024</t>
        </is>
      </c>
      <c r="B1734" s="1" t="n">
        <v>45637.51149305556</v>
      </c>
      <c r="C1734" s="1" t="n">
        <v>45937</v>
      </c>
      <c r="D1734" t="inlineStr">
        <is>
          <t>VÄSTERNORRLANDS LÄN</t>
        </is>
      </c>
      <c r="E1734" t="inlineStr">
        <is>
          <t>SOLLEFTEÅ</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3414-2025</t>
        </is>
      </c>
      <c r="B1735" s="1" t="n">
        <v>45680</v>
      </c>
      <c r="C1735" s="1" t="n">
        <v>45937</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30063-2024</t>
        </is>
      </c>
      <c r="B1736" s="1" t="n">
        <v>45488.94841435185</v>
      </c>
      <c r="C1736" s="1" t="n">
        <v>45937</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34543-2022</t>
        </is>
      </c>
      <c r="B1737" s="1" t="n">
        <v>44793</v>
      </c>
      <c r="C1737" s="1" t="n">
        <v>45937</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30068-2024</t>
        </is>
      </c>
      <c r="B1738" s="1" t="n">
        <v>45488.94886574074</v>
      </c>
      <c r="C1738" s="1" t="n">
        <v>45937</v>
      </c>
      <c r="D1738" t="inlineStr">
        <is>
          <t>VÄSTERNORRLANDS LÄN</t>
        </is>
      </c>
      <c r="E1738" t="inlineStr">
        <is>
          <t>SOLLEFTEÅ</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35066-2025</t>
        </is>
      </c>
      <c r="B1739" s="1" t="n">
        <v>45852.45013888889</v>
      </c>
      <c r="C1739" s="1" t="n">
        <v>45937</v>
      </c>
      <c r="D1739" t="inlineStr">
        <is>
          <t>VÄSTERNORRLANDS LÄN</t>
        </is>
      </c>
      <c r="E1739" t="inlineStr">
        <is>
          <t>SOLLEFTEÅ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14554-2024</t>
        </is>
      </c>
      <c r="B1740" s="1" t="n">
        <v>45394</v>
      </c>
      <c r="C1740" s="1" t="n">
        <v>45937</v>
      </c>
      <c r="D1740" t="inlineStr">
        <is>
          <t>VÄSTERNORRLANDS LÄN</t>
        </is>
      </c>
      <c r="E1740" t="inlineStr">
        <is>
          <t>SOLLEFTEÅ</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2939-2025</t>
        </is>
      </c>
      <c r="B1741" s="1" t="n">
        <v>45678.38581018519</v>
      </c>
      <c r="C1741" s="1" t="n">
        <v>45937</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3368-2025</t>
        </is>
      </c>
      <c r="B1742" s="1" t="n">
        <v>45679</v>
      </c>
      <c r="C1742" s="1" t="n">
        <v>45937</v>
      </c>
      <c r="D1742" t="inlineStr">
        <is>
          <t>VÄSTERNORRLANDS LÄN</t>
        </is>
      </c>
      <c r="E1742" t="inlineStr">
        <is>
          <t>SOLLEFTEÅ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53379-2023</t>
        </is>
      </c>
      <c r="B1743" s="1" t="n">
        <v>45222</v>
      </c>
      <c r="C1743" s="1" t="n">
        <v>45937</v>
      </c>
      <c r="D1743" t="inlineStr">
        <is>
          <t>VÄSTERNORRLANDS LÄN</t>
        </is>
      </c>
      <c r="E1743" t="inlineStr">
        <is>
          <t>SOLLEFTEÅ</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40515-2025</t>
        </is>
      </c>
      <c r="B1744" s="1" t="n">
        <v>45896</v>
      </c>
      <c r="C1744" s="1" t="n">
        <v>45937</v>
      </c>
      <c r="D1744" t="inlineStr">
        <is>
          <t>VÄSTERNORRLANDS LÄN</t>
        </is>
      </c>
      <c r="E1744" t="inlineStr">
        <is>
          <t>SOLLEFTEÅ</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26444-2024</t>
        </is>
      </c>
      <c r="B1745" s="1" t="n">
        <v>45469.50122685185</v>
      </c>
      <c r="C1745" s="1" t="n">
        <v>45937</v>
      </c>
      <c r="D1745" t="inlineStr">
        <is>
          <t>VÄSTERNORRLANDS LÄN</t>
        </is>
      </c>
      <c r="E1745" t="inlineStr">
        <is>
          <t>SOLLEFTEÅ</t>
        </is>
      </c>
      <c r="F1745" t="inlineStr">
        <is>
          <t>Holmen skog AB</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40468-2025</t>
        </is>
      </c>
      <c r="B1746" s="1" t="n">
        <v>45895.66416666667</v>
      </c>
      <c r="C1746" s="1" t="n">
        <v>45937</v>
      </c>
      <c r="D1746" t="inlineStr">
        <is>
          <t>VÄSTERNORRLANDS LÄN</t>
        </is>
      </c>
      <c r="E1746" t="inlineStr">
        <is>
          <t>SOLLEFTEÅ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40302-2025</t>
        </is>
      </c>
      <c r="B1747" s="1" t="n">
        <v>45895.40662037037</v>
      </c>
      <c r="C1747" s="1" t="n">
        <v>45937</v>
      </c>
      <c r="D1747" t="inlineStr">
        <is>
          <t>VÄSTERNORRLANDS LÄN</t>
        </is>
      </c>
      <c r="E1747" t="inlineStr">
        <is>
          <t>SOLLEFTEÅ</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59593-2023</t>
        </is>
      </c>
      <c r="B1748" s="1" t="n">
        <v>45254.61885416666</v>
      </c>
      <c r="C1748" s="1" t="n">
        <v>45937</v>
      </c>
      <c r="D1748" t="inlineStr">
        <is>
          <t>VÄSTERNORRLANDS LÄN</t>
        </is>
      </c>
      <c r="E1748" t="inlineStr">
        <is>
          <t>SOLLEFTEÅ</t>
        </is>
      </c>
      <c r="F1748" t="inlineStr">
        <is>
          <t>Holmen skog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39504-2021</t>
        </is>
      </c>
      <c r="B1749" s="1" t="n">
        <v>44414.93480324074</v>
      </c>
      <c r="C1749" s="1" t="n">
        <v>45937</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40358-2025</t>
        </is>
      </c>
      <c r="B1750" s="1" t="n">
        <v>45895.48995370371</v>
      </c>
      <c r="C1750" s="1" t="n">
        <v>45937</v>
      </c>
      <c r="D1750" t="inlineStr">
        <is>
          <t>VÄSTERNORRLANDS LÄN</t>
        </is>
      </c>
      <c r="E1750" t="inlineStr">
        <is>
          <t>SOLLEFTEÅ</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7569-2025</t>
        </is>
      </c>
      <c r="B1751" s="1" t="n">
        <v>45705.59442129629</v>
      </c>
      <c r="C1751" s="1" t="n">
        <v>45937</v>
      </c>
      <c r="D1751" t="inlineStr">
        <is>
          <t>VÄSTERNORRLANDS LÄN</t>
        </is>
      </c>
      <c r="E1751" t="inlineStr">
        <is>
          <t>SOLLEFTEÅ</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25945-2025</t>
        </is>
      </c>
      <c r="B1752" s="1" t="n">
        <v>45804</v>
      </c>
      <c r="C1752" s="1" t="n">
        <v>45937</v>
      </c>
      <c r="D1752" t="inlineStr">
        <is>
          <t>VÄSTERNORRLANDS LÄN</t>
        </is>
      </c>
      <c r="E1752" t="inlineStr">
        <is>
          <t>SOLLEFTEÅ</t>
        </is>
      </c>
      <c r="F1752" t="inlineStr">
        <is>
          <t>SCA</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18263-2025</t>
        </is>
      </c>
      <c r="B1753" s="1" t="n">
        <v>45762.36509259259</v>
      </c>
      <c r="C1753" s="1" t="n">
        <v>45937</v>
      </c>
      <c r="D1753" t="inlineStr">
        <is>
          <t>VÄSTERNORRLANDS LÄN</t>
        </is>
      </c>
      <c r="E1753" t="inlineStr">
        <is>
          <t>SOLLEFTEÅ</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19577-2024</t>
        </is>
      </c>
      <c r="B1754" s="1" t="n">
        <v>45429</v>
      </c>
      <c r="C1754" s="1" t="n">
        <v>45937</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2582-2025</t>
        </is>
      </c>
      <c r="B1755" s="1" t="n">
        <v>45674.67787037037</v>
      </c>
      <c r="C1755" s="1" t="n">
        <v>45937</v>
      </c>
      <c r="D1755" t="inlineStr">
        <is>
          <t>VÄSTERNORRLANDS LÄN</t>
        </is>
      </c>
      <c r="E1755" t="inlineStr">
        <is>
          <t>SOLLEFTEÅ</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12379-2025</t>
        </is>
      </c>
      <c r="B1756" s="1" t="n">
        <v>45730</v>
      </c>
      <c r="C1756" s="1" t="n">
        <v>45937</v>
      </c>
      <c r="D1756" t="inlineStr">
        <is>
          <t>VÄSTERNORRLANDS LÄN</t>
        </is>
      </c>
      <c r="E1756" t="inlineStr">
        <is>
          <t>SOLLEFTEÅ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40450-2025</t>
        </is>
      </c>
      <c r="B1757" s="1" t="n">
        <v>45895.63584490741</v>
      </c>
      <c r="C1757" s="1" t="n">
        <v>45937</v>
      </c>
      <c r="D1757" t="inlineStr">
        <is>
          <t>VÄSTERNORRLANDS LÄN</t>
        </is>
      </c>
      <c r="E1757" t="inlineStr">
        <is>
          <t>SOLLEFTEÅ</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2883-2025</t>
        </is>
      </c>
      <c r="B1758" s="1" t="n">
        <v>45677</v>
      </c>
      <c r="C1758" s="1" t="n">
        <v>45937</v>
      </c>
      <c r="D1758" t="inlineStr">
        <is>
          <t>VÄSTERNORRLANDS LÄN</t>
        </is>
      </c>
      <c r="E1758" t="inlineStr">
        <is>
          <t>SOLLEFTEÅ</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8894-2025</t>
        </is>
      </c>
      <c r="B1759" s="1" t="n">
        <v>45713.40665509259</v>
      </c>
      <c r="C1759" s="1" t="n">
        <v>45937</v>
      </c>
      <c r="D1759" t="inlineStr">
        <is>
          <t>VÄSTERNORRLANDS LÄN</t>
        </is>
      </c>
      <c r="E1759" t="inlineStr">
        <is>
          <t>SOLLEFTEÅ</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40662-2025</t>
        </is>
      </c>
      <c r="B1760" s="1" t="n">
        <v>45896.6487037037</v>
      </c>
      <c r="C1760" s="1" t="n">
        <v>45937</v>
      </c>
      <c r="D1760" t="inlineStr">
        <is>
          <t>VÄSTERNORRLANDS LÄN</t>
        </is>
      </c>
      <c r="E1760" t="inlineStr">
        <is>
          <t>SOLLEFTEÅ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40651-2025</t>
        </is>
      </c>
      <c r="B1761" s="1" t="n">
        <v>45896.63585648148</v>
      </c>
      <c r="C1761" s="1" t="n">
        <v>45937</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54572-2024</t>
        </is>
      </c>
      <c r="B1762" s="1" t="n">
        <v>45617.65054398148</v>
      </c>
      <c r="C1762" s="1" t="n">
        <v>45937</v>
      </c>
      <c r="D1762" t="inlineStr">
        <is>
          <t>VÄSTERNORRLANDS LÄN</t>
        </is>
      </c>
      <c r="E1762" t="inlineStr">
        <is>
          <t>SOLLEFTEÅ</t>
        </is>
      </c>
      <c r="G1762" t="n">
        <v>28.2</v>
      </c>
      <c r="H1762" t="n">
        <v>0</v>
      </c>
      <c r="I1762" t="n">
        <v>0</v>
      </c>
      <c r="J1762" t="n">
        <v>0</v>
      </c>
      <c r="K1762" t="n">
        <v>0</v>
      </c>
      <c r="L1762" t="n">
        <v>0</v>
      </c>
      <c r="M1762" t="n">
        <v>0</v>
      </c>
      <c r="N1762" t="n">
        <v>0</v>
      </c>
      <c r="O1762" t="n">
        <v>0</v>
      </c>
      <c r="P1762" t="n">
        <v>0</v>
      </c>
      <c r="Q1762" t="n">
        <v>0</v>
      </c>
      <c r="R1762" s="2" t="inlineStr"/>
    </row>
    <row r="1763" ht="15" customHeight="1">
      <c r="A1763" t="inlineStr">
        <is>
          <t>A 54574-2024</t>
        </is>
      </c>
      <c r="B1763" s="1" t="n">
        <v>45617.65201388889</v>
      </c>
      <c r="C1763" s="1" t="n">
        <v>45937</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18795-2025</t>
        </is>
      </c>
      <c r="B1764" s="1" t="n">
        <v>45764.34564814815</v>
      </c>
      <c r="C1764" s="1" t="n">
        <v>45937</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40492-2025</t>
        </is>
      </c>
      <c r="B1765" s="1" t="n">
        <v>45896</v>
      </c>
      <c r="C1765" s="1" t="n">
        <v>45937</v>
      </c>
      <c r="D1765" t="inlineStr">
        <is>
          <t>VÄSTERNORRLANDS LÄN</t>
        </is>
      </c>
      <c r="E1765" t="inlineStr">
        <is>
          <t>SOLLEFTEÅ</t>
        </is>
      </c>
      <c r="F1765" t="inlineStr">
        <is>
          <t>Holmen skog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35286-2025</t>
        </is>
      </c>
      <c r="B1766" s="1" t="n">
        <v>45854.36512731481</v>
      </c>
      <c r="C1766" s="1" t="n">
        <v>45937</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9070-2025</t>
        </is>
      </c>
      <c r="B1767" s="1" t="n">
        <v>45713.65658564815</v>
      </c>
      <c r="C1767" s="1" t="n">
        <v>45937</v>
      </c>
      <c r="D1767" t="inlineStr">
        <is>
          <t>VÄSTERNORRLANDS LÄN</t>
        </is>
      </c>
      <c r="E1767" t="inlineStr">
        <is>
          <t>SOLLEFTEÅ</t>
        </is>
      </c>
      <c r="F1767" t="inlineStr">
        <is>
          <t>SCA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326-2025</t>
        </is>
      </c>
      <c r="B1768" s="1" t="n">
        <v>45660.65653935185</v>
      </c>
      <c r="C1768" s="1" t="n">
        <v>45937</v>
      </c>
      <c r="D1768" t="inlineStr">
        <is>
          <t>VÄSTERNORRLANDS LÄN</t>
        </is>
      </c>
      <c r="E1768" t="inlineStr">
        <is>
          <t>SOLLEFTEÅ</t>
        </is>
      </c>
      <c r="F1768" t="inlineStr">
        <is>
          <t>SCA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34473-2021</t>
        </is>
      </c>
      <c r="B1769" s="1" t="n">
        <v>44381.93096064815</v>
      </c>
      <c r="C1769" s="1" t="n">
        <v>45937</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40304-2025</t>
        </is>
      </c>
      <c r="B1770" s="1" t="n">
        <v>45895.40690972222</v>
      </c>
      <c r="C1770" s="1" t="n">
        <v>45937</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45120-2022</t>
        </is>
      </c>
      <c r="B1771" s="1" t="n">
        <v>44843</v>
      </c>
      <c r="C1771" s="1" t="n">
        <v>45937</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25989-2021</t>
        </is>
      </c>
      <c r="B1772" s="1" t="n">
        <v>44344</v>
      </c>
      <c r="C1772" s="1" t="n">
        <v>45937</v>
      </c>
      <c r="D1772" t="inlineStr">
        <is>
          <t>VÄSTERNORRLANDS LÄN</t>
        </is>
      </c>
      <c r="E1772" t="inlineStr">
        <is>
          <t>SOLLEFTEÅ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25999-2021</t>
        </is>
      </c>
      <c r="B1773" s="1" t="n">
        <v>44344</v>
      </c>
      <c r="C1773" s="1" t="n">
        <v>45937</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2045-2025</t>
        </is>
      </c>
      <c r="B1774" s="1" t="n">
        <v>45672.51086805556</v>
      </c>
      <c r="C1774" s="1" t="n">
        <v>45937</v>
      </c>
      <c r="D1774" t="inlineStr">
        <is>
          <t>VÄSTERNORRLANDS LÄN</t>
        </is>
      </c>
      <c r="E1774" t="inlineStr">
        <is>
          <t>SOLLEFTEÅ</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35572-2025</t>
        </is>
      </c>
      <c r="B1775" s="1" t="n">
        <v>45856.59423611111</v>
      </c>
      <c r="C1775" s="1" t="n">
        <v>45937</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40701-2025</t>
        </is>
      </c>
      <c r="B1776" s="1" t="n">
        <v>45897.32884259259</v>
      </c>
      <c r="C1776" s="1" t="n">
        <v>45937</v>
      </c>
      <c r="D1776" t="inlineStr">
        <is>
          <t>VÄSTERNORRLANDS LÄN</t>
        </is>
      </c>
      <c r="E1776" t="inlineStr">
        <is>
          <t>SOLLEFTEÅ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40752-2025</t>
        </is>
      </c>
      <c r="B1777" s="1" t="n">
        <v>45897.38592592593</v>
      </c>
      <c r="C1777" s="1" t="n">
        <v>45937</v>
      </c>
      <c r="D1777" t="inlineStr">
        <is>
          <t>VÄSTERNORRLANDS LÄN</t>
        </is>
      </c>
      <c r="E1777" t="inlineStr">
        <is>
          <t>SOLLEFTEÅ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35448-2025</t>
        </is>
      </c>
      <c r="B1778" s="1" t="n">
        <v>45855.55247685185</v>
      </c>
      <c r="C1778" s="1" t="n">
        <v>45937</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5447-2025</t>
        </is>
      </c>
      <c r="B1779" s="1" t="n">
        <v>45692</v>
      </c>
      <c r="C1779" s="1" t="n">
        <v>45937</v>
      </c>
      <c r="D1779" t="inlineStr">
        <is>
          <t>VÄSTERNORRLANDS LÄN</t>
        </is>
      </c>
      <c r="E1779" t="inlineStr">
        <is>
          <t>SOLLEFTEÅ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44662-2024</t>
        </is>
      </c>
      <c r="B1780" s="1" t="n">
        <v>45574.53189814815</v>
      </c>
      <c r="C1780" s="1" t="n">
        <v>45937</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35506-2025</t>
        </is>
      </c>
      <c r="B1781" s="1" t="n">
        <v>45856</v>
      </c>
      <c r="C1781" s="1" t="n">
        <v>45937</v>
      </c>
      <c r="D1781" t="inlineStr">
        <is>
          <t>VÄSTERNORRLANDS LÄN</t>
        </is>
      </c>
      <c r="E1781" t="inlineStr">
        <is>
          <t>SOLLEFTEÅ</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35513-2025</t>
        </is>
      </c>
      <c r="B1782" s="1" t="n">
        <v>45856.36520833334</v>
      </c>
      <c r="C1782" s="1" t="n">
        <v>45937</v>
      </c>
      <c r="D1782" t="inlineStr">
        <is>
          <t>VÄSTERNORRLANDS LÄN</t>
        </is>
      </c>
      <c r="E1782" t="inlineStr">
        <is>
          <t>SOLLEFTEÅ</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34395-2021</t>
        </is>
      </c>
      <c r="B1783" s="1" t="n">
        <v>44379</v>
      </c>
      <c r="C1783" s="1" t="n">
        <v>45937</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41025-2025</t>
        </is>
      </c>
      <c r="B1784" s="1" t="n">
        <v>45897</v>
      </c>
      <c r="C1784" s="1" t="n">
        <v>45937</v>
      </c>
      <c r="D1784" t="inlineStr">
        <is>
          <t>VÄSTERNORRLANDS LÄN</t>
        </is>
      </c>
      <c r="E1784" t="inlineStr">
        <is>
          <t>SOLLEFTEÅ</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1269-2024</t>
        </is>
      </c>
      <c r="B1785" s="1" t="n">
        <v>45302</v>
      </c>
      <c r="C1785" s="1" t="n">
        <v>45937</v>
      </c>
      <c r="D1785" t="inlineStr">
        <is>
          <t>VÄSTERNORRLANDS LÄN</t>
        </is>
      </c>
      <c r="E1785" t="inlineStr">
        <is>
          <t>SOLLEFTEÅ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53929-2022</t>
        </is>
      </c>
      <c r="B1786" s="1" t="n">
        <v>44880</v>
      </c>
      <c r="C1786" s="1" t="n">
        <v>45937</v>
      </c>
      <c r="D1786" t="inlineStr">
        <is>
          <t>VÄSTERNORRLANDS LÄN</t>
        </is>
      </c>
      <c r="E1786" t="inlineStr">
        <is>
          <t>SOLLEFTEÅ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53947-2022</t>
        </is>
      </c>
      <c r="B1787" s="1" t="n">
        <v>44880.95685185185</v>
      </c>
      <c r="C1787" s="1" t="n">
        <v>45937</v>
      </c>
      <c r="D1787" t="inlineStr">
        <is>
          <t>VÄSTERNORRLANDS LÄN</t>
        </is>
      </c>
      <c r="E1787" t="inlineStr">
        <is>
          <t>SOLLEFTEÅ</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50557-2024</t>
        </is>
      </c>
      <c r="B1788" s="1" t="n">
        <v>45601</v>
      </c>
      <c r="C1788" s="1" t="n">
        <v>45937</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40754-2025</t>
        </is>
      </c>
      <c r="B1789" s="1" t="n">
        <v>45897.38653935185</v>
      </c>
      <c r="C1789" s="1" t="n">
        <v>45937</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6063-2024</t>
        </is>
      </c>
      <c r="B1790" s="1" t="n">
        <v>45336.86584490741</v>
      </c>
      <c r="C1790" s="1" t="n">
        <v>45937</v>
      </c>
      <c r="D1790" t="inlineStr">
        <is>
          <t>VÄSTERNORRLANDS LÄN</t>
        </is>
      </c>
      <c r="E1790" t="inlineStr">
        <is>
          <t>SOLLEFTEÅ</t>
        </is>
      </c>
      <c r="F1790" t="inlineStr">
        <is>
          <t>Övriga Aktiebolag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13652-2025</t>
        </is>
      </c>
      <c r="B1791" s="1" t="n">
        <v>45736.71909722222</v>
      </c>
      <c r="C1791" s="1" t="n">
        <v>45937</v>
      </c>
      <c r="D1791" t="inlineStr">
        <is>
          <t>VÄSTERNORRLANDS LÄN</t>
        </is>
      </c>
      <c r="E1791" t="inlineStr">
        <is>
          <t>SOLLEFTEÅ</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46101-2024</t>
        </is>
      </c>
      <c r="B1792" s="1" t="n">
        <v>45581</v>
      </c>
      <c r="C1792" s="1" t="n">
        <v>45937</v>
      </c>
      <c r="D1792" t="inlineStr">
        <is>
          <t>VÄSTERNORRLANDS LÄN</t>
        </is>
      </c>
      <c r="E1792" t="inlineStr">
        <is>
          <t>SOLLEFTEÅ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44762-2022</t>
        </is>
      </c>
      <c r="B1793" s="1" t="n">
        <v>44840</v>
      </c>
      <c r="C1793" s="1" t="n">
        <v>45937</v>
      </c>
      <c r="D1793" t="inlineStr">
        <is>
          <t>VÄSTERNORRLANDS LÄN</t>
        </is>
      </c>
      <c r="E1793" t="inlineStr">
        <is>
          <t>SOLLEFTEÅ</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12063-2025</t>
        </is>
      </c>
      <c r="B1794" s="1" t="n">
        <v>45728.69851851852</v>
      </c>
      <c r="C1794" s="1" t="n">
        <v>45937</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45973-2023</t>
        </is>
      </c>
      <c r="B1795" s="1" t="n">
        <v>45195</v>
      </c>
      <c r="C1795" s="1" t="n">
        <v>45937</v>
      </c>
      <c r="D1795" t="inlineStr">
        <is>
          <t>VÄSTERNORRLANDS LÄN</t>
        </is>
      </c>
      <c r="E1795" t="inlineStr">
        <is>
          <t>SOLLEFTEÅ</t>
        </is>
      </c>
      <c r="F1795" t="inlineStr">
        <is>
          <t>SCA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43843-2024</t>
        </is>
      </c>
      <c r="B1796" s="1" t="n">
        <v>45572</v>
      </c>
      <c r="C1796" s="1" t="n">
        <v>45937</v>
      </c>
      <c r="D1796" t="inlineStr">
        <is>
          <t>VÄSTERNORRLANDS LÄN</t>
        </is>
      </c>
      <c r="E1796" t="inlineStr">
        <is>
          <t>SOLLEFTEÅ</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40962-2025</t>
        </is>
      </c>
      <c r="B1797" s="1" t="n">
        <v>45897.6983912037</v>
      </c>
      <c r="C1797" s="1" t="n">
        <v>45937</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41305-2025</t>
        </is>
      </c>
      <c r="B1798" s="1" t="n">
        <v>45898.69850694444</v>
      </c>
      <c r="C1798" s="1" t="n">
        <v>45937</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31918-2023</t>
        </is>
      </c>
      <c r="B1799" s="1" t="n">
        <v>45118</v>
      </c>
      <c r="C1799" s="1" t="n">
        <v>45937</v>
      </c>
      <c r="D1799" t="inlineStr">
        <is>
          <t>VÄSTERNORRLANDS LÄN</t>
        </is>
      </c>
      <c r="E1799" t="inlineStr">
        <is>
          <t>SOLLEFTEÅ</t>
        </is>
      </c>
      <c r="F1799" t="inlineStr">
        <is>
          <t>SCA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31922-2023</t>
        </is>
      </c>
      <c r="B1800" s="1" t="n">
        <v>45118.94021990741</v>
      </c>
      <c r="C1800" s="1" t="n">
        <v>45937</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8195-2025</t>
        </is>
      </c>
      <c r="B1801" s="1" t="n">
        <v>45708</v>
      </c>
      <c r="C1801" s="1" t="n">
        <v>45937</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51193-2024</t>
        </is>
      </c>
      <c r="B1802" s="1" t="n">
        <v>45603.61511574074</v>
      </c>
      <c r="C1802" s="1" t="n">
        <v>45937</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14712-2025</t>
        </is>
      </c>
      <c r="B1803" s="1" t="n">
        <v>45742.61008101852</v>
      </c>
      <c r="C1803" s="1" t="n">
        <v>45937</v>
      </c>
      <c r="D1803" t="inlineStr">
        <is>
          <t>VÄSTERNORRLANDS LÄN</t>
        </is>
      </c>
      <c r="E1803" t="inlineStr">
        <is>
          <t>SOLLEFTEÅ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15875-2024</t>
        </is>
      </c>
      <c r="B1804" s="1" t="n">
        <v>45405.32438657407</v>
      </c>
      <c r="C1804" s="1" t="n">
        <v>45937</v>
      </c>
      <c r="D1804" t="inlineStr">
        <is>
          <t>VÄSTERNORRLANDS LÄN</t>
        </is>
      </c>
      <c r="E1804" t="inlineStr">
        <is>
          <t>SOLLEFTEÅ</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40967-2025</t>
        </is>
      </c>
      <c r="B1805" s="1" t="n">
        <v>45897.77547453704</v>
      </c>
      <c r="C1805" s="1" t="n">
        <v>45937</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40997-2025</t>
        </is>
      </c>
      <c r="B1806" s="1" t="n">
        <v>45898.34453703704</v>
      </c>
      <c r="C1806" s="1" t="n">
        <v>45937</v>
      </c>
      <c r="D1806" t="inlineStr">
        <is>
          <t>VÄSTERNORRLANDS LÄN</t>
        </is>
      </c>
      <c r="E1806" t="inlineStr">
        <is>
          <t>SOLLEFTEÅ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19682-2025</t>
        </is>
      </c>
      <c r="B1807" s="1" t="n">
        <v>45770.85163194445</v>
      </c>
      <c r="C1807" s="1" t="n">
        <v>45937</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57991-2022</t>
        </is>
      </c>
      <c r="B1808" s="1" t="n">
        <v>44900.48915509259</v>
      </c>
      <c r="C1808" s="1" t="n">
        <v>45937</v>
      </c>
      <c r="D1808" t="inlineStr">
        <is>
          <t>VÄSTERNORRLANDS LÄN</t>
        </is>
      </c>
      <c r="E1808" t="inlineStr">
        <is>
          <t>SOLLEFTEÅ</t>
        </is>
      </c>
      <c r="G1808" t="n">
        <v>14.2</v>
      </c>
      <c r="H1808" t="n">
        <v>0</v>
      </c>
      <c r="I1808" t="n">
        <v>0</v>
      </c>
      <c r="J1808" t="n">
        <v>0</v>
      </c>
      <c r="K1808" t="n">
        <v>0</v>
      </c>
      <c r="L1808" t="n">
        <v>0</v>
      </c>
      <c r="M1808" t="n">
        <v>0</v>
      </c>
      <c r="N1808" t="n">
        <v>0</v>
      </c>
      <c r="O1808" t="n">
        <v>0</v>
      </c>
      <c r="P1808" t="n">
        <v>0</v>
      </c>
      <c r="Q1808" t="n">
        <v>0</v>
      </c>
      <c r="R1808" s="2" t="inlineStr"/>
    </row>
    <row r="1809" ht="15" customHeight="1">
      <c r="A1809" t="inlineStr">
        <is>
          <t>A 31477-2024</t>
        </is>
      </c>
      <c r="B1809" s="1" t="n">
        <v>45505</v>
      </c>
      <c r="C1809" s="1" t="n">
        <v>45937</v>
      </c>
      <c r="D1809" t="inlineStr">
        <is>
          <t>VÄSTERNORRLANDS LÄN</t>
        </is>
      </c>
      <c r="E1809" t="inlineStr">
        <is>
          <t>SOLLEFTEÅ</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18761-2023</t>
        </is>
      </c>
      <c r="B1810" s="1" t="n">
        <v>45043</v>
      </c>
      <c r="C1810" s="1" t="n">
        <v>45937</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18762-2023</t>
        </is>
      </c>
      <c r="B1811" s="1" t="n">
        <v>45043</v>
      </c>
      <c r="C1811" s="1" t="n">
        <v>45937</v>
      </c>
      <c r="D1811" t="inlineStr">
        <is>
          <t>VÄSTERNORRLANDS LÄN</t>
        </is>
      </c>
      <c r="E1811" t="inlineStr">
        <is>
          <t>SOLLEFTEÅ</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23160-2025</t>
        </is>
      </c>
      <c r="B1812" s="1" t="n">
        <v>45791.40760416666</v>
      </c>
      <c r="C1812" s="1" t="n">
        <v>45937</v>
      </c>
      <c r="D1812" t="inlineStr">
        <is>
          <t>VÄSTERNORRLANDS LÄN</t>
        </is>
      </c>
      <c r="E1812" t="inlineStr">
        <is>
          <t>SOLLEFTEÅ</t>
        </is>
      </c>
      <c r="F1812" t="inlineStr">
        <is>
          <t>SCA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41473-2025</t>
        </is>
      </c>
      <c r="B1813" s="1" t="n">
        <v>45901.46952546296</v>
      </c>
      <c r="C1813" s="1" t="n">
        <v>45937</v>
      </c>
      <c r="D1813" t="inlineStr">
        <is>
          <t>VÄSTERNORRLANDS LÄN</t>
        </is>
      </c>
      <c r="E1813" t="inlineStr">
        <is>
          <t>SOLLEFTEÅ</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51440-2021</t>
        </is>
      </c>
      <c r="B1814" s="1" t="n">
        <v>44461</v>
      </c>
      <c r="C1814" s="1" t="n">
        <v>45937</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34376-2024</t>
        </is>
      </c>
      <c r="B1815" s="1" t="n">
        <v>45525</v>
      </c>
      <c r="C1815" s="1" t="n">
        <v>45937</v>
      </c>
      <c r="D1815" t="inlineStr">
        <is>
          <t>VÄSTERNORRLANDS LÄN</t>
        </is>
      </c>
      <c r="E1815" t="inlineStr">
        <is>
          <t>SOLLEFTEÅ</t>
        </is>
      </c>
      <c r="F1815" t="inlineStr">
        <is>
          <t>Övriga statliga verk och myndigheter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50007-2024</t>
        </is>
      </c>
      <c r="B1816" s="1" t="n">
        <v>45598.57574074074</v>
      </c>
      <c r="C1816" s="1" t="n">
        <v>45937</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41543-2025</t>
        </is>
      </c>
      <c r="B1817" s="1" t="n">
        <v>45901.57386574074</v>
      </c>
      <c r="C1817" s="1" t="n">
        <v>45937</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4131-2025</t>
        </is>
      </c>
      <c r="B1818" s="1" t="n">
        <v>45685.34508101852</v>
      </c>
      <c r="C1818" s="1" t="n">
        <v>45937</v>
      </c>
      <c r="D1818" t="inlineStr">
        <is>
          <t>VÄSTERNORRLANDS LÄN</t>
        </is>
      </c>
      <c r="E1818" t="inlineStr">
        <is>
          <t>SOLLEFTEÅ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25795-2023</t>
        </is>
      </c>
      <c r="B1819" s="1" t="n">
        <v>45085</v>
      </c>
      <c r="C1819" s="1" t="n">
        <v>45937</v>
      </c>
      <c r="D1819" t="inlineStr">
        <is>
          <t>VÄSTERNORRLANDS LÄN</t>
        </is>
      </c>
      <c r="E1819" t="inlineStr">
        <is>
          <t>SOLLEFTEÅ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41540-2025</t>
        </is>
      </c>
      <c r="B1820" s="1" t="n">
        <v>45901.56833333334</v>
      </c>
      <c r="C1820" s="1" t="n">
        <v>45937</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58172-2022</t>
        </is>
      </c>
      <c r="B1821" s="1" t="n">
        <v>44900.95525462963</v>
      </c>
      <c r="C1821" s="1" t="n">
        <v>45937</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6271-2023</t>
        </is>
      </c>
      <c r="B1822" s="1" t="n">
        <v>44959</v>
      </c>
      <c r="C1822" s="1" t="n">
        <v>45937</v>
      </c>
      <c r="D1822" t="inlineStr">
        <is>
          <t>VÄSTERNORRLANDS LÄN</t>
        </is>
      </c>
      <c r="E1822" t="inlineStr">
        <is>
          <t>SOLLEFTEÅ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1480-2025</t>
        </is>
      </c>
      <c r="B1823" s="1" t="n">
        <v>45670.38575231482</v>
      </c>
      <c r="C1823" s="1" t="n">
        <v>45937</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394-2024</t>
        </is>
      </c>
      <c r="B1824" s="1" t="n">
        <v>45296</v>
      </c>
      <c r="C1824" s="1" t="n">
        <v>45937</v>
      </c>
      <c r="D1824" t="inlineStr">
        <is>
          <t>VÄSTERNORRLANDS LÄN</t>
        </is>
      </c>
      <c r="E1824" t="inlineStr">
        <is>
          <t>SOLLEFTEÅ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35703-2025</t>
        </is>
      </c>
      <c r="B1825" s="1" t="n">
        <v>45860.36497685185</v>
      </c>
      <c r="C1825" s="1" t="n">
        <v>45937</v>
      </c>
      <c r="D1825" t="inlineStr">
        <is>
          <t>VÄSTERNORRLANDS LÄN</t>
        </is>
      </c>
      <c r="E1825" t="inlineStr">
        <is>
          <t>SOLLEFTEÅ</t>
        </is>
      </c>
      <c r="F1825" t="inlineStr">
        <is>
          <t>SCA</t>
        </is>
      </c>
      <c r="G1825" t="n">
        <v>16.5</v>
      </c>
      <c r="H1825" t="n">
        <v>0</v>
      </c>
      <c r="I1825" t="n">
        <v>0</v>
      </c>
      <c r="J1825" t="n">
        <v>0</v>
      </c>
      <c r="K1825" t="n">
        <v>0</v>
      </c>
      <c r="L1825" t="n">
        <v>0</v>
      </c>
      <c r="M1825" t="n">
        <v>0</v>
      </c>
      <c r="N1825" t="n">
        <v>0</v>
      </c>
      <c r="O1825" t="n">
        <v>0</v>
      </c>
      <c r="P1825" t="n">
        <v>0</v>
      </c>
      <c r="Q1825" t="n">
        <v>0</v>
      </c>
      <c r="R1825" s="2" t="inlineStr"/>
    </row>
    <row r="1826" ht="15" customHeight="1">
      <c r="A1826" t="inlineStr">
        <is>
          <t>A 35704-2025</t>
        </is>
      </c>
      <c r="B1826" s="1" t="n">
        <v>45860.36518518518</v>
      </c>
      <c r="C1826" s="1" t="n">
        <v>45937</v>
      </c>
      <c r="D1826" t="inlineStr">
        <is>
          <t>VÄSTERNORRLANDS LÄN</t>
        </is>
      </c>
      <c r="E1826" t="inlineStr">
        <is>
          <t>SOLLEFTEÅ</t>
        </is>
      </c>
      <c r="F1826" t="inlineStr">
        <is>
          <t>SCA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62098-2023</t>
        </is>
      </c>
      <c r="B1827" s="1" t="n">
        <v>45266</v>
      </c>
      <c r="C1827" s="1" t="n">
        <v>45937</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62100-2023</t>
        </is>
      </c>
      <c r="B1828" s="1" t="n">
        <v>45266.92689814815</v>
      </c>
      <c r="C1828" s="1" t="n">
        <v>45937</v>
      </c>
      <c r="D1828" t="inlineStr">
        <is>
          <t>VÄSTERNORRLANDS LÄN</t>
        </is>
      </c>
      <c r="E1828" t="inlineStr">
        <is>
          <t>SOLLEFTEÅ</t>
        </is>
      </c>
      <c r="G1828" t="n">
        <v>16.6</v>
      </c>
      <c r="H1828" t="n">
        <v>0</v>
      </c>
      <c r="I1828" t="n">
        <v>0</v>
      </c>
      <c r="J1828" t="n">
        <v>0</v>
      </c>
      <c r="K1828" t="n">
        <v>0</v>
      </c>
      <c r="L1828" t="n">
        <v>0</v>
      </c>
      <c r="M1828" t="n">
        <v>0</v>
      </c>
      <c r="N1828" t="n">
        <v>0</v>
      </c>
      <c r="O1828" t="n">
        <v>0</v>
      </c>
      <c r="P1828" t="n">
        <v>0</v>
      </c>
      <c r="Q1828" t="n">
        <v>0</v>
      </c>
      <c r="R1828" s="2" t="inlineStr"/>
    </row>
    <row r="1829" ht="15" customHeight="1">
      <c r="A1829" t="inlineStr">
        <is>
          <t>A 33591-2023</t>
        </is>
      </c>
      <c r="B1829" s="1" t="n">
        <v>45131</v>
      </c>
      <c r="C1829" s="1" t="n">
        <v>45937</v>
      </c>
      <c r="D1829" t="inlineStr">
        <is>
          <t>VÄSTERNORRLANDS LÄN</t>
        </is>
      </c>
      <c r="E1829" t="inlineStr">
        <is>
          <t>SOLLEFTEÅ</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41001-2025</t>
        </is>
      </c>
      <c r="B1830" s="1" t="n">
        <v>45898</v>
      </c>
      <c r="C1830" s="1" t="n">
        <v>45937</v>
      </c>
      <c r="D1830" t="inlineStr">
        <is>
          <t>VÄSTERNORRLANDS LÄN</t>
        </is>
      </c>
      <c r="E1830" t="inlineStr">
        <is>
          <t>SOLLEFTEÅ</t>
        </is>
      </c>
      <c r="F1830" t="inlineStr">
        <is>
          <t>SCA</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13315-2025</t>
        </is>
      </c>
      <c r="B1831" s="1" t="n">
        <v>45735.59418981482</v>
      </c>
      <c r="C1831" s="1" t="n">
        <v>45937</v>
      </c>
      <c r="D1831" t="inlineStr">
        <is>
          <t>VÄSTERNORRLANDS LÄN</t>
        </is>
      </c>
      <c r="E1831" t="inlineStr">
        <is>
          <t>SOLLEFTEÅ</t>
        </is>
      </c>
      <c r="F1831" t="inlineStr">
        <is>
          <t>SCA</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29336-2023</t>
        </is>
      </c>
      <c r="B1832" s="1" t="n">
        <v>45105</v>
      </c>
      <c r="C1832" s="1" t="n">
        <v>45937</v>
      </c>
      <c r="D1832" t="inlineStr">
        <is>
          <t>VÄSTERNORRLANDS LÄN</t>
        </is>
      </c>
      <c r="E1832" t="inlineStr">
        <is>
          <t>SOLLEFTEÅ</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35618-2025</t>
        </is>
      </c>
      <c r="B1833" s="1" t="n">
        <v>45859.41335648148</v>
      </c>
      <c r="C1833" s="1" t="n">
        <v>45937</v>
      </c>
      <c r="D1833" t="inlineStr">
        <is>
          <t>VÄSTERNORRLANDS LÄN</t>
        </is>
      </c>
      <c r="E1833" t="inlineStr">
        <is>
          <t>SOLLEFTEÅ</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9121-2024</t>
        </is>
      </c>
      <c r="B1834" s="1" t="n">
        <v>45358.04099537037</v>
      </c>
      <c r="C1834" s="1" t="n">
        <v>45937</v>
      </c>
      <c r="D1834" t="inlineStr">
        <is>
          <t>VÄSTERNORRLANDS LÄN</t>
        </is>
      </c>
      <c r="E1834" t="inlineStr">
        <is>
          <t>SOLLEFTEÅ</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41513-2025</t>
        </is>
      </c>
      <c r="B1835" s="1" t="n">
        <v>45901.54069444445</v>
      </c>
      <c r="C1835" s="1" t="n">
        <v>45937</v>
      </c>
      <c r="D1835" t="inlineStr">
        <is>
          <t>VÄSTERNORRLANDS LÄN</t>
        </is>
      </c>
      <c r="E1835" t="inlineStr">
        <is>
          <t>SOLLEFTEÅ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33739-2024</t>
        </is>
      </c>
      <c r="B1836" s="1" t="n">
        <v>45520.55943287037</v>
      </c>
      <c r="C1836" s="1" t="n">
        <v>45937</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66178-2021</t>
        </is>
      </c>
      <c r="B1837" s="1" t="n">
        <v>44517</v>
      </c>
      <c r="C1837" s="1" t="n">
        <v>45937</v>
      </c>
      <c r="D1837" t="inlineStr">
        <is>
          <t>VÄSTERNORRLANDS LÄN</t>
        </is>
      </c>
      <c r="E1837" t="inlineStr">
        <is>
          <t>SOLLEFTEÅ</t>
        </is>
      </c>
      <c r="F1837" t="inlineStr">
        <is>
          <t>SCA</t>
        </is>
      </c>
      <c r="G1837" t="n">
        <v>31.7</v>
      </c>
      <c r="H1837" t="n">
        <v>0</v>
      </c>
      <c r="I1837" t="n">
        <v>0</v>
      </c>
      <c r="J1837" t="n">
        <v>0</v>
      </c>
      <c r="K1837" t="n">
        <v>0</v>
      </c>
      <c r="L1837" t="n">
        <v>0</v>
      </c>
      <c r="M1837" t="n">
        <v>0</v>
      </c>
      <c r="N1837" t="n">
        <v>0</v>
      </c>
      <c r="O1837" t="n">
        <v>0</v>
      </c>
      <c r="P1837" t="n">
        <v>0</v>
      </c>
      <c r="Q1837" t="n">
        <v>0</v>
      </c>
      <c r="R1837" s="2" t="inlineStr"/>
    </row>
    <row r="1838" ht="15" customHeight="1">
      <c r="A1838" t="inlineStr">
        <is>
          <t>A 41617-2025</t>
        </is>
      </c>
      <c r="B1838" s="1" t="n">
        <v>45901.69834490741</v>
      </c>
      <c r="C1838" s="1" t="n">
        <v>45937</v>
      </c>
      <c r="D1838" t="inlineStr">
        <is>
          <t>VÄSTERNORRLANDS LÄN</t>
        </is>
      </c>
      <c r="E1838" t="inlineStr">
        <is>
          <t>SOLLEFTEÅ</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41472-2025</t>
        </is>
      </c>
      <c r="B1839" s="1" t="n">
        <v>45901.4693287037</v>
      </c>
      <c r="C1839" s="1" t="n">
        <v>45937</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22446-2025</t>
        </is>
      </c>
      <c r="B1840" s="1" t="n">
        <v>45786.59439814815</v>
      </c>
      <c r="C1840" s="1" t="n">
        <v>45937</v>
      </c>
      <c r="D1840" t="inlineStr">
        <is>
          <t>VÄSTERNORRLANDS LÄN</t>
        </is>
      </c>
      <c r="E1840" t="inlineStr">
        <is>
          <t>SOLLEFTEÅ</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62260-2022</t>
        </is>
      </c>
      <c r="B1841" s="1" t="n">
        <v>44922.94366898148</v>
      </c>
      <c r="C1841" s="1" t="n">
        <v>45937</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48296-2022</t>
        </is>
      </c>
      <c r="B1842" s="1" t="n">
        <v>44858.51815972223</v>
      </c>
      <c r="C1842" s="1" t="n">
        <v>45937</v>
      </c>
      <c r="D1842" t="inlineStr">
        <is>
          <t>VÄSTERNORRLANDS LÄN</t>
        </is>
      </c>
      <c r="E1842" t="inlineStr">
        <is>
          <t>SOLLEFTEÅ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42191-2025</t>
        </is>
      </c>
      <c r="B1843" s="1" t="n">
        <v>45904.47394675926</v>
      </c>
      <c r="C1843" s="1" t="n">
        <v>45937</v>
      </c>
      <c r="D1843" t="inlineStr">
        <is>
          <t>VÄSTERNORRLANDS LÄN</t>
        </is>
      </c>
      <c r="E1843" t="inlineStr">
        <is>
          <t>SOLLEFTEÅ</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41948-2025</t>
        </is>
      </c>
      <c r="B1844" s="1" t="n">
        <v>45903.45092592593</v>
      </c>
      <c r="C1844" s="1" t="n">
        <v>45937</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13858-2025</t>
        </is>
      </c>
      <c r="B1845" s="1" t="n">
        <v>45737.57341435185</v>
      </c>
      <c r="C1845" s="1" t="n">
        <v>45937</v>
      </c>
      <c r="D1845" t="inlineStr">
        <is>
          <t>VÄSTERNORRLANDS LÄN</t>
        </is>
      </c>
      <c r="E1845" t="inlineStr">
        <is>
          <t>SOLLEFTEÅ</t>
        </is>
      </c>
      <c r="F1845" t="inlineStr">
        <is>
          <t>SCA</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11746-2025</t>
        </is>
      </c>
      <c r="B1846" s="1" t="n">
        <v>45727.63577546296</v>
      </c>
      <c r="C1846" s="1" t="n">
        <v>45937</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35924-2025</t>
        </is>
      </c>
      <c r="B1847" s="1" t="n">
        <v>45862.57326388889</v>
      </c>
      <c r="C1847" s="1" t="n">
        <v>45937</v>
      </c>
      <c r="D1847" t="inlineStr">
        <is>
          <t>VÄSTERNORRLANDS LÄN</t>
        </is>
      </c>
      <c r="E1847" t="inlineStr">
        <is>
          <t>SOLLEFTEÅ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42124-2025</t>
        </is>
      </c>
      <c r="B1848" s="1" t="n">
        <v>45904.34450231482</v>
      </c>
      <c r="C1848" s="1" t="n">
        <v>45937</v>
      </c>
      <c r="D1848" t="inlineStr">
        <is>
          <t>VÄSTERNORRLANDS LÄN</t>
        </is>
      </c>
      <c r="E1848" t="inlineStr">
        <is>
          <t>SOLLEFTEÅ</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42127-2025</t>
        </is>
      </c>
      <c r="B1849" s="1" t="n">
        <v>45904.34502314815</v>
      </c>
      <c r="C1849" s="1" t="n">
        <v>45937</v>
      </c>
      <c r="D1849" t="inlineStr">
        <is>
          <t>VÄSTERNORRLANDS LÄN</t>
        </is>
      </c>
      <c r="E1849" t="inlineStr">
        <is>
          <t>SOLLEFTEÅ</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42041-2025</t>
        </is>
      </c>
      <c r="B1850" s="1" t="n">
        <v>45903.61568287037</v>
      </c>
      <c r="C1850" s="1" t="n">
        <v>45937</v>
      </c>
      <c r="D1850" t="inlineStr">
        <is>
          <t>VÄSTERNORRLANDS LÄN</t>
        </is>
      </c>
      <c r="E1850" t="inlineStr">
        <is>
          <t>SOLLEFTEÅ</t>
        </is>
      </c>
      <c r="F1850" t="inlineStr">
        <is>
          <t>SCA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42201-2025</t>
        </is>
      </c>
      <c r="B1851" s="1" t="n">
        <v>45904.48965277777</v>
      </c>
      <c r="C1851" s="1" t="n">
        <v>45937</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42192-2025</t>
        </is>
      </c>
      <c r="B1852" s="1" t="n">
        <v>45904.47975694444</v>
      </c>
      <c r="C1852" s="1" t="n">
        <v>45937</v>
      </c>
      <c r="D1852" t="inlineStr">
        <is>
          <t>VÄSTERNORRLANDS LÄN</t>
        </is>
      </c>
      <c r="E1852" t="inlineStr">
        <is>
          <t>SOLLEFTEÅ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57080-2023</t>
        </is>
      </c>
      <c r="B1853" s="1" t="n">
        <v>45244</v>
      </c>
      <c r="C1853" s="1" t="n">
        <v>45937</v>
      </c>
      <c r="D1853" t="inlineStr">
        <is>
          <t>VÄSTERNORRLANDS LÄN</t>
        </is>
      </c>
      <c r="E1853" t="inlineStr">
        <is>
          <t>SOLLEFTEÅ</t>
        </is>
      </c>
      <c r="F1853" t="inlineStr">
        <is>
          <t>SCA</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19936-2025</t>
        </is>
      </c>
      <c r="B1854" s="1" t="n">
        <v>45771.64130787037</v>
      </c>
      <c r="C1854" s="1" t="n">
        <v>45937</v>
      </c>
      <c r="D1854" t="inlineStr">
        <is>
          <t>VÄSTERNORRLANDS LÄN</t>
        </is>
      </c>
      <c r="E1854" t="inlineStr">
        <is>
          <t>SOLLEFTEÅ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19949-2025</t>
        </is>
      </c>
      <c r="B1855" s="1" t="n">
        <v>45771.65688657408</v>
      </c>
      <c r="C1855" s="1" t="n">
        <v>45937</v>
      </c>
      <c r="D1855" t="inlineStr">
        <is>
          <t>VÄSTERNORRLANDS LÄN</t>
        </is>
      </c>
      <c r="E1855" t="inlineStr">
        <is>
          <t>SOLLEFTEÅ</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5108-2022</t>
        </is>
      </c>
      <c r="B1856" s="1" t="n">
        <v>44593.92135416667</v>
      </c>
      <c r="C1856" s="1" t="n">
        <v>45937</v>
      </c>
      <c r="D1856" t="inlineStr">
        <is>
          <t>VÄSTERNORRLANDS LÄN</t>
        </is>
      </c>
      <c r="E1856" t="inlineStr">
        <is>
          <t>SOLLEFTEÅ</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42081-2025</t>
        </is>
      </c>
      <c r="B1857" s="1" t="n">
        <v>45902</v>
      </c>
      <c r="C1857" s="1" t="n">
        <v>45937</v>
      </c>
      <c r="D1857" t="inlineStr">
        <is>
          <t>VÄSTERNORRLANDS LÄN</t>
        </is>
      </c>
      <c r="E1857" t="inlineStr">
        <is>
          <t>SOLLEFTEÅ</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31451-2025</t>
        </is>
      </c>
      <c r="B1858" s="1" t="n">
        <v>45833.53167824074</v>
      </c>
      <c r="C1858" s="1" t="n">
        <v>45937</v>
      </c>
      <c r="D1858" t="inlineStr">
        <is>
          <t>VÄSTERNORRLANDS LÄN</t>
        </is>
      </c>
      <c r="E1858" t="inlineStr">
        <is>
          <t>SOLLEFTEÅ</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42199-2025</t>
        </is>
      </c>
      <c r="B1859" s="1" t="n">
        <v>45904.48640046296</v>
      </c>
      <c r="C1859" s="1" t="n">
        <v>45937</v>
      </c>
      <c r="D1859" t="inlineStr">
        <is>
          <t>VÄSTERNORRLANDS LÄN</t>
        </is>
      </c>
      <c r="E1859" t="inlineStr">
        <is>
          <t>SOLLEFTEÅ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35807-2025</t>
        </is>
      </c>
      <c r="B1860" s="1" t="n">
        <v>45861.40663194445</v>
      </c>
      <c r="C1860" s="1" t="n">
        <v>45937</v>
      </c>
      <c r="D1860" t="inlineStr">
        <is>
          <t>VÄSTERNORRLANDS LÄN</t>
        </is>
      </c>
      <c r="E1860" t="inlineStr">
        <is>
          <t>SOLLEFTEÅ</t>
        </is>
      </c>
      <c r="F1860" t="inlineStr">
        <is>
          <t>SCA</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17172-2024</t>
        </is>
      </c>
      <c r="B1861" s="1" t="n">
        <v>45412.97858796296</v>
      </c>
      <c r="C1861" s="1" t="n">
        <v>45937</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41925-2025</t>
        </is>
      </c>
      <c r="B1862" s="1" t="n">
        <v>45903.4275</v>
      </c>
      <c r="C1862" s="1" t="n">
        <v>45937</v>
      </c>
      <c r="D1862" t="inlineStr">
        <is>
          <t>VÄSTERNORRLANDS LÄN</t>
        </is>
      </c>
      <c r="E1862" t="inlineStr">
        <is>
          <t>SOLLEFTEÅ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57655-2023</t>
        </is>
      </c>
      <c r="B1863" s="1" t="n">
        <v>45246</v>
      </c>
      <c r="C1863" s="1" t="n">
        <v>45937</v>
      </c>
      <c r="D1863" t="inlineStr">
        <is>
          <t>VÄSTERNORRLANDS LÄN</t>
        </is>
      </c>
      <c r="E1863" t="inlineStr">
        <is>
          <t>SOLLEFTEÅ</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42064-2025</t>
        </is>
      </c>
      <c r="B1864" s="1" t="n">
        <v>45903.6527199074</v>
      </c>
      <c r="C1864" s="1" t="n">
        <v>45937</v>
      </c>
      <c r="D1864" t="inlineStr">
        <is>
          <t>VÄSTERNORRLANDS LÄN</t>
        </is>
      </c>
      <c r="E1864" t="inlineStr">
        <is>
          <t>SOLLEFTEÅ</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42901-2025</t>
        </is>
      </c>
      <c r="B1865" s="1" t="n">
        <v>45908.67736111111</v>
      </c>
      <c r="C1865" s="1" t="n">
        <v>45937</v>
      </c>
      <c r="D1865" t="inlineStr">
        <is>
          <t>VÄSTERNORRLANDS LÄN</t>
        </is>
      </c>
      <c r="E1865" t="inlineStr">
        <is>
          <t>SOLLEFTEÅ</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42808-2025</t>
        </is>
      </c>
      <c r="B1866" s="1" t="n">
        <v>45908.55265046296</v>
      </c>
      <c r="C1866" s="1" t="n">
        <v>45937</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42697-2025</t>
        </is>
      </c>
      <c r="B1867" s="1" t="n">
        <v>45908.36498842593</v>
      </c>
      <c r="C1867" s="1" t="n">
        <v>45937</v>
      </c>
      <c r="D1867" t="inlineStr">
        <is>
          <t>VÄSTERNORRLANDS LÄN</t>
        </is>
      </c>
      <c r="E1867" t="inlineStr">
        <is>
          <t>SOLLEFTEÅ</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14730-2025</t>
        </is>
      </c>
      <c r="B1868" s="1" t="n">
        <v>45742.63587962963</v>
      </c>
      <c r="C1868" s="1" t="n">
        <v>45937</v>
      </c>
      <c r="D1868" t="inlineStr">
        <is>
          <t>VÄSTERNORRLANDS LÄN</t>
        </is>
      </c>
      <c r="E1868" t="inlineStr">
        <is>
          <t>SOLLEFTEÅ</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6735-2025</t>
        </is>
      </c>
      <c r="B1869" s="1" t="n">
        <v>45700.59434027778</v>
      </c>
      <c r="C1869" s="1" t="n">
        <v>45937</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6737-2025</t>
        </is>
      </c>
      <c r="B1870" s="1" t="n">
        <v>45700.59450231482</v>
      </c>
      <c r="C1870" s="1" t="n">
        <v>45937</v>
      </c>
      <c r="D1870" t="inlineStr">
        <is>
          <t>VÄSTERNORRLANDS LÄN</t>
        </is>
      </c>
      <c r="E1870" t="inlineStr">
        <is>
          <t>SOLLEFTEÅ</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33495-2025</t>
        </is>
      </c>
      <c r="B1871" s="1" t="n">
        <v>45841</v>
      </c>
      <c r="C1871" s="1" t="n">
        <v>45937</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19205-2025</t>
        </is>
      </c>
      <c r="B1872" s="1" t="n">
        <v>45769.42861111111</v>
      </c>
      <c r="C1872" s="1" t="n">
        <v>45937</v>
      </c>
      <c r="D1872" t="inlineStr">
        <is>
          <t>VÄSTERNORRLANDS LÄN</t>
        </is>
      </c>
      <c r="E1872" t="inlineStr">
        <is>
          <t>SOLLEFTEÅ</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19207-2025</t>
        </is>
      </c>
      <c r="B1873" s="1" t="n">
        <v>45769</v>
      </c>
      <c r="C1873" s="1" t="n">
        <v>45937</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36068-2025</t>
        </is>
      </c>
      <c r="B1874" s="1" t="n">
        <v>45866.42752314815</v>
      </c>
      <c r="C1874" s="1" t="n">
        <v>45937</v>
      </c>
      <c r="D1874" t="inlineStr">
        <is>
          <t>VÄSTERNORRLANDS LÄN</t>
        </is>
      </c>
      <c r="E1874" t="inlineStr">
        <is>
          <t>SOLLEFTEÅ</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33496-2025</t>
        </is>
      </c>
      <c r="B1875" s="1" t="n">
        <v>45841</v>
      </c>
      <c r="C1875" s="1" t="n">
        <v>45937</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42554-2025</t>
        </is>
      </c>
      <c r="B1876" s="1" t="n">
        <v>45905.59445601852</v>
      </c>
      <c r="C1876" s="1" t="n">
        <v>45937</v>
      </c>
      <c r="D1876" t="inlineStr">
        <is>
          <t>VÄSTERNORRLANDS LÄN</t>
        </is>
      </c>
      <c r="E1876" t="inlineStr">
        <is>
          <t>SOLLEFTEÅ</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32924-2024</t>
        </is>
      </c>
      <c r="B1877" s="1" t="n">
        <v>45516.95292824074</v>
      </c>
      <c r="C1877" s="1" t="n">
        <v>45937</v>
      </c>
      <c r="D1877" t="inlineStr">
        <is>
          <t>VÄSTERNORRLANDS LÄN</t>
        </is>
      </c>
      <c r="E1877" t="inlineStr">
        <is>
          <t>SOLLEFTEÅ</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9708-2025</t>
        </is>
      </c>
      <c r="B1878" s="1" t="n">
        <v>45716.38607638889</v>
      </c>
      <c r="C1878" s="1" t="n">
        <v>45937</v>
      </c>
      <c r="D1878" t="inlineStr">
        <is>
          <t>VÄSTERNORRLANDS LÄN</t>
        </is>
      </c>
      <c r="E1878" t="inlineStr">
        <is>
          <t>SOLLEFTEÅ</t>
        </is>
      </c>
      <c r="F1878" t="inlineStr">
        <is>
          <t>SCA</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18364-2024</t>
        </is>
      </c>
      <c r="B1879" s="1" t="n">
        <v>45422</v>
      </c>
      <c r="C1879" s="1" t="n">
        <v>45937</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42396-2025</t>
        </is>
      </c>
      <c r="B1880" s="1" t="n">
        <v>45905.36559027778</v>
      </c>
      <c r="C1880" s="1" t="n">
        <v>45937</v>
      </c>
      <c r="D1880" t="inlineStr">
        <is>
          <t>VÄSTERNORRLANDS LÄN</t>
        </is>
      </c>
      <c r="E1880" t="inlineStr">
        <is>
          <t>SOLLEFTEÅ</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7585-2024</t>
        </is>
      </c>
      <c r="B1881" s="1" t="n">
        <v>45348</v>
      </c>
      <c r="C1881" s="1" t="n">
        <v>45937</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36135-2025</t>
        </is>
      </c>
      <c r="B1882" s="1" t="n">
        <v>45866.63594907407</v>
      </c>
      <c r="C1882" s="1" t="n">
        <v>45937</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42512-2023</t>
        </is>
      </c>
      <c r="B1883" s="1" t="n">
        <v>45180.95953703704</v>
      </c>
      <c r="C1883" s="1" t="n">
        <v>45937</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20437-2025</t>
        </is>
      </c>
      <c r="B1884" s="1" t="n">
        <v>45775</v>
      </c>
      <c r="C1884" s="1" t="n">
        <v>45937</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17034-2025</t>
        </is>
      </c>
      <c r="B1885" s="1" t="n">
        <v>45755.57385416667</v>
      </c>
      <c r="C1885" s="1" t="n">
        <v>45937</v>
      </c>
      <c r="D1885" t="inlineStr">
        <is>
          <t>VÄSTERNORRLANDS LÄN</t>
        </is>
      </c>
      <c r="E1885" t="inlineStr">
        <is>
          <t>SOLLEFTEÅ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13637-2025</t>
        </is>
      </c>
      <c r="B1886" s="1" t="n">
        <v>45736.65681712963</v>
      </c>
      <c r="C1886" s="1" t="n">
        <v>45937</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42229-2021</t>
        </is>
      </c>
      <c r="B1887" s="1" t="n">
        <v>44426.93474537037</v>
      </c>
      <c r="C1887" s="1" t="n">
        <v>45937</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61345-2022</t>
        </is>
      </c>
      <c r="B1888" s="1" t="n">
        <v>44915</v>
      </c>
      <c r="C1888" s="1" t="n">
        <v>45937</v>
      </c>
      <c r="D1888" t="inlineStr">
        <is>
          <t>VÄSTERNORRLANDS LÄN</t>
        </is>
      </c>
      <c r="E1888" t="inlineStr">
        <is>
          <t>SOLLEFTEÅ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61383-2022</t>
        </is>
      </c>
      <c r="B1889" s="1" t="n">
        <v>44915</v>
      </c>
      <c r="C1889" s="1" t="n">
        <v>45937</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20183-2025</t>
        </is>
      </c>
      <c r="B1890" s="1" t="n">
        <v>45772.59440972222</v>
      </c>
      <c r="C1890" s="1" t="n">
        <v>45937</v>
      </c>
      <c r="D1890" t="inlineStr">
        <is>
          <t>VÄSTERNORRLANDS LÄN</t>
        </is>
      </c>
      <c r="E1890" t="inlineStr">
        <is>
          <t>SOLLEFTEÅ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37046-2024</t>
        </is>
      </c>
      <c r="B1891" s="1" t="n">
        <v>45539.42739583334</v>
      </c>
      <c r="C1891" s="1" t="n">
        <v>45937</v>
      </c>
      <c r="D1891" t="inlineStr">
        <is>
          <t>VÄSTERNORRLANDS LÄN</t>
        </is>
      </c>
      <c r="E1891" t="inlineStr">
        <is>
          <t>SOLLEFTEÅ</t>
        </is>
      </c>
      <c r="F1891" t="inlineStr">
        <is>
          <t>SCA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36095-2025</t>
        </is>
      </c>
      <c r="B1892" s="1" t="n">
        <v>45866.49006944444</v>
      </c>
      <c r="C1892" s="1" t="n">
        <v>45937</v>
      </c>
      <c r="D1892" t="inlineStr">
        <is>
          <t>VÄSTERNORRLANDS LÄN</t>
        </is>
      </c>
      <c r="E1892" t="inlineStr">
        <is>
          <t>SOLLEFTEÅ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29125-2025</t>
        </is>
      </c>
      <c r="B1893" s="1" t="n">
        <v>45821.59459490741</v>
      </c>
      <c r="C1893" s="1" t="n">
        <v>45937</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36063-2025</t>
        </is>
      </c>
      <c r="B1894" s="1" t="n">
        <v>45866</v>
      </c>
      <c r="C1894" s="1" t="n">
        <v>45937</v>
      </c>
      <c r="D1894" t="inlineStr">
        <is>
          <t>VÄSTERNORRLANDS LÄN</t>
        </is>
      </c>
      <c r="E1894" t="inlineStr">
        <is>
          <t>SOLLEFTEÅ</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36064-2025</t>
        </is>
      </c>
      <c r="B1895" s="1" t="n">
        <v>45866</v>
      </c>
      <c r="C1895" s="1" t="n">
        <v>45937</v>
      </c>
      <c r="D1895" t="inlineStr">
        <is>
          <t>VÄSTERNORRLANDS LÄN</t>
        </is>
      </c>
      <c r="E1895" t="inlineStr">
        <is>
          <t>SOLLEFTEÅ</t>
        </is>
      </c>
      <c r="F1895" t="inlineStr">
        <is>
          <t>SCA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29860-2025</t>
        </is>
      </c>
      <c r="B1896" s="1" t="n">
        <v>45826.34638888889</v>
      </c>
      <c r="C1896" s="1" t="n">
        <v>45937</v>
      </c>
      <c r="D1896" t="inlineStr">
        <is>
          <t>VÄSTERNORRLANDS LÄN</t>
        </is>
      </c>
      <c r="E1896" t="inlineStr">
        <is>
          <t>SOLLEFTEÅ</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42733-2025</t>
        </is>
      </c>
      <c r="B1897" s="1" t="n">
        <v>45908.4071875</v>
      </c>
      <c r="C1897" s="1" t="n">
        <v>45937</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1402-2022</t>
        </is>
      </c>
      <c r="B1898" s="1" t="n">
        <v>44573</v>
      </c>
      <c r="C1898" s="1" t="n">
        <v>45937</v>
      </c>
      <c r="D1898" t="inlineStr">
        <is>
          <t>VÄSTERNORRLANDS LÄN</t>
        </is>
      </c>
      <c r="E1898" t="inlineStr">
        <is>
          <t>SOLLEFTEÅ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1466-2025</t>
        </is>
      </c>
      <c r="B1899" s="1" t="n">
        <v>45670</v>
      </c>
      <c r="C1899" s="1" t="n">
        <v>45937</v>
      </c>
      <c r="D1899" t="inlineStr">
        <is>
          <t>VÄSTERNORRLANDS LÄN</t>
        </is>
      </c>
      <c r="E1899" t="inlineStr">
        <is>
          <t>SOLLEFTEÅ</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35872-2024</t>
        </is>
      </c>
      <c r="B1900" s="1" t="n">
        <v>45533</v>
      </c>
      <c r="C1900" s="1" t="n">
        <v>45937</v>
      </c>
      <c r="D1900" t="inlineStr">
        <is>
          <t>VÄSTERNORRLANDS LÄN</t>
        </is>
      </c>
      <c r="E1900" t="inlineStr">
        <is>
          <t>SOLLEFTEÅ</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56685-2023</t>
        </is>
      </c>
      <c r="B1901" s="1" t="n">
        <v>45243.96600694444</v>
      </c>
      <c r="C1901" s="1" t="n">
        <v>45937</v>
      </c>
      <c r="D1901" t="inlineStr">
        <is>
          <t>VÄSTERNORRLANDS LÄN</t>
        </is>
      </c>
      <c r="E1901" t="inlineStr">
        <is>
          <t>SOLLEFTEÅ</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43772-2022</t>
        </is>
      </c>
      <c r="B1902" s="1" t="n">
        <v>44837</v>
      </c>
      <c r="C1902" s="1" t="n">
        <v>45937</v>
      </c>
      <c r="D1902" t="inlineStr">
        <is>
          <t>VÄSTERNORRLANDS LÄN</t>
        </is>
      </c>
      <c r="E1902" t="inlineStr">
        <is>
          <t>SOLLEFTEÅ</t>
        </is>
      </c>
      <c r="F1902" t="inlineStr">
        <is>
          <t>Kyrkan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36373-2025</t>
        </is>
      </c>
      <c r="B1903" s="1" t="n">
        <v>45868.55256944444</v>
      </c>
      <c r="C1903" s="1" t="n">
        <v>45937</v>
      </c>
      <c r="D1903" t="inlineStr">
        <is>
          <t>VÄSTERNORRLANDS LÄN</t>
        </is>
      </c>
      <c r="E1903" t="inlineStr">
        <is>
          <t>SOLLEFTEÅ</t>
        </is>
      </c>
      <c r="F1903" t="inlineStr">
        <is>
          <t>SCA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54607-2023</t>
        </is>
      </c>
      <c r="B1904" s="1" t="n">
        <v>45233.95748842593</v>
      </c>
      <c r="C1904" s="1" t="n">
        <v>45937</v>
      </c>
      <c r="D1904" t="inlineStr">
        <is>
          <t>VÄSTERNORRLANDS LÄN</t>
        </is>
      </c>
      <c r="E1904" t="inlineStr">
        <is>
          <t>SOLLEFTEÅ</t>
        </is>
      </c>
      <c r="F1904" t="inlineStr">
        <is>
          <t>SCA</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58380-2020</t>
        </is>
      </c>
      <c r="B1905" s="1" t="n">
        <v>44145</v>
      </c>
      <c r="C1905" s="1" t="n">
        <v>45937</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36324-2025</t>
        </is>
      </c>
      <c r="B1906" s="1" t="n">
        <v>45868.40707175926</v>
      </c>
      <c r="C1906" s="1" t="n">
        <v>45937</v>
      </c>
      <c r="D1906" t="inlineStr">
        <is>
          <t>VÄSTERNORRLANDS LÄN</t>
        </is>
      </c>
      <c r="E1906" t="inlineStr">
        <is>
          <t>SOLLEFTEÅ</t>
        </is>
      </c>
      <c r="F1906" t="inlineStr">
        <is>
          <t>SCA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36224-2025</t>
        </is>
      </c>
      <c r="B1907" s="1" t="n">
        <v>45867.51116898148</v>
      </c>
      <c r="C1907" s="1" t="n">
        <v>45937</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68030-2020</t>
        </is>
      </c>
      <c r="B1908" s="1" t="n">
        <v>44182</v>
      </c>
      <c r="C1908" s="1" t="n">
        <v>45937</v>
      </c>
      <c r="D1908" t="inlineStr">
        <is>
          <t>VÄSTERNORRLANDS LÄN</t>
        </is>
      </c>
      <c r="E1908" t="inlineStr">
        <is>
          <t>SOLLEFTEÅ</t>
        </is>
      </c>
      <c r="F1908" t="inlineStr">
        <is>
          <t>SCA</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68037-2020</t>
        </is>
      </c>
      <c r="B1909" s="1" t="n">
        <v>44182</v>
      </c>
      <c r="C1909" s="1" t="n">
        <v>45937</v>
      </c>
      <c r="D1909" t="inlineStr">
        <is>
          <t>VÄSTERNORRLANDS LÄN</t>
        </is>
      </c>
      <c r="E1909" t="inlineStr">
        <is>
          <t>SOLLEFTEÅ</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47741-2023</t>
        </is>
      </c>
      <c r="B1910" s="1" t="n">
        <v>45198</v>
      </c>
      <c r="C1910" s="1" t="n">
        <v>45937</v>
      </c>
      <c r="D1910" t="inlineStr">
        <is>
          <t>VÄSTERNORRLANDS LÄN</t>
        </is>
      </c>
      <c r="E1910" t="inlineStr">
        <is>
          <t>SOLLEFTEÅ</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21349-2023</t>
        </is>
      </c>
      <c r="B1911" s="1" t="n">
        <v>45062.9390625</v>
      </c>
      <c r="C1911" s="1" t="n">
        <v>45937</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49160-2021</t>
        </is>
      </c>
      <c r="B1912" s="1" t="n">
        <v>44453.94021990741</v>
      </c>
      <c r="C1912" s="1" t="n">
        <v>45937</v>
      </c>
      <c r="D1912" t="inlineStr">
        <is>
          <t>VÄSTERNORRLANDS LÄN</t>
        </is>
      </c>
      <c r="E1912" t="inlineStr">
        <is>
          <t>SOLLEFTEÅ</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41413-2024</t>
        </is>
      </c>
      <c r="B1913" s="1" t="n">
        <v>45560.345</v>
      </c>
      <c r="C1913" s="1" t="n">
        <v>45937</v>
      </c>
      <c r="D1913" t="inlineStr">
        <is>
          <t>VÄSTERNORRLANDS LÄN</t>
        </is>
      </c>
      <c r="E1913" t="inlineStr">
        <is>
          <t>SOLLEFTEÅ</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41420-2024</t>
        </is>
      </c>
      <c r="B1914" s="1" t="n">
        <v>45560.34616898148</v>
      </c>
      <c r="C1914" s="1" t="n">
        <v>45937</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36300-2025</t>
        </is>
      </c>
      <c r="B1915" s="1" t="n">
        <v>45867.6984375</v>
      </c>
      <c r="C1915" s="1" t="n">
        <v>45937</v>
      </c>
      <c r="D1915" t="inlineStr">
        <is>
          <t>VÄSTERNORRLANDS LÄN</t>
        </is>
      </c>
      <c r="E1915" t="inlineStr">
        <is>
          <t>SOLLEFTEÅ</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36312-2025</t>
        </is>
      </c>
      <c r="B1916" s="1" t="n">
        <v>45868.34444444445</v>
      </c>
      <c r="C1916" s="1" t="n">
        <v>45937</v>
      </c>
      <c r="D1916" t="inlineStr">
        <is>
          <t>VÄSTERNORRLANDS LÄN</t>
        </is>
      </c>
      <c r="E1916" t="inlineStr">
        <is>
          <t>SOLLEFTEÅ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25986-2023</t>
        </is>
      </c>
      <c r="B1917" s="1" t="n">
        <v>45090</v>
      </c>
      <c r="C1917" s="1" t="n">
        <v>45937</v>
      </c>
      <c r="D1917" t="inlineStr">
        <is>
          <t>VÄSTERNORRLANDS LÄN</t>
        </is>
      </c>
      <c r="E1917" t="inlineStr">
        <is>
          <t>SOLLEFTEÅ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42970-2024</t>
        </is>
      </c>
      <c r="B1918" s="1" t="n">
        <v>45567.37322916667</v>
      </c>
      <c r="C1918" s="1" t="n">
        <v>45937</v>
      </c>
      <c r="D1918" t="inlineStr">
        <is>
          <t>VÄSTERNORRLANDS LÄN</t>
        </is>
      </c>
      <c r="E1918" t="inlineStr">
        <is>
          <t>SOLLEFTEÅ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42981-2024</t>
        </is>
      </c>
      <c r="B1919" s="1" t="n">
        <v>45567.37460648148</v>
      </c>
      <c r="C1919" s="1" t="n">
        <v>45937</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57273-2022</t>
        </is>
      </c>
      <c r="B1920" s="1" t="n">
        <v>44895.9487962963</v>
      </c>
      <c r="C1920" s="1" t="n">
        <v>45937</v>
      </c>
      <c r="D1920" t="inlineStr">
        <is>
          <t>VÄSTERNORRLANDS LÄN</t>
        </is>
      </c>
      <c r="E1920" t="inlineStr">
        <is>
          <t>SOLLEFTEÅ</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37354-2024</t>
        </is>
      </c>
      <c r="B1921" s="1" t="n">
        <v>45540.54201388889</v>
      </c>
      <c r="C1921" s="1" t="n">
        <v>45937</v>
      </c>
      <c r="D1921" t="inlineStr">
        <is>
          <t>VÄSTERNORRLANDS LÄN</t>
        </is>
      </c>
      <c r="E1921" t="inlineStr">
        <is>
          <t>SOLLEFTEÅ</t>
        </is>
      </c>
      <c r="F1921" t="inlineStr">
        <is>
          <t>Holmen skog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28366-2023</t>
        </is>
      </c>
      <c r="B1922" s="1" t="n">
        <v>45099</v>
      </c>
      <c r="C1922" s="1" t="n">
        <v>45937</v>
      </c>
      <c r="D1922" t="inlineStr">
        <is>
          <t>VÄSTERNORRLANDS LÄN</t>
        </is>
      </c>
      <c r="E1922" t="inlineStr">
        <is>
          <t>SOLLEFTEÅ</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36274-2025</t>
        </is>
      </c>
      <c r="B1923" s="1" t="n">
        <v>45867.63579861111</v>
      </c>
      <c r="C1923" s="1" t="n">
        <v>45937</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36313-2025</t>
        </is>
      </c>
      <c r="B1924" s="1" t="n">
        <v>45868.34456018519</v>
      </c>
      <c r="C1924" s="1" t="n">
        <v>45937</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11026-2025</t>
        </is>
      </c>
      <c r="B1925" s="1" t="n">
        <v>45723.46961805555</v>
      </c>
      <c r="C1925" s="1" t="n">
        <v>45937</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38283-2021</t>
        </is>
      </c>
      <c r="B1926" s="1" t="n">
        <v>44405</v>
      </c>
      <c r="C1926" s="1" t="n">
        <v>45937</v>
      </c>
      <c r="D1926" t="inlineStr">
        <is>
          <t>VÄSTERNORRLANDS LÄN</t>
        </is>
      </c>
      <c r="E1926" t="inlineStr">
        <is>
          <t>SOLLEFTEÅ</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45334-2024</t>
        </is>
      </c>
      <c r="B1927" s="1" t="n">
        <v>45576</v>
      </c>
      <c r="C1927" s="1" t="n">
        <v>45937</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43603-2025</t>
        </is>
      </c>
      <c r="B1928" s="1" t="n">
        <v>45911</v>
      </c>
      <c r="C1928" s="1" t="n">
        <v>45937</v>
      </c>
      <c r="D1928" t="inlineStr">
        <is>
          <t>VÄSTERNORRLANDS LÄN</t>
        </is>
      </c>
      <c r="E1928" t="inlineStr">
        <is>
          <t>SOLLEFTEÅ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14169-2024</t>
        </is>
      </c>
      <c r="B1929" s="1" t="n">
        <v>45392.95831018518</v>
      </c>
      <c r="C1929" s="1" t="n">
        <v>45937</v>
      </c>
      <c r="D1929" t="inlineStr">
        <is>
          <t>VÄSTERNORRLANDS LÄN</t>
        </is>
      </c>
      <c r="E1929" t="inlineStr">
        <is>
          <t>SOLLEFTEÅ</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31680-2024</t>
        </is>
      </c>
      <c r="B1930" s="1" t="n">
        <v>45506.94894675926</v>
      </c>
      <c r="C1930" s="1" t="n">
        <v>45937</v>
      </c>
      <c r="D1930" t="inlineStr">
        <is>
          <t>VÄSTERNORRLANDS LÄN</t>
        </is>
      </c>
      <c r="E1930" t="inlineStr">
        <is>
          <t>SOLLEFTEÅ</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43503-2025</t>
        </is>
      </c>
      <c r="B1931" s="1" t="n">
        <v>45911.55266203704</v>
      </c>
      <c r="C1931" s="1" t="n">
        <v>45937</v>
      </c>
      <c r="D1931" t="inlineStr">
        <is>
          <t>VÄSTERNORRLANDS LÄN</t>
        </is>
      </c>
      <c r="E1931" t="inlineStr">
        <is>
          <t>SOLLEFTEÅ</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62662-2022</t>
        </is>
      </c>
      <c r="B1932" s="1" t="n">
        <v>44917</v>
      </c>
      <c r="C1932" s="1" t="n">
        <v>45937</v>
      </c>
      <c r="D1932" t="inlineStr">
        <is>
          <t>VÄSTERNORRLANDS LÄN</t>
        </is>
      </c>
      <c r="E1932" t="inlineStr">
        <is>
          <t>SOLLEFTEÅ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19929-2025</t>
        </is>
      </c>
      <c r="B1933" s="1" t="n">
        <v>45771.6359837963</v>
      </c>
      <c r="C1933" s="1" t="n">
        <v>45937</v>
      </c>
      <c r="D1933" t="inlineStr">
        <is>
          <t>VÄSTERNORRLANDS LÄN</t>
        </is>
      </c>
      <c r="E1933" t="inlineStr">
        <is>
          <t>SOLLEFTEÅ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19932-2025</t>
        </is>
      </c>
      <c r="B1934" s="1" t="n">
        <v>45771.63940972222</v>
      </c>
      <c r="C1934" s="1" t="n">
        <v>45937</v>
      </c>
      <c r="D1934" t="inlineStr">
        <is>
          <t>VÄSTERNORRLANDS LÄN</t>
        </is>
      </c>
      <c r="E1934" t="inlineStr">
        <is>
          <t>SOLLEFTEÅ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36558-2025</t>
        </is>
      </c>
      <c r="B1935" s="1" t="n">
        <v>45870.35769675926</v>
      </c>
      <c r="C1935" s="1" t="n">
        <v>45937</v>
      </c>
      <c r="D1935" t="inlineStr">
        <is>
          <t>VÄSTERNORRLANDS LÄN</t>
        </is>
      </c>
      <c r="E1935" t="inlineStr">
        <is>
          <t>SOLLEFTEÅ</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36561-2025</t>
        </is>
      </c>
      <c r="B1936" s="1" t="n">
        <v>45870.36722222222</v>
      </c>
      <c r="C1936" s="1" t="n">
        <v>45937</v>
      </c>
      <c r="D1936" t="inlineStr">
        <is>
          <t>VÄSTERNORRLANDS LÄN</t>
        </is>
      </c>
      <c r="E1936" t="inlineStr">
        <is>
          <t>SOLLEFTEÅ</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36571-2025</t>
        </is>
      </c>
      <c r="B1937" s="1" t="n">
        <v>45870.38778935185</v>
      </c>
      <c r="C1937" s="1" t="n">
        <v>45937</v>
      </c>
      <c r="D1937" t="inlineStr">
        <is>
          <t>VÄSTERNORRLANDS LÄN</t>
        </is>
      </c>
      <c r="E1937" t="inlineStr">
        <is>
          <t>SOLLEFTEÅ</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36685-2024</t>
        </is>
      </c>
      <c r="B1938" s="1" t="n">
        <v>45537.66467592592</v>
      </c>
      <c r="C1938" s="1" t="n">
        <v>45937</v>
      </c>
      <c r="D1938" t="inlineStr">
        <is>
          <t>VÄSTERNORRLANDS LÄN</t>
        </is>
      </c>
      <c r="E1938" t="inlineStr">
        <is>
          <t>SOLLEFTEÅ</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22205-2025</t>
        </is>
      </c>
      <c r="B1939" s="1" t="n">
        <v>45785.65686342592</v>
      </c>
      <c r="C1939" s="1" t="n">
        <v>45937</v>
      </c>
      <c r="D1939" t="inlineStr">
        <is>
          <t>VÄSTERNORRLANDS LÄN</t>
        </is>
      </c>
      <c r="E1939" t="inlineStr">
        <is>
          <t>SOLLEFTEÅ</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42482-2024</t>
        </is>
      </c>
      <c r="B1940" s="1" t="n">
        <v>45565</v>
      </c>
      <c r="C1940" s="1" t="n">
        <v>45937</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36545-2025</t>
        </is>
      </c>
      <c r="B1941" s="1" t="n">
        <v>45869.67761574074</v>
      </c>
      <c r="C1941" s="1" t="n">
        <v>45937</v>
      </c>
      <c r="D1941" t="inlineStr">
        <is>
          <t>VÄSTERNORRLANDS LÄN</t>
        </is>
      </c>
      <c r="E1941" t="inlineStr">
        <is>
          <t>SOLLEFTEÅ</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35975-2023</t>
        </is>
      </c>
      <c r="B1942" s="1" t="n">
        <v>45148</v>
      </c>
      <c r="C1942" s="1" t="n">
        <v>45937</v>
      </c>
      <c r="D1942" t="inlineStr">
        <is>
          <t>VÄSTERNORRLANDS LÄN</t>
        </is>
      </c>
      <c r="E1942" t="inlineStr">
        <is>
          <t>SOLLEFTEÅ</t>
        </is>
      </c>
      <c r="F1942" t="inlineStr">
        <is>
          <t>SCA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68022-2020</t>
        </is>
      </c>
      <c r="B1943" s="1" t="n">
        <v>44182</v>
      </c>
      <c r="C1943" s="1" t="n">
        <v>45937</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36432-2025</t>
        </is>
      </c>
      <c r="B1944" s="1" t="n">
        <v>45869.36505787037</v>
      </c>
      <c r="C1944" s="1" t="n">
        <v>45937</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43879-2025</t>
        </is>
      </c>
      <c r="B1945" s="1" t="n">
        <v>45912.67804398148</v>
      </c>
      <c r="C1945" s="1" t="n">
        <v>45937</v>
      </c>
      <c r="D1945" t="inlineStr">
        <is>
          <t>VÄSTERNORRLANDS LÄN</t>
        </is>
      </c>
      <c r="E1945" t="inlineStr">
        <is>
          <t>SOLLEFTEÅ</t>
        </is>
      </c>
      <c r="F1945" t="inlineStr">
        <is>
          <t>SCA</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16564-2025</t>
        </is>
      </c>
      <c r="B1946" s="1" t="n">
        <v>45752</v>
      </c>
      <c r="C1946" s="1" t="n">
        <v>45937</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43462-2025</t>
        </is>
      </c>
      <c r="B1947" s="1" t="n">
        <v>45911.46943287037</v>
      </c>
      <c r="C1947" s="1" t="n">
        <v>45937</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18741-2021</t>
        </is>
      </c>
      <c r="B1948" s="1" t="n">
        <v>44306</v>
      </c>
      <c r="C1948" s="1" t="n">
        <v>45937</v>
      </c>
      <c r="D1948" t="inlineStr">
        <is>
          <t>VÄSTERNORRLANDS LÄN</t>
        </is>
      </c>
      <c r="E1948" t="inlineStr">
        <is>
          <t>SOLLEFTEÅ</t>
        </is>
      </c>
      <c r="F1948" t="inlineStr">
        <is>
          <t>Kyrkan</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37042-2021</t>
        </is>
      </c>
      <c r="B1949" s="1" t="n">
        <v>44393.93495370371</v>
      </c>
      <c r="C1949" s="1" t="n">
        <v>45937</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36567-2025</t>
        </is>
      </c>
      <c r="B1950" s="1" t="n">
        <v>45870.38320601852</v>
      </c>
      <c r="C1950" s="1" t="n">
        <v>45937</v>
      </c>
      <c r="D1950" t="inlineStr">
        <is>
          <t>VÄSTERNORRLANDS LÄN</t>
        </is>
      </c>
      <c r="E1950" t="inlineStr">
        <is>
          <t>SOLLEFTEÅ</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43863-2025</t>
        </is>
      </c>
      <c r="B1951" s="1" t="n">
        <v>45912.65672453704</v>
      </c>
      <c r="C1951" s="1" t="n">
        <v>45937</v>
      </c>
      <c r="D1951" t="inlineStr">
        <is>
          <t>VÄSTERNORRLANDS LÄN</t>
        </is>
      </c>
      <c r="E1951" t="inlineStr">
        <is>
          <t>SOLLEFTEÅ</t>
        </is>
      </c>
      <c r="F1951" t="inlineStr">
        <is>
          <t>SCA</t>
        </is>
      </c>
      <c r="G1951" t="n">
        <v>16.8</v>
      </c>
      <c r="H1951" t="n">
        <v>0</v>
      </c>
      <c r="I1951" t="n">
        <v>0</v>
      </c>
      <c r="J1951" t="n">
        <v>0</v>
      </c>
      <c r="K1951" t="n">
        <v>0</v>
      </c>
      <c r="L1951" t="n">
        <v>0</v>
      </c>
      <c r="M1951" t="n">
        <v>0</v>
      </c>
      <c r="N1951" t="n">
        <v>0</v>
      </c>
      <c r="O1951" t="n">
        <v>0</v>
      </c>
      <c r="P1951" t="n">
        <v>0</v>
      </c>
      <c r="Q1951" t="n">
        <v>0</v>
      </c>
      <c r="R1951" s="2" t="inlineStr"/>
    </row>
    <row r="1952" ht="15" customHeight="1">
      <c r="A1952" t="inlineStr">
        <is>
          <t>A 43510-2025</t>
        </is>
      </c>
      <c r="B1952" s="1" t="n">
        <v>45911</v>
      </c>
      <c r="C1952" s="1" t="n">
        <v>45937</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17993-2025</t>
        </is>
      </c>
      <c r="B1953" s="1" t="n">
        <v>45761.40673611111</v>
      </c>
      <c r="C1953" s="1" t="n">
        <v>45937</v>
      </c>
      <c r="D1953" t="inlineStr">
        <is>
          <t>VÄSTERNORRLANDS LÄN</t>
        </is>
      </c>
      <c r="E1953" t="inlineStr">
        <is>
          <t>SOLLEFTEÅ</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58478-2021</t>
        </is>
      </c>
      <c r="B1954" s="1" t="n">
        <v>44488</v>
      </c>
      <c r="C1954" s="1" t="n">
        <v>45937</v>
      </c>
      <c r="D1954" t="inlineStr">
        <is>
          <t>VÄSTERNORRLANDS LÄN</t>
        </is>
      </c>
      <c r="E1954" t="inlineStr">
        <is>
          <t>SOLLEFTEÅ</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43620-2025</t>
        </is>
      </c>
      <c r="B1955" s="1" t="n">
        <v>45911</v>
      </c>
      <c r="C1955" s="1" t="n">
        <v>45937</v>
      </c>
      <c r="D1955" t="inlineStr">
        <is>
          <t>VÄSTERNORRLANDS LÄN</t>
        </is>
      </c>
      <c r="E1955" t="inlineStr">
        <is>
          <t>SOLLEFTEÅ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61391-2022</t>
        </is>
      </c>
      <c r="B1956" s="1" t="n">
        <v>44915.94334490741</v>
      </c>
      <c r="C1956" s="1" t="n">
        <v>45937</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31965-2022</t>
        </is>
      </c>
      <c r="B1957" s="1" t="n">
        <v>44777.95460648148</v>
      </c>
      <c r="C1957" s="1" t="n">
        <v>45937</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53325-2024</t>
        </is>
      </c>
      <c r="B1958" s="1" t="n">
        <v>45614.41177083334</v>
      </c>
      <c r="C1958" s="1" t="n">
        <v>45937</v>
      </c>
      <c r="D1958" t="inlineStr">
        <is>
          <t>VÄSTERNORRLANDS LÄN</t>
        </is>
      </c>
      <c r="E1958" t="inlineStr">
        <is>
          <t>SOLLEFTEÅ</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48767-2023</t>
        </is>
      </c>
      <c r="B1959" s="1" t="n">
        <v>45208</v>
      </c>
      <c r="C1959" s="1" t="n">
        <v>45937</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31395-2025</t>
        </is>
      </c>
      <c r="B1960" s="1" t="n">
        <v>45833.46438657407</v>
      </c>
      <c r="C1960" s="1" t="n">
        <v>45937</v>
      </c>
      <c r="D1960" t="inlineStr">
        <is>
          <t>VÄSTERNORRLANDS LÄN</t>
        </is>
      </c>
      <c r="E1960" t="inlineStr">
        <is>
          <t>SOLLEFTEÅ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44335-2025</t>
        </is>
      </c>
      <c r="B1961" s="1" t="n">
        <v>45916.423125</v>
      </c>
      <c r="C1961" s="1" t="n">
        <v>45937</v>
      </c>
      <c r="D1961" t="inlineStr">
        <is>
          <t>VÄSTERNORRLANDS LÄN</t>
        </is>
      </c>
      <c r="E1961" t="inlineStr">
        <is>
          <t>SOLLEFTEÅ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44387-2025</t>
        </is>
      </c>
      <c r="B1962" s="1" t="n">
        <v>45916.48994212963</v>
      </c>
      <c r="C1962" s="1" t="n">
        <v>45937</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25259-2023</t>
        </is>
      </c>
      <c r="B1963" s="1" t="n">
        <v>45079</v>
      </c>
      <c r="C1963" s="1" t="n">
        <v>45937</v>
      </c>
      <c r="D1963" t="inlineStr">
        <is>
          <t>VÄSTERNORRLANDS LÄN</t>
        </is>
      </c>
      <c r="E1963" t="inlineStr">
        <is>
          <t>SOLLEFTEÅ</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22390-2025</t>
        </is>
      </c>
      <c r="B1964" s="1" t="n">
        <v>45786.51107638889</v>
      </c>
      <c r="C1964" s="1" t="n">
        <v>45937</v>
      </c>
      <c r="D1964" t="inlineStr">
        <is>
          <t>VÄSTERNORRLANDS LÄN</t>
        </is>
      </c>
      <c r="E1964" t="inlineStr">
        <is>
          <t>SOLLEFTEÅ</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5111-2022</t>
        </is>
      </c>
      <c r="B1965" s="1" t="n">
        <v>44593.92144675926</v>
      </c>
      <c r="C1965" s="1" t="n">
        <v>45937</v>
      </c>
      <c r="D1965" t="inlineStr">
        <is>
          <t>VÄSTERNORRLANDS LÄN</t>
        </is>
      </c>
      <c r="E1965" t="inlineStr">
        <is>
          <t>SOLLEFTEÅ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10140-2022</t>
        </is>
      </c>
      <c r="B1966" s="1" t="n">
        <v>44621</v>
      </c>
      <c r="C1966" s="1" t="n">
        <v>45937</v>
      </c>
      <c r="D1966" t="inlineStr">
        <is>
          <t>VÄSTERNORRLANDS LÄN</t>
        </is>
      </c>
      <c r="E1966" t="inlineStr">
        <is>
          <t>SOLLEFTEÅ</t>
        </is>
      </c>
      <c r="F1966" t="inlineStr">
        <is>
          <t>SCA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59473-2024</t>
        </is>
      </c>
      <c r="B1967" s="1" t="n">
        <v>45638.50436342593</v>
      </c>
      <c r="C1967" s="1" t="n">
        <v>45937</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36967-2025</t>
        </is>
      </c>
      <c r="B1968" s="1" t="n">
        <v>45874.63642361111</v>
      </c>
      <c r="C1968" s="1" t="n">
        <v>45937</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32812-2024</t>
        </is>
      </c>
      <c r="B1969" s="1" t="n">
        <v>45516</v>
      </c>
      <c r="C1969" s="1" t="n">
        <v>45937</v>
      </c>
      <c r="D1969" t="inlineStr">
        <is>
          <t>VÄSTERNORRLANDS LÄN</t>
        </is>
      </c>
      <c r="E1969" t="inlineStr">
        <is>
          <t>SOLLEFTEÅ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14875-2023</t>
        </is>
      </c>
      <c r="B1970" s="1" t="n">
        <v>45015.07292824074</v>
      </c>
      <c r="C1970" s="1" t="n">
        <v>45937</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10256-2023</t>
        </is>
      </c>
      <c r="B1971" s="1" t="n">
        <v>44980</v>
      </c>
      <c r="C1971" s="1" t="n">
        <v>45937</v>
      </c>
      <c r="D1971" t="inlineStr">
        <is>
          <t>VÄSTERNORRLANDS LÄN</t>
        </is>
      </c>
      <c r="E1971" t="inlineStr">
        <is>
          <t>SOLLEFTEÅ</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51735-2024</t>
        </is>
      </c>
      <c r="B1972" s="1" t="n">
        <v>45607.40127314815</v>
      </c>
      <c r="C1972" s="1" t="n">
        <v>45937</v>
      </c>
      <c r="D1972" t="inlineStr">
        <is>
          <t>VÄSTERNORRLANDS LÄN</t>
        </is>
      </c>
      <c r="E1972" t="inlineStr">
        <is>
          <t>SOLLEFTEÅ</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44295-2025</t>
        </is>
      </c>
      <c r="B1973" s="1" t="n">
        <v>45916.36495370371</v>
      </c>
      <c r="C1973" s="1" t="n">
        <v>45937</v>
      </c>
      <c r="D1973" t="inlineStr">
        <is>
          <t>VÄSTERNORRLANDS LÄN</t>
        </is>
      </c>
      <c r="E1973" t="inlineStr">
        <is>
          <t>SOLLEFTEÅ</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29197-2023</t>
        </is>
      </c>
      <c r="B1974" s="1" t="n">
        <v>45097</v>
      </c>
      <c r="C1974" s="1" t="n">
        <v>45937</v>
      </c>
      <c r="D1974" t="inlineStr">
        <is>
          <t>VÄSTERNORRLANDS LÄN</t>
        </is>
      </c>
      <c r="E1974" t="inlineStr">
        <is>
          <t>SOLLEFTEÅ</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29210-2023</t>
        </is>
      </c>
      <c r="B1975" s="1" t="n">
        <v>45097</v>
      </c>
      <c r="C1975" s="1" t="n">
        <v>45937</v>
      </c>
      <c r="D1975" t="inlineStr">
        <is>
          <t>VÄSTERNORRLANDS LÄN</t>
        </is>
      </c>
      <c r="E1975" t="inlineStr">
        <is>
          <t>SOLLEFTEÅ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36065-2025</t>
        </is>
      </c>
      <c r="B1976" s="1" t="n">
        <v>45866</v>
      </c>
      <c r="C1976" s="1" t="n">
        <v>45937</v>
      </c>
      <c r="D1976" t="inlineStr">
        <is>
          <t>VÄSTERNORRLANDS LÄN</t>
        </is>
      </c>
      <c r="E1976" t="inlineStr">
        <is>
          <t>SOLLEFTEÅ</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39399-2023</t>
        </is>
      </c>
      <c r="B1977" s="1" t="n">
        <v>45163</v>
      </c>
      <c r="C1977" s="1" t="n">
        <v>45937</v>
      </c>
      <c r="D1977" t="inlineStr">
        <is>
          <t>VÄSTERNORRLANDS LÄN</t>
        </is>
      </c>
      <c r="E1977" t="inlineStr">
        <is>
          <t>SOLLEFTEÅ</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36927-2025</t>
        </is>
      </c>
      <c r="B1978" s="1" t="n">
        <v>45874.55273148148</v>
      </c>
      <c r="C1978" s="1" t="n">
        <v>45937</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36966-2025</t>
        </is>
      </c>
      <c r="B1979" s="1" t="n">
        <v>45874.63614583333</v>
      </c>
      <c r="C1979" s="1" t="n">
        <v>45937</v>
      </c>
      <c r="D1979" t="inlineStr">
        <is>
          <t>VÄSTERNORRLANDS LÄN</t>
        </is>
      </c>
      <c r="E1979" t="inlineStr">
        <is>
          <t>SOLLEFTEÅ</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18304-2022</t>
        </is>
      </c>
      <c r="B1980" s="1" t="n">
        <v>44685</v>
      </c>
      <c r="C1980" s="1" t="n">
        <v>45937</v>
      </c>
      <c r="D1980" t="inlineStr">
        <is>
          <t>VÄSTERNORRLANDS LÄN</t>
        </is>
      </c>
      <c r="E1980" t="inlineStr">
        <is>
          <t>SOLLEFTEÅ</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36850-2025</t>
        </is>
      </c>
      <c r="B1981" s="1" t="n">
        <v>45874.39098379629</v>
      </c>
      <c r="C1981" s="1" t="n">
        <v>45937</v>
      </c>
      <c r="D1981" t="inlineStr">
        <is>
          <t>VÄSTERNORRLANDS LÄN</t>
        </is>
      </c>
      <c r="E1981" t="inlineStr">
        <is>
          <t>SOLLEFTEÅ</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45778-2024</t>
        </is>
      </c>
      <c r="B1982" s="1" t="n">
        <v>45579.66471064815</v>
      </c>
      <c r="C1982" s="1" t="n">
        <v>45937</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45801-2024</t>
        </is>
      </c>
      <c r="B1983" s="1" t="n">
        <v>45579.67798611111</v>
      </c>
      <c r="C1983" s="1" t="n">
        <v>45937</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45802-2024</t>
        </is>
      </c>
      <c r="B1984" s="1" t="n">
        <v>45579.67818287037</v>
      </c>
      <c r="C1984" s="1" t="n">
        <v>45937</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63652-2023</t>
        </is>
      </c>
      <c r="B1985" s="1" t="n">
        <v>45275</v>
      </c>
      <c r="C1985" s="1" t="n">
        <v>45937</v>
      </c>
      <c r="D1985" t="inlineStr">
        <is>
          <t>VÄSTERNORRLANDS LÄN</t>
        </is>
      </c>
      <c r="E1985" t="inlineStr">
        <is>
          <t>SOLLEFTEÅ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44241-2025</t>
        </is>
      </c>
      <c r="B1986" s="1" t="n">
        <v>45915.67747685185</v>
      </c>
      <c r="C1986" s="1" t="n">
        <v>45937</v>
      </c>
      <c r="D1986" t="inlineStr">
        <is>
          <t>VÄSTERNORRLANDS LÄN</t>
        </is>
      </c>
      <c r="E1986" t="inlineStr">
        <is>
          <t>SOLLEFTEÅ</t>
        </is>
      </c>
      <c r="F1986" t="inlineStr">
        <is>
          <t>SCA</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36968-2025</t>
        </is>
      </c>
      <c r="B1987" s="1" t="n">
        <v>45874.63667824074</v>
      </c>
      <c r="C1987" s="1" t="n">
        <v>45937</v>
      </c>
      <c r="D1987" t="inlineStr">
        <is>
          <t>VÄSTERNORRLANDS LÄN</t>
        </is>
      </c>
      <c r="E1987" t="inlineStr">
        <is>
          <t>SOLLEFTEÅ</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21195-2023</t>
        </is>
      </c>
      <c r="B1988" s="1" t="n">
        <v>45057</v>
      </c>
      <c r="C1988" s="1" t="n">
        <v>45937</v>
      </c>
      <c r="D1988" t="inlineStr">
        <is>
          <t>VÄSTERNORRLANDS LÄN</t>
        </is>
      </c>
      <c r="E1988" t="inlineStr">
        <is>
          <t>SOLLEFTEÅ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21230-2023</t>
        </is>
      </c>
      <c r="B1989" s="1" t="n">
        <v>45057</v>
      </c>
      <c r="C1989" s="1" t="n">
        <v>45937</v>
      </c>
      <c r="D1989" t="inlineStr">
        <is>
          <t>VÄSTERNORRLANDS LÄN</t>
        </is>
      </c>
      <c r="E1989" t="inlineStr">
        <is>
          <t>SOLLEFTEÅ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44243-2025</t>
        </is>
      </c>
      <c r="B1990" s="1" t="n">
        <v>45915</v>
      </c>
      <c r="C1990" s="1" t="n">
        <v>45937</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29070-2023</t>
        </is>
      </c>
      <c r="B1991" s="1" t="n">
        <v>45104.94119212963</v>
      </c>
      <c r="C1991" s="1" t="n">
        <v>45937</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31537-2024</t>
        </is>
      </c>
      <c r="B1992" s="1" t="n">
        <v>45505.96146990741</v>
      </c>
      <c r="C1992" s="1" t="n">
        <v>45937</v>
      </c>
      <c r="D1992" t="inlineStr">
        <is>
          <t>VÄSTERNORRLANDS LÄN</t>
        </is>
      </c>
      <c r="E1992" t="inlineStr">
        <is>
          <t>SOLLEFTEÅ</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43980-2025</t>
        </is>
      </c>
      <c r="B1993" s="1" t="n">
        <v>45915.4221412037</v>
      </c>
      <c r="C1993" s="1" t="n">
        <v>45937</v>
      </c>
      <c r="D1993" t="inlineStr">
        <is>
          <t>VÄSTERNORRLANDS LÄN</t>
        </is>
      </c>
      <c r="E1993" t="inlineStr">
        <is>
          <t>SOLLEFTEÅ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56408-2024</t>
        </is>
      </c>
      <c r="B1994" s="1" t="n">
        <v>45625</v>
      </c>
      <c r="C1994" s="1" t="n">
        <v>45937</v>
      </c>
      <c r="D1994" t="inlineStr">
        <is>
          <t>VÄSTERNORRLANDS LÄN</t>
        </is>
      </c>
      <c r="E1994" t="inlineStr">
        <is>
          <t>SOLLEFTEÅ</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44327-2025</t>
        </is>
      </c>
      <c r="B1995" s="1" t="n">
        <v>45916.40755787037</v>
      </c>
      <c r="C1995" s="1" t="n">
        <v>45937</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36928-2025</t>
        </is>
      </c>
      <c r="B1996" s="1" t="n">
        <v>45874.55299768518</v>
      </c>
      <c r="C1996" s="1" t="n">
        <v>45937</v>
      </c>
      <c r="D1996" t="inlineStr">
        <is>
          <t>VÄSTERNORRLANDS LÄN</t>
        </is>
      </c>
      <c r="E1996" t="inlineStr">
        <is>
          <t>SOLLEFTEÅ</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49171-2022</t>
        </is>
      </c>
      <c r="B1997" s="1" t="n">
        <v>44860.9269212963</v>
      </c>
      <c r="C1997" s="1" t="n">
        <v>45937</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43469-2022</t>
        </is>
      </c>
      <c r="B1998" s="1" t="n">
        <v>44836.80145833334</v>
      </c>
      <c r="C1998" s="1" t="n">
        <v>45937</v>
      </c>
      <c r="D1998" t="inlineStr">
        <is>
          <t>VÄSTERNORRLANDS LÄN</t>
        </is>
      </c>
      <c r="E1998" t="inlineStr">
        <is>
          <t>SOLLEFTEÅ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37691-2023</t>
        </is>
      </c>
      <c r="B1999" s="1" t="n">
        <v>45156</v>
      </c>
      <c r="C1999" s="1" t="n">
        <v>45937</v>
      </c>
      <c r="D1999" t="inlineStr">
        <is>
          <t>VÄSTERNORRLANDS LÄN</t>
        </is>
      </c>
      <c r="E1999" t="inlineStr">
        <is>
          <t>SOLLEFTEÅ</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39177-2024</t>
        </is>
      </c>
      <c r="B2000" s="1" t="n">
        <v>45548.65681712963</v>
      </c>
      <c r="C2000" s="1" t="n">
        <v>45937</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37019-2025</t>
        </is>
      </c>
      <c r="B2001" s="1" t="n">
        <v>45874</v>
      </c>
      <c r="C2001" s="1" t="n">
        <v>45937</v>
      </c>
      <c r="D2001" t="inlineStr">
        <is>
          <t>VÄSTERNORRLANDS LÄN</t>
        </is>
      </c>
      <c r="E2001" t="inlineStr">
        <is>
          <t>SOLLEFTEÅ</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37018-2025</t>
        </is>
      </c>
      <c r="B2002" s="1" t="n">
        <v>45874</v>
      </c>
      <c r="C2002" s="1" t="n">
        <v>45937</v>
      </c>
      <c r="D2002" t="inlineStr">
        <is>
          <t>VÄSTERNORRLANDS LÄN</t>
        </is>
      </c>
      <c r="E2002" t="inlineStr">
        <is>
          <t>SOLLEFTEÅ</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45028-2025</t>
        </is>
      </c>
      <c r="B2003" s="1" t="n">
        <v>45918.69828703703</v>
      </c>
      <c r="C2003" s="1" t="n">
        <v>45937</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64013-2023</t>
        </is>
      </c>
      <c r="B2004" s="1" t="n">
        <v>45278</v>
      </c>
      <c r="C2004" s="1" t="n">
        <v>45937</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37053-2025</t>
        </is>
      </c>
      <c r="B2005" s="1" t="n">
        <v>45875.36493055556</v>
      </c>
      <c r="C2005" s="1" t="n">
        <v>45937</v>
      </c>
      <c r="D2005" t="inlineStr">
        <is>
          <t>VÄSTERNORRLANDS LÄN</t>
        </is>
      </c>
      <c r="E2005" t="inlineStr">
        <is>
          <t>SOLLEFTEÅ</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37242-2025</t>
        </is>
      </c>
      <c r="B2006" s="1" t="n">
        <v>45876.38614583333</v>
      </c>
      <c r="C2006" s="1" t="n">
        <v>45937</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41532-2024</t>
        </is>
      </c>
      <c r="B2007" s="1" t="n">
        <v>45560.49050925926</v>
      </c>
      <c r="C2007" s="1" t="n">
        <v>45937</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37084-2025</t>
        </is>
      </c>
      <c r="B2008" s="1" t="n">
        <v>45875.44826388889</v>
      </c>
      <c r="C2008" s="1" t="n">
        <v>45937</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37278-2025</t>
        </is>
      </c>
      <c r="B2009" s="1" t="n">
        <v>45876.490625</v>
      </c>
      <c r="C2009" s="1" t="n">
        <v>45937</v>
      </c>
      <c r="D2009" t="inlineStr">
        <is>
          <t>VÄSTERNORRLANDS LÄN</t>
        </is>
      </c>
      <c r="E2009" t="inlineStr">
        <is>
          <t>SOLLEFTEÅ</t>
        </is>
      </c>
      <c r="F2009" t="inlineStr">
        <is>
          <t>SCA</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37304-2025</t>
        </is>
      </c>
      <c r="B2010" s="1" t="n">
        <v>45876.59458333333</v>
      </c>
      <c r="C2010" s="1" t="n">
        <v>45937</v>
      </c>
      <c r="D2010" t="inlineStr">
        <is>
          <t>VÄSTERNORRLANDS LÄN</t>
        </is>
      </c>
      <c r="E2010" t="inlineStr">
        <is>
          <t>SOLLEFTEÅ</t>
        </is>
      </c>
      <c r="F2010" t="inlineStr">
        <is>
          <t>SCA</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17173-2024</t>
        </is>
      </c>
      <c r="B2011" s="1" t="n">
        <v>45412.97866898148</v>
      </c>
      <c r="C2011" s="1" t="n">
        <v>45937</v>
      </c>
      <c r="D2011" t="inlineStr">
        <is>
          <t>VÄSTERNORRLANDS LÄN</t>
        </is>
      </c>
      <c r="E2011" t="inlineStr">
        <is>
          <t>SOLLEFTEÅ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71580-2021</t>
        </is>
      </c>
      <c r="B2012" s="1" t="n">
        <v>44540</v>
      </c>
      <c r="C2012" s="1" t="n">
        <v>45937</v>
      </c>
      <c r="D2012" t="inlineStr">
        <is>
          <t>VÄSTERNORRLANDS LÄN</t>
        </is>
      </c>
      <c r="E2012" t="inlineStr">
        <is>
          <t>SOLLEFTEÅ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18111-2025</t>
        </is>
      </c>
      <c r="B2013" s="1" t="n">
        <v>45761.57334490741</v>
      </c>
      <c r="C2013" s="1" t="n">
        <v>45937</v>
      </c>
      <c r="D2013" t="inlineStr">
        <is>
          <t>VÄSTERNORRLANDS LÄN</t>
        </is>
      </c>
      <c r="E2013" t="inlineStr">
        <is>
          <t>SOLLEFTEÅ</t>
        </is>
      </c>
      <c r="F2013" t="inlineStr">
        <is>
          <t>SCA</t>
        </is>
      </c>
      <c r="G2013" t="n">
        <v>41.6</v>
      </c>
      <c r="H2013" t="n">
        <v>0</v>
      </c>
      <c r="I2013" t="n">
        <v>0</v>
      </c>
      <c r="J2013" t="n">
        <v>0</v>
      </c>
      <c r="K2013" t="n">
        <v>0</v>
      </c>
      <c r="L2013" t="n">
        <v>0</v>
      </c>
      <c r="M2013" t="n">
        <v>0</v>
      </c>
      <c r="N2013" t="n">
        <v>0</v>
      </c>
      <c r="O2013" t="n">
        <v>0</v>
      </c>
      <c r="P2013" t="n">
        <v>0</v>
      </c>
      <c r="Q2013" t="n">
        <v>0</v>
      </c>
      <c r="R2013" s="2" t="inlineStr"/>
    </row>
    <row r="2014" ht="15" customHeight="1">
      <c r="A2014" t="inlineStr">
        <is>
          <t>A 44871-2025</t>
        </is>
      </c>
      <c r="B2014" s="1" t="n">
        <v>45918.46938657408</v>
      </c>
      <c r="C2014" s="1" t="n">
        <v>45937</v>
      </c>
      <c r="D2014" t="inlineStr">
        <is>
          <t>VÄSTERNORRLANDS LÄN</t>
        </is>
      </c>
      <c r="E2014" t="inlineStr">
        <is>
          <t>SOLLEFTEÅ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44873-2025</t>
        </is>
      </c>
      <c r="B2015" s="1" t="n">
        <v>45918.46966435185</v>
      </c>
      <c r="C2015" s="1" t="n">
        <v>45937</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44906-2025</t>
        </is>
      </c>
      <c r="B2016" s="1" t="n">
        <v>45918.53174768519</v>
      </c>
      <c r="C2016" s="1" t="n">
        <v>45937</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19051-2022</t>
        </is>
      </c>
      <c r="B2017" s="1" t="n">
        <v>44691.41167824074</v>
      </c>
      <c r="C2017" s="1" t="n">
        <v>45937</v>
      </c>
      <c r="D2017" t="inlineStr">
        <is>
          <t>VÄSTERNORRLANDS LÄN</t>
        </is>
      </c>
      <c r="E2017" t="inlineStr">
        <is>
          <t>SOLLEFTEÅ</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25131-2024</t>
        </is>
      </c>
      <c r="B2018" s="1" t="n">
        <v>45462.46725694444</v>
      </c>
      <c r="C2018" s="1" t="n">
        <v>45937</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19489-2025</t>
        </is>
      </c>
      <c r="B2019" s="1" t="n">
        <v>45770.38847222222</v>
      </c>
      <c r="C2019" s="1" t="n">
        <v>45937</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44736-2025</t>
        </is>
      </c>
      <c r="B2020" s="1" t="n">
        <v>45917.656875</v>
      </c>
      <c r="C2020" s="1" t="n">
        <v>45937</v>
      </c>
      <c r="D2020" t="inlineStr">
        <is>
          <t>VÄSTERNORRLANDS LÄN</t>
        </is>
      </c>
      <c r="E2020" t="inlineStr">
        <is>
          <t>SOLLEFTEÅ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44746-2025</t>
        </is>
      </c>
      <c r="B2021" s="1" t="n">
        <v>45917.67760416667</v>
      </c>
      <c r="C2021" s="1" t="n">
        <v>45937</v>
      </c>
      <c r="D2021" t="inlineStr">
        <is>
          <t>VÄSTERNORRLANDS LÄN</t>
        </is>
      </c>
      <c r="E2021" t="inlineStr">
        <is>
          <t>SOLLEFTEÅ</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44747-2025</t>
        </is>
      </c>
      <c r="B2022" s="1" t="n">
        <v>45917.67769675926</v>
      </c>
      <c r="C2022" s="1" t="n">
        <v>45937</v>
      </c>
      <c r="D2022" t="inlineStr">
        <is>
          <t>VÄSTERNORRLANDS LÄN</t>
        </is>
      </c>
      <c r="E2022" t="inlineStr">
        <is>
          <t>SOLLEFTEÅ</t>
        </is>
      </c>
      <c r="F2022" t="inlineStr">
        <is>
          <t>SCA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44556-2025</t>
        </is>
      </c>
      <c r="B2023" s="1" t="n">
        <v>45917.34424768519</v>
      </c>
      <c r="C2023" s="1" t="n">
        <v>45937</v>
      </c>
      <c r="D2023" t="inlineStr">
        <is>
          <t>VÄSTERNORRLANDS LÄN</t>
        </is>
      </c>
      <c r="E2023" t="inlineStr">
        <is>
          <t>SOLLEFTEÅ</t>
        </is>
      </c>
      <c r="F2023" t="inlineStr">
        <is>
          <t>SCA</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25877-2021</t>
        </is>
      </c>
      <c r="B2024" s="1" t="n">
        <v>44344</v>
      </c>
      <c r="C2024" s="1" t="n">
        <v>45937</v>
      </c>
      <c r="D2024" t="inlineStr">
        <is>
          <t>VÄSTERNORRLANDS LÄN</t>
        </is>
      </c>
      <c r="E2024" t="inlineStr">
        <is>
          <t>SOLLEFTEÅ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22462-2024</t>
        </is>
      </c>
      <c r="B2025" s="1" t="n">
        <v>45446</v>
      </c>
      <c r="C2025" s="1" t="n">
        <v>45937</v>
      </c>
      <c r="D2025" t="inlineStr">
        <is>
          <t>VÄSTERNORRLANDS LÄN</t>
        </is>
      </c>
      <c r="E2025" t="inlineStr">
        <is>
          <t>SOLLEFTEÅ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3323-2025</t>
        </is>
      </c>
      <c r="B2026" s="1" t="n">
        <v>45679.69921296297</v>
      </c>
      <c r="C2026" s="1" t="n">
        <v>45937</v>
      </c>
      <c r="D2026" t="inlineStr">
        <is>
          <t>VÄSTERNORRLANDS LÄN</t>
        </is>
      </c>
      <c r="E2026" t="inlineStr">
        <is>
          <t>SOLLEFTEÅ</t>
        </is>
      </c>
      <c r="F2026" t="inlineStr">
        <is>
          <t>SCA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43049-2024</t>
        </is>
      </c>
      <c r="B2027" s="1" t="n">
        <v>45567</v>
      </c>
      <c r="C2027" s="1" t="n">
        <v>45937</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37325-2025</t>
        </is>
      </c>
      <c r="B2028" s="1" t="n">
        <v>45876.63581018519</v>
      </c>
      <c r="C2028" s="1" t="n">
        <v>45937</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21924-2021</t>
        </is>
      </c>
      <c r="B2029" s="1" t="n">
        <v>44322.91836805556</v>
      </c>
      <c r="C2029" s="1" t="n">
        <v>45937</v>
      </c>
      <c r="D2029" t="inlineStr">
        <is>
          <t>VÄSTERNORRLANDS LÄN</t>
        </is>
      </c>
      <c r="E2029" t="inlineStr">
        <is>
          <t>SOLLEFTEÅ</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37065-2025</t>
        </is>
      </c>
      <c r="B2030" s="1" t="n">
        <v>45875.38619212963</v>
      </c>
      <c r="C2030" s="1" t="n">
        <v>45937</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16511-2025</t>
        </is>
      </c>
      <c r="B2031" s="1" t="n">
        <v>45751</v>
      </c>
      <c r="C2031" s="1" t="n">
        <v>45937</v>
      </c>
      <c r="D2031" t="inlineStr">
        <is>
          <t>VÄSTERNORRLANDS LÄN</t>
        </is>
      </c>
      <c r="E2031" t="inlineStr">
        <is>
          <t>SOLLEFTEÅ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44907-2025</t>
        </is>
      </c>
      <c r="B2032" s="1" t="n">
        <v>45918.531875</v>
      </c>
      <c r="C2032" s="1" t="n">
        <v>45937</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37073-2025</t>
        </is>
      </c>
      <c r="B2033" s="1" t="n">
        <v>45875.40703703704</v>
      </c>
      <c r="C2033" s="1" t="n">
        <v>45937</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48235-2024</t>
        </is>
      </c>
      <c r="B2034" s="1" t="n">
        <v>45590</v>
      </c>
      <c r="C2034" s="1" t="n">
        <v>45937</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49403-2024</t>
        </is>
      </c>
      <c r="B2035" s="1" t="n">
        <v>45595.67730324074</v>
      </c>
      <c r="C2035" s="1" t="n">
        <v>45937</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41829-2025</t>
        </is>
      </c>
      <c r="B2036" s="1" t="n">
        <v>45902</v>
      </c>
      <c r="C2036" s="1" t="n">
        <v>45937</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45593-2025</t>
        </is>
      </c>
      <c r="B2037" s="1" t="n">
        <v>45922.67783564814</v>
      </c>
      <c r="C2037" s="1" t="n">
        <v>45937</v>
      </c>
      <c r="D2037" t="inlineStr">
        <is>
          <t>VÄSTERNORRLANDS LÄN</t>
        </is>
      </c>
      <c r="E2037" t="inlineStr">
        <is>
          <t>SOLLEFTEÅ</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45252-2025</t>
        </is>
      </c>
      <c r="B2038" s="1" t="n">
        <v>45919.61493055556</v>
      </c>
      <c r="C2038" s="1" t="n">
        <v>45937</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6067-2024</t>
        </is>
      </c>
      <c r="B2039" s="1" t="n">
        <v>45336.89018518518</v>
      </c>
      <c r="C2039" s="1" t="n">
        <v>45937</v>
      </c>
      <c r="D2039" t="inlineStr">
        <is>
          <t>VÄSTERNORRLANDS LÄN</t>
        </is>
      </c>
      <c r="E2039" t="inlineStr">
        <is>
          <t>SOLLEFTEÅ</t>
        </is>
      </c>
      <c r="F2039" t="inlineStr">
        <is>
          <t>Övriga Aktiebolag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62507-2022</t>
        </is>
      </c>
      <c r="B2040" s="1" t="n">
        <v>44924</v>
      </c>
      <c r="C2040" s="1" t="n">
        <v>45937</v>
      </c>
      <c r="D2040" t="inlineStr">
        <is>
          <t>VÄSTERNORRLANDS LÄN</t>
        </is>
      </c>
      <c r="E2040" t="inlineStr">
        <is>
          <t>SOLLEFTEÅ</t>
        </is>
      </c>
      <c r="F2040" t="inlineStr">
        <is>
          <t>Holmen skog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45569-2025</t>
        </is>
      </c>
      <c r="B2041" s="1" t="n">
        <v>45922.65694444445</v>
      </c>
      <c r="C2041" s="1" t="n">
        <v>45937</v>
      </c>
      <c r="D2041" t="inlineStr">
        <is>
          <t>VÄSTERNORRLANDS LÄN</t>
        </is>
      </c>
      <c r="E2041" t="inlineStr">
        <is>
          <t>SOLLEFTEÅ</t>
        </is>
      </c>
      <c r="F2041" t="inlineStr">
        <is>
          <t>SCA</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15955-2025</t>
        </is>
      </c>
      <c r="B2042" s="1" t="n">
        <v>45749.5113425926</v>
      </c>
      <c r="C2042" s="1" t="n">
        <v>45937</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64617-2023</t>
        </is>
      </c>
      <c r="B2043" s="1" t="n">
        <v>45281</v>
      </c>
      <c r="C2043" s="1" t="n">
        <v>45937</v>
      </c>
      <c r="D2043" t="inlineStr">
        <is>
          <t>VÄSTERNORRLANDS LÄN</t>
        </is>
      </c>
      <c r="E2043" t="inlineStr">
        <is>
          <t>SOLLEFTEÅ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19814-2022</t>
        </is>
      </c>
      <c r="B2044" s="1" t="n">
        <v>44694.93945601852</v>
      </c>
      <c r="C2044" s="1" t="n">
        <v>45937</v>
      </c>
      <c r="D2044" t="inlineStr">
        <is>
          <t>VÄSTERNORRLANDS LÄN</t>
        </is>
      </c>
      <c r="E2044" t="inlineStr">
        <is>
          <t>SOLLEFTEÅ</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14274-2025</t>
        </is>
      </c>
      <c r="B2045" s="1" t="n">
        <v>45740.64412037037</v>
      </c>
      <c r="C2045" s="1" t="n">
        <v>45937</v>
      </c>
      <c r="D2045" t="inlineStr">
        <is>
          <t>VÄSTERNORRLANDS LÄN</t>
        </is>
      </c>
      <c r="E2045" t="inlineStr">
        <is>
          <t>SOLLEFTEÅ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5001-2023</t>
        </is>
      </c>
      <c r="B2046" s="1" t="n">
        <v>44956</v>
      </c>
      <c r="C2046" s="1" t="n">
        <v>45937</v>
      </c>
      <c r="D2046" t="inlineStr">
        <is>
          <t>VÄSTERNORRLANDS LÄN</t>
        </is>
      </c>
      <c r="E2046" t="inlineStr">
        <is>
          <t>SOLLEFTEÅ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19055-2022</t>
        </is>
      </c>
      <c r="B2047" s="1" t="n">
        <v>44691.42189814815</v>
      </c>
      <c r="C2047" s="1" t="n">
        <v>45937</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5038-2024</t>
        </is>
      </c>
      <c r="B2048" s="1" t="n">
        <v>45329.88456018519</v>
      </c>
      <c r="C2048" s="1" t="n">
        <v>45937</v>
      </c>
      <c r="D2048" t="inlineStr">
        <is>
          <t>VÄSTERNORRLANDS LÄN</t>
        </is>
      </c>
      <c r="E2048" t="inlineStr">
        <is>
          <t>SOLLEFTEÅ</t>
        </is>
      </c>
      <c r="F2048" t="inlineStr">
        <is>
          <t>Övriga Aktiebolag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53278-2021</t>
        </is>
      </c>
      <c r="B2049" s="1" t="n">
        <v>44467</v>
      </c>
      <c r="C2049" s="1" t="n">
        <v>45937</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1848-2024</t>
        </is>
      </c>
      <c r="B2050" s="1" t="n">
        <v>45307</v>
      </c>
      <c r="C2050" s="1" t="n">
        <v>45937</v>
      </c>
      <c r="D2050" t="inlineStr">
        <is>
          <t>VÄSTERNORRLANDS LÄN</t>
        </is>
      </c>
      <c r="E2050" t="inlineStr">
        <is>
          <t>SOLLEFTEÅ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51249-2022</t>
        </is>
      </c>
      <c r="B2051" s="1" t="n">
        <v>44866</v>
      </c>
      <c r="C2051" s="1" t="n">
        <v>45937</v>
      </c>
      <c r="D2051" t="inlineStr">
        <is>
          <t>VÄSTERNORRLANDS LÄN</t>
        </is>
      </c>
      <c r="E2051" t="inlineStr">
        <is>
          <t>SOLLEFTEÅ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34281-2022</t>
        </is>
      </c>
      <c r="B2052" s="1" t="n">
        <v>44791</v>
      </c>
      <c r="C2052" s="1" t="n">
        <v>45937</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55872-2024</t>
        </is>
      </c>
      <c r="B2053" s="1" t="n">
        <v>45623</v>
      </c>
      <c r="C2053" s="1" t="n">
        <v>45937</v>
      </c>
      <c r="D2053" t="inlineStr">
        <is>
          <t>VÄSTERNORRLANDS LÄN</t>
        </is>
      </c>
      <c r="E2053" t="inlineStr">
        <is>
          <t>SOLLEFTEÅ</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37607-2025</t>
        </is>
      </c>
      <c r="B2054" s="1" t="n">
        <v>45880</v>
      </c>
      <c r="C2054" s="1" t="n">
        <v>45937</v>
      </c>
      <c r="D2054" t="inlineStr">
        <is>
          <t>VÄSTERNORRLANDS LÄN</t>
        </is>
      </c>
      <c r="E2054" t="inlineStr">
        <is>
          <t>SOLLEFTEÅ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45236-2025</t>
        </is>
      </c>
      <c r="B2055" s="1" t="n">
        <v>45919.59450231482</v>
      </c>
      <c r="C2055" s="1" t="n">
        <v>45937</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13697-2023</t>
        </is>
      </c>
      <c r="B2056" s="1" t="n">
        <v>45006.94445601852</v>
      </c>
      <c r="C2056" s="1" t="n">
        <v>45937</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13499-2023</t>
        </is>
      </c>
      <c r="B2057" s="1" t="n">
        <v>45005</v>
      </c>
      <c r="C2057" s="1" t="n">
        <v>45937</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33743-2025</t>
        </is>
      </c>
      <c r="B2058" s="1" t="n">
        <v>45842.34496527778</v>
      </c>
      <c r="C2058" s="1" t="n">
        <v>45937</v>
      </c>
      <c r="D2058" t="inlineStr">
        <is>
          <t>VÄSTERNORRLANDS LÄN</t>
        </is>
      </c>
      <c r="E2058" t="inlineStr">
        <is>
          <t>SOLLEFTEÅ</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7003-2025</t>
        </is>
      </c>
      <c r="B2059" s="1" t="n">
        <v>45701</v>
      </c>
      <c r="C2059" s="1" t="n">
        <v>45937</v>
      </c>
      <c r="D2059" t="inlineStr">
        <is>
          <t>VÄSTERNORRLANDS LÄN</t>
        </is>
      </c>
      <c r="E2059" t="inlineStr">
        <is>
          <t>SOLLEFTEÅ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41434-2024</t>
        </is>
      </c>
      <c r="B2060" s="1" t="n">
        <v>45560</v>
      </c>
      <c r="C2060" s="1" t="n">
        <v>45937</v>
      </c>
      <c r="D2060" t="inlineStr">
        <is>
          <t>VÄSTERNORRLANDS LÄN</t>
        </is>
      </c>
      <c r="E2060" t="inlineStr">
        <is>
          <t>SOLLEFTEÅ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37581-2025</t>
        </is>
      </c>
      <c r="B2061" s="1" t="n">
        <v>45880.38623842593</v>
      </c>
      <c r="C2061" s="1" t="n">
        <v>45937</v>
      </c>
      <c r="D2061" t="inlineStr">
        <is>
          <t>VÄSTERNORRLANDS LÄN</t>
        </is>
      </c>
      <c r="E2061" t="inlineStr">
        <is>
          <t>SOLLEFTEÅ</t>
        </is>
      </c>
      <c r="G2061" t="n">
        <v>9.5</v>
      </c>
      <c r="H2061" t="n">
        <v>0</v>
      </c>
      <c r="I2061" t="n">
        <v>0</v>
      </c>
      <c r="J2061" t="n">
        <v>0</v>
      </c>
      <c r="K2061" t="n">
        <v>0</v>
      </c>
      <c r="L2061" t="n">
        <v>0</v>
      </c>
      <c r="M2061" t="n">
        <v>0</v>
      </c>
      <c r="N2061" t="n">
        <v>0</v>
      </c>
      <c r="O2061" t="n">
        <v>0</v>
      </c>
      <c r="P2061" t="n">
        <v>0</v>
      </c>
      <c r="Q2061" t="n">
        <v>0</v>
      </c>
      <c r="R2061" s="2" t="inlineStr"/>
    </row>
    <row r="2062" ht="15" customHeight="1">
      <c r="A2062" t="inlineStr">
        <is>
          <t>A 16253-2024</t>
        </is>
      </c>
      <c r="B2062" s="1" t="n">
        <v>45407.0587962963</v>
      </c>
      <c r="C2062" s="1" t="n">
        <v>45937</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6474-2023</t>
        </is>
      </c>
      <c r="B2063" s="1" t="n">
        <v>44965.94128472222</v>
      </c>
      <c r="C2063" s="1" t="n">
        <v>45937</v>
      </c>
      <c r="D2063" t="inlineStr">
        <is>
          <t>VÄSTERNORRLANDS LÄN</t>
        </is>
      </c>
      <c r="E2063" t="inlineStr">
        <is>
          <t>SOLLEFTEÅ</t>
        </is>
      </c>
      <c r="F2063" t="inlineStr">
        <is>
          <t>SCA</t>
        </is>
      </c>
      <c r="G2063" t="n">
        <v>47.3</v>
      </c>
      <c r="H2063" t="n">
        <v>0</v>
      </c>
      <c r="I2063" t="n">
        <v>0</v>
      </c>
      <c r="J2063" t="n">
        <v>0</v>
      </c>
      <c r="K2063" t="n">
        <v>0</v>
      </c>
      <c r="L2063" t="n">
        <v>0</v>
      </c>
      <c r="M2063" t="n">
        <v>0</v>
      </c>
      <c r="N2063" t="n">
        <v>0</v>
      </c>
      <c r="O2063" t="n">
        <v>0</v>
      </c>
      <c r="P2063" t="n">
        <v>0</v>
      </c>
      <c r="Q2063" t="n">
        <v>0</v>
      </c>
      <c r="R2063" s="2" t="inlineStr"/>
    </row>
    <row r="2064" ht="15" customHeight="1">
      <c r="A2064" t="inlineStr">
        <is>
          <t>A 35469-2024</t>
        </is>
      </c>
      <c r="B2064" s="1" t="n">
        <v>45531</v>
      </c>
      <c r="C2064" s="1" t="n">
        <v>45937</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8652-2024</t>
        </is>
      </c>
      <c r="B2065" s="1" t="n">
        <v>45356</v>
      </c>
      <c r="C2065" s="1" t="n">
        <v>45937</v>
      </c>
      <c r="D2065" t="inlineStr">
        <is>
          <t>VÄSTERNORRLANDS LÄN</t>
        </is>
      </c>
      <c r="E2065" t="inlineStr">
        <is>
          <t>SOLLEFTEÅ</t>
        </is>
      </c>
      <c r="F2065" t="inlineStr">
        <is>
          <t>SCA</t>
        </is>
      </c>
      <c r="G2065" t="n">
        <v>38.6</v>
      </c>
      <c r="H2065" t="n">
        <v>0</v>
      </c>
      <c r="I2065" t="n">
        <v>0</v>
      </c>
      <c r="J2065" t="n">
        <v>0</v>
      </c>
      <c r="K2065" t="n">
        <v>0</v>
      </c>
      <c r="L2065" t="n">
        <v>0</v>
      </c>
      <c r="M2065" t="n">
        <v>0</v>
      </c>
      <c r="N2065" t="n">
        <v>0</v>
      </c>
      <c r="O2065" t="n">
        <v>0</v>
      </c>
      <c r="P2065" t="n">
        <v>0</v>
      </c>
      <c r="Q2065" t="n">
        <v>0</v>
      </c>
      <c r="R2065" s="2" t="inlineStr"/>
    </row>
    <row r="2066" ht="15" customHeight="1">
      <c r="A2066" t="inlineStr">
        <is>
          <t>A 50615-2023</t>
        </is>
      </c>
      <c r="B2066" s="1" t="n">
        <v>45217</v>
      </c>
      <c r="C2066" s="1" t="n">
        <v>45937</v>
      </c>
      <c r="D2066" t="inlineStr">
        <is>
          <t>VÄSTERNORRLANDS LÄN</t>
        </is>
      </c>
      <c r="E2066" t="inlineStr">
        <is>
          <t>SOLLEFTEÅ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25314-2023</t>
        </is>
      </c>
      <c r="B2067" s="1" t="n">
        <v>45086</v>
      </c>
      <c r="C2067" s="1" t="n">
        <v>45937</v>
      </c>
      <c r="D2067" t="inlineStr">
        <is>
          <t>VÄSTERNORRLANDS LÄN</t>
        </is>
      </c>
      <c r="E2067" t="inlineStr">
        <is>
          <t>SOLLEFTEÅ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61081-2023</t>
        </is>
      </c>
      <c r="B2068" s="1" t="n">
        <v>45261</v>
      </c>
      <c r="C2068" s="1" t="n">
        <v>45937</v>
      </c>
      <c r="D2068" t="inlineStr">
        <is>
          <t>VÄSTERNORRLANDS LÄN</t>
        </is>
      </c>
      <c r="E2068" t="inlineStr">
        <is>
          <t>SOLLEFTEÅ</t>
        </is>
      </c>
      <c r="F2068" t="inlineStr">
        <is>
          <t>Holmen skog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44661-2024</t>
        </is>
      </c>
      <c r="B2069" s="1" t="n">
        <v>45574.53180555555</v>
      </c>
      <c r="C2069" s="1" t="n">
        <v>45937</v>
      </c>
      <c r="D2069" t="inlineStr">
        <is>
          <t>VÄSTERNORRLANDS LÄN</t>
        </is>
      </c>
      <c r="E2069" t="inlineStr">
        <is>
          <t>SOLLEFTEÅ</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60757-2021</t>
        </is>
      </c>
      <c r="B2070" s="1" t="n">
        <v>44496.92101851852</v>
      </c>
      <c r="C2070" s="1" t="n">
        <v>45937</v>
      </c>
      <c r="D2070" t="inlineStr">
        <is>
          <t>VÄSTERNORRLANDS LÄN</t>
        </is>
      </c>
      <c r="E2070" t="inlineStr">
        <is>
          <t>SOLLEFTEÅ</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53545-2024</t>
        </is>
      </c>
      <c r="B2071" s="1" t="n">
        <v>45614.6370949074</v>
      </c>
      <c r="C2071" s="1" t="n">
        <v>45937</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53939-2023</t>
        </is>
      </c>
      <c r="B2072" s="1" t="n">
        <v>45224</v>
      </c>
      <c r="C2072" s="1" t="n">
        <v>45937</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45340-2025</t>
        </is>
      </c>
      <c r="B2073" s="1" t="n">
        <v>45922.34421296296</v>
      </c>
      <c r="C2073" s="1" t="n">
        <v>45937</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6236-2023</t>
        </is>
      </c>
      <c r="B2074" s="1" t="n">
        <v>44964</v>
      </c>
      <c r="C2074" s="1" t="n">
        <v>45937</v>
      </c>
      <c r="D2074" t="inlineStr">
        <is>
          <t>VÄSTERNORRLANDS LÄN</t>
        </is>
      </c>
      <c r="E2074" t="inlineStr">
        <is>
          <t>SOLLEFTEÅ</t>
        </is>
      </c>
      <c r="F2074" t="inlineStr">
        <is>
          <t>SCA</t>
        </is>
      </c>
      <c r="G2074" t="n">
        <v>0.1</v>
      </c>
      <c r="H2074" t="n">
        <v>0</v>
      </c>
      <c r="I2074" t="n">
        <v>0</v>
      </c>
      <c r="J2074" t="n">
        <v>0</v>
      </c>
      <c r="K2074" t="n">
        <v>0</v>
      </c>
      <c r="L2074" t="n">
        <v>0</v>
      </c>
      <c r="M2074" t="n">
        <v>0</v>
      </c>
      <c r="N2074" t="n">
        <v>0</v>
      </c>
      <c r="O2074" t="n">
        <v>0</v>
      </c>
      <c r="P2074" t="n">
        <v>0</v>
      </c>
      <c r="Q2074" t="n">
        <v>0</v>
      </c>
      <c r="R2074" s="2" t="inlineStr"/>
      <c r="U2074">
        <f>HYPERLINK("https://klasma.github.io/Logging_2283/knärot/A 6236-2023 karta knärot.png", "A 6236-2023")</f>
        <v/>
      </c>
      <c r="V2074">
        <f>HYPERLINK("https://klasma.github.io/Logging_2283/klagomål/A 6236-2023 FSC-klagomål.docx", "A 6236-2023")</f>
        <v/>
      </c>
      <c r="W2074">
        <f>HYPERLINK("https://klasma.github.io/Logging_2283/klagomålsmail/A 6236-2023 FSC-klagomål mail.docx", "A 6236-2023")</f>
        <v/>
      </c>
      <c r="X2074">
        <f>HYPERLINK("https://klasma.github.io/Logging_2283/tillsyn/A 6236-2023 tillsynsbegäran.docx", "A 6236-2023")</f>
        <v/>
      </c>
      <c r="Y2074">
        <f>HYPERLINK("https://klasma.github.io/Logging_2283/tillsynsmail/A 6236-2023 tillsynsbegäran mail.docx", "A 6236-2023")</f>
        <v/>
      </c>
    </row>
    <row r="2075" ht="15" customHeight="1">
      <c r="A2075" t="inlineStr">
        <is>
          <t>A 7332-2023</t>
        </is>
      </c>
      <c r="B2075" s="1" t="n">
        <v>44970</v>
      </c>
      <c r="C2075" s="1" t="n">
        <v>45937</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52471-2024</t>
        </is>
      </c>
      <c r="B2076" s="1" t="n">
        <v>45609.53076388889</v>
      </c>
      <c r="C2076" s="1" t="n">
        <v>45937</v>
      </c>
      <c r="D2076" t="inlineStr">
        <is>
          <t>VÄSTERNORRLANDS LÄN</t>
        </is>
      </c>
      <c r="E2076" t="inlineStr">
        <is>
          <t>SOLLEFTEÅ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45952-2025</t>
        </is>
      </c>
      <c r="B2077" s="1" t="n">
        <v>45924.34430555555</v>
      </c>
      <c r="C2077" s="1" t="n">
        <v>45937</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48606-2024</t>
        </is>
      </c>
      <c r="B2078" s="1" t="n">
        <v>45593.4485300926</v>
      </c>
      <c r="C2078" s="1" t="n">
        <v>45937</v>
      </c>
      <c r="D2078" t="inlineStr">
        <is>
          <t>VÄSTERNORRLANDS LÄN</t>
        </is>
      </c>
      <c r="E2078" t="inlineStr">
        <is>
          <t>SOLLEFTEÅ</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45977-2025</t>
        </is>
      </c>
      <c r="B2079" s="1" t="n">
        <v>45924.37170138889</v>
      </c>
      <c r="C2079" s="1" t="n">
        <v>45937</v>
      </c>
      <c r="D2079" t="inlineStr">
        <is>
          <t>VÄSTERNORRLANDS LÄN</t>
        </is>
      </c>
      <c r="E2079" t="inlineStr">
        <is>
          <t>SOLLEFTEÅ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53212-2024</t>
        </is>
      </c>
      <c r="B2080" s="1" t="n">
        <v>45612.63576388889</v>
      </c>
      <c r="C2080" s="1" t="n">
        <v>45937</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14308-2022</t>
        </is>
      </c>
      <c r="B2081" s="1" t="n">
        <v>44651.93954861111</v>
      </c>
      <c r="C2081" s="1" t="n">
        <v>45937</v>
      </c>
      <c r="D2081" t="inlineStr">
        <is>
          <t>VÄSTERNORRLANDS LÄN</t>
        </is>
      </c>
      <c r="E2081" t="inlineStr">
        <is>
          <t>SOLLEFTEÅ</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29693-2024</t>
        </is>
      </c>
      <c r="B2082" s="1" t="n">
        <v>45484.94490740741</v>
      </c>
      <c r="C2082" s="1" t="n">
        <v>45937</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8414-2024</t>
        </is>
      </c>
      <c r="B2083" s="1" t="n">
        <v>45352</v>
      </c>
      <c r="C2083" s="1" t="n">
        <v>45937</v>
      </c>
      <c r="D2083" t="inlineStr">
        <is>
          <t>VÄSTERNORRLANDS LÄN</t>
        </is>
      </c>
      <c r="E2083" t="inlineStr">
        <is>
          <t>SOLLEFTEÅ</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41502-2025</t>
        </is>
      </c>
      <c r="B2084" s="1" t="n">
        <v>45901</v>
      </c>
      <c r="C2084" s="1" t="n">
        <v>45937</v>
      </c>
      <c r="D2084" t="inlineStr">
        <is>
          <t>VÄSTERNORRLANDS LÄN</t>
        </is>
      </c>
      <c r="E2084" t="inlineStr">
        <is>
          <t>SOLLEFTEÅ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42778-2025</t>
        </is>
      </c>
      <c r="B2085" s="1" t="n">
        <v>45908</v>
      </c>
      <c r="C2085" s="1" t="n">
        <v>45937</v>
      </c>
      <c r="D2085" t="inlineStr">
        <is>
          <t>VÄSTERNORRLANDS LÄN</t>
        </is>
      </c>
      <c r="E2085" t="inlineStr">
        <is>
          <t>SOLLEFTEÅ</t>
        </is>
      </c>
      <c r="F2085" t="inlineStr">
        <is>
          <t>Holmen skog AB</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32735-2023</t>
        </is>
      </c>
      <c r="B2086" s="1" t="n">
        <v>45121</v>
      </c>
      <c r="C2086" s="1" t="n">
        <v>45937</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19749-2025</t>
        </is>
      </c>
      <c r="B2087" s="1" t="n">
        <v>45771.38582175926</v>
      </c>
      <c r="C2087" s="1" t="n">
        <v>45937</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46174-2025</t>
        </is>
      </c>
      <c r="B2088" s="1" t="n">
        <v>45924.64704861111</v>
      </c>
      <c r="C2088" s="1" t="n">
        <v>45937</v>
      </c>
      <c r="D2088" t="inlineStr">
        <is>
          <t>VÄSTERNORRLANDS LÄN</t>
        </is>
      </c>
      <c r="E2088" t="inlineStr">
        <is>
          <t>SOLLEFTEÅ</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10138-2022</t>
        </is>
      </c>
      <c r="B2089" s="1" t="n">
        <v>44621.94612268519</v>
      </c>
      <c r="C2089" s="1" t="n">
        <v>45937</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29246-2025</t>
        </is>
      </c>
      <c r="B2090" s="1" t="n">
        <v>45824</v>
      </c>
      <c r="C2090" s="1" t="n">
        <v>45937</v>
      </c>
      <c r="D2090" t="inlineStr">
        <is>
          <t>VÄSTERNORRLANDS LÄN</t>
        </is>
      </c>
      <c r="E2090" t="inlineStr">
        <is>
          <t>SOLLEFTEÅ</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49771-2024</t>
        </is>
      </c>
      <c r="B2091" s="1" t="n">
        <v>45597.34481481482</v>
      </c>
      <c r="C2091" s="1" t="n">
        <v>45937</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49772-2024</t>
        </is>
      </c>
      <c r="B2092" s="1" t="n">
        <v>45597.34483796296</v>
      </c>
      <c r="C2092" s="1" t="n">
        <v>45937</v>
      </c>
      <c r="D2092" t="inlineStr">
        <is>
          <t>VÄSTERNORRLANDS LÄN</t>
        </is>
      </c>
      <c r="E2092" t="inlineStr">
        <is>
          <t>SOLLEFTEÅ</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62827-2023</t>
        </is>
      </c>
      <c r="B2093" s="1" t="n">
        <v>45271.92690972222</v>
      </c>
      <c r="C2093" s="1" t="n">
        <v>45937</v>
      </c>
      <c r="D2093" t="inlineStr">
        <is>
          <t>VÄSTERNORRLANDS LÄN</t>
        </is>
      </c>
      <c r="E2093" t="inlineStr">
        <is>
          <t>SOLLEFTEÅ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37801-2025</t>
        </is>
      </c>
      <c r="B2094" s="1" t="n">
        <v>45881.34436342592</v>
      </c>
      <c r="C2094" s="1" t="n">
        <v>45937</v>
      </c>
      <c r="D2094" t="inlineStr">
        <is>
          <t>VÄSTERNORRLANDS LÄN</t>
        </is>
      </c>
      <c r="E2094" t="inlineStr">
        <is>
          <t>SOLLEFTEÅ</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12730-2023</t>
        </is>
      </c>
      <c r="B2095" s="1" t="n">
        <v>45000.92381944445</v>
      </c>
      <c r="C2095" s="1" t="n">
        <v>45937</v>
      </c>
      <c r="D2095" t="inlineStr">
        <is>
          <t>VÄSTERNORRLANDS LÄN</t>
        </is>
      </c>
      <c r="E2095" t="inlineStr">
        <is>
          <t>SOLLEFTEÅ</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12733-2023</t>
        </is>
      </c>
      <c r="B2096" s="1" t="n">
        <v>45000</v>
      </c>
      <c r="C2096" s="1" t="n">
        <v>45937</v>
      </c>
      <c r="D2096" t="inlineStr">
        <is>
          <t>VÄSTERNORRLANDS LÄN</t>
        </is>
      </c>
      <c r="E2096" t="inlineStr">
        <is>
          <t>SOLLEFTEÅ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5036-2024</t>
        </is>
      </c>
      <c r="B2097" s="1" t="n">
        <v>45329.87555555555</v>
      </c>
      <c r="C2097" s="1" t="n">
        <v>45937</v>
      </c>
      <c r="D2097" t="inlineStr">
        <is>
          <t>VÄSTERNORRLANDS LÄN</t>
        </is>
      </c>
      <c r="E2097" t="inlineStr">
        <is>
          <t>SOLLEFTEÅ</t>
        </is>
      </c>
      <c r="F2097" t="inlineStr">
        <is>
          <t>Övriga Aktiebolag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12752-2023</t>
        </is>
      </c>
      <c r="B2098" s="1" t="n">
        <v>45000.94854166666</v>
      </c>
      <c r="C2098" s="1" t="n">
        <v>45937</v>
      </c>
      <c r="D2098" t="inlineStr">
        <is>
          <t>VÄSTERNORRLANDS LÄN</t>
        </is>
      </c>
      <c r="E2098" t="inlineStr">
        <is>
          <t>SOLLEFTEÅ</t>
        </is>
      </c>
      <c r="F2098" t="inlineStr">
        <is>
          <t>SCA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38190-2025</t>
        </is>
      </c>
      <c r="B2099" s="1" t="n">
        <v>45882.65680555555</v>
      </c>
      <c r="C2099" s="1" t="n">
        <v>45937</v>
      </c>
      <c r="D2099" t="inlineStr">
        <is>
          <t>VÄSTERNORRLANDS LÄN</t>
        </is>
      </c>
      <c r="E2099" t="inlineStr">
        <is>
          <t>SOLLEFTEÅ</t>
        </is>
      </c>
      <c r="F2099" t="inlineStr">
        <is>
          <t>SCA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59583-2023</t>
        </is>
      </c>
      <c r="B2100" s="1" t="n">
        <v>45254.60587962963</v>
      </c>
      <c r="C2100" s="1" t="n">
        <v>45937</v>
      </c>
      <c r="D2100" t="inlineStr">
        <is>
          <t>VÄSTERNORRLANDS LÄN</t>
        </is>
      </c>
      <c r="E2100" t="inlineStr">
        <is>
          <t>SOLLEFTEÅ</t>
        </is>
      </c>
      <c r="F2100" t="inlineStr">
        <is>
          <t>Holmen skog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18187-2022</t>
        </is>
      </c>
      <c r="B2101" s="1" t="n">
        <v>44684</v>
      </c>
      <c r="C2101" s="1" t="n">
        <v>45937</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29290-2022</t>
        </is>
      </c>
      <c r="B2102" s="1" t="n">
        <v>44750</v>
      </c>
      <c r="C2102" s="1" t="n">
        <v>45937</v>
      </c>
      <c r="D2102" t="inlineStr">
        <is>
          <t>VÄSTERNORRLANDS LÄN</t>
        </is>
      </c>
      <c r="E2102" t="inlineStr">
        <is>
          <t>SOLLEFTEÅ</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46003-2025</t>
        </is>
      </c>
      <c r="B2103" s="1" t="n">
        <v>45924.40726851852</v>
      </c>
      <c r="C2103" s="1" t="n">
        <v>45937</v>
      </c>
      <c r="D2103" t="inlineStr">
        <is>
          <t>VÄSTERNORRLANDS LÄN</t>
        </is>
      </c>
      <c r="E2103" t="inlineStr">
        <is>
          <t>SOLLEFTEÅ</t>
        </is>
      </c>
      <c r="F2103" t="inlineStr">
        <is>
          <t>SCA</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33628-2024</t>
        </is>
      </c>
      <c r="B2104" s="1" t="n">
        <v>45520.4302662037</v>
      </c>
      <c r="C2104" s="1" t="n">
        <v>45937</v>
      </c>
      <c r="D2104" t="inlineStr">
        <is>
          <t>VÄSTERNORRLANDS LÄN</t>
        </is>
      </c>
      <c r="E2104" t="inlineStr">
        <is>
          <t>SOLLEFTEÅ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42789-2025</t>
        </is>
      </c>
      <c r="B2105" s="1" t="n">
        <v>45908</v>
      </c>
      <c r="C2105" s="1" t="n">
        <v>45937</v>
      </c>
      <c r="D2105" t="inlineStr">
        <is>
          <t>VÄSTERNORRLANDS LÄN</t>
        </is>
      </c>
      <c r="E2105" t="inlineStr">
        <is>
          <t>SOLLEFTEÅ</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42806-2025</t>
        </is>
      </c>
      <c r="B2106" s="1" t="n">
        <v>45908</v>
      </c>
      <c r="C2106" s="1" t="n">
        <v>45937</v>
      </c>
      <c r="D2106" t="inlineStr">
        <is>
          <t>VÄSTERNORRLANDS LÄN</t>
        </is>
      </c>
      <c r="E2106" t="inlineStr">
        <is>
          <t>SOLLEFTEÅ</t>
        </is>
      </c>
      <c r="F2106" t="inlineStr">
        <is>
          <t>Holmen skog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4857-2024</t>
        </is>
      </c>
      <c r="B2107" s="1" t="n">
        <v>45329</v>
      </c>
      <c r="C2107" s="1" t="n">
        <v>45937</v>
      </c>
      <c r="D2107" t="inlineStr">
        <is>
          <t>VÄSTERNORRLANDS LÄN</t>
        </is>
      </c>
      <c r="E2107" t="inlineStr">
        <is>
          <t>SOLLEFTEÅ</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19407-2025</t>
        </is>
      </c>
      <c r="B2108" s="1" t="n">
        <v>45769.67832175926</v>
      </c>
      <c r="C2108" s="1" t="n">
        <v>45937</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22672-2024</t>
        </is>
      </c>
      <c r="B2109" s="1" t="n">
        <v>45447.94486111111</v>
      </c>
      <c r="C2109" s="1" t="n">
        <v>45937</v>
      </c>
      <c r="D2109" t="inlineStr">
        <is>
          <t>VÄSTERNORRLANDS LÄN</t>
        </is>
      </c>
      <c r="E2109" t="inlineStr">
        <is>
          <t>SOLLEFTEÅ</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51006-2022</t>
        </is>
      </c>
      <c r="B2110" s="1" t="n">
        <v>44867</v>
      </c>
      <c r="C2110" s="1" t="n">
        <v>45937</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48019-2024</t>
        </is>
      </c>
      <c r="B2111" s="1" t="n">
        <v>45589.47023148148</v>
      </c>
      <c r="C2111" s="1" t="n">
        <v>45937</v>
      </c>
      <c r="D2111" t="inlineStr">
        <is>
          <t>VÄSTERNORRLANDS LÄN</t>
        </is>
      </c>
      <c r="E2111" t="inlineStr">
        <is>
          <t>SOLLEFTEÅ</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27025-2024</t>
        </is>
      </c>
      <c r="B2112" s="1" t="n">
        <v>45471.42071759259</v>
      </c>
      <c r="C2112" s="1" t="n">
        <v>45937</v>
      </c>
      <c r="D2112" t="inlineStr">
        <is>
          <t>VÄSTERNORRLANDS LÄN</t>
        </is>
      </c>
      <c r="E2112" t="inlineStr">
        <is>
          <t>SOLLEFTEÅ</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10925-2022</t>
        </is>
      </c>
      <c r="B2113" s="1" t="n">
        <v>44627.9444212963</v>
      </c>
      <c r="C2113" s="1" t="n">
        <v>45937</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10926-2022</t>
        </is>
      </c>
      <c r="B2114" s="1" t="n">
        <v>44627.94447916667</v>
      </c>
      <c r="C2114" s="1" t="n">
        <v>45937</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47955-2024</t>
        </is>
      </c>
      <c r="B2115" s="1" t="n">
        <v>45589.3703125</v>
      </c>
      <c r="C2115" s="1" t="n">
        <v>45937</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13252-2023</t>
        </is>
      </c>
      <c r="B2116" s="1" t="n">
        <v>45002</v>
      </c>
      <c r="C2116" s="1" t="n">
        <v>45937</v>
      </c>
      <c r="D2116" t="inlineStr">
        <is>
          <t>VÄSTERNORRLANDS LÄN</t>
        </is>
      </c>
      <c r="E2116" t="inlineStr">
        <is>
          <t>SOLLEFTEÅ</t>
        </is>
      </c>
      <c r="F2116" t="inlineStr">
        <is>
          <t>SCA</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62038-2024</t>
        </is>
      </c>
      <c r="B2117" s="1" t="n">
        <v>45656.34410879629</v>
      </c>
      <c r="C2117" s="1" t="n">
        <v>45937</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1416-2025</t>
        </is>
      </c>
      <c r="B2118" s="1" t="n">
        <v>45668</v>
      </c>
      <c r="C2118" s="1" t="n">
        <v>45937</v>
      </c>
      <c r="D2118" t="inlineStr">
        <is>
          <t>VÄSTERNORRLANDS LÄN</t>
        </is>
      </c>
      <c r="E2118" t="inlineStr">
        <is>
          <t>SOLLEFTEÅ</t>
        </is>
      </c>
      <c r="G2118" t="n">
        <v>21.3</v>
      </c>
      <c r="H2118" t="n">
        <v>0</v>
      </c>
      <c r="I2118" t="n">
        <v>0</v>
      </c>
      <c r="J2118" t="n">
        <v>0</v>
      </c>
      <c r="K2118" t="n">
        <v>0</v>
      </c>
      <c r="L2118" t="n">
        <v>0</v>
      </c>
      <c r="M2118" t="n">
        <v>0</v>
      </c>
      <c r="N2118" t="n">
        <v>0</v>
      </c>
      <c r="O2118" t="n">
        <v>0</v>
      </c>
      <c r="P2118" t="n">
        <v>0</v>
      </c>
      <c r="Q2118" t="n">
        <v>0</v>
      </c>
      <c r="R2118" s="2" t="inlineStr"/>
    </row>
    <row r="2119" ht="15" customHeight="1">
      <c r="A2119" t="inlineStr">
        <is>
          <t>A 60856-2022</t>
        </is>
      </c>
      <c r="B2119" s="1" t="n">
        <v>44907</v>
      </c>
      <c r="C2119" s="1" t="n">
        <v>45937</v>
      </c>
      <c r="D2119" t="inlineStr">
        <is>
          <t>VÄSTERNORRLANDS LÄN</t>
        </is>
      </c>
      <c r="E2119" t="inlineStr">
        <is>
          <t>SOLLEFTEÅ</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2816-2024</t>
        </is>
      </c>
      <c r="B2120" s="1" t="n">
        <v>45314</v>
      </c>
      <c r="C2120" s="1" t="n">
        <v>45937</v>
      </c>
      <c r="D2120" t="inlineStr">
        <is>
          <t>VÄSTERNORRLANDS LÄN</t>
        </is>
      </c>
      <c r="E2120" t="inlineStr">
        <is>
          <t>SOLLEFTEÅ</t>
        </is>
      </c>
      <c r="F2120" t="inlineStr">
        <is>
          <t>Holmen skog AB</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5134-2022</t>
        </is>
      </c>
      <c r="B2121" s="1" t="n">
        <v>44594</v>
      </c>
      <c r="C2121" s="1" t="n">
        <v>45937</v>
      </c>
      <c r="D2121" t="inlineStr">
        <is>
          <t>VÄSTERNORRLANDS LÄN</t>
        </is>
      </c>
      <c r="E2121" t="inlineStr">
        <is>
          <t>SOLLEFTEÅ</t>
        </is>
      </c>
      <c r="G2121" t="n">
        <v>20.4</v>
      </c>
      <c r="H2121" t="n">
        <v>0</v>
      </c>
      <c r="I2121" t="n">
        <v>0</v>
      </c>
      <c r="J2121" t="n">
        <v>0</v>
      </c>
      <c r="K2121" t="n">
        <v>0</v>
      </c>
      <c r="L2121" t="n">
        <v>0</v>
      </c>
      <c r="M2121" t="n">
        <v>0</v>
      </c>
      <c r="N2121" t="n">
        <v>0</v>
      </c>
      <c r="O2121" t="n">
        <v>0</v>
      </c>
      <c r="P2121" t="n">
        <v>0</v>
      </c>
      <c r="Q2121" t="n">
        <v>0</v>
      </c>
      <c r="R2121" s="2" t="inlineStr"/>
    </row>
    <row r="2122" ht="15" customHeight="1">
      <c r="A2122" t="inlineStr">
        <is>
          <t>A 3080-2025</t>
        </is>
      </c>
      <c r="B2122" s="1" t="n">
        <v>45678</v>
      </c>
      <c r="C2122" s="1" t="n">
        <v>45937</v>
      </c>
      <c r="D2122" t="inlineStr">
        <is>
          <t>VÄSTERNORRLANDS LÄN</t>
        </is>
      </c>
      <c r="E2122" t="inlineStr">
        <is>
          <t>SOLLEFTEÅ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1082-2025</t>
        </is>
      </c>
      <c r="B2123" s="1" t="n">
        <v>45666.61646990741</v>
      </c>
      <c r="C2123" s="1" t="n">
        <v>45937</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1096-2025</t>
        </is>
      </c>
      <c r="B2124" s="1" t="n">
        <v>45666</v>
      </c>
      <c r="C2124" s="1" t="n">
        <v>45937</v>
      </c>
      <c r="D2124" t="inlineStr">
        <is>
          <t>VÄSTERNORRLANDS LÄN</t>
        </is>
      </c>
      <c r="E2124" t="inlineStr">
        <is>
          <t>SOLLEFTEÅ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3324-2025</t>
        </is>
      </c>
      <c r="B2125" s="1" t="n">
        <v>45679.69924768519</v>
      </c>
      <c r="C2125" s="1" t="n">
        <v>45937</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13567-2023</t>
        </is>
      </c>
      <c r="B2126" s="1" t="n">
        <v>45005</v>
      </c>
      <c r="C2126" s="1" t="n">
        <v>45937</v>
      </c>
      <c r="D2126" t="inlineStr">
        <is>
          <t>VÄSTERNORRLANDS LÄN</t>
        </is>
      </c>
      <c r="E2126" t="inlineStr">
        <is>
          <t>SOLLEFTEÅ</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13570-2023</t>
        </is>
      </c>
      <c r="B2127" s="1" t="n">
        <v>45005</v>
      </c>
      <c r="C2127" s="1" t="n">
        <v>45937</v>
      </c>
      <c r="D2127" t="inlineStr">
        <is>
          <t>VÄSTERNORRLANDS LÄN</t>
        </is>
      </c>
      <c r="E2127" t="inlineStr">
        <is>
          <t>SOLLEFTEÅ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37696-2023</t>
        </is>
      </c>
      <c r="B2128" s="1" t="n">
        <v>45156</v>
      </c>
      <c r="C2128" s="1" t="n">
        <v>45937</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48490-2024</t>
        </is>
      </c>
      <c r="B2129" s="1" t="n">
        <v>45592</v>
      </c>
      <c r="C2129" s="1" t="n">
        <v>45937</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48491-2024</t>
        </is>
      </c>
      <c r="B2130" s="1" t="n">
        <v>45592</v>
      </c>
      <c r="C2130" s="1" t="n">
        <v>45937</v>
      </c>
      <c r="D2130" t="inlineStr">
        <is>
          <t>VÄSTERNORRLANDS LÄN</t>
        </is>
      </c>
      <c r="E2130" t="inlineStr">
        <is>
          <t>SOLLEFTEÅ</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51341-2024</t>
        </is>
      </c>
      <c r="B2131" s="1" t="n">
        <v>45604.34481481482</v>
      </c>
      <c r="C2131" s="1" t="n">
        <v>45937</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4253-2025</t>
        </is>
      </c>
      <c r="B2132" s="1" t="n">
        <v>45685.61232638889</v>
      </c>
      <c r="C2132" s="1" t="n">
        <v>45937</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13942-2024</t>
        </is>
      </c>
      <c r="B2133" s="1" t="n">
        <v>45391.9540162037</v>
      </c>
      <c r="C2133" s="1" t="n">
        <v>45937</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38092-2025</t>
        </is>
      </c>
      <c r="B2134" s="1" t="n">
        <v>45882.49005787037</v>
      </c>
      <c r="C2134" s="1" t="n">
        <v>45937</v>
      </c>
      <c r="D2134" t="inlineStr">
        <is>
          <t>VÄSTERNORRLANDS LÄN</t>
        </is>
      </c>
      <c r="E2134" t="inlineStr">
        <is>
          <t>SOLLEFTEÅ</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21364-2024</t>
        </is>
      </c>
      <c r="B2135" s="1" t="n">
        <v>45440.95248842592</v>
      </c>
      <c r="C2135" s="1" t="n">
        <v>45937</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36211-2023</t>
        </is>
      </c>
      <c r="B2136" s="1" t="n">
        <v>45149.95234953704</v>
      </c>
      <c r="C2136" s="1" t="n">
        <v>45937</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45978-2025</t>
        </is>
      </c>
      <c r="B2137" s="1" t="n">
        <v>45924.37491898148</v>
      </c>
      <c r="C2137" s="1" t="n">
        <v>45937</v>
      </c>
      <c r="D2137" t="inlineStr">
        <is>
          <t>VÄSTERNORRLANDS LÄN</t>
        </is>
      </c>
      <c r="E2137" t="inlineStr">
        <is>
          <t>SOLLEFTEÅ</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13554-2023</t>
        </is>
      </c>
      <c r="B2138" s="1" t="n">
        <v>45005</v>
      </c>
      <c r="C2138" s="1" t="n">
        <v>45937</v>
      </c>
      <c r="D2138" t="inlineStr">
        <is>
          <t>VÄSTERNORRLANDS LÄN</t>
        </is>
      </c>
      <c r="E2138" t="inlineStr">
        <is>
          <t>SOLLEFTEÅ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40655-2024</t>
        </is>
      </c>
      <c r="B2139" s="1" t="n">
        <v>45558.34414351852</v>
      </c>
      <c r="C2139" s="1" t="n">
        <v>45937</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12590-2024</t>
        </is>
      </c>
      <c r="B2140" s="1" t="n">
        <v>45379.93686342592</v>
      </c>
      <c r="C2140" s="1" t="n">
        <v>45937</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41494-2025</t>
        </is>
      </c>
      <c r="B2141" s="1" t="n">
        <v>45901</v>
      </c>
      <c r="C2141" s="1" t="n">
        <v>45937</v>
      </c>
      <c r="D2141" t="inlineStr">
        <is>
          <t>VÄSTERNORRLANDS LÄN</t>
        </is>
      </c>
      <c r="E2141" t="inlineStr">
        <is>
          <t>SOLLEFTEÅ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37880-2025</t>
        </is>
      </c>
      <c r="B2142" s="1" t="n">
        <v>45881.48998842593</v>
      </c>
      <c r="C2142" s="1" t="n">
        <v>45937</v>
      </c>
      <c r="D2142" t="inlineStr">
        <is>
          <t>VÄSTERNORRLANDS LÄN</t>
        </is>
      </c>
      <c r="E2142" t="inlineStr">
        <is>
          <t>SOLLEFTEÅ</t>
        </is>
      </c>
      <c r="F2142" t="inlineStr">
        <is>
          <t>SCA</t>
        </is>
      </c>
      <c r="G2142" t="n">
        <v>26.1</v>
      </c>
      <c r="H2142" t="n">
        <v>0</v>
      </c>
      <c r="I2142" t="n">
        <v>0</v>
      </c>
      <c r="J2142" t="n">
        <v>0</v>
      </c>
      <c r="K2142" t="n">
        <v>0</v>
      </c>
      <c r="L2142" t="n">
        <v>0</v>
      </c>
      <c r="M2142" t="n">
        <v>0</v>
      </c>
      <c r="N2142" t="n">
        <v>0</v>
      </c>
      <c r="O2142" t="n">
        <v>0</v>
      </c>
      <c r="P2142" t="n">
        <v>0</v>
      </c>
      <c r="Q2142" t="n">
        <v>0</v>
      </c>
      <c r="R2142" s="2" t="inlineStr"/>
    </row>
    <row r="2143" ht="15" customHeight="1">
      <c r="A2143" t="inlineStr">
        <is>
          <t>A 46037-2025</t>
        </is>
      </c>
      <c r="B2143" s="1" t="n">
        <v>45924.44836805556</v>
      </c>
      <c r="C2143" s="1" t="n">
        <v>45937</v>
      </c>
      <c r="D2143" t="inlineStr">
        <is>
          <t>VÄSTERNORRLANDS LÄN</t>
        </is>
      </c>
      <c r="E2143" t="inlineStr">
        <is>
          <t>SOLLEFTEÅ</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46973-2024</t>
        </is>
      </c>
      <c r="B2144" s="1" t="n">
        <v>45586.34424768519</v>
      </c>
      <c r="C2144" s="1" t="n">
        <v>45937</v>
      </c>
      <c r="D2144" t="inlineStr">
        <is>
          <t>VÄSTERNORRLANDS LÄN</t>
        </is>
      </c>
      <c r="E2144" t="inlineStr">
        <is>
          <t>SOLLEFTEÅ</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35147-2023</t>
        </is>
      </c>
      <c r="B2145" s="1" t="n">
        <v>45142</v>
      </c>
      <c r="C2145" s="1" t="n">
        <v>45937</v>
      </c>
      <c r="D2145" t="inlineStr">
        <is>
          <t>VÄSTERNORRLANDS LÄN</t>
        </is>
      </c>
      <c r="E2145" t="inlineStr">
        <is>
          <t>SOLLEFTEÅ</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38156-2025</t>
        </is>
      </c>
      <c r="B2146" s="1" t="n">
        <v>45882.61491898148</v>
      </c>
      <c r="C2146" s="1" t="n">
        <v>45937</v>
      </c>
      <c r="D2146" t="inlineStr">
        <is>
          <t>VÄSTERNORRLANDS LÄN</t>
        </is>
      </c>
      <c r="E2146" t="inlineStr">
        <is>
          <t>SOLLEFTEÅ</t>
        </is>
      </c>
      <c r="F2146" t="inlineStr">
        <is>
          <t>SCA</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45794-2025</t>
        </is>
      </c>
      <c r="B2147" s="1" t="n">
        <v>45923.57380787037</v>
      </c>
      <c r="C2147" s="1" t="n">
        <v>45937</v>
      </c>
      <c r="D2147" t="inlineStr">
        <is>
          <t>VÄSTERNORRLANDS LÄN</t>
        </is>
      </c>
      <c r="E2147" t="inlineStr">
        <is>
          <t>SOLLEFTEÅ</t>
        </is>
      </c>
      <c r="F2147" t="inlineStr">
        <is>
          <t>SCA</t>
        </is>
      </c>
      <c r="G2147" t="n">
        <v>34.9</v>
      </c>
      <c r="H2147" t="n">
        <v>0</v>
      </c>
      <c r="I2147" t="n">
        <v>0</v>
      </c>
      <c r="J2147" t="n">
        <v>0</v>
      </c>
      <c r="K2147" t="n">
        <v>0</v>
      </c>
      <c r="L2147" t="n">
        <v>0</v>
      </c>
      <c r="M2147" t="n">
        <v>0</v>
      </c>
      <c r="N2147" t="n">
        <v>0</v>
      </c>
      <c r="O2147" t="n">
        <v>0</v>
      </c>
      <c r="P2147" t="n">
        <v>0</v>
      </c>
      <c r="Q2147" t="n">
        <v>0</v>
      </c>
      <c r="R2147" s="2" t="inlineStr"/>
    </row>
    <row r="2148" ht="15" customHeight="1">
      <c r="A2148" t="inlineStr">
        <is>
          <t>A 37921-2025</t>
        </is>
      </c>
      <c r="B2148" s="1" t="n">
        <v>45881.57491898148</v>
      </c>
      <c r="C2148" s="1" t="n">
        <v>45937</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45843-2025</t>
        </is>
      </c>
      <c r="B2149" s="1" t="n">
        <v>45923.61541666667</v>
      </c>
      <c r="C2149" s="1" t="n">
        <v>45937</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50720-2024</t>
        </is>
      </c>
      <c r="B2150" s="1" t="n">
        <v>45602.38631944444</v>
      </c>
      <c r="C2150" s="1" t="n">
        <v>45937</v>
      </c>
      <c r="D2150" t="inlineStr">
        <is>
          <t>VÄSTERNORRLANDS LÄN</t>
        </is>
      </c>
      <c r="E2150" t="inlineStr">
        <is>
          <t>SOLLEFTEÅ</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3548-2022</t>
        </is>
      </c>
      <c r="B2151" s="1" t="n">
        <v>44585.93784722222</v>
      </c>
      <c r="C2151" s="1" t="n">
        <v>45937</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16562-2023</t>
        </is>
      </c>
      <c r="B2152" s="1" t="n">
        <v>45029</v>
      </c>
      <c r="C2152" s="1" t="n">
        <v>45937</v>
      </c>
      <c r="D2152" t="inlineStr">
        <is>
          <t>VÄSTERNORRLANDS LÄN</t>
        </is>
      </c>
      <c r="E2152" t="inlineStr">
        <is>
          <t>SOLLEFTEÅ</t>
        </is>
      </c>
      <c r="F2152" t="inlineStr">
        <is>
          <t>SCA</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59339-2023</t>
        </is>
      </c>
      <c r="B2153" s="1" t="n">
        <v>45253</v>
      </c>
      <c r="C2153" s="1" t="n">
        <v>45937</v>
      </c>
      <c r="D2153" t="inlineStr">
        <is>
          <t>VÄSTERNORRLANDS LÄN</t>
        </is>
      </c>
      <c r="E2153" t="inlineStr">
        <is>
          <t>SOLLEFTEÅ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17481-2025</t>
        </is>
      </c>
      <c r="B2154" s="1" t="n">
        <v>45757.48979166667</v>
      </c>
      <c r="C2154" s="1" t="n">
        <v>45937</v>
      </c>
      <c r="D2154" t="inlineStr">
        <is>
          <t>VÄSTERNORRLANDS LÄN</t>
        </is>
      </c>
      <c r="E2154" t="inlineStr">
        <is>
          <t>SOLLEFTEÅ</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57518-2023</t>
        </is>
      </c>
      <c r="B2155" s="1" t="n">
        <v>45242</v>
      </c>
      <c r="C2155" s="1" t="n">
        <v>45937</v>
      </c>
      <c r="D2155" t="inlineStr">
        <is>
          <t>VÄSTERNORRLANDS LÄN</t>
        </is>
      </c>
      <c r="E2155" t="inlineStr">
        <is>
          <t>SOLLEFTEÅ</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53477-2024</t>
        </is>
      </c>
      <c r="B2156" s="1" t="n">
        <v>45611</v>
      </c>
      <c r="C2156" s="1" t="n">
        <v>45937</v>
      </c>
      <c r="D2156" t="inlineStr">
        <is>
          <t>VÄSTERNORRLANDS LÄN</t>
        </is>
      </c>
      <c r="E2156" t="inlineStr">
        <is>
          <t>SOLLEFTEÅ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11334-2024</t>
        </is>
      </c>
      <c r="B2157" s="1" t="n">
        <v>45372</v>
      </c>
      <c r="C2157" s="1" t="n">
        <v>45937</v>
      </c>
      <c r="D2157" t="inlineStr">
        <is>
          <t>VÄSTERNORRLANDS LÄN</t>
        </is>
      </c>
      <c r="E2157" t="inlineStr">
        <is>
          <t>SOLLEFTEÅ</t>
        </is>
      </c>
      <c r="F2157" t="inlineStr">
        <is>
          <t>SCA</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39495-2023</t>
        </is>
      </c>
      <c r="B2158" s="1" t="n">
        <v>45166.95712962963</v>
      </c>
      <c r="C2158" s="1" t="n">
        <v>45937</v>
      </c>
      <c r="D2158" t="inlineStr">
        <is>
          <t>VÄSTERNORRLANDS LÄN</t>
        </is>
      </c>
      <c r="E2158" t="inlineStr">
        <is>
          <t>SOLLEFTEÅ</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54458-2024</t>
        </is>
      </c>
      <c r="B2159" s="1" t="n">
        <v>45617.5325</v>
      </c>
      <c r="C2159" s="1" t="n">
        <v>45937</v>
      </c>
      <c r="D2159" t="inlineStr">
        <is>
          <t>VÄSTERNORRLANDS LÄN</t>
        </is>
      </c>
      <c r="E2159" t="inlineStr">
        <is>
          <t>SOLLEFTEÅ</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6172-2022</t>
        </is>
      </c>
      <c r="B2160" s="1" t="n">
        <v>44599.93700231481</v>
      </c>
      <c r="C2160" s="1" t="n">
        <v>45937</v>
      </c>
      <c r="D2160" t="inlineStr">
        <is>
          <t>VÄSTERNORRLANDS LÄN</t>
        </is>
      </c>
      <c r="E2160" t="inlineStr">
        <is>
          <t>SOLLEFTEÅ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60495-2024</t>
        </is>
      </c>
      <c r="B2161" s="1" t="n">
        <v>45643.65700231482</v>
      </c>
      <c r="C2161" s="1" t="n">
        <v>45937</v>
      </c>
      <c r="D2161" t="inlineStr">
        <is>
          <t>VÄSTERNORRLANDS LÄN</t>
        </is>
      </c>
      <c r="E2161" t="inlineStr">
        <is>
          <t>SOLLEFTEÅ</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60077-2024</t>
        </is>
      </c>
      <c r="B2162" s="1" t="n">
        <v>45642</v>
      </c>
      <c r="C2162" s="1" t="n">
        <v>45937</v>
      </c>
      <c r="D2162" t="inlineStr">
        <is>
          <t>VÄSTERNORRLANDS LÄN</t>
        </is>
      </c>
      <c r="E2162" t="inlineStr">
        <is>
          <t>SOLLEFTEÅ</t>
        </is>
      </c>
      <c r="F2162" t="inlineStr">
        <is>
          <t>SCA</t>
        </is>
      </c>
      <c r="G2162" t="n">
        <v>21.5</v>
      </c>
      <c r="H2162" t="n">
        <v>0</v>
      </c>
      <c r="I2162" t="n">
        <v>0</v>
      </c>
      <c r="J2162" t="n">
        <v>0</v>
      </c>
      <c r="K2162" t="n">
        <v>0</v>
      </c>
      <c r="L2162" t="n">
        <v>0</v>
      </c>
      <c r="M2162" t="n">
        <v>0</v>
      </c>
      <c r="N2162" t="n">
        <v>0</v>
      </c>
      <c r="O2162" t="n">
        <v>0</v>
      </c>
      <c r="P2162" t="n">
        <v>0</v>
      </c>
      <c r="Q2162" t="n">
        <v>0</v>
      </c>
      <c r="R2162" s="2" t="inlineStr"/>
    </row>
    <row r="2163" ht="15" customHeight="1">
      <c r="A2163" t="inlineStr">
        <is>
          <t>A 12135-2023</t>
        </is>
      </c>
      <c r="B2163" s="1" t="n">
        <v>44995</v>
      </c>
      <c r="C2163" s="1" t="n">
        <v>45937</v>
      </c>
      <c r="D2163" t="inlineStr">
        <is>
          <t>VÄSTERNORRLANDS LÄN</t>
        </is>
      </c>
      <c r="E2163" t="inlineStr">
        <is>
          <t>SOLLEFTEÅ</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27382-2023</t>
        </is>
      </c>
      <c r="B2164" s="1" t="n">
        <v>45096.93920138889</v>
      </c>
      <c r="C2164" s="1" t="n">
        <v>45937</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27384-2023</t>
        </is>
      </c>
      <c r="B2165" s="1" t="n">
        <v>45096.939375</v>
      </c>
      <c r="C2165" s="1" t="n">
        <v>45937</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3537-2025</t>
        </is>
      </c>
      <c r="B2166" s="1" t="n">
        <v>45680</v>
      </c>
      <c r="C2166" s="1" t="n">
        <v>45937</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18648-2024</t>
        </is>
      </c>
      <c r="B2167" s="1" t="n">
        <v>45425.9678125</v>
      </c>
      <c r="C2167" s="1" t="n">
        <v>45937</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27936-2024</t>
        </is>
      </c>
      <c r="B2168" s="1" t="n">
        <v>45475.95054398148</v>
      </c>
      <c r="C2168" s="1" t="n">
        <v>45937</v>
      </c>
      <c r="D2168" t="inlineStr">
        <is>
          <t>VÄSTERNORRLANDS LÄN</t>
        </is>
      </c>
      <c r="E2168" t="inlineStr">
        <is>
          <t>SOLLEFTEÅ</t>
        </is>
      </c>
      <c r="F2168" t="inlineStr">
        <is>
          <t>SCA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59564-2024</t>
        </is>
      </c>
      <c r="B2169" s="1" t="n">
        <v>45638.6375</v>
      </c>
      <c r="C2169" s="1" t="n">
        <v>45937</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52702-2024</t>
        </is>
      </c>
      <c r="B2170" s="1" t="n">
        <v>45610</v>
      </c>
      <c r="C2170" s="1" t="n">
        <v>45937</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50963-2024</t>
        </is>
      </c>
      <c r="B2171" s="1" t="n">
        <v>45603.32388888889</v>
      </c>
      <c r="C2171" s="1" t="n">
        <v>45937</v>
      </c>
      <c r="D2171" t="inlineStr">
        <is>
          <t>VÄSTERNORRLANDS LÄN</t>
        </is>
      </c>
      <c r="E2171" t="inlineStr">
        <is>
          <t>SOLLEFTEÅ</t>
        </is>
      </c>
      <c r="F2171" t="inlineStr">
        <is>
          <t>Holmen skog AB</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16086-2024</t>
        </is>
      </c>
      <c r="B2172" s="1" t="n">
        <v>45406</v>
      </c>
      <c r="C2172" s="1" t="n">
        <v>45937</v>
      </c>
      <c r="D2172" t="inlineStr">
        <is>
          <t>VÄSTERNORRLANDS LÄN</t>
        </is>
      </c>
      <c r="E2172" t="inlineStr">
        <is>
          <t>SOLLEFTEÅ</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25364-2024</t>
        </is>
      </c>
      <c r="B2173" s="1" t="n">
        <v>45462.95849537037</v>
      </c>
      <c r="C2173" s="1" t="n">
        <v>45937</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34316-2024</t>
        </is>
      </c>
      <c r="B2174" s="1" t="n">
        <v>45524</v>
      </c>
      <c r="C2174" s="1" t="n">
        <v>45937</v>
      </c>
      <c r="D2174" t="inlineStr">
        <is>
          <t>VÄSTERNORRLANDS LÄN</t>
        </is>
      </c>
      <c r="E2174" t="inlineStr">
        <is>
          <t>SOLLEFTEÅ</t>
        </is>
      </c>
      <c r="F2174" t="inlineStr">
        <is>
          <t>Övriga statliga verk och myndigheter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32754-2024</t>
        </is>
      </c>
      <c r="B2175" s="1" t="n">
        <v>45516.46685185185</v>
      </c>
      <c r="C2175" s="1" t="n">
        <v>45937</v>
      </c>
      <c r="D2175" t="inlineStr">
        <is>
          <t>VÄSTERNORRLANDS LÄN</t>
        </is>
      </c>
      <c r="E2175" t="inlineStr">
        <is>
          <t>SOLLEFTEÅ</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1623-2025</t>
        </is>
      </c>
      <c r="B2176" s="1" t="n">
        <v>45670.61526620371</v>
      </c>
      <c r="C2176" s="1" t="n">
        <v>45937</v>
      </c>
      <c r="D2176" t="inlineStr">
        <is>
          <t>VÄSTERNORRLANDS LÄN</t>
        </is>
      </c>
      <c r="E2176" t="inlineStr">
        <is>
          <t>SOLLEFTEÅ</t>
        </is>
      </c>
      <c r="F2176" t="inlineStr">
        <is>
          <t>SCA</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1459-2024</t>
        </is>
      </c>
      <c r="B2177" s="1" t="n">
        <v>45303.9331712963</v>
      </c>
      <c r="C2177" s="1" t="n">
        <v>45937</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54559-2022</t>
        </is>
      </c>
      <c r="B2178" s="1" t="n">
        <v>44882</v>
      </c>
      <c r="C2178" s="1" t="n">
        <v>45937</v>
      </c>
      <c r="D2178" t="inlineStr">
        <is>
          <t>VÄSTERNORRLANDS LÄN</t>
        </is>
      </c>
      <c r="E2178" t="inlineStr">
        <is>
          <t>SOLLEFTEÅ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49417-2023</t>
        </is>
      </c>
      <c r="B2179" s="1" t="n">
        <v>45205</v>
      </c>
      <c r="C2179" s="1" t="n">
        <v>45937</v>
      </c>
      <c r="D2179" t="inlineStr">
        <is>
          <t>VÄSTERNORRLANDS LÄN</t>
        </is>
      </c>
      <c r="E2179" t="inlineStr">
        <is>
          <t>SOLLEFTEÅ</t>
        </is>
      </c>
      <c r="F2179" t="inlineStr">
        <is>
          <t>SCA</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19635-2025</t>
        </is>
      </c>
      <c r="B2180" s="1" t="n">
        <v>45770.64877314815</v>
      </c>
      <c r="C2180" s="1" t="n">
        <v>45937</v>
      </c>
      <c r="D2180" t="inlineStr">
        <is>
          <t>VÄSTERNORRLANDS LÄN</t>
        </is>
      </c>
      <c r="E2180" t="inlineStr">
        <is>
          <t>SOLLEFTEÅ</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27972-2021</t>
        </is>
      </c>
      <c r="B2181" s="1" t="n">
        <v>44354.93622685185</v>
      </c>
      <c r="C2181" s="1" t="n">
        <v>45937</v>
      </c>
      <c r="D2181" t="inlineStr">
        <is>
          <t>VÄSTERNORRLANDS LÄN</t>
        </is>
      </c>
      <c r="E2181" t="inlineStr">
        <is>
          <t>SOLLEFTEÅ</t>
        </is>
      </c>
      <c r="F2181" t="inlineStr">
        <is>
          <t>SCA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34100-2023</t>
        </is>
      </c>
      <c r="B2182" s="1" t="n">
        <v>45125</v>
      </c>
      <c r="C2182" s="1" t="n">
        <v>45937</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23730-2024</t>
        </is>
      </c>
      <c r="B2183" s="1" t="n">
        <v>45454.95877314815</v>
      </c>
      <c r="C2183" s="1" t="n">
        <v>45937</v>
      </c>
      <c r="D2183" t="inlineStr">
        <is>
          <t>VÄSTERNORRLANDS LÄN</t>
        </is>
      </c>
      <c r="E2183" t="inlineStr">
        <is>
          <t>SOLLEFTEÅ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36514-2023</t>
        </is>
      </c>
      <c r="B2184" s="1" t="n">
        <v>45152.95377314815</v>
      </c>
      <c r="C2184" s="1" t="n">
        <v>45937</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3276-2025</t>
        </is>
      </c>
      <c r="B2185" s="1" t="n">
        <v>45679.59986111111</v>
      </c>
      <c r="C2185" s="1" t="n">
        <v>45937</v>
      </c>
      <c r="D2185" t="inlineStr">
        <is>
          <t>VÄSTERNORRLANDS LÄN</t>
        </is>
      </c>
      <c r="E2185" t="inlineStr">
        <is>
          <t>SOLLEFTEÅ</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18185-2025</t>
        </is>
      </c>
      <c r="B2186" s="1" t="n">
        <v>45761.66724537037</v>
      </c>
      <c r="C2186" s="1" t="n">
        <v>45937</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60168-2022</t>
        </is>
      </c>
      <c r="B2187" s="1" t="n">
        <v>44909</v>
      </c>
      <c r="C2187" s="1" t="n">
        <v>45937</v>
      </c>
      <c r="D2187" t="inlineStr">
        <is>
          <t>VÄSTERNORRLANDS LÄN</t>
        </is>
      </c>
      <c r="E2187" t="inlineStr">
        <is>
          <t>SOLLEFTEÅ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42228-2021</t>
        </is>
      </c>
      <c r="B2188" s="1" t="n">
        <v>44426</v>
      </c>
      <c r="C2188" s="1" t="n">
        <v>45937</v>
      </c>
      <c r="D2188" t="inlineStr">
        <is>
          <t>VÄSTERNORRLANDS LÄN</t>
        </is>
      </c>
      <c r="E2188" t="inlineStr">
        <is>
          <t>SOLLEFTEÅ</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14365-2024</t>
        </is>
      </c>
      <c r="B2189" s="1" t="n">
        <v>45393.94332175926</v>
      </c>
      <c r="C2189" s="1" t="n">
        <v>45937</v>
      </c>
      <c r="D2189" t="inlineStr">
        <is>
          <t>VÄSTERNORRLANDS LÄN</t>
        </is>
      </c>
      <c r="E2189" t="inlineStr">
        <is>
          <t>SOLLEFTEÅ</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26391-2024</t>
        </is>
      </c>
      <c r="B2190" s="1" t="n">
        <v>45468</v>
      </c>
      <c r="C2190" s="1" t="n">
        <v>45937</v>
      </c>
      <c r="D2190" t="inlineStr">
        <is>
          <t>VÄSTERNORRLANDS LÄN</t>
        </is>
      </c>
      <c r="E2190" t="inlineStr">
        <is>
          <t>SOLLEFTEÅ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29337-2023</t>
        </is>
      </c>
      <c r="B2191" s="1" t="n">
        <v>45105</v>
      </c>
      <c r="C2191" s="1" t="n">
        <v>45937</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26655-2024</t>
        </is>
      </c>
      <c r="B2192" s="1" t="n">
        <v>45469</v>
      </c>
      <c r="C2192" s="1" t="n">
        <v>45937</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22475-2024</t>
        </is>
      </c>
      <c r="B2193" s="1" t="n">
        <v>45446.95151620371</v>
      </c>
      <c r="C2193" s="1" t="n">
        <v>45937</v>
      </c>
      <c r="D2193" t="inlineStr">
        <is>
          <t>VÄSTERNORRLANDS LÄN</t>
        </is>
      </c>
      <c r="E2193" t="inlineStr">
        <is>
          <t>SOLLEFTEÅ</t>
        </is>
      </c>
      <c r="F2193" t="inlineStr">
        <is>
          <t>SCA</t>
        </is>
      </c>
      <c r="G2193" t="n">
        <v>18.5</v>
      </c>
      <c r="H2193" t="n">
        <v>0</v>
      </c>
      <c r="I2193" t="n">
        <v>0</v>
      </c>
      <c r="J2193" t="n">
        <v>0</v>
      </c>
      <c r="K2193" t="n">
        <v>0</v>
      </c>
      <c r="L2193" t="n">
        <v>0</v>
      </c>
      <c r="M2193" t="n">
        <v>0</v>
      </c>
      <c r="N2193" t="n">
        <v>0</v>
      </c>
      <c r="O2193" t="n">
        <v>0</v>
      </c>
      <c r="P2193" t="n">
        <v>0</v>
      </c>
      <c r="Q2193" t="n">
        <v>0</v>
      </c>
      <c r="R2193" s="2" t="inlineStr"/>
    </row>
    <row r="2194" ht="15" customHeight="1">
      <c r="A2194" t="inlineStr">
        <is>
          <t>A 34737-2023</t>
        </is>
      </c>
      <c r="B2194" s="1" t="n">
        <v>45139</v>
      </c>
      <c r="C2194" s="1" t="n">
        <v>45937</v>
      </c>
      <c r="D2194" t="inlineStr">
        <is>
          <t>VÄSTERNORRLANDS LÄN</t>
        </is>
      </c>
      <c r="E2194" t="inlineStr">
        <is>
          <t>SOLLEFTEÅ</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40421-2023</t>
        </is>
      </c>
      <c r="B2195" s="1" t="n">
        <v>45169.93973379629</v>
      </c>
      <c r="C2195" s="1" t="n">
        <v>45937</v>
      </c>
      <c r="D2195" t="inlineStr">
        <is>
          <t>VÄSTERNORRLANDS LÄN</t>
        </is>
      </c>
      <c r="E2195" t="inlineStr">
        <is>
          <t>SOLLEFTEÅ</t>
        </is>
      </c>
      <c r="F2195" t="inlineStr">
        <is>
          <t>SCA</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61778-2024</t>
        </is>
      </c>
      <c r="B2196" s="1" t="n">
        <v>45649.46961805555</v>
      </c>
      <c r="C2196" s="1" t="n">
        <v>45937</v>
      </c>
      <c r="D2196" t="inlineStr">
        <is>
          <t>VÄSTERNORRLANDS LÄN</t>
        </is>
      </c>
      <c r="E2196" t="inlineStr">
        <is>
          <t>SOLLEFTEÅ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46850-2024</t>
        </is>
      </c>
      <c r="B2197" s="1" t="n">
        <v>45583.61513888889</v>
      </c>
      <c r="C2197" s="1" t="n">
        <v>45937</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583-2025</t>
        </is>
      </c>
      <c r="B2198" s="1" t="n">
        <v>45664</v>
      </c>
      <c r="C2198" s="1" t="n">
        <v>45937</v>
      </c>
      <c r="D2198" t="inlineStr">
        <is>
          <t>VÄSTERNORRLANDS LÄN</t>
        </is>
      </c>
      <c r="E2198" t="inlineStr">
        <is>
          <t>SOLLEFTEÅ</t>
        </is>
      </c>
      <c r="G2198" t="n">
        <v>47.2</v>
      </c>
      <c r="H2198" t="n">
        <v>0</v>
      </c>
      <c r="I2198" t="n">
        <v>0</v>
      </c>
      <c r="J2198" t="n">
        <v>0</v>
      </c>
      <c r="K2198" t="n">
        <v>0</v>
      </c>
      <c r="L2198" t="n">
        <v>0</v>
      </c>
      <c r="M2198" t="n">
        <v>0</v>
      </c>
      <c r="N2198" t="n">
        <v>0</v>
      </c>
      <c r="O2198" t="n">
        <v>0</v>
      </c>
      <c r="P2198" t="n">
        <v>0</v>
      </c>
      <c r="Q2198" t="n">
        <v>0</v>
      </c>
      <c r="R2198" s="2" t="inlineStr"/>
    </row>
    <row r="2199" ht="15" customHeight="1">
      <c r="A2199" t="inlineStr">
        <is>
          <t>A 49810-2023</t>
        </is>
      </c>
      <c r="B2199" s="1" t="n">
        <v>45212.66369212963</v>
      </c>
      <c r="C2199" s="1" t="n">
        <v>45937</v>
      </c>
      <c r="D2199" t="inlineStr">
        <is>
          <t>VÄSTERNORRLANDS LÄN</t>
        </is>
      </c>
      <c r="E2199" t="inlineStr">
        <is>
          <t>SOLLEFTEÅ</t>
        </is>
      </c>
      <c r="F2199" t="inlineStr">
        <is>
          <t>Holmen skog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43008-2024</t>
        </is>
      </c>
      <c r="B2200" s="1" t="n">
        <v>45567.38574074074</v>
      </c>
      <c r="C2200" s="1" t="n">
        <v>45937</v>
      </c>
      <c r="D2200" t="inlineStr">
        <is>
          <t>VÄSTERNORRLANDS LÄN</t>
        </is>
      </c>
      <c r="E2200" t="inlineStr">
        <is>
          <t>SOLLEFTEÅ</t>
        </is>
      </c>
      <c r="F2200" t="inlineStr">
        <is>
          <t>SCA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17021-2025</t>
        </is>
      </c>
      <c r="B2201" s="1" t="n">
        <v>45755.56135416667</v>
      </c>
      <c r="C2201" s="1" t="n">
        <v>45937</v>
      </c>
      <c r="D2201" t="inlineStr">
        <is>
          <t>VÄSTERNORRLANDS LÄN</t>
        </is>
      </c>
      <c r="E2201" t="inlineStr">
        <is>
          <t>SOLLEFTEÅ</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61485-2024</t>
        </is>
      </c>
      <c r="B2202" s="1" t="n">
        <v>45646.53175925926</v>
      </c>
      <c r="C2202" s="1" t="n">
        <v>45937</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16468-2024</t>
        </is>
      </c>
      <c r="B2203" s="1" t="n">
        <v>45408.0508449074</v>
      </c>
      <c r="C2203" s="1" t="n">
        <v>45937</v>
      </c>
      <c r="D2203" t="inlineStr">
        <is>
          <t>VÄSTERNORRLANDS LÄN</t>
        </is>
      </c>
      <c r="E2203" t="inlineStr">
        <is>
          <t>SOLLEFTEÅ</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2048-2025</t>
        </is>
      </c>
      <c r="B2204" s="1" t="n">
        <v>45671</v>
      </c>
      <c r="C2204" s="1" t="n">
        <v>45937</v>
      </c>
      <c r="D2204" t="inlineStr">
        <is>
          <t>VÄSTERNORRLANDS LÄN</t>
        </is>
      </c>
      <c r="E2204" t="inlineStr">
        <is>
          <t>SOLLEFTEÅ</t>
        </is>
      </c>
      <c r="G2204" t="n">
        <v>13.5</v>
      </c>
      <c r="H2204" t="n">
        <v>0</v>
      </c>
      <c r="I2204" t="n">
        <v>0</v>
      </c>
      <c r="J2204" t="n">
        <v>0</v>
      </c>
      <c r="K2204" t="n">
        <v>0</v>
      </c>
      <c r="L2204" t="n">
        <v>0</v>
      </c>
      <c r="M2204" t="n">
        <v>0</v>
      </c>
      <c r="N2204" t="n">
        <v>0</v>
      </c>
      <c r="O2204" t="n">
        <v>0</v>
      </c>
      <c r="P2204" t="n">
        <v>0</v>
      </c>
      <c r="Q2204" t="n">
        <v>0</v>
      </c>
      <c r="R2204" s="2" t="inlineStr"/>
    </row>
    <row r="2205" ht="15" customHeight="1">
      <c r="A2205" t="inlineStr">
        <is>
          <t>A 31672-2022</t>
        </is>
      </c>
      <c r="B2205" s="1" t="n">
        <v>44776.36137731482</v>
      </c>
      <c r="C2205" s="1" t="n">
        <v>45937</v>
      </c>
      <c r="D2205" t="inlineStr">
        <is>
          <t>VÄSTERNORRLANDS LÄN</t>
        </is>
      </c>
      <c r="E2205" t="inlineStr">
        <is>
          <t>SOLLEFTEÅ</t>
        </is>
      </c>
      <c r="G2205" t="n">
        <v>16.3</v>
      </c>
      <c r="H2205" t="n">
        <v>0</v>
      </c>
      <c r="I2205" t="n">
        <v>0</v>
      </c>
      <c r="J2205" t="n">
        <v>0</v>
      </c>
      <c r="K2205" t="n">
        <v>0</v>
      </c>
      <c r="L2205" t="n">
        <v>0</v>
      </c>
      <c r="M2205" t="n">
        <v>0</v>
      </c>
      <c r="N2205" t="n">
        <v>0</v>
      </c>
      <c r="O2205" t="n">
        <v>0</v>
      </c>
      <c r="P2205" t="n">
        <v>0</v>
      </c>
      <c r="Q2205" t="n">
        <v>0</v>
      </c>
      <c r="R2205" s="2" t="inlineStr"/>
    </row>
    <row r="2206" ht="15" customHeight="1">
      <c r="A2206" t="inlineStr">
        <is>
          <t>A 52266-2023</t>
        </is>
      </c>
      <c r="B2206" s="1" t="n">
        <v>45217</v>
      </c>
      <c r="C2206" s="1" t="n">
        <v>45937</v>
      </c>
      <c r="D2206" t="inlineStr">
        <is>
          <t>VÄSTERNORRLANDS LÄN</t>
        </is>
      </c>
      <c r="E2206" t="inlineStr">
        <is>
          <t>SOLLEFTEÅ</t>
        </is>
      </c>
      <c r="F2206" t="inlineStr">
        <is>
          <t>SCA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61847-2024</t>
        </is>
      </c>
      <c r="B2207" s="1" t="n">
        <v>45646</v>
      </c>
      <c r="C2207" s="1" t="n">
        <v>45937</v>
      </c>
      <c r="D2207" t="inlineStr">
        <is>
          <t>VÄSTERNORRLANDS LÄN</t>
        </is>
      </c>
      <c r="E2207" t="inlineStr">
        <is>
          <t>SOLLEFTEÅ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19416-2022</t>
        </is>
      </c>
      <c r="B2208" s="1" t="n">
        <v>44693</v>
      </c>
      <c r="C2208" s="1" t="n">
        <v>45937</v>
      </c>
      <c r="D2208" t="inlineStr">
        <is>
          <t>VÄSTERNORRLANDS LÄN</t>
        </is>
      </c>
      <c r="E2208" t="inlineStr">
        <is>
          <t>SOLLEFTEÅ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55622-2023</t>
        </is>
      </c>
      <c r="B2209" s="1" t="n">
        <v>45238</v>
      </c>
      <c r="C2209" s="1" t="n">
        <v>45937</v>
      </c>
      <c r="D2209" t="inlineStr">
        <is>
          <t>VÄSTERNORRLANDS LÄN</t>
        </is>
      </c>
      <c r="E2209" t="inlineStr">
        <is>
          <t>SOLLEFTEÅ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12972-2023</t>
        </is>
      </c>
      <c r="B2210" s="1" t="n">
        <v>45001</v>
      </c>
      <c r="C2210" s="1" t="n">
        <v>45937</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46032-2022</t>
        </is>
      </c>
      <c r="B2211" s="1" t="n">
        <v>44846</v>
      </c>
      <c r="C2211" s="1" t="n">
        <v>45937</v>
      </c>
      <c r="D2211" t="inlineStr">
        <is>
          <t>VÄSTERNORRLANDS LÄN</t>
        </is>
      </c>
      <c r="E2211" t="inlineStr">
        <is>
          <t>SOLLEFTEÅ</t>
        </is>
      </c>
      <c r="F2211" t="inlineStr">
        <is>
          <t>SCA</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29946-2023</t>
        </is>
      </c>
      <c r="B2212" s="1" t="n">
        <v>45107.93818287037</v>
      </c>
      <c r="C2212" s="1" t="n">
        <v>45937</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38749-2024</t>
        </is>
      </c>
      <c r="B2213" s="1" t="n">
        <v>45547</v>
      </c>
      <c r="C2213" s="1" t="n">
        <v>45937</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49253-2024</t>
        </is>
      </c>
      <c r="B2214" s="1" t="n">
        <v>45595</v>
      </c>
      <c r="C2214" s="1" t="n">
        <v>45937</v>
      </c>
      <c r="D2214" t="inlineStr">
        <is>
          <t>VÄSTERNORRLANDS LÄN</t>
        </is>
      </c>
      <c r="E2214" t="inlineStr">
        <is>
          <t>SOLLEFTEÅ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39429-2024</t>
        </is>
      </c>
      <c r="B2215" s="1" t="n">
        <v>45551.59427083333</v>
      </c>
      <c r="C2215" s="1" t="n">
        <v>45937</v>
      </c>
      <c r="D2215" t="inlineStr">
        <is>
          <t>VÄSTERNORRLANDS LÄN</t>
        </is>
      </c>
      <c r="E2215" t="inlineStr">
        <is>
          <t>SOLLEFTEÅ</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54538-2022</t>
        </is>
      </c>
      <c r="B2216" s="1" t="n">
        <v>44882.77261574074</v>
      </c>
      <c r="C2216" s="1" t="n">
        <v>45937</v>
      </c>
      <c r="D2216" t="inlineStr">
        <is>
          <t>VÄSTERNORRLANDS LÄN</t>
        </is>
      </c>
      <c r="E2216" t="inlineStr">
        <is>
          <t>SOLLEFTEÅ</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60861-2023</t>
        </is>
      </c>
      <c r="B2217" s="1" t="n">
        <v>45260</v>
      </c>
      <c r="C2217" s="1" t="n">
        <v>45937</v>
      </c>
      <c r="D2217" t="inlineStr">
        <is>
          <t>VÄSTERNORRLANDS LÄN</t>
        </is>
      </c>
      <c r="E2217" t="inlineStr">
        <is>
          <t>SOLLEFTEÅ</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8893-2025</t>
        </is>
      </c>
      <c r="B2218" s="1" t="n">
        <v>45713.4065162037</v>
      </c>
      <c r="C2218" s="1" t="n">
        <v>45937</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54238-2024</t>
        </is>
      </c>
      <c r="B2219" s="1" t="n">
        <v>45616.67844907408</v>
      </c>
      <c r="C2219" s="1" t="n">
        <v>45937</v>
      </c>
      <c r="D2219" t="inlineStr">
        <is>
          <t>VÄSTERNORRLANDS LÄN</t>
        </is>
      </c>
      <c r="E2219" t="inlineStr">
        <is>
          <t>SOLLEFTEÅ</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19429-2024</t>
        </is>
      </c>
      <c r="B2220" s="1" t="n">
        <v>45429</v>
      </c>
      <c r="C2220" s="1" t="n">
        <v>45937</v>
      </c>
      <c r="D2220" t="inlineStr">
        <is>
          <t>VÄSTERNORRLANDS LÄN</t>
        </is>
      </c>
      <c r="E2220" t="inlineStr">
        <is>
          <t>SOLLEFTEÅ</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44392-2023</t>
        </is>
      </c>
      <c r="B2221" s="1" t="n">
        <v>45188.94527777778</v>
      </c>
      <c r="C2221" s="1" t="n">
        <v>45937</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42160-2023</t>
        </is>
      </c>
      <c r="B2222" s="1" t="n">
        <v>45177</v>
      </c>
      <c r="C2222" s="1" t="n">
        <v>45937</v>
      </c>
      <c r="D2222" t="inlineStr">
        <is>
          <t>VÄSTERNORRLANDS LÄN</t>
        </is>
      </c>
      <c r="E2222" t="inlineStr">
        <is>
          <t>SOLLEFTEÅ</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39469-2024</t>
        </is>
      </c>
      <c r="B2223" s="1" t="n">
        <v>45551</v>
      </c>
      <c r="C2223" s="1" t="n">
        <v>45937</v>
      </c>
      <c r="D2223" t="inlineStr">
        <is>
          <t>VÄSTERNORRLANDS LÄN</t>
        </is>
      </c>
      <c r="E2223" t="inlineStr">
        <is>
          <t>SOLLEFTEÅ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31646-2022</t>
        </is>
      </c>
      <c r="B2224" s="1" t="n">
        <v>44775.94166666667</v>
      </c>
      <c r="C2224" s="1" t="n">
        <v>45937</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18220-2025</t>
        </is>
      </c>
      <c r="B2225" s="1" t="n">
        <v>45761.7190625</v>
      </c>
      <c r="C2225" s="1" t="n">
        <v>45937</v>
      </c>
      <c r="D2225" t="inlineStr">
        <is>
          <t>VÄSTERNORRLANDS LÄN</t>
        </is>
      </c>
      <c r="E2225" t="inlineStr">
        <is>
          <t>SOLLEFTEÅ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45118-2022</t>
        </is>
      </c>
      <c r="B2226" s="1" t="n">
        <v>44843</v>
      </c>
      <c r="C2226" s="1" t="n">
        <v>45937</v>
      </c>
      <c r="D2226" t="inlineStr">
        <is>
          <t>VÄSTERNORRLANDS LÄN</t>
        </is>
      </c>
      <c r="E2226" t="inlineStr">
        <is>
          <t>SOLLEFTEÅ</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54255-2022</t>
        </is>
      </c>
      <c r="B2227" s="1" t="n">
        <v>44881.95225694445</v>
      </c>
      <c r="C2227" s="1" t="n">
        <v>45937</v>
      </c>
      <c r="D2227" t="inlineStr">
        <is>
          <t>VÄSTERNORRLANDS LÄN</t>
        </is>
      </c>
      <c r="E2227" t="inlineStr">
        <is>
          <t>SOLLEFTEÅ</t>
        </is>
      </c>
      <c r="F2227" t="inlineStr">
        <is>
          <t>SCA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16670-2022</t>
        </is>
      </c>
      <c r="B2228" s="1" t="n">
        <v>44672.93802083333</v>
      </c>
      <c r="C2228" s="1" t="n">
        <v>45937</v>
      </c>
      <c r="D2228" t="inlineStr">
        <is>
          <t>VÄSTERNORRLANDS LÄN</t>
        </is>
      </c>
      <c r="E2228" t="inlineStr">
        <is>
          <t>SOLLEFTEÅ</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2185-2025</t>
        </is>
      </c>
      <c r="B2229" s="1" t="n">
        <v>45673</v>
      </c>
      <c r="C2229" s="1" t="n">
        <v>45937</v>
      </c>
      <c r="D2229" t="inlineStr">
        <is>
          <t>VÄSTERNORRLANDS LÄN</t>
        </is>
      </c>
      <c r="E2229" t="inlineStr">
        <is>
          <t>SOLLEFTEÅ</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59501-2023</t>
        </is>
      </c>
      <c r="B2230" s="1" t="n">
        <v>45254</v>
      </c>
      <c r="C2230" s="1" t="n">
        <v>45937</v>
      </c>
      <c r="D2230" t="inlineStr">
        <is>
          <t>VÄSTERNORRLANDS LÄN</t>
        </is>
      </c>
      <c r="E2230" t="inlineStr">
        <is>
          <t>SOLLEFTEÅ</t>
        </is>
      </c>
      <c r="F2230" t="inlineStr">
        <is>
          <t>Holmen skog AB</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12644-2025</t>
        </is>
      </c>
      <c r="B2231" s="1" t="n">
        <v>45733.38726851852</v>
      </c>
      <c r="C2231" s="1" t="n">
        <v>45937</v>
      </c>
      <c r="D2231" t="inlineStr">
        <is>
          <t>VÄSTERNORRLANDS LÄN</t>
        </is>
      </c>
      <c r="E2231" t="inlineStr">
        <is>
          <t>SOLLEFTEÅ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21344-2023</t>
        </is>
      </c>
      <c r="B2232" s="1" t="n">
        <v>45062</v>
      </c>
      <c r="C2232" s="1" t="n">
        <v>45937</v>
      </c>
      <c r="D2232" t="inlineStr">
        <is>
          <t>VÄSTERNORRLANDS LÄN</t>
        </is>
      </c>
      <c r="E2232" t="inlineStr">
        <is>
          <t>SOLLEFTEÅ</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61089-2024</t>
        </is>
      </c>
      <c r="B2233" s="1" t="n">
        <v>45644</v>
      </c>
      <c r="C2233" s="1" t="n">
        <v>45937</v>
      </c>
      <c r="D2233" t="inlineStr">
        <is>
          <t>VÄSTERNORRLANDS LÄN</t>
        </is>
      </c>
      <c r="E2233" t="inlineStr">
        <is>
          <t>SOLLEFTEÅ</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48964-2023</t>
        </is>
      </c>
      <c r="B2234" s="1" t="n">
        <v>45204</v>
      </c>
      <c r="C2234" s="1" t="n">
        <v>45937</v>
      </c>
      <c r="D2234" t="inlineStr">
        <is>
          <t>VÄSTERNORRLANDS LÄN</t>
        </is>
      </c>
      <c r="E2234" t="inlineStr">
        <is>
          <t>SOLLEFTEÅ</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45937</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24208-2024</t>
        </is>
      </c>
      <c r="B2236" s="1" t="n">
        <v>45456.9678125</v>
      </c>
      <c r="C2236" s="1" t="n">
        <v>45937</v>
      </c>
      <c r="D2236" t="inlineStr">
        <is>
          <t>VÄSTERNORRLANDS LÄN</t>
        </is>
      </c>
      <c r="E2236" t="inlineStr">
        <is>
          <t>SOLLEFTEÅ</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24211-2024</t>
        </is>
      </c>
      <c r="B2237" s="1" t="n">
        <v>45456.9681712963</v>
      </c>
      <c r="C2237" s="1" t="n">
        <v>45937</v>
      </c>
      <c r="D2237" t="inlineStr">
        <is>
          <t>VÄSTERNORRLANDS LÄN</t>
        </is>
      </c>
      <c r="E2237" t="inlineStr">
        <is>
          <t>SOLLEFTEÅ</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9096-2023</t>
        </is>
      </c>
      <c r="B2238" s="1" t="n">
        <v>44979.94303240741</v>
      </c>
      <c r="C2238" s="1" t="n">
        <v>45937</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43525-2021</t>
        </is>
      </c>
      <c r="B2239" s="1" t="n">
        <v>44433</v>
      </c>
      <c r="C2239" s="1" t="n">
        <v>45937</v>
      </c>
      <c r="D2239" t="inlineStr">
        <is>
          <t>VÄSTERNORRLANDS LÄN</t>
        </is>
      </c>
      <c r="E2239" t="inlineStr">
        <is>
          <t>SOLLEFTEÅ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11338-2025</t>
        </is>
      </c>
      <c r="B2240" s="1" t="n">
        <v>45726.48987268518</v>
      </c>
      <c r="C2240" s="1" t="n">
        <v>45937</v>
      </c>
      <c r="D2240" t="inlineStr">
        <is>
          <t>VÄSTERNORRLANDS LÄN</t>
        </is>
      </c>
      <c r="E2240" t="inlineStr">
        <is>
          <t>SOLLEFTEÅ</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56398-2024</t>
        </is>
      </c>
      <c r="B2241" s="1" t="n">
        <v>45625.35395833333</v>
      </c>
      <c r="C2241" s="1" t="n">
        <v>45937</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37201-2024</t>
        </is>
      </c>
      <c r="B2242" s="1" t="n">
        <v>45539</v>
      </c>
      <c r="C2242" s="1" t="n">
        <v>45937</v>
      </c>
      <c r="D2242" t="inlineStr">
        <is>
          <t>VÄSTERNORRLANDS LÄN</t>
        </is>
      </c>
      <c r="E2242" t="inlineStr">
        <is>
          <t>SOLLEFTEÅ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18861-2023</t>
        </is>
      </c>
      <c r="B2243" s="1" t="n">
        <v>45042</v>
      </c>
      <c r="C2243" s="1" t="n">
        <v>45937</v>
      </c>
      <c r="D2243" t="inlineStr">
        <is>
          <t>VÄSTERNORRLANDS LÄN</t>
        </is>
      </c>
      <c r="E2243" t="inlineStr">
        <is>
          <t>SOLLEFTEÅ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54485-2024</t>
        </is>
      </c>
      <c r="B2244" s="1" t="n">
        <v>45617.5625462963</v>
      </c>
      <c r="C2244" s="1" t="n">
        <v>45937</v>
      </c>
      <c r="D2244" t="inlineStr">
        <is>
          <t>VÄSTERNORRLANDS LÄN</t>
        </is>
      </c>
      <c r="E2244" t="inlineStr">
        <is>
          <t>SOLLEFTEÅ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48001-2024</t>
        </is>
      </c>
      <c r="B2245" s="1" t="n">
        <v>45589.44826388889</v>
      </c>
      <c r="C2245" s="1" t="n">
        <v>45937</v>
      </c>
      <c r="D2245" t="inlineStr">
        <is>
          <t>VÄSTERNORRLANDS LÄN</t>
        </is>
      </c>
      <c r="E2245" t="inlineStr">
        <is>
          <t>SOLLEFTEÅ</t>
        </is>
      </c>
      <c r="F2245" t="inlineStr">
        <is>
          <t>SCA</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42979-2024</t>
        </is>
      </c>
      <c r="B2246" s="1" t="n">
        <v>45567.37438657408</v>
      </c>
      <c r="C2246" s="1" t="n">
        <v>45937</v>
      </c>
      <c r="D2246" t="inlineStr">
        <is>
          <t>VÄSTERNORRLANDS LÄN</t>
        </is>
      </c>
      <c r="E2246" t="inlineStr">
        <is>
          <t>SOLLEFTEÅ</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7868-2025</t>
        </is>
      </c>
      <c r="B2247" s="1" t="n">
        <v>45706.69850694444</v>
      </c>
      <c r="C2247" s="1" t="n">
        <v>45937</v>
      </c>
      <c r="D2247" t="inlineStr">
        <is>
          <t>VÄSTERNORRLANDS LÄN</t>
        </is>
      </c>
      <c r="E2247" t="inlineStr">
        <is>
          <t>SOLLEFTEÅ</t>
        </is>
      </c>
      <c r="F2247" t="inlineStr">
        <is>
          <t>SCA</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1840-2024</t>
        </is>
      </c>
      <c r="B2248" s="1" t="n">
        <v>45307</v>
      </c>
      <c r="C2248" s="1" t="n">
        <v>45937</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1844-2024</t>
        </is>
      </c>
      <c r="B2249" s="1" t="n">
        <v>45307</v>
      </c>
      <c r="C2249" s="1" t="n">
        <v>45937</v>
      </c>
      <c r="D2249" t="inlineStr">
        <is>
          <t>VÄSTERNORRLANDS LÄN</t>
        </is>
      </c>
      <c r="E2249" t="inlineStr">
        <is>
          <t>SOLLEFTEÅ</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9689-2024</t>
        </is>
      </c>
      <c r="B2250" s="1" t="n">
        <v>45362</v>
      </c>
      <c r="C2250" s="1" t="n">
        <v>45937</v>
      </c>
      <c r="D2250" t="inlineStr">
        <is>
          <t>VÄSTERNORRLANDS LÄN</t>
        </is>
      </c>
      <c r="E2250" t="inlineStr">
        <is>
          <t>SOLLEFTEÅ</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25139-2024</t>
        </is>
      </c>
      <c r="B2251" s="1" t="n">
        <v>45462.48130787037</v>
      </c>
      <c r="C2251" s="1" t="n">
        <v>45937</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38769-2024</t>
        </is>
      </c>
      <c r="B2252" s="1" t="n">
        <v>45547.44914351852</v>
      </c>
      <c r="C2252" s="1" t="n">
        <v>45937</v>
      </c>
      <c r="D2252" t="inlineStr">
        <is>
          <t>VÄSTERNORRLANDS LÄN</t>
        </is>
      </c>
      <c r="E2252" t="inlineStr">
        <is>
          <t>SOLLEFTEÅ</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34804-2022</t>
        </is>
      </c>
      <c r="B2253" s="1" t="n">
        <v>44795.94761574074</v>
      </c>
      <c r="C2253" s="1" t="n">
        <v>45937</v>
      </c>
      <c r="D2253" t="inlineStr">
        <is>
          <t>VÄSTERNORRLANDS LÄN</t>
        </is>
      </c>
      <c r="E2253" t="inlineStr">
        <is>
          <t>SOLLEFTEÅ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6376-2025</t>
        </is>
      </c>
      <c r="B2254" s="1" t="n">
        <v>45699</v>
      </c>
      <c r="C2254" s="1" t="n">
        <v>45937</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769-2025</t>
        </is>
      </c>
      <c r="B2255" s="1" t="n">
        <v>45659</v>
      </c>
      <c r="C2255" s="1" t="n">
        <v>45937</v>
      </c>
      <c r="D2255" t="inlineStr">
        <is>
          <t>VÄSTERNORRLANDS LÄN</t>
        </is>
      </c>
      <c r="E2255" t="inlineStr">
        <is>
          <t>SOLLEFTEÅ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4905-2025</t>
        </is>
      </c>
      <c r="B2256" s="1" t="n">
        <v>45688.68043981482</v>
      </c>
      <c r="C2256" s="1" t="n">
        <v>45937</v>
      </c>
      <c r="D2256" t="inlineStr">
        <is>
          <t>VÄSTERNORRLANDS LÄN</t>
        </is>
      </c>
      <c r="E2256" t="inlineStr">
        <is>
          <t>SOLLEFTEÅ</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6733-2025</t>
        </is>
      </c>
      <c r="B2257" s="1" t="n">
        <v>45700.59425925926</v>
      </c>
      <c r="C2257" s="1" t="n">
        <v>45937</v>
      </c>
      <c r="D2257" t="inlineStr">
        <is>
          <t>VÄSTERNORRLANDS LÄN</t>
        </is>
      </c>
      <c r="E2257" t="inlineStr">
        <is>
          <t>SOLLEFTEÅ</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14036-2025</t>
        </is>
      </c>
      <c r="B2258" s="1" t="n">
        <v>45740.36508101852</v>
      </c>
      <c r="C2258" s="1" t="n">
        <v>45937</v>
      </c>
      <c r="D2258" t="inlineStr">
        <is>
          <t>VÄSTERNORRLANDS LÄN</t>
        </is>
      </c>
      <c r="E2258" t="inlineStr">
        <is>
          <t>SOLLEFTEÅ</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16467-2024</t>
        </is>
      </c>
      <c r="B2259" s="1" t="n">
        <v>45408</v>
      </c>
      <c r="C2259" s="1" t="n">
        <v>45937</v>
      </c>
      <c r="D2259" t="inlineStr">
        <is>
          <t>VÄSTERNORRLANDS LÄN</t>
        </is>
      </c>
      <c r="E2259" t="inlineStr">
        <is>
          <t>SOLLEFTEÅ</t>
        </is>
      </c>
      <c r="F2259" t="inlineStr">
        <is>
          <t>SCA</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17049-2022</t>
        </is>
      </c>
      <c r="B2260" s="1" t="n">
        <v>44676</v>
      </c>
      <c r="C2260" s="1" t="n">
        <v>45937</v>
      </c>
      <c r="D2260" t="inlineStr">
        <is>
          <t>VÄSTERNORRLANDS LÄN</t>
        </is>
      </c>
      <c r="E2260" t="inlineStr">
        <is>
          <t>SOLLEFTEÅ</t>
        </is>
      </c>
      <c r="F2260" t="inlineStr">
        <is>
          <t>SCA</t>
        </is>
      </c>
      <c r="G2260" t="n">
        <v>2.6</v>
      </c>
      <c r="H2260" t="n">
        <v>0</v>
      </c>
      <c r="I2260" t="n">
        <v>0</v>
      </c>
      <c r="J2260" t="n">
        <v>0</v>
      </c>
      <c r="K2260" t="n">
        <v>0</v>
      </c>
      <c r="L2260" t="n">
        <v>0</v>
      </c>
      <c r="M2260" t="n">
        <v>0</v>
      </c>
      <c r="N2260" t="n">
        <v>0</v>
      </c>
      <c r="O2260" t="n">
        <v>0</v>
      </c>
      <c r="P2260" t="n">
        <v>0</v>
      </c>
      <c r="Q2260" t="n">
        <v>0</v>
      </c>
      <c r="R2260" s="2" t="inlineStr"/>
      <c r="U2260">
        <f>HYPERLINK("https://klasma.github.io/Logging_2283/knärot/A 17049-2022 karta knärot.png", "A 17049-2022")</f>
        <v/>
      </c>
      <c r="V2260">
        <f>HYPERLINK("https://klasma.github.io/Logging_2283/klagomål/A 17049-2022 FSC-klagomål.docx", "A 17049-2022")</f>
        <v/>
      </c>
      <c r="W2260">
        <f>HYPERLINK("https://klasma.github.io/Logging_2283/klagomålsmail/A 17049-2022 FSC-klagomål mail.docx", "A 17049-2022")</f>
        <v/>
      </c>
      <c r="X2260">
        <f>HYPERLINK("https://klasma.github.io/Logging_2283/tillsyn/A 17049-2022 tillsynsbegäran.docx", "A 17049-2022")</f>
        <v/>
      </c>
      <c r="Y2260">
        <f>HYPERLINK("https://klasma.github.io/Logging_2283/tillsynsmail/A 17049-2022 tillsynsbegäran mail.docx", "A 17049-2022")</f>
        <v/>
      </c>
    </row>
    <row r="2261" ht="15" customHeight="1">
      <c r="A2261" t="inlineStr">
        <is>
          <t>A 59647-2022</t>
        </is>
      </c>
      <c r="B2261" s="1" t="n">
        <v>44907.96577546297</v>
      </c>
      <c r="C2261" s="1" t="n">
        <v>45937</v>
      </c>
      <c r="D2261" t="inlineStr">
        <is>
          <t>VÄSTERNORRLANDS LÄN</t>
        </is>
      </c>
      <c r="E2261" t="inlineStr">
        <is>
          <t>SOLLEFTEÅ</t>
        </is>
      </c>
      <c r="F2261" t="inlineStr">
        <is>
          <t>SCA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20859-2023</t>
        </is>
      </c>
      <c r="B2262" s="1" t="n">
        <v>45058.94212962963</v>
      </c>
      <c r="C2262" s="1" t="n">
        <v>45937</v>
      </c>
      <c r="D2262" t="inlineStr">
        <is>
          <t>VÄSTERNORRLANDS LÄN</t>
        </is>
      </c>
      <c r="E2262" t="inlineStr">
        <is>
          <t>SOLLEFTEÅ</t>
        </is>
      </c>
      <c r="F2262" t="inlineStr">
        <is>
          <t>SCA</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52455-2024</t>
        </is>
      </c>
      <c r="B2263" s="1" t="n">
        <v>45609.50984953704</v>
      </c>
      <c r="C2263" s="1" t="n">
        <v>45937</v>
      </c>
      <c r="D2263" t="inlineStr">
        <is>
          <t>VÄSTERNORRLANDS LÄN</t>
        </is>
      </c>
      <c r="E2263" t="inlineStr">
        <is>
          <t>SOLLEFTEÅ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2422-2025</t>
        </is>
      </c>
      <c r="B2264" s="1" t="n">
        <v>45674.38592592593</v>
      </c>
      <c r="C2264" s="1" t="n">
        <v>45937</v>
      </c>
      <c r="D2264" t="inlineStr">
        <is>
          <t>VÄSTERNORRLANDS LÄN</t>
        </is>
      </c>
      <c r="E2264" t="inlineStr">
        <is>
          <t>SOLLEFTEÅ</t>
        </is>
      </c>
      <c r="F2264" t="inlineStr">
        <is>
          <t>SCA</t>
        </is>
      </c>
      <c r="G2264" t="n">
        <v>27.9</v>
      </c>
      <c r="H2264" t="n">
        <v>0</v>
      </c>
      <c r="I2264" t="n">
        <v>0</v>
      </c>
      <c r="J2264" t="n">
        <v>0</v>
      </c>
      <c r="K2264" t="n">
        <v>0</v>
      </c>
      <c r="L2264" t="n">
        <v>0</v>
      </c>
      <c r="M2264" t="n">
        <v>0</v>
      </c>
      <c r="N2264" t="n">
        <v>0</v>
      </c>
      <c r="O2264" t="n">
        <v>0</v>
      </c>
      <c r="P2264" t="n">
        <v>0</v>
      </c>
      <c r="Q2264" t="n">
        <v>0</v>
      </c>
      <c r="R2264" s="2" t="inlineStr"/>
    </row>
    <row r="2265" ht="15" customHeight="1">
      <c r="A2265" t="inlineStr">
        <is>
          <t>A 11094-2023</t>
        </is>
      </c>
      <c r="B2265" s="1" t="n">
        <v>44986</v>
      </c>
      <c r="C2265" s="1" t="n">
        <v>45937</v>
      </c>
      <c r="D2265" t="inlineStr">
        <is>
          <t>VÄSTERNORRLANDS LÄN</t>
        </is>
      </c>
      <c r="E2265" t="inlineStr">
        <is>
          <t>SOLLEFTEÅ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56256-2023</t>
        </is>
      </c>
      <c r="B2266" s="1" t="n">
        <v>45240</v>
      </c>
      <c r="C2266" s="1" t="n">
        <v>45937</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56262-2023</t>
        </is>
      </c>
      <c r="B2267" s="1" t="n">
        <v>45240</v>
      </c>
      <c r="C2267" s="1" t="n">
        <v>45937</v>
      </c>
      <c r="D2267" t="inlineStr">
        <is>
          <t>VÄSTERNORRLANDS LÄN</t>
        </is>
      </c>
      <c r="E2267" t="inlineStr">
        <is>
          <t>SOLLEFTEÅ</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50716-2023</t>
        </is>
      </c>
      <c r="B2268" s="1" t="n">
        <v>45210</v>
      </c>
      <c r="C2268" s="1" t="n">
        <v>45937</v>
      </c>
      <c r="D2268" t="inlineStr">
        <is>
          <t>VÄSTERNORRLANDS LÄN</t>
        </is>
      </c>
      <c r="E2268" t="inlineStr">
        <is>
          <t>SOLLEFTEÅ</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14252-2025</t>
        </is>
      </c>
      <c r="B2269" s="1" t="n">
        <v>45740.61601851852</v>
      </c>
      <c r="C2269" s="1" t="n">
        <v>45937</v>
      </c>
      <c r="D2269" t="inlineStr">
        <is>
          <t>VÄSTERNORRLANDS LÄN</t>
        </is>
      </c>
      <c r="E2269" t="inlineStr">
        <is>
          <t>SOLLEFTEÅ</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10950-2025</t>
        </is>
      </c>
      <c r="B2270" s="1" t="n">
        <v>45723.34474537037</v>
      </c>
      <c r="C2270" s="1" t="n">
        <v>45937</v>
      </c>
      <c r="D2270" t="inlineStr">
        <is>
          <t>VÄSTERNORRLANDS LÄN</t>
        </is>
      </c>
      <c r="E2270" t="inlineStr">
        <is>
          <t>SOLLEFTEÅ</t>
        </is>
      </c>
      <c r="F2270" t="inlineStr">
        <is>
          <t>SCA</t>
        </is>
      </c>
      <c r="G2270" t="n">
        <v>32.3</v>
      </c>
      <c r="H2270" t="n">
        <v>0</v>
      </c>
      <c r="I2270" t="n">
        <v>0</v>
      </c>
      <c r="J2270" t="n">
        <v>0</v>
      </c>
      <c r="K2270" t="n">
        <v>0</v>
      </c>
      <c r="L2270" t="n">
        <v>0</v>
      </c>
      <c r="M2270" t="n">
        <v>0</v>
      </c>
      <c r="N2270" t="n">
        <v>0</v>
      </c>
      <c r="O2270" t="n">
        <v>0</v>
      </c>
      <c r="P2270" t="n">
        <v>0</v>
      </c>
      <c r="Q2270" t="n">
        <v>0</v>
      </c>
      <c r="R2270" s="2" t="inlineStr"/>
    </row>
    <row r="2271" ht="15" customHeight="1">
      <c r="A2271" t="inlineStr">
        <is>
          <t>A 15260-2025</t>
        </is>
      </c>
      <c r="B2271" s="1" t="n">
        <v>45744.65659722222</v>
      </c>
      <c r="C2271" s="1" t="n">
        <v>45937</v>
      </c>
      <c r="D2271" t="inlineStr">
        <is>
          <t>VÄSTERNORRLANDS LÄN</t>
        </is>
      </c>
      <c r="E2271" t="inlineStr">
        <is>
          <t>SOLLEFTEÅ</t>
        </is>
      </c>
      <c r="F2271" t="inlineStr">
        <is>
          <t>SCA</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50549-2024</t>
        </is>
      </c>
      <c r="B2272" s="1" t="n">
        <v>45601</v>
      </c>
      <c r="C2272" s="1" t="n">
        <v>45937</v>
      </c>
      <c r="D2272" t="inlineStr">
        <is>
          <t>VÄSTERNORRLANDS LÄN</t>
        </is>
      </c>
      <c r="E2272" t="inlineStr">
        <is>
          <t>SOLLEFTEÅ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50624-2024</t>
        </is>
      </c>
      <c r="B2273" s="1" t="n">
        <v>45601.65728009259</v>
      </c>
      <c r="C2273" s="1" t="n">
        <v>45937</v>
      </c>
      <c r="D2273" t="inlineStr">
        <is>
          <t>VÄSTERNORRLANDS LÄN</t>
        </is>
      </c>
      <c r="E2273" t="inlineStr">
        <is>
          <t>SOLLEFTEÅ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11711-2025</t>
        </is>
      </c>
      <c r="B2274" s="1" t="n">
        <v>45727.59398148148</v>
      </c>
      <c r="C2274" s="1" t="n">
        <v>45937</v>
      </c>
      <c r="D2274" t="inlineStr">
        <is>
          <t>VÄSTERNORRLANDS LÄN</t>
        </is>
      </c>
      <c r="E2274" t="inlineStr">
        <is>
          <t>SOLLEFTEÅ</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9163-2025</t>
        </is>
      </c>
      <c r="B2275" s="1" t="n">
        <v>45714.36503472222</v>
      </c>
      <c r="C2275" s="1" t="n">
        <v>45937</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34878-2024</t>
        </is>
      </c>
      <c r="B2276" s="1" t="n">
        <v>45527</v>
      </c>
      <c r="C2276" s="1" t="n">
        <v>45937</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55759-2024</t>
        </is>
      </c>
      <c r="B2277" s="1" t="n">
        <v>45623.3647337963</v>
      </c>
      <c r="C2277" s="1" t="n">
        <v>45937</v>
      </c>
      <c r="D2277" t="inlineStr">
        <is>
          <t>VÄSTERNORRLANDS LÄN</t>
        </is>
      </c>
      <c r="E2277" t="inlineStr">
        <is>
          <t>SOLLEFTEÅ</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56388-2024</t>
        </is>
      </c>
      <c r="B2278" s="1" t="n">
        <v>45625.34449074074</v>
      </c>
      <c r="C2278" s="1" t="n">
        <v>45937</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57892-2024</t>
        </is>
      </c>
      <c r="B2279" s="1" t="n">
        <v>45631.46910879629</v>
      </c>
      <c r="C2279" s="1" t="n">
        <v>45937</v>
      </c>
      <c r="D2279" t="inlineStr">
        <is>
          <t>VÄSTERNORRLANDS LÄN</t>
        </is>
      </c>
      <c r="E2279" t="inlineStr">
        <is>
          <t>SOLLEFTEÅ</t>
        </is>
      </c>
      <c r="F2279" t="inlineStr">
        <is>
          <t>SCA</t>
        </is>
      </c>
      <c r="G2279" t="n">
        <v>13.8</v>
      </c>
      <c r="H2279" t="n">
        <v>0</v>
      </c>
      <c r="I2279" t="n">
        <v>0</v>
      </c>
      <c r="J2279" t="n">
        <v>0</v>
      </c>
      <c r="K2279" t="n">
        <v>0</v>
      </c>
      <c r="L2279" t="n">
        <v>0</v>
      </c>
      <c r="M2279" t="n">
        <v>0</v>
      </c>
      <c r="N2279" t="n">
        <v>0</v>
      </c>
      <c r="O2279" t="n">
        <v>0</v>
      </c>
      <c r="P2279" t="n">
        <v>0</v>
      </c>
      <c r="Q2279" t="n">
        <v>0</v>
      </c>
      <c r="R2279" s="2" t="inlineStr"/>
    </row>
    <row r="2280" ht="15" customHeight="1">
      <c r="A2280" t="inlineStr">
        <is>
          <t>A 20223-2024</t>
        </is>
      </c>
      <c r="B2280" s="1" t="n">
        <v>45434</v>
      </c>
      <c r="C2280" s="1" t="n">
        <v>45937</v>
      </c>
      <c r="D2280" t="inlineStr">
        <is>
          <t>VÄSTERNORRLANDS LÄN</t>
        </is>
      </c>
      <c r="E2280" t="inlineStr">
        <is>
          <t>SOLLEFTEÅ</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51227-2024</t>
        </is>
      </c>
      <c r="B2281" s="1" t="n">
        <v>45603.65729166667</v>
      </c>
      <c r="C2281" s="1" t="n">
        <v>45937</v>
      </c>
      <c r="D2281" t="inlineStr">
        <is>
          <t>VÄSTERNORRLANDS LÄN</t>
        </is>
      </c>
      <c r="E2281" t="inlineStr">
        <is>
          <t>SOLLEFTEÅ</t>
        </is>
      </c>
      <c r="F2281" t="inlineStr">
        <is>
          <t>SCA</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60831-2024</t>
        </is>
      </c>
      <c r="B2282" s="1" t="n">
        <v>45644</v>
      </c>
      <c r="C2282" s="1" t="n">
        <v>45937</v>
      </c>
      <c r="D2282" t="inlineStr">
        <is>
          <t>VÄSTERNORRLANDS LÄN</t>
        </is>
      </c>
      <c r="E2282" t="inlineStr">
        <is>
          <t>SOLLEFTEÅ</t>
        </is>
      </c>
      <c r="G2282" t="n">
        <v>8.199999999999999</v>
      </c>
      <c r="H2282" t="n">
        <v>0</v>
      </c>
      <c r="I2282" t="n">
        <v>0</v>
      </c>
      <c r="J2282" t="n">
        <v>0</v>
      </c>
      <c r="K2282" t="n">
        <v>0</v>
      </c>
      <c r="L2282" t="n">
        <v>0</v>
      </c>
      <c r="M2282" t="n">
        <v>0</v>
      </c>
      <c r="N2282" t="n">
        <v>0</v>
      </c>
      <c r="O2282" t="n">
        <v>0</v>
      </c>
      <c r="P2282" t="n">
        <v>0</v>
      </c>
      <c r="Q2282" t="n">
        <v>0</v>
      </c>
      <c r="R2282" s="2" t="inlineStr"/>
    </row>
    <row r="2283">
      <c r="A2283" t="inlineStr">
        <is>
          <t>A 14097-2025</t>
        </is>
      </c>
      <c r="B2283" s="1" t="n">
        <v>45740.44875</v>
      </c>
      <c r="C2283" s="1" t="n">
        <v>45937</v>
      </c>
      <c r="D2283" t="inlineStr">
        <is>
          <t>VÄSTERNORRLANDS LÄN</t>
        </is>
      </c>
      <c r="E2283" t="inlineStr">
        <is>
          <t>SOLLEFTEÅ</t>
        </is>
      </c>
      <c r="F2283" t="inlineStr">
        <is>
          <t>SCA</t>
        </is>
      </c>
      <c r="G2283" t="n">
        <v>0.6</v>
      </c>
      <c r="H2283" t="n">
        <v>0</v>
      </c>
      <c r="I2283" t="n">
        <v>0</v>
      </c>
      <c r="J2283" t="n">
        <v>0</v>
      </c>
      <c r="K2283" t="n">
        <v>0</v>
      </c>
      <c r="L2283" t="n">
        <v>0</v>
      </c>
      <c r="M2283" t="n">
        <v>0</v>
      </c>
      <c r="N2283" t="n">
        <v>0</v>
      </c>
      <c r="O2283" t="n">
        <v>0</v>
      </c>
      <c r="P2283" t="n">
        <v>0</v>
      </c>
      <c r="Q2283" t="n">
        <v>0</v>
      </c>
      <c r="R2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2025-10-07T12:35:54Z</dcterms:created>
  <dcterms:modified xmlns:dcterms="http://purl.org/dc/terms/" xmlns:xsi="http://www.w3.org/2001/XMLSchema-instance" xsi:type="dcterms:W3CDTF">2025-10-07T12:35:56Z</dcterms:modified>
</cp:coreProperties>
</file>