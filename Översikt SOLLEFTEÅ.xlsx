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45852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45852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45852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45852</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45852</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45852</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45852</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45852</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45852</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45852</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45852</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45852</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45852</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45852</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45852</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45852</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45852</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45852</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45852</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45852</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45852</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45852</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45852</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45852</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45852</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45852</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45852</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45852</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45852</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45852</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45852</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45852</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45852</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45852</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45852</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45852</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45852</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45852</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45852</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45852</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45852</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45852</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45852</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45852</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45852</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45852</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45852</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45852</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45852</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45852</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45852</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45852</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45852</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45852</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45852</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45852</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45852</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45852</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45852</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45852</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45852</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45852</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45852</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45852</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45852</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45852</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45852</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45852</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45852</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45852</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45852</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45852</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45852</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45852</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45852</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45852</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45852</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45852</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45852</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45852</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45852</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45852</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45852</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45852</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45852</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45852</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45852</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45852</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45852</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45852</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45852</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45852</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45852</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45852</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45852</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45852</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45852</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45852</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45852</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45852</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45852</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45852</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45852</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45852</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45852</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45852</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45852</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45852</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45852</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45852</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45852</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45852</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45852</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45852</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45852</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45852</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45852</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45852</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45852</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45852</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45852</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45852</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45852</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45852</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45852</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45852</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45852</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45852</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45852</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45852</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45852</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45852</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45852</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45852</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45852</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45852</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45852</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45852</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45852</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45852</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45852</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45852</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45852</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45852</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45852</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45852</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45852</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45852</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45852</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45852</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45852</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45852</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45852</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45852</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45852</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45852</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45852</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45852</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45852</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45852</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45852</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45852</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45852</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45852</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45852</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45852</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45852</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45852</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45852</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45852</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45852</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45852</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45852</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45852</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45852</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45852</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45852</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45852</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45852</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45852</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45852</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45852</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45852</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45852</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45852</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45852</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45852</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45852</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45852</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45852</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45852</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45852</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45852</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45852</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45852</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45852</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45852</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45852</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45852</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45852</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45852</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45852</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45852</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45852</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45852</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45852</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45852</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45852</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45852</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45852</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45852</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45852</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45852</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45852</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45852</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45852</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45852</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45852</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45852</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45852</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45852</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45852</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45852</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45852</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45852</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45852</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45852</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45852</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45852</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45852</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45852</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45852</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45852</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45852</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45852</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45852</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45852</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45852</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45852</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45852</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45852</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45852</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45852</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45852</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45852</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45852</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45852</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45852</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45852</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45852</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45852</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45852</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45852</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45852</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45852</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45852</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45852</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45852</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45852</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45852</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45852</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45852</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45852</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45852</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45852</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45852</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45852</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45852</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45852</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45852</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45852</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45852</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45852</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45852</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45852</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45852</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45852</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45852</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45852</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45852</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45852</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45852</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45852</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45852</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45852</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45852</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45852</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45852</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45852</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45852</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45852</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45852</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45852</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45852</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45852</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45852</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45852</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45852</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45852</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45852</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45852</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45852</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45852</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45852</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45852</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45852</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45852</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45852</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45852</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45852</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45852</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45852</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45852</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45852</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45852</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45852</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45852</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45852</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45852</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45852</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45852</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45852</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45852</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45852</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45852</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45852</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45852</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45852</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45852</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45852</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45852</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45852</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45852</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45852</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45852</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45852</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45852</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45852</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45852</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45852</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45852</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45852</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45852</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45852</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45852</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45852</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45852</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45852</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45852</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45852</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45852</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45852</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45852</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45852</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45852</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45852</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45852</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45852</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45852</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45852</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45852</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45852</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45852</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45852</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45852</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45852</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45852</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45852</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45852</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45852</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45852</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45852</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45852</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45852</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45852</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45852</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45852</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45852</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45852</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45852</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45852</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45852</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45852</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45852</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45852</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45852</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45852</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45852</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45852</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45852</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45852</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45852</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45852</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45852</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45852</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45852</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45852</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45852</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45852</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45852</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45852</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45852</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45852</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45852</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45852</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45852</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45852</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45852</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45852</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45852</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45852</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45852</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45852</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45852</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45852</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45852</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45852</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45852</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45852</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45852</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45852</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45852</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45852</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45852</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45852</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45852</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45852</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45852</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45852</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45852</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45852</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45852</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45852</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45852</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45852</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45852</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45852</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45852</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45852</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45852</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45852</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45852</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45852</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45852</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45852</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45852</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45852</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45852</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45852</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45852</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45852</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45852</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45852</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45852</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45852</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45852</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45852</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45852</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45852</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45852</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45852</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45852</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45852</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45852</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45852</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45852</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45852</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45852</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45852</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45852</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45852</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45852</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45852</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45852</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45852</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45852</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45852</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45852</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45852</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45852</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45852</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45852</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45852</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45852</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45852</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45852</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45852</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45852</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45852</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45852</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45852</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45852</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45852</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45852</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45852</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45852</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45852</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45852</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45852</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45852</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45852</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45852</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45852</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45852</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45852</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45852</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45852</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45852</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45852</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45852</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45852</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45852</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45852</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45852</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45852</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45852</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45852</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45852</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45852</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45852</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45852</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45852</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45852</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45852</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45852</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45852</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45852</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45852</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45852</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45852</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45852</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45852</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45852</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45852</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45852</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45852</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45852</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45852</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45852</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45852</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45852</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45852</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45852</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45852</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45852</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45852</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45852</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45852</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45852</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45852</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45852</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45852</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45852</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45852</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45852</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45852</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45852</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45852</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45852</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45852</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45852</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33853-2025</t>
        </is>
      </c>
      <c r="B563" s="1" t="n">
        <v>45842</v>
      </c>
      <c r="C563" s="1" t="n">
        <v>45852</v>
      </c>
      <c r="D563" t="inlineStr">
        <is>
          <t>VÄSTERNORRLANDS LÄN</t>
        </is>
      </c>
      <c r="E563" t="inlineStr">
        <is>
          <t>SOLLEFTEÅ</t>
        </is>
      </c>
      <c r="F563" t="inlineStr">
        <is>
          <t>SCA</t>
        </is>
      </c>
      <c r="G563" t="n">
        <v>6.5</v>
      </c>
      <c r="H563" t="n">
        <v>1</v>
      </c>
      <c r="I563" t="n">
        <v>0</v>
      </c>
      <c r="J563" t="n">
        <v>0</v>
      </c>
      <c r="K563" t="n">
        <v>0</v>
      </c>
      <c r="L563" t="n">
        <v>0</v>
      </c>
      <c r="M563" t="n">
        <v>0</v>
      </c>
      <c r="N563" t="n">
        <v>0</v>
      </c>
      <c r="O563" t="n">
        <v>0</v>
      </c>
      <c r="P563" t="n">
        <v>0</v>
      </c>
      <c r="Q563" t="n">
        <v>1</v>
      </c>
      <c r="R563" s="2" t="inlineStr">
        <is>
          <t>Tjäder</t>
        </is>
      </c>
      <c r="S563">
        <f>HYPERLINK("https://klasma.github.io/Logging_222283/artfynd/A 33853-2025 artfynd.xlsx", "A 33853-2025")</f>
        <v/>
      </c>
      <c r="T563">
        <f>HYPERLINK("https://klasma.github.io/Logging_222283/kartor/A 33853-2025 karta.png", "A 33853-2025")</f>
        <v/>
      </c>
      <c r="V563">
        <f>HYPERLINK("https://klasma.github.io/Logging_222283/klagomål/A 33853-2025 FSC-klagomål.docx", "A 33853-2025")</f>
        <v/>
      </c>
      <c r="W563">
        <f>HYPERLINK("https://klasma.github.io/Logging_222283/klagomålsmail/A 33853-2025 FSC-klagomål mail.docx", "A 33853-2025")</f>
        <v/>
      </c>
      <c r="X563">
        <f>HYPERLINK("https://klasma.github.io/Logging_222283/tillsyn/A 33853-2025 tillsynsbegäran.docx", "A 33853-2025")</f>
        <v/>
      </c>
      <c r="Y563">
        <f>HYPERLINK("https://klasma.github.io/Logging_222283/tillsynsmail/A 33853-2025 tillsynsbegäran mail.docx", "A 33853-2025")</f>
        <v/>
      </c>
      <c r="Z563">
        <f>HYPERLINK("https://klasma.github.io/Logging_222283/fåglar/A 33853-2025 prioriterade fågelarter.docx", "A 33853-2025")</f>
        <v/>
      </c>
    </row>
    <row r="564" ht="15" customHeight="1">
      <c r="A564" t="inlineStr">
        <is>
          <t>A 34865-2025</t>
        </is>
      </c>
      <c r="B564" s="1" t="n">
        <v>45849</v>
      </c>
      <c r="C564" s="1" t="n">
        <v>45852</v>
      </c>
      <c r="D564" t="inlineStr">
        <is>
          <t>VÄSTERNORRLANDS LÄN</t>
        </is>
      </c>
      <c r="E564" t="inlineStr">
        <is>
          <t>SOLLEFTEÅ</t>
        </is>
      </c>
      <c r="G564" t="n">
        <v>3.3</v>
      </c>
      <c r="H564" t="n">
        <v>1</v>
      </c>
      <c r="I564" t="n">
        <v>0</v>
      </c>
      <c r="J564" t="n">
        <v>1</v>
      </c>
      <c r="K564" t="n">
        <v>0</v>
      </c>
      <c r="L564" t="n">
        <v>0</v>
      </c>
      <c r="M564" t="n">
        <v>0</v>
      </c>
      <c r="N564" t="n">
        <v>0</v>
      </c>
      <c r="O564" t="n">
        <v>1</v>
      </c>
      <c r="P564" t="n">
        <v>0</v>
      </c>
      <c r="Q564" t="n">
        <v>1</v>
      </c>
      <c r="R564" s="2" t="inlineStr">
        <is>
          <t>Spillkråka</t>
        </is>
      </c>
      <c r="S564">
        <f>HYPERLINK("https://klasma.github.io/Logging_222283/artfynd/A 34865-2025 artfynd.xlsx", "A 34865-2025")</f>
        <v/>
      </c>
      <c r="T564">
        <f>HYPERLINK("https://klasma.github.io/Logging_222283/kartor/A 34865-2025 karta.png", "A 34865-2025")</f>
        <v/>
      </c>
      <c r="V564">
        <f>HYPERLINK("https://klasma.github.io/Logging_222283/klagomål/A 34865-2025 FSC-klagomål.docx", "A 34865-2025")</f>
        <v/>
      </c>
      <c r="W564">
        <f>HYPERLINK("https://klasma.github.io/Logging_222283/klagomålsmail/A 34865-2025 FSC-klagomål mail.docx", "A 34865-2025")</f>
        <v/>
      </c>
      <c r="X564">
        <f>HYPERLINK("https://klasma.github.io/Logging_222283/tillsyn/A 34865-2025 tillsynsbegäran.docx", "A 34865-2025")</f>
        <v/>
      </c>
      <c r="Y564">
        <f>HYPERLINK("https://klasma.github.io/Logging_222283/tillsynsmail/A 34865-2025 tillsynsbegäran mail.docx", "A 34865-2025")</f>
        <v/>
      </c>
      <c r="Z564">
        <f>HYPERLINK("https://klasma.github.io/Logging_222283/fåglar/A 34865-2025 prioriterade fågelarter.docx", "A 34865-2025")</f>
        <v/>
      </c>
    </row>
    <row r="565" ht="15" customHeight="1">
      <c r="A565" t="inlineStr">
        <is>
          <t>A 18277-2019</t>
        </is>
      </c>
      <c r="B565" s="1" t="n">
        <v>43557</v>
      </c>
      <c r="C565" s="1" t="n">
        <v>45852</v>
      </c>
      <c r="D565" t="inlineStr">
        <is>
          <t>VÄSTERNORRLANDS LÄN</t>
        </is>
      </c>
      <c r="E565" t="inlineStr">
        <is>
          <t>SOLLEFTEÅ</t>
        </is>
      </c>
      <c r="G565" t="n">
        <v>6.2</v>
      </c>
      <c r="H565" t="n">
        <v>0</v>
      </c>
      <c r="I565" t="n">
        <v>0</v>
      </c>
      <c r="J565" t="n">
        <v>0</v>
      </c>
      <c r="K565" t="n">
        <v>0</v>
      </c>
      <c r="L565" t="n">
        <v>0</v>
      </c>
      <c r="M565" t="n">
        <v>0</v>
      </c>
      <c r="N565" t="n">
        <v>0</v>
      </c>
      <c r="O565" t="n">
        <v>0</v>
      </c>
      <c r="P565" t="n">
        <v>0</v>
      </c>
      <c r="Q565" t="n">
        <v>0</v>
      </c>
      <c r="R565" s="2" t="inlineStr"/>
    </row>
    <row r="566" ht="15" customHeight="1">
      <c r="A566" t="inlineStr">
        <is>
          <t>A 18578-2019</t>
        </is>
      </c>
      <c r="B566" s="1" t="n">
        <v>43558</v>
      </c>
      <c r="C566" s="1" t="n">
        <v>45852</v>
      </c>
      <c r="D566" t="inlineStr">
        <is>
          <t>VÄSTERNORRLANDS LÄN</t>
        </is>
      </c>
      <c r="E566" t="inlineStr">
        <is>
          <t>SOLLEFTEÅ</t>
        </is>
      </c>
      <c r="G566" t="n">
        <v>1.7</v>
      </c>
      <c r="H566" t="n">
        <v>0</v>
      </c>
      <c r="I566" t="n">
        <v>0</v>
      </c>
      <c r="J566" t="n">
        <v>0</v>
      </c>
      <c r="K566" t="n">
        <v>0</v>
      </c>
      <c r="L566" t="n">
        <v>0</v>
      </c>
      <c r="M566" t="n">
        <v>0</v>
      </c>
      <c r="N566" t="n">
        <v>0</v>
      </c>
      <c r="O566" t="n">
        <v>0</v>
      </c>
      <c r="P566" t="n">
        <v>0</v>
      </c>
      <c r="Q566" t="n">
        <v>0</v>
      </c>
      <c r="R566" s="2" t="inlineStr"/>
    </row>
    <row r="567" ht="15" customHeight="1">
      <c r="A567" t="inlineStr">
        <is>
          <t>A 18925-2019</t>
        </is>
      </c>
      <c r="B567" s="1" t="n">
        <v>43563</v>
      </c>
      <c r="C567" s="1" t="n">
        <v>45852</v>
      </c>
      <c r="D567" t="inlineStr">
        <is>
          <t>VÄSTERNORRLANDS LÄN</t>
        </is>
      </c>
      <c r="E567" t="inlineStr">
        <is>
          <t>SOLLEFTEÅ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19123-2019</t>
        </is>
      </c>
      <c r="B568" s="1" t="n">
        <v>43564</v>
      </c>
      <c r="C568" s="1" t="n">
        <v>45852</v>
      </c>
      <c r="D568" t="inlineStr">
        <is>
          <t>VÄSTERNORRLANDS LÄN</t>
        </is>
      </c>
      <c r="E568" t="inlineStr">
        <is>
          <t>SOLLEFTEÅ</t>
        </is>
      </c>
      <c r="G568" t="n">
        <v>9.4</v>
      </c>
      <c r="H568" t="n">
        <v>0</v>
      </c>
      <c r="I568" t="n">
        <v>0</v>
      </c>
      <c r="J568" t="n">
        <v>0</v>
      </c>
      <c r="K568" t="n">
        <v>0</v>
      </c>
      <c r="L568" t="n">
        <v>0</v>
      </c>
      <c r="M568" t="n">
        <v>0</v>
      </c>
      <c r="N568" t="n">
        <v>0</v>
      </c>
      <c r="O568" t="n">
        <v>0</v>
      </c>
      <c r="P568" t="n">
        <v>0</v>
      </c>
      <c r="Q568" t="n">
        <v>0</v>
      </c>
      <c r="R568" s="2" t="inlineStr"/>
    </row>
    <row r="569" ht="15" customHeight="1">
      <c r="A569" t="inlineStr">
        <is>
          <t>A 19219-2019</t>
        </is>
      </c>
      <c r="B569" s="1" t="n">
        <v>43564</v>
      </c>
      <c r="C569" s="1" t="n">
        <v>45852</v>
      </c>
      <c r="D569" t="inlineStr">
        <is>
          <t>VÄSTERNORRLANDS LÄN</t>
        </is>
      </c>
      <c r="E569" t="inlineStr">
        <is>
          <t>SOLLEFTEÅ</t>
        </is>
      </c>
      <c r="G569" t="n">
        <v>37</v>
      </c>
      <c r="H569" t="n">
        <v>0</v>
      </c>
      <c r="I569" t="n">
        <v>0</v>
      </c>
      <c r="J569" t="n">
        <v>0</v>
      </c>
      <c r="K569" t="n">
        <v>0</v>
      </c>
      <c r="L569" t="n">
        <v>0</v>
      </c>
      <c r="M569" t="n">
        <v>0</v>
      </c>
      <c r="N569" t="n">
        <v>0</v>
      </c>
      <c r="O569" t="n">
        <v>0</v>
      </c>
      <c r="P569" t="n">
        <v>0</v>
      </c>
      <c r="Q569" t="n">
        <v>0</v>
      </c>
      <c r="R569" s="2" t="inlineStr"/>
    </row>
    <row r="570" ht="15" customHeight="1">
      <c r="A570" t="inlineStr">
        <is>
          <t>A 19553-2019</t>
        </is>
      </c>
      <c r="B570" s="1" t="n">
        <v>43565</v>
      </c>
      <c r="C570" s="1" t="n">
        <v>45852</v>
      </c>
      <c r="D570" t="inlineStr">
        <is>
          <t>VÄSTERNORRLANDS LÄN</t>
        </is>
      </c>
      <c r="E570" t="inlineStr">
        <is>
          <t>SOLLEFTEÅ</t>
        </is>
      </c>
      <c r="G570" t="n">
        <v>28.1</v>
      </c>
      <c r="H570" t="n">
        <v>0</v>
      </c>
      <c r="I570" t="n">
        <v>0</v>
      </c>
      <c r="J570" t="n">
        <v>0</v>
      </c>
      <c r="K570" t="n">
        <v>0</v>
      </c>
      <c r="L570" t="n">
        <v>0</v>
      </c>
      <c r="M570" t="n">
        <v>0</v>
      </c>
      <c r="N570" t="n">
        <v>0</v>
      </c>
      <c r="O570" t="n">
        <v>0</v>
      </c>
      <c r="P570" t="n">
        <v>0</v>
      </c>
      <c r="Q570" t="n">
        <v>0</v>
      </c>
      <c r="R570" s="2" t="inlineStr"/>
    </row>
    <row r="571" ht="15" customHeight="1">
      <c r="A571" t="inlineStr">
        <is>
          <t>A 19730-2019</t>
        </is>
      </c>
      <c r="B571" s="1" t="n">
        <v>43566</v>
      </c>
      <c r="C571" s="1" t="n">
        <v>45852</v>
      </c>
      <c r="D571" t="inlineStr">
        <is>
          <t>VÄSTERNORRLANDS LÄN</t>
        </is>
      </c>
      <c r="E571" t="inlineStr">
        <is>
          <t>SOLLEFTEÅ</t>
        </is>
      </c>
      <c r="G571" t="n">
        <v>2</v>
      </c>
      <c r="H571" t="n">
        <v>0</v>
      </c>
      <c r="I571" t="n">
        <v>0</v>
      </c>
      <c r="J571" t="n">
        <v>0</v>
      </c>
      <c r="K571" t="n">
        <v>0</v>
      </c>
      <c r="L571" t="n">
        <v>0</v>
      </c>
      <c r="M571" t="n">
        <v>0</v>
      </c>
      <c r="N571" t="n">
        <v>0</v>
      </c>
      <c r="O571" t="n">
        <v>0</v>
      </c>
      <c r="P571" t="n">
        <v>0</v>
      </c>
      <c r="Q571" t="n">
        <v>0</v>
      </c>
      <c r="R571" s="2" t="inlineStr"/>
    </row>
    <row r="572" ht="15" customHeight="1">
      <c r="A572" t="inlineStr">
        <is>
          <t>A 19595-2019</t>
        </is>
      </c>
      <c r="B572" s="1" t="n">
        <v>43566</v>
      </c>
      <c r="C572" s="1" t="n">
        <v>45852</v>
      </c>
      <c r="D572" t="inlineStr">
        <is>
          <t>VÄSTERNORRLANDS LÄN</t>
        </is>
      </c>
      <c r="E572" t="inlineStr">
        <is>
          <t>SOLLEFTEÅ</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19732-2019</t>
        </is>
      </c>
      <c r="B573" s="1" t="n">
        <v>43566</v>
      </c>
      <c r="C573" s="1" t="n">
        <v>45852</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19731-2019</t>
        </is>
      </c>
      <c r="B574" s="1" t="n">
        <v>43566</v>
      </c>
      <c r="C574" s="1" t="n">
        <v>45852</v>
      </c>
      <c r="D574" t="inlineStr">
        <is>
          <t>VÄSTERNORRLANDS LÄN</t>
        </is>
      </c>
      <c r="E574" t="inlineStr">
        <is>
          <t>SOLLEFTEÅ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20201-2019</t>
        </is>
      </c>
      <c r="B575" s="1" t="n">
        <v>43570</v>
      </c>
      <c r="C575" s="1" t="n">
        <v>45852</v>
      </c>
      <c r="D575" t="inlineStr">
        <is>
          <t>VÄSTERNORRLANDS LÄN</t>
        </is>
      </c>
      <c r="E575" t="inlineStr">
        <is>
          <t>SOLLEFTEÅ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20198-2019</t>
        </is>
      </c>
      <c r="B576" s="1" t="n">
        <v>43570</v>
      </c>
      <c r="C576" s="1" t="n">
        <v>45852</v>
      </c>
      <c r="D576" t="inlineStr">
        <is>
          <t>VÄSTERNORRLANDS LÄN</t>
        </is>
      </c>
      <c r="E576" t="inlineStr">
        <is>
          <t>SOLLEFTEÅ</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20200-2019</t>
        </is>
      </c>
      <c r="B577" s="1" t="n">
        <v>43570</v>
      </c>
      <c r="C577" s="1" t="n">
        <v>45852</v>
      </c>
      <c r="D577" t="inlineStr">
        <is>
          <t>VÄSTERNORRLANDS LÄN</t>
        </is>
      </c>
      <c r="E577" t="inlineStr">
        <is>
          <t>SOLLEFTEÅ</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20444-2019</t>
        </is>
      </c>
      <c r="B578" s="1" t="n">
        <v>43571</v>
      </c>
      <c r="C578" s="1" t="n">
        <v>45852</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20649-2019</t>
        </is>
      </c>
      <c r="B579" s="1" t="n">
        <v>43572</v>
      </c>
      <c r="C579" s="1" t="n">
        <v>45852</v>
      </c>
      <c r="D579" t="inlineStr">
        <is>
          <t>VÄSTERNORRLANDS LÄN</t>
        </is>
      </c>
      <c r="E579" t="inlineStr">
        <is>
          <t>SOLLEFTEÅ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20648-2019</t>
        </is>
      </c>
      <c r="B580" s="1" t="n">
        <v>43572</v>
      </c>
      <c r="C580" s="1" t="n">
        <v>45852</v>
      </c>
      <c r="D580" t="inlineStr">
        <is>
          <t>VÄSTERNORRLANDS LÄN</t>
        </is>
      </c>
      <c r="E580" t="inlineStr">
        <is>
          <t>SOLLEFTEÅ</t>
        </is>
      </c>
      <c r="G580" t="n">
        <v>3.9</v>
      </c>
      <c r="H580" t="n">
        <v>0</v>
      </c>
      <c r="I580" t="n">
        <v>0</v>
      </c>
      <c r="J580" t="n">
        <v>0</v>
      </c>
      <c r="K580" t="n">
        <v>0</v>
      </c>
      <c r="L580" t="n">
        <v>0</v>
      </c>
      <c r="M580" t="n">
        <v>0</v>
      </c>
      <c r="N580" t="n">
        <v>0</v>
      </c>
      <c r="O580" t="n">
        <v>0</v>
      </c>
      <c r="P580" t="n">
        <v>0</v>
      </c>
      <c r="Q580" t="n">
        <v>0</v>
      </c>
      <c r="R580" s="2" t="inlineStr"/>
    </row>
    <row r="581" ht="15" customHeight="1">
      <c r="A581" t="inlineStr">
        <is>
          <t>A 21119-2019</t>
        </is>
      </c>
      <c r="B581" s="1" t="n">
        <v>43578</v>
      </c>
      <c r="C581" s="1" t="n">
        <v>45852</v>
      </c>
      <c r="D581" t="inlineStr">
        <is>
          <t>VÄSTERNORRLANDS LÄN</t>
        </is>
      </c>
      <c r="E581" t="inlineStr">
        <is>
          <t>SOLLEFTEÅ</t>
        </is>
      </c>
      <c r="F581" t="inlineStr">
        <is>
          <t>SCA</t>
        </is>
      </c>
      <c r="G581" t="n">
        <v>57.7</v>
      </c>
      <c r="H581" t="n">
        <v>0</v>
      </c>
      <c r="I581" t="n">
        <v>0</v>
      </c>
      <c r="J581" t="n">
        <v>0</v>
      </c>
      <c r="K581" t="n">
        <v>0</v>
      </c>
      <c r="L581" t="n">
        <v>0</v>
      </c>
      <c r="M581" t="n">
        <v>0</v>
      </c>
      <c r="N581" t="n">
        <v>0</v>
      </c>
      <c r="O581" t="n">
        <v>0</v>
      </c>
      <c r="P581" t="n">
        <v>0</v>
      </c>
      <c r="Q581" t="n">
        <v>0</v>
      </c>
      <c r="R581" s="2" t="inlineStr"/>
    </row>
    <row r="582" ht="15" customHeight="1">
      <c r="A582" t="inlineStr">
        <is>
          <t>A 21526-2019</t>
        </is>
      </c>
      <c r="B582" s="1" t="n">
        <v>43580</v>
      </c>
      <c r="C582" s="1" t="n">
        <v>45852</v>
      </c>
      <c r="D582" t="inlineStr">
        <is>
          <t>VÄSTERNORRLANDS LÄN</t>
        </is>
      </c>
      <c r="E582" t="inlineStr">
        <is>
          <t>SOLLEFTEÅ</t>
        </is>
      </c>
      <c r="G582" t="n">
        <v>3.1</v>
      </c>
      <c r="H582" t="n">
        <v>0</v>
      </c>
      <c r="I582" t="n">
        <v>0</v>
      </c>
      <c r="J582" t="n">
        <v>0</v>
      </c>
      <c r="K582" t="n">
        <v>0</v>
      </c>
      <c r="L582" t="n">
        <v>0</v>
      </c>
      <c r="M582" t="n">
        <v>0</v>
      </c>
      <c r="N582" t="n">
        <v>0</v>
      </c>
      <c r="O582" t="n">
        <v>0</v>
      </c>
      <c r="P582" t="n">
        <v>0</v>
      </c>
      <c r="Q582" t="n">
        <v>0</v>
      </c>
      <c r="R582" s="2" t="inlineStr"/>
    </row>
    <row r="583" ht="15" customHeight="1">
      <c r="A583" t="inlineStr">
        <is>
          <t>A 21799-2019</t>
        </is>
      </c>
      <c r="B583" s="1" t="n">
        <v>43581</v>
      </c>
      <c r="C583" s="1" t="n">
        <v>45852</v>
      </c>
      <c r="D583" t="inlineStr">
        <is>
          <t>VÄSTERNORRLANDS LÄN</t>
        </is>
      </c>
      <c r="E583" t="inlineStr">
        <is>
          <t>SOLLEFTEÅ</t>
        </is>
      </c>
      <c r="F583" t="inlineStr">
        <is>
          <t>SCA</t>
        </is>
      </c>
      <c r="G583" t="n">
        <v>14.1</v>
      </c>
      <c r="H583" t="n">
        <v>0</v>
      </c>
      <c r="I583" t="n">
        <v>0</v>
      </c>
      <c r="J583" t="n">
        <v>0</v>
      </c>
      <c r="K583" t="n">
        <v>0</v>
      </c>
      <c r="L583" t="n">
        <v>0</v>
      </c>
      <c r="M583" t="n">
        <v>0</v>
      </c>
      <c r="N583" t="n">
        <v>0</v>
      </c>
      <c r="O583" t="n">
        <v>0</v>
      </c>
      <c r="P583" t="n">
        <v>0</v>
      </c>
      <c r="Q583" t="n">
        <v>0</v>
      </c>
      <c r="R583" s="2" t="inlineStr"/>
    </row>
    <row r="584" ht="15" customHeight="1">
      <c r="A584" t="inlineStr">
        <is>
          <t>A 21788-2019</t>
        </is>
      </c>
      <c r="B584" s="1" t="n">
        <v>43581</v>
      </c>
      <c r="C584" s="1" t="n">
        <v>45852</v>
      </c>
      <c r="D584" t="inlineStr">
        <is>
          <t>VÄSTERNORRLANDS LÄN</t>
        </is>
      </c>
      <c r="E584" t="inlineStr">
        <is>
          <t>SOLLEFTEÅ</t>
        </is>
      </c>
      <c r="F584" t="inlineStr">
        <is>
          <t>SCA</t>
        </is>
      </c>
      <c r="G584" t="n">
        <v>7.7</v>
      </c>
      <c r="H584" t="n">
        <v>0</v>
      </c>
      <c r="I584" t="n">
        <v>0</v>
      </c>
      <c r="J584" t="n">
        <v>0</v>
      </c>
      <c r="K584" t="n">
        <v>0</v>
      </c>
      <c r="L584" t="n">
        <v>0</v>
      </c>
      <c r="M584" t="n">
        <v>0</v>
      </c>
      <c r="N584" t="n">
        <v>0</v>
      </c>
      <c r="O584" t="n">
        <v>0</v>
      </c>
      <c r="P584" t="n">
        <v>0</v>
      </c>
      <c r="Q584" t="n">
        <v>0</v>
      </c>
      <c r="R584" s="2" t="inlineStr"/>
    </row>
    <row r="585" ht="15" customHeight="1">
      <c r="A585" t="inlineStr">
        <is>
          <t>A 22088-2019</t>
        </is>
      </c>
      <c r="B585" s="1" t="n">
        <v>43584</v>
      </c>
      <c r="C585" s="1" t="n">
        <v>45852</v>
      </c>
      <c r="D585" t="inlineStr">
        <is>
          <t>VÄSTERNORRLANDS LÄN</t>
        </is>
      </c>
      <c r="E585" t="inlineStr">
        <is>
          <t>SOLLEFTEÅ</t>
        </is>
      </c>
      <c r="F585" t="inlineStr">
        <is>
          <t>SCA</t>
        </is>
      </c>
      <c r="G585" t="n">
        <v>37.9</v>
      </c>
      <c r="H585" t="n">
        <v>0</v>
      </c>
      <c r="I585" t="n">
        <v>0</v>
      </c>
      <c r="J585" t="n">
        <v>0</v>
      </c>
      <c r="K585" t="n">
        <v>0</v>
      </c>
      <c r="L585" t="n">
        <v>0</v>
      </c>
      <c r="M585" t="n">
        <v>0</v>
      </c>
      <c r="N585" t="n">
        <v>0</v>
      </c>
      <c r="O585" t="n">
        <v>0</v>
      </c>
      <c r="P585" t="n">
        <v>0</v>
      </c>
      <c r="Q585" t="n">
        <v>0</v>
      </c>
      <c r="R585" s="2" t="inlineStr"/>
    </row>
    <row r="586" ht="15" customHeight="1">
      <c r="A586" t="inlineStr">
        <is>
          <t>A 22283-2019</t>
        </is>
      </c>
      <c r="B586" s="1" t="n">
        <v>43585</v>
      </c>
      <c r="C586" s="1" t="n">
        <v>45852</v>
      </c>
      <c r="D586" t="inlineStr">
        <is>
          <t>VÄSTERNORRLANDS LÄN</t>
        </is>
      </c>
      <c r="E586" t="inlineStr">
        <is>
          <t>SOLLEFTEÅ</t>
        </is>
      </c>
      <c r="F586" t="inlineStr">
        <is>
          <t>SCA</t>
        </is>
      </c>
      <c r="G586" t="n">
        <v>9.1</v>
      </c>
      <c r="H586" t="n">
        <v>0</v>
      </c>
      <c r="I586" t="n">
        <v>0</v>
      </c>
      <c r="J586" t="n">
        <v>0</v>
      </c>
      <c r="K586" t="n">
        <v>0</v>
      </c>
      <c r="L586" t="n">
        <v>0</v>
      </c>
      <c r="M586" t="n">
        <v>0</v>
      </c>
      <c r="N586" t="n">
        <v>0</v>
      </c>
      <c r="O586" t="n">
        <v>0</v>
      </c>
      <c r="P586" t="n">
        <v>0</v>
      </c>
      <c r="Q586" t="n">
        <v>0</v>
      </c>
      <c r="R586" s="2" t="inlineStr"/>
    </row>
    <row r="587" ht="15" customHeight="1">
      <c r="A587" t="inlineStr">
        <is>
          <t>A 22587-2019</t>
        </is>
      </c>
      <c r="B587" s="1" t="n">
        <v>43587</v>
      </c>
      <c r="C587" s="1" t="n">
        <v>45852</v>
      </c>
      <c r="D587" t="inlineStr">
        <is>
          <t>VÄSTERNORRLANDS LÄN</t>
        </is>
      </c>
      <c r="E587" t="inlineStr">
        <is>
          <t>SOLLEFTEÅ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23241-2019</t>
        </is>
      </c>
      <c r="B588" s="1" t="n">
        <v>43591</v>
      </c>
      <c r="C588" s="1" t="n">
        <v>45852</v>
      </c>
      <c r="D588" t="inlineStr">
        <is>
          <t>VÄSTERNORRLANDS LÄN</t>
        </is>
      </c>
      <c r="E588" t="inlineStr">
        <is>
          <t>SOLLEFTEÅ</t>
        </is>
      </c>
      <c r="G588" t="n">
        <v>6.2</v>
      </c>
      <c r="H588" t="n">
        <v>0</v>
      </c>
      <c r="I588" t="n">
        <v>0</v>
      </c>
      <c r="J588" t="n">
        <v>0</v>
      </c>
      <c r="K588" t="n">
        <v>0</v>
      </c>
      <c r="L588" t="n">
        <v>0</v>
      </c>
      <c r="M588" t="n">
        <v>0</v>
      </c>
      <c r="N588" t="n">
        <v>0</v>
      </c>
      <c r="O588" t="n">
        <v>0</v>
      </c>
      <c r="P588" t="n">
        <v>0</v>
      </c>
      <c r="Q588" t="n">
        <v>0</v>
      </c>
      <c r="R588" s="2" t="inlineStr"/>
    </row>
    <row r="589" ht="15" customHeight="1">
      <c r="A589" t="inlineStr">
        <is>
          <t>A 23314-2019</t>
        </is>
      </c>
      <c r="B589" s="1" t="n">
        <v>43591</v>
      </c>
      <c r="C589" s="1" t="n">
        <v>45852</v>
      </c>
      <c r="D589" t="inlineStr">
        <is>
          <t>VÄSTERNORRLANDS LÄN</t>
        </is>
      </c>
      <c r="E589" t="inlineStr">
        <is>
          <t>SOLLEFTEÅ</t>
        </is>
      </c>
      <c r="G589" t="n">
        <v>2.5</v>
      </c>
      <c r="H589" t="n">
        <v>0</v>
      </c>
      <c r="I589" t="n">
        <v>0</v>
      </c>
      <c r="J589" t="n">
        <v>0</v>
      </c>
      <c r="K589" t="n">
        <v>0</v>
      </c>
      <c r="L589" t="n">
        <v>0</v>
      </c>
      <c r="M589" t="n">
        <v>0</v>
      </c>
      <c r="N589" t="n">
        <v>0</v>
      </c>
      <c r="O589" t="n">
        <v>0</v>
      </c>
      <c r="P589" t="n">
        <v>0</v>
      </c>
      <c r="Q589" t="n">
        <v>0</v>
      </c>
      <c r="R589" s="2" t="inlineStr"/>
    </row>
    <row r="590" ht="15" customHeight="1">
      <c r="A590" t="inlineStr">
        <is>
          <t>A 23323-2019</t>
        </is>
      </c>
      <c r="B590" s="1" t="n">
        <v>43591</v>
      </c>
      <c r="C590" s="1" t="n">
        <v>45852</v>
      </c>
      <c r="D590" t="inlineStr">
        <is>
          <t>VÄSTERNORRLANDS LÄN</t>
        </is>
      </c>
      <c r="E590" t="inlineStr">
        <is>
          <t>SOLLEFTEÅ</t>
        </is>
      </c>
      <c r="G590" t="n">
        <v>2.4</v>
      </c>
      <c r="H590" t="n">
        <v>0</v>
      </c>
      <c r="I590" t="n">
        <v>0</v>
      </c>
      <c r="J590" t="n">
        <v>0</v>
      </c>
      <c r="K590" t="n">
        <v>0</v>
      </c>
      <c r="L590" t="n">
        <v>0</v>
      </c>
      <c r="M590" t="n">
        <v>0</v>
      </c>
      <c r="N590" t="n">
        <v>0</v>
      </c>
      <c r="O590" t="n">
        <v>0</v>
      </c>
      <c r="P590" t="n">
        <v>0</v>
      </c>
      <c r="Q590" t="n">
        <v>0</v>
      </c>
      <c r="R590" s="2" t="inlineStr"/>
    </row>
    <row r="591" ht="15" customHeight="1">
      <c r="A591" t="inlineStr">
        <is>
          <t>A 23246-2019</t>
        </is>
      </c>
      <c r="B591" s="1" t="n">
        <v>43591</v>
      </c>
      <c r="C591" s="1" t="n">
        <v>45852</v>
      </c>
      <c r="D591" t="inlineStr">
        <is>
          <t>VÄSTERNORRLANDS LÄN</t>
        </is>
      </c>
      <c r="E591" t="inlineStr">
        <is>
          <t>SOLLEFTEÅ</t>
        </is>
      </c>
      <c r="G591" t="n">
        <v>1.3</v>
      </c>
      <c r="H591" t="n">
        <v>0</v>
      </c>
      <c r="I591" t="n">
        <v>0</v>
      </c>
      <c r="J591" t="n">
        <v>0</v>
      </c>
      <c r="K591" t="n">
        <v>0</v>
      </c>
      <c r="L591" t="n">
        <v>0</v>
      </c>
      <c r="M591" t="n">
        <v>0</v>
      </c>
      <c r="N591" t="n">
        <v>0</v>
      </c>
      <c r="O591" t="n">
        <v>0</v>
      </c>
      <c r="P591" t="n">
        <v>0</v>
      </c>
      <c r="Q591" t="n">
        <v>0</v>
      </c>
      <c r="R591" s="2" t="inlineStr"/>
    </row>
    <row r="592" ht="15" customHeight="1">
      <c r="A592" t="inlineStr">
        <is>
          <t>A 24157-2019</t>
        </is>
      </c>
      <c r="B592" s="1" t="n">
        <v>43598</v>
      </c>
      <c r="C592" s="1" t="n">
        <v>45852</v>
      </c>
      <c r="D592" t="inlineStr">
        <is>
          <t>VÄSTERNORRLANDS LÄN</t>
        </is>
      </c>
      <c r="E592" t="inlineStr">
        <is>
          <t>SOLLEFTEÅ</t>
        </is>
      </c>
      <c r="F592" t="inlineStr">
        <is>
          <t>SCA</t>
        </is>
      </c>
      <c r="G592" t="n">
        <v>0.1</v>
      </c>
      <c r="H592" t="n">
        <v>0</v>
      </c>
      <c r="I592" t="n">
        <v>0</v>
      </c>
      <c r="J592" t="n">
        <v>0</v>
      </c>
      <c r="K592" t="n">
        <v>0</v>
      </c>
      <c r="L592" t="n">
        <v>0</v>
      </c>
      <c r="M592" t="n">
        <v>0</v>
      </c>
      <c r="N592" t="n">
        <v>0</v>
      </c>
      <c r="O592" t="n">
        <v>0</v>
      </c>
      <c r="P592" t="n">
        <v>0</v>
      </c>
      <c r="Q592" t="n">
        <v>0</v>
      </c>
      <c r="R592" s="2" t="inlineStr"/>
    </row>
    <row r="593" ht="15" customHeight="1">
      <c r="A593" t="inlineStr">
        <is>
          <t>A 24168-2019</t>
        </is>
      </c>
      <c r="B593" s="1" t="n">
        <v>43598</v>
      </c>
      <c r="C593" s="1" t="n">
        <v>45852</v>
      </c>
      <c r="D593" t="inlineStr">
        <is>
          <t>VÄSTERNORRLANDS LÄN</t>
        </is>
      </c>
      <c r="E593" t="inlineStr">
        <is>
          <t>SOLLEFTEÅ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25334-2019</t>
        </is>
      </c>
      <c r="B594" s="1" t="n">
        <v>43601</v>
      </c>
      <c r="C594" s="1" t="n">
        <v>45852</v>
      </c>
      <c r="D594" t="inlineStr">
        <is>
          <t>VÄSTERNORRLANDS LÄN</t>
        </is>
      </c>
      <c r="E594" t="inlineStr">
        <is>
          <t>SOLLEFTEÅ</t>
        </is>
      </c>
      <c r="G594" t="n">
        <v>1.3</v>
      </c>
      <c r="H594" t="n">
        <v>0</v>
      </c>
      <c r="I594" t="n">
        <v>0</v>
      </c>
      <c r="J594" t="n">
        <v>0</v>
      </c>
      <c r="K594" t="n">
        <v>0</v>
      </c>
      <c r="L594" t="n">
        <v>0</v>
      </c>
      <c r="M594" t="n">
        <v>0</v>
      </c>
      <c r="N594" t="n">
        <v>0</v>
      </c>
      <c r="O594" t="n">
        <v>0</v>
      </c>
      <c r="P594" t="n">
        <v>0</v>
      </c>
      <c r="Q594" t="n">
        <v>0</v>
      </c>
      <c r="R594" s="2" t="inlineStr"/>
    </row>
    <row r="595" ht="15" customHeight="1">
      <c r="A595" t="inlineStr">
        <is>
          <t>A 25331-2019</t>
        </is>
      </c>
      <c r="B595" s="1" t="n">
        <v>43601</v>
      </c>
      <c r="C595" s="1" t="n">
        <v>45852</v>
      </c>
      <c r="D595" t="inlineStr">
        <is>
          <t>VÄSTERNORRLANDS LÄN</t>
        </is>
      </c>
      <c r="E595" t="inlineStr">
        <is>
          <t>SOLLEFTEÅ</t>
        </is>
      </c>
      <c r="G595" t="n">
        <v>7.2</v>
      </c>
      <c r="H595" t="n">
        <v>0</v>
      </c>
      <c r="I595" t="n">
        <v>0</v>
      </c>
      <c r="J595" t="n">
        <v>0</v>
      </c>
      <c r="K595" t="n">
        <v>0</v>
      </c>
      <c r="L595" t="n">
        <v>0</v>
      </c>
      <c r="M595" t="n">
        <v>0</v>
      </c>
      <c r="N595" t="n">
        <v>0</v>
      </c>
      <c r="O595" t="n">
        <v>0</v>
      </c>
      <c r="P595" t="n">
        <v>0</v>
      </c>
      <c r="Q595" t="n">
        <v>0</v>
      </c>
      <c r="R595" s="2" t="inlineStr"/>
    </row>
    <row r="596" ht="15" customHeight="1">
      <c r="A596" t="inlineStr">
        <is>
          <t>A 25260-2019</t>
        </is>
      </c>
      <c r="B596" s="1" t="n">
        <v>43601</v>
      </c>
      <c r="C596" s="1" t="n">
        <v>45852</v>
      </c>
      <c r="D596" t="inlineStr">
        <is>
          <t>VÄSTERNORRLANDS LÄN</t>
        </is>
      </c>
      <c r="E596" t="inlineStr">
        <is>
          <t>SOLLEFTEÅ</t>
        </is>
      </c>
      <c r="G596" t="n">
        <v>3.4</v>
      </c>
      <c r="H596" t="n">
        <v>0</v>
      </c>
      <c r="I596" t="n">
        <v>0</v>
      </c>
      <c r="J596" t="n">
        <v>0</v>
      </c>
      <c r="K596" t="n">
        <v>0</v>
      </c>
      <c r="L596" t="n">
        <v>0</v>
      </c>
      <c r="M596" t="n">
        <v>0</v>
      </c>
      <c r="N596" t="n">
        <v>0</v>
      </c>
      <c r="O596" t="n">
        <v>0</v>
      </c>
      <c r="P596" t="n">
        <v>0</v>
      </c>
      <c r="Q596" t="n">
        <v>0</v>
      </c>
      <c r="R596" s="2" t="inlineStr"/>
    </row>
    <row r="597" ht="15" customHeight="1">
      <c r="A597" t="inlineStr">
        <is>
          <t>A 25328-2019</t>
        </is>
      </c>
      <c r="B597" s="1" t="n">
        <v>43601</v>
      </c>
      <c r="C597" s="1" t="n">
        <v>45852</v>
      </c>
      <c r="D597" t="inlineStr">
        <is>
          <t>VÄSTERNORRLANDS LÄN</t>
        </is>
      </c>
      <c r="E597" t="inlineStr">
        <is>
          <t>SOLLEFTEÅ</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25014-2019</t>
        </is>
      </c>
      <c r="B598" s="1" t="n">
        <v>43602</v>
      </c>
      <c r="C598" s="1" t="n">
        <v>45852</v>
      </c>
      <c r="D598" t="inlineStr">
        <is>
          <t>VÄSTERNORRLANDS LÄN</t>
        </is>
      </c>
      <c r="E598" t="inlineStr">
        <is>
          <t>SOLLEFTEÅ</t>
        </is>
      </c>
      <c r="F598" t="inlineStr">
        <is>
          <t>SCA</t>
        </is>
      </c>
      <c r="G598" t="n">
        <v>11.1</v>
      </c>
      <c r="H598" t="n">
        <v>0</v>
      </c>
      <c r="I598" t="n">
        <v>0</v>
      </c>
      <c r="J598" t="n">
        <v>0</v>
      </c>
      <c r="K598" t="n">
        <v>0</v>
      </c>
      <c r="L598" t="n">
        <v>0</v>
      </c>
      <c r="M598" t="n">
        <v>0</v>
      </c>
      <c r="N598" t="n">
        <v>0</v>
      </c>
      <c r="O598" t="n">
        <v>0</v>
      </c>
      <c r="P598" t="n">
        <v>0</v>
      </c>
      <c r="Q598" t="n">
        <v>0</v>
      </c>
      <c r="R598" s="2" t="inlineStr"/>
    </row>
    <row r="599" ht="15" customHeight="1">
      <c r="A599" t="inlineStr">
        <is>
          <t>A 26111-2019</t>
        </is>
      </c>
      <c r="B599" s="1" t="n">
        <v>43605</v>
      </c>
      <c r="C599" s="1" t="n">
        <v>45852</v>
      </c>
      <c r="D599" t="inlineStr">
        <is>
          <t>VÄSTERNORRLANDS LÄN</t>
        </is>
      </c>
      <c r="E599" t="inlineStr">
        <is>
          <t>SOLLEFTEÅ</t>
        </is>
      </c>
      <c r="G599" t="n">
        <v>3.5</v>
      </c>
      <c r="H599" t="n">
        <v>0</v>
      </c>
      <c r="I599" t="n">
        <v>0</v>
      </c>
      <c r="J599" t="n">
        <v>0</v>
      </c>
      <c r="K599" t="n">
        <v>0</v>
      </c>
      <c r="L599" t="n">
        <v>0</v>
      </c>
      <c r="M599" t="n">
        <v>0</v>
      </c>
      <c r="N599" t="n">
        <v>0</v>
      </c>
      <c r="O599" t="n">
        <v>0</v>
      </c>
      <c r="P599" t="n">
        <v>0</v>
      </c>
      <c r="Q599" t="n">
        <v>0</v>
      </c>
      <c r="R599" s="2" t="inlineStr"/>
    </row>
    <row r="600" ht="15" customHeight="1">
      <c r="A600" t="inlineStr">
        <is>
          <t>A 25714-2019</t>
        </is>
      </c>
      <c r="B600" s="1" t="n">
        <v>43607</v>
      </c>
      <c r="C600" s="1" t="n">
        <v>45852</v>
      </c>
      <c r="D600" t="inlineStr">
        <is>
          <t>VÄSTERNORRLANDS LÄN</t>
        </is>
      </c>
      <c r="E600" t="inlineStr">
        <is>
          <t>SOLLEFTEÅ</t>
        </is>
      </c>
      <c r="F600" t="inlineStr">
        <is>
          <t>SCA</t>
        </is>
      </c>
      <c r="G600" t="n">
        <v>28.3</v>
      </c>
      <c r="H600" t="n">
        <v>0</v>
      </c>
      <c r="I600" t="n">
        <v>0</v>
      </c>
      <c r="J600" t="n">
        <v>0</v>
      </c>
      <c r="K600" t="n">
        <v>0</v>
      </c>
      <c r="L600" t="n">
        <v>0</v>
      </c>
      <c r="M600" t="n">
        <v>0</v>
      </c>
      <c r="N600" t="n">
        <v>0</v>
      </c>
      <c r="O600" t="n">
        <v>0</v>
      </c>
      <c r="P600" t="n">
        <v>0</v>
      </c>
      <c r="Q600" t="n">
        <v>0</v>
      </c>
      <c r="R600" s="2" t="inlineStr"/>
    </row>
    <row r="601" ht="15" customHeight="1">
      <c r="A601" t="inlineStr">
        <is>
          <t>A 25979-2019</t>
        </is>
      </c>
      <c r="B601" s="1" t="n">
        <v>43608</v>
      </c>
      <c r="C601" s="1" t="n">
        <v>45852</v>
      </c>
      <c r="D601" t="inlineStr">
        <is>
          <t>VÄSTERNORRLANDS LÄN</t>
        </is>
      </c>
      <c r="E601" t="inlineStr">
        <is>
          <t>SOLLEFTEÅ</t>
        </is>
      </c>
      <c r="F601" t="inlineStr">
        <is>
          <t>SCA</t>
        </is>
      </c>
      <c r="G601" t="n">
        <v>26.1</v>
      </c>
      <c r="H601" t="n">
        <v>0</v>
      </c>
      <c r="I601" t="n">
        <v>0</v>
      </c>
      <c r="J601" t="n">
        <v>0</v>
      </c>
      <c r="K601" t="n">
        <v>0</v>
      </c>
      <c r="L601" t="n">
        <v>0</v>
      </c>
      <c r="M601" t="n">
        <v>0</v>
      </c>
      <c r="N601" t="n">
        <v>0</v>
      </c>
      <c r="O601" t="n">
        <v>0</v>
      </c>
      <c r="P601" t="n">
        <v>0</v>
      </c>
      <c r="Q601" t="n">
        <v>0</v>
      </c>
      <c r="R601" s="2" t="inlineStr"/>
    </row>
    <row r="602" ht="15" customHeight="1">
      <c r="A602" t="inlineStr">
        <is>
          <t>A 25982-2019</t>
        </is>
      </c>
      <c r="B602" s="1" t="n">
        <v>43608</v>
      </c>
      <c r="C602" s="1" t="n">
        <v>45852</v>
      </c>
      <c r="D602" t="inlineStr">
        <is>
          <t>VÄSTERNORRLANDS LÄN</t>
        </is>
      </c>
      <c r="E602" t="inlineStr">
        <is>
          <t>SOLLEFTEÅ</t>
        </is>
      </c>
      <c r="G602" t="n">
        <v>1.4</v>
      </c>
      <c r="H602" t="n">
        <v>0</v>
      </c>
      <c r="I602" t="n">
        <v>0</v>
      </c>
      <c r="J602" t="n">
        <v>0</v>
      </c>
      <c r="K602" t="n">
        <v>0</v>
      </c>
      <c r="L602" t="n">
        <v>0</v>
      </c>
      <c r="M602" t="n">
        <v>0</v>
      </c>
      <c r="N602" t="n">
        <v>0</v>
      </c>
      <c r="O602" t="n">
        <v>0</v>
      </c>
      <c r="P602" t="n">
        <v>0</v>
      </c>
      <c r="Q602" t="n">
        <v>0</v>
      </c>
      <c r="R602" s="2" t="inlineStr"/>
    </row>
    <row r="603" ht="15" customHeight="1">
      <c r="A603" t="inlineStr">
        <is>
          <t>A 25997-2019</t>
        </is>
      </c>
      <c r="B603" s="1" t="n">
        <v>43608</v>
      </c>
      <c r="C603" s="1" t="n">
        <v>45852</v>
      </c>
      <c r="D603" t="inlineStr">
        <is>
          <t>VÄSTERNORRLANDS LÄN</t>
        </is>
      </c>
      <c r="E603" t="inlineStr">
        <is>
          <t>SOLLEFTEÅ</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25959-2019</t>
        </is>
      </c>
      <c r="B604" s="1" t="n">
        <v>43608</v>
      </c>
      <c r="C604" s="1" t="n">
        <v>45852</v>
      </c>
      <c r="D604" t="inlineStr">
        <is>
          <t>VÄSTERNORRLANDS LÄN</t>
        </is>
      </c>
      <c r="E604" t="inlineStr">
        <is>
          <t>SOLLEFTEÅ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26254-2019</t>
        </is>
      </c>
      <c r="B605" s="1" t="n">
        <v>43609</v>
      </c>
      <c r="C605" s="1" t="n">
        <v>45852</v>
      </c>
      <c r="D605" t="inlineStr">
        <is>
          <t>VÄSTERNORRLANDS LÄN</t>
        </is>
      </c>
      <c r="E605" t="inlineStr">
        <is>
          <t>SOLLEFTEÅ</t>
        </is>
      </c>
      <c r="F605" t="inlineStr">
        <is>
          <t>SCA</t>
        </is>
      </c>
      <c r="G605" t="n">
        <v>0.3</v>
      </c>
      <c r="H605" t="n">
        <v>0</v>
      </c>
      <c r="I605" t="n">
        <v>0</v>
      </c>
      <c r="J605" t="n">
        <v>0</v>
      </c>
      <c r="K605" t="n">
        <v>0</v>
      </c>
      <c r="L605" t="n">
        <v>0</v>
      </c>
      <c r="M605" t="n">
        <v>0</v>
      </c>
      <c r="N605" t="n">
        <v>0</v>
      </c>
      <c r="O605" t="n">
        <v>0</v>
      </c>
      <c r="P605" t="n">
        <v>0</v>
      </c>
      <c r="Q605" t="n">
        <v>0</v>
      </c>
      <c r="R605" s="2" t="inlineStr"/>
    </row>
    <row r="606" ht="15" customHeight="1">
      <c r="A606" t="inlineStr">
        <is>
          <t>A 26640-2019</t>
        </is>
      </c>
      <c r="B606" s="1" t="n">
        <v>43612</v>
      </c>
      <c r="C606" s="1" t="n">
        <v>45852</v>
      </c>
      <c r="D606" t="inlineStr">
        <is>
          <t>VÄSTERNORRLANDS LÄN</t>
        </is>
      </c>
      <c r="E606" t="inlineStr">
        <is>
          <t>SOLLEFTEÅ</t>
        </is>
      </c>
      <c r="F606" t="inlineStr">
        <is>
          <t>SCA</t>
        </is>
      </c>
      <c r="G606" t="n">
        <v>10.4</v>
      </c>
      <c r="H606" t="n">
        <v>0</v>
      </c>
      <c r="I606" t="n">
        <v>0</v>
      </c>
      <c r="J606" t="n">
        <v>0</v>
      </c>
      <c r="K606" t="n">
        <v>0</v>
      </c>
      <c r="L606" t="n">
        <v>0</v>
      </c>
      <c r="M606" t="n">
        <v>0</v>
      </c>
      <c r="N606" t="n">
        <v>0</v>
      </c>
      <c r="O606" t="n">
        <v>0</v>
      </c>
      <c r="P606" t="n">
        <v>0</v>
      </c>
      <c r="Q606" t="n">
        <v>0</v>
      </c>
      <c r="R606" s="2" t="inlineStr"/>
    </row>
    <row r="607" ht="15" customHeight="1">
      <c r="A607" t="inlineStr">
        <is>
          <t>A 27597-2019</t>
        </is>
      </c>
      <c r="B607" s="1" t="n">
        <v>43612</v>
      </c>
      <c r="C607" s="1" t="n">
        <v>45852</v>
      </c>
      <c r="D607" t="inlineStr">
        <is>
          <t>VÄSTERNORRLANDS LÄN</t>
        </is>
      </c>
      <c r="E607" t="inlineStr">
        <is>
          <t>SOLLEFTEÅ</t>
        </is>
      </c>
      <c r="G607" t="n">
        <v>5.6</v>
      </c>
      <c r="H607" t="n">
        <v>0</v>
      </c>
      <c r="I607" t="n">
        <v>0</v>
      </c>
      <c r="J607" t="n">
        <v>0</v>
      </c>
      <c r="K607" t="n">
        <v>0</v>
      </c>
      <c r="L607" t="n">
        <v>0</v>
      </c>
      <c r="M607" t="n">
        <v>0</v>
      </c>
      <c r="N607" t="n">
        <v>0</v>
      </c>
      <c r="O607" t="n">
        <v>0</v>
      </c>
      <c r="P607" t="n">
        <v>0</v>
      </c>
      <c r="Q607" t="n">
        <v>0</v>
      </c>
      <c r="R607" s="2" t="inlineStr"/>
    </row>
    <row r="608" ht="15" customHeight="1">
      <c r="A608" t="inlineStr">
        <is>
          <t>A 26945-2019</t>
        </is>
      </c>
      <c r="B608" s="1" t="n">
        <v>43613</v>
      </c>
      <c r="C608" s="1" t="n">
        <v>45852</v>
      </c>
      <c r="D608" t="inlineStr">
        <is>
          <t>VÄSTERNORRLANDS LÄN</t>
        </is>
      </c>
      <c r="E608" t="inlineStr">
        <is>
          <t>SOLLEFTEÅ</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26957-2019</t>
        </is>
      </c>
      <c r="B609" s="1" t="n">
        <v>43613</v>
      </c>
      <c r="C609" s="1" t="n">
        <v>45852</v>
      </c>
      <c r="D609" t="inlineStr">
        <is>
          <t>VÄSTERNORRLANDS LÄN</t>
        </is>
      </c>
      <c r="E609" t="inlineStr">
        <is>
          <t>SOLLEFTEÅ</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27226-2019</t>
        </is>
      </c>
      <c r="B610" s="1" t="n">
        <v>43614</v>
      </c>
      <c r="C610" s="1" t="n">
        <v>45852</v>
      </c>
      <c r="D610" t="inlineStr">
        <is>
          <t>VÄSTERNORRLANDS LÄN</t>
        </is>
      </c>
      <c r="E610" t="inlineStr">
        <is>
          <t>SOLLEFTEÅ</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27979-2019</t>
        </is>
      </c>
      <c r="B611" s="1" t="n">
        <v>43620</v>
      </c>
      <c r="C611" s="1" t="n">
        <v>45852</v>
      </c>
      <c r="D611" t="inlineStr">
        <is>
          <t>VÄSTERNORRLANDS LÄN</t>
        </is>
      </c>
      <c r="E611" t="inlineStr">
        <is>
          <t>SOLLEFTEÅ</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28212-2019</t>
        </is>
      </c>
      <c r="B612" s="1" t="n">
        <v>43621</v>
      </c>
      <c r="C612" s="1" t="n">
        <v>45852</v>
      </c>
      <c r="D612" t="inlineStr">
        <is>
          <t>VÄSTERNORRLANDS LÄN</t>
        </is>
      </c>
      <c r="E612" t="inlineStr">
        <is>
          <t>SOLLEFTEÅ</t>
        </is>
      </c>
      <c r="G612" t="n">
        <v>1.4</v>
      </c>
      <c r="H612" t="n">
        <v>0</v>
      </c>
      <c r="I612" t="n">
        <v>0</v>
      </c>
      <c r="J612" t="n">
        <v>0</v>
      </c>
      <c r="K612" t="n">
        <v>0</v>
      </c>
      <c r="L612" t="n">
        <v>0</v>
      </c>
      <c r="M612" t="n">
        <v>0</v>
      </c>
      <c r="N612" t="n">
        <v>0</v>
      </c>
      <c r="O612" t="n">
        <v>0</v>
      </c>
      <c r="P612" t="n">
        <v>0</v>
      </c>
      <c r="Q612" t="n">
        <v>0</v>
      </c>
      <c r="R612" s="2" t="inlineStr"/>
    </row>
    <row r="613" ht="15" customHeight="1">
      <c r="A613" t="inlineStr">
        <is>
          <t>A 28236-2019</t>
        </is>
      </c>
      <c r="B613" s="1" t="n">
        <v>43621</v>
      </c>
      <c r="C613" s="1" t="n">
        <v>45852</v>
      </c>
      <c r="D613" t="inlineStr">
        <is>
          <t>VÄSTERNORRLANDS LÄN</t>
        </is>
      </c>
      <c r="E613" t="inlineStr">
        <is>
          <t>SOLLEFTEÅ</t>
        </is>
      </c>
      <c r="G613" t="n">
        <v>0.6</v>
      </c>
      <c r="H613" t="n">
        <v>0</v>
      </c>
      <c r="I613" t="n">
        <v>0</v>
      </c>
      <c r="J613" t="n">
        <v>0</v>
      </c>
      <c r="K613" t="n">
        <v>0</v>
      </c>
      <c r="L613" t="n">
        <v>0</v>
      </c>
      <c r="M613" t="n">
        <v>0</v>
      </c>
      <c r="N613" t="n">
        <v>0</v>
      </c>
      <c r="O613" t="n">
        <v>0</v>
      </c>
      <c r="P613" t="n">
        <v>0</v>
      </c>
      <c r="Q613" t="n">
        <v>0</v>
      </c>
      <c r="R613" s="2" t="inlineStr"/>
    </row>
    <row r="614" ht="15" customHeight="1">
      <c r="A614" t="inlineStr">
        <is>
          <t>A 30383-2019</t>
        </is>
      </c>
      <c r="B614" s="1" t="n">
        <v>43634</v>
      </c>
      <c r="C614" s="1" t="n">
        <v>45852</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30628-2019</t>
        </is>
      </c>
      <c r="B615" s="1" t="n">
        <v>43635</v>
      </c>
      <c r="C615" s="1" t="n">
        <v>45852</v>
      </c>
      <c r="D615" t="inlineStr">
        <is>
          <t>VÄSTERNORRLANDS LÄN</t>
        </is>
      </c>
      <c r="E615" t="inlineStr">
        <is>
          <t>SOLLEFTEÅ</t>
        </is>
      </c>
      <c r="F615" t="inlineStr">
        <is>
          <t>SCA</t>
        </is>
      </c>
      <c r="G615" t="n">
        <v>7.2</v>
      </c>
      <c r="H615" t="n">
        <v>0</v>
      </c>
      <c r="I615" t="n">
        <v>0</v>
      </c>
      <c r="J615" t="n">
        <v>0</v>
      </c>
      <c r="K615" t="n">
        <v>0</v>
      </c>
      <c r="L615" t="n">
        <v>0</v>
      </c>
      <c r="M615" t="n">
        <v>0</v>
      </c>
      <c r="N615" t="n">
        <v>0</v>
      </c>
      <c r="O615" t="n">
        <v>0</v>
      </c>
      <c r="P615" t="n">
        <v>0</v>
      </c>
      <c r="Q615" t="n">
        <v>0</v>
      </c>
      <c r="R615" s="2" t="inlineStr"/>
    </row>
    <row r="616" ht="15" customHeight="1">
      <c r="A616" t="inlineStr">
        <is>
          <t>A 32202-2019</t>
        </is>
      </c>
      <c r="B616" s="1" t="n">
        <v>43643</v>
      </c>
      <c r="C616" s="1" t="n">
        <v>45852</v>
      </c>
      <c r="D616" t="inlineStr">
        <is>
          <t>VÄSTERNORRLANDS LÄN</t>
        </is>
      </c>
      <c r="E616" t="inlineStr">
        <is>
          <t>SOLLEFTEÅ</t>
        </is>
      </c>
      <c r="G616" t="n">
        <v>2.7</v>
      </c>
      <c r="H616" t="n">
        <v>0</v>
      </c>
      <c r="I616" t="n">
        <v>0</v>
      </c>
      <c r="J616" t="n">
        <v>0</v>
      </c>
      <c r="K616" t="n">
        <v>0</v>
      </c>
      <c r="L616" t="n">
        <v>0</v>
      </c>
      <c r="M616" t="n">
        <v>0</v>
      </c>
      <c r="N616" t="n">
        <v>0</v>
      </c>
      <c r="O616" t="n">
        <v>0</v>
      </c>
      <c r="P616" t="n">
        <v>0</v>
      </c>
      <c r="Q616" t="n">
        <v>0</v>
      </c>
      <c r="R616" s="2" t="inlineStr"/>
    </row>
    <row r="617" ht="15" customHeight="1">
      <c r="A617" t="inlineStr">
        <is>
          <t>A 32203-2019</t>
        </is>
      </c>
      <c r="B617" s="1" t="n">
        <v>43643</v>
      </c>
      <c r="C617" s="1" t="n">
        <v>45852</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32744-2019</t>
        </is>
      </c>
      <c r="B618" s="1" t="n">
        <v>43647</v>
      </c>
      <c r="C618" s="1" t="n">
        <v>45852</v>
      </c>
      <c r="D618" t="inlineStr">
        <is>
          <t>VÄSTERNORRLANDS LÄN</t>
        </is>
      </c>
      <c r="E618" t="inlineStr">
        <is>
          <t>SOLLEFTEÅ</t>
        </is>
      </c>
      <c r="F618" t="inlineStr">
        <is>
          <t>SCA</t>
        </is>
      </c>
      <c r="G618" t="n">
        <v>33.3</v>
      </c>
      <c r="H618" t="n">
        <v>0</v>
      </c>
      <c r="I618" t="n">
        <v>0</v>
      </c>
      <c r="J618" t="n">
        <v>0</v>
      </c>
      <c r="K618" t="n">
        <v>0</v>
      </c>
      <c r="L618" t="n">
        <v>0</v>
      </c>
      <c r="M618" t="n">
        <v>0</v>
      </c>
      <c r="N618" t="n">
        <v>0</v>
      </c>
      <c r="O618" t="n">
        <v>0</v>
      </c>
      <c r="P618" t="n">
        <v>0</v>
      </c>
      <c r="Q618" t="n">
        <v>0</v>
      </c>
      <c r="R618" s="2" t="inlineStr"/>
    </row>
    <row r="619" ht="15" customHeight="1">
      <c r="A619" t="inlineStr">
        <is>
          <t>A 33217-2019</t>
        </is>
      </c>
      <c r="B619" s="1" t="n">
        <v>43649</v>
      </c>
      <c r="C619" s="1" t="n">
        <v>45852</v>
      </c>
      <c r="D619" t="inlineStr">
        <is>
          <t>VÄSTERNORRLANDS LÄN</t>
        </is>
      </c>
      <c r="E619" t="inlineStr">
        <is>
          <t>SOLLEFTEÅ</t>
        </is>
      </c>
      <c r="G619" t="n">
        <v>29.3</v>
      </c>
      <c r="H619" t="n">
        <v>0</v>
      </c>
      <c r="I619" t="n">
        <v>0</v>
      </c>
      <c r="J619" t="n">
        <v>0</v>
      </c>
      <c r="K619" t="n">
        <v>0</v>
      </c>
      <c r="L619" t="n">
        <v>0</v>
      </c>
      <c r="M619" t="n">
        <v>0</v>
      </c>
      <c r="N619" t="n">
        <v>0</v>
      </c>
      <c r="O619" t="n">
        <v>0</v>
      </c>
      <c r="P619" t="n">
        <v>0</v>
      </c>
      <c r="Q619" t="n">
        <v>0</v>
      </c>
      <c r="R619" s="2" t="inlineStr"/>
    </row>
    <row r="620" ht="15" customHeight="1">
      <c r="A620" t="inlineStr">
        <is>
          <t>A 34886-2019</t>
        </is>
      </c>
      <c r="B620" s="1" t="n">
        <v>43650</v>
      </c>
      <c r="C620" s="1" t="n">
        <v>45852</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33833-2019</t>
        </is>
      </c>
      <c r="B621" s="1" t="n">
        <v>43651</v>
      </c>
      <c r="C621" s="1" t="n">
        <v>45852</v>
      </c>
      <c r="D621" t="inlineStr">
        <is>
          <t>VÄSTERNORRLANDS LÄN</t>
        </is>
      </c>
      <c r="E621" t="inlineStr">
        <is>
          <t>SOLLEFTEÅ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33826-2019</t>
        </is>
      </c>
      <c r="B622" s="1" t="n">
        <v>43651</v>
      </c>
      <c r="C622" s="1" t="n">
        <v>45852</v>
      </c>
      <c r="D622" t="inlineStr">
        <is>
          <t>VÄSTERNORRLANDS LÄN</t>
        </is>
      </c>
      <c r="E622" t="inlineStr">
        <is>
          <t>SOLLEFTEÅ</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33852-2019</t>
        </is>
      </c>
      <c r="B623" s="1" t="n">
        <v>43651</v>
      </c>
      <c r="C623" s="1" t="n">
        <v>45852</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33914-2019</t>
        </is>
      </c>
      <c r="B624" s="1" t="n">
        <v>43654</v>
      </c>
      <c r="C624" s="1" t="n">
        <v>45852</v>
      </c>
      <c r="D624" t="inlineStr">
        <is>
          <t>VÄSTERNORRLANDS LÄN</t>
        </is>
      </c>
      <c r="E624" t="inlineStr">
        <is>
          <t>SOLLEFTEÅ</t>
        </is>
      </c>
      <c r="G624" t="n">
        <v>2.9</v>
      </c>
      <c r="H624" t="n">
        <v>0</v>
      </c>
      <c r="I624" t="n">
        <v>0</v>
      </c>
      <c r="J624" t="n">
        <v>0</v>
      </c>
      <c r="K624" t="n">
        <v>0</v>
      </c>
      <c r="L624" t="n">
        <v>0</v>
      </c>
      <c r="M624" t="n">
        <v>0</v>
      </c>
      <c r="N624" t="n">
        <v>0</v>
      </c>
      <c r="O624" t="n">
        <v>0</v>
      </c>
      <c r="P624" t="n">
        <v>0</v>
      </c>
      <c r="Q624" t="n">
        <v>0</v>
      </c>
      <c r="R624" s="2" t="inlineStr"/>
    </row>
    <row r="625" ht="15" customHeight="1">
      <c r="A625" t="inlineStr">
        <is>
          <t>A 34113-2019</t>
        </is>
      </c>
      <c r="B625" s="1" t="n">
        <v>43654</v>
      </c>
      <c r="C625" s="1" t="n">
        <v>45852</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34311-2019</t>
        </is>
      </c>
      <c r="B626" s="1" t="n">
        <v>43655</v>
      </c>
      <c r="C626" s="1" t="n">
        <v>45852</v>
      </c>
      <c r="D626" t="inlineStr">
        <is>
          <t>VÄSTERNORRLANDS LÄN</t>
        </is>
      </c>
      <c r="E626" t="inlineStr">
        <is>
          <t>SOLLEFTEÅ</t>
        </is>
      </c>
      <c r="F626" t="inlineStr">
        <is>
          <t>SCA</t>
        </is>
      </c>
      <c r="G626" t="n">
        <v>7.9</v>
      </c>
      <c r="H626" t="n">
        <v>0</v>
      </c>
      <c r="I626" t="n">
        <v>0</v>
      </c>
      <c r="J626" t="n">
        <v>0</v>
      </c>
      <c r="K626" t="n">
        <v>0</v>
      </c>
      <c r="L626" t="n">
        <v>0</v>
      </c>
      <c r="M626" t="n">
        <v>0</v>
      </c>
      <c r="N626" t="n">
        <v>0</v>
      </c>
      <c r="O626" t="n">
        <v>0</v>
      </c>
      <c r="P626" t="n">
        <v>0</v>
      </c>
      <c r="Q626" t="n">
        <v>0</v>
      </c>
      <c r="R626" s="2" t="inlineStr"/>
    </row>
    <row r="627" ht="15" customHeight="1">
      <c r="A627" t="inlineStr">
        <is>
          <t>A 34229-2019</t>
        </is>
      </c>
      <c r="B627" s="1" t="n">
        <v>43655</v>
      </c>
      <c r="C627" s="1" t="n">
        <v>45852</v>
      </c>
      <c r="D627" t="inlineStr">
        <is>
          <t>VÄSTERNORRLANDS LÄN</t>
        </is>
      </c>
      <c r="E627" t="inlineStr">
        <is>
          <t>SOLLEFTEÅ</t>
        </is>
      </c>
      <c r="G627" t="n">
        <v>7.9</v>
      </c>
      <c r="H627" t="n">
        <v>0</v>
      </c>
      <c r="I627" t="n">
        <v>0</v>
      </c>
      <c r="J627" t="n">
        <v>0</v>
      </c>
      <c r="K627" t="n">
        <v>0</v>
      </c>
      <c r="L627" t="n">
        <v>0</v>
      </c>
      <c r="M627" t="n">
        <v>0</v>
      </c>
      <c r="N627" t="n">
        <v>0</v>
      </c>
      <c r="O627" t="n">
        <v>0</v>
      </c>
      <c r="P627" t="n">
        <v>0</v>
      </c>
      <c r="Q627" t="n">
        <v>0</v>
      </c>
      <c r="R627" s="2" t="inlineStr"/>
    </row>
    <row r="628" ht="15" customHeight="1">
      <c r="A628" t="inlineStr">
        <is>
          <t>A 34302-2019</t>
        </is>
      </c>
      <c r="B628" s="1" t="n">
        <v>43655</v>
      </c>
      <c r="C628" s="1" t="n">
        <v>45852</v>
      </c>
      <c r="D628" t="inlineStr">
        <is>
          <t>VÄSTERNORRLANDS LÄN</t>
        </is>
      </c>
      <c r="E628" t="inlineStr">
        <is>
          <t>SOLLEFTEÅ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34738-2019</t>
        </is>
      </c>
      <c r="B629" s="1" t="n">
        <v>43657</v>
      </c>
      <c r="C629" s="1" t="n">
        <v>45852</v>
      </c>
      <c r="D629" t="inlineStr">
        <is>
          <t>VÄSTERNORRLANDS LÄN</t>
        </is>
      </c>
      <c r="E629" t="inlineStr">
        <is>
          <t>SOLLEFTEÅ</t>
        </is>
      </c>
      <c r="G629" t="n">
        <v>4.2</v>
      </c>
      <c r="H629" t="n">
        <v>0</v>
      </c>
      <c r="I629" t="n">
        <v>0</v>
      </c>
      <c r="J629" t="n">
        <v>0</v>
      </c>
      <c r="K629" t="n">
        <v>0</v>
      </c>
      <c r="L629" t="n">
        <v>0</v>
      </c>
      <c r="M629" t="n">
        <v>0</v>
      </c>
      <c r="N629" t="n">
        <v>0</v>
      </c>
      <c r="O629" t="n">
        <v>0</v>
      </c>
      <c r="P629" t="n">
        <v>0</v>
      </c>
      <c r="Q629" t="n">
        <v>0</v>
      </c>
      <c r="R629" s="2" t="inlineStr"/>
    </row>
    <row r="630" ht="15" customHeight="1">
      <c r="A630" t="inlineStr">
        <is>
          <t>A 34916-2019</t>
        </is>
      </c>
      <c r="B630" s="1" t="n">
        <v>43658</v>
      </c>
      <c r="C630" s="1" t="n">
        <v>45852</v>
      </c>
      <c r="D630" t="inlineStr">
        <is>
          <t>VÄSTERNORRLANDS LÄN</t>
        </is>
      </c>
      <c r="E630" t="inlineStr">
        <is>
          <t>SOLLEFTEÅ</t>
        </is>
      </c>
      <c r="G630" t="n">
        <v>2.6</v>
      </c>
      <c r="H630" t="n">
        <v>0</v>
      </c>
      <c r="I630" t="n">
        <v>0</v>
      </c>
      <c r="J630" t="n">
        <v>0</v>
      </c>
      <c r="K630" t="n">
        <v>0</v>
      </c>
      <c r="L630" t="n">
        <v>0</v>
      </c>
      <c r="M630" t="n">
        <v>0</v>
      </c>
      <c r="N630" t="n">
        <v>0</v>
      </c>
      <c r="O630" t="n">
        <v>0</v>
      </c>
      <c r="P630" t="n">
        <v>0</v>
      </c>
      <c r="Q630" t="n">
        <v>0</v>
      </c>
      <c r="R630" s="2" t="inlineStr"/>
    </row>
    <row r="631" ht="15" customHeight="1">
      <c r="A631" t="inlineStr">
        <is>
          <t>A 35320-2019</t>
        </is>
      </c>
      <c r="B631" s="1" t="n">
        <v>43662</v>
      </c>
      <c r="C631" s="1" t="n">
        <v>45852</v>
      </c>
      <c r="D631" t="inlineStr">
        <is>
          <t>VÄSTERNORRLANDS LÄN</t>
        </is>
      </c>
      <c r="E631" t="inlineStr">
        <is>
          <t>SOLLEFTEÅ</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35970-2019</t>
        </is>
      </c>
      <c r="B632" s="1" t="n">
        <v>43665</v>
      </c>
      <c r="C632" s="1" t="n">
        <v>45852</v>
      </c>
      <c r="D632" t="inlineStr">
        <is>
          <t>VÄSTERNORRLANDS LÄN</t>
        </is>
      </c>
      <c r="E632" t="inlineStr">
        <is>
          <t>SOLLEFTEÅ</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35969-2019</t>
        </is>
      </c>
      <c r="B633" s="1" t="n">
        <v>43665</v>
      </c>
      <c r="C633" s="1" t="n">
        <v>45852</v>
      </c>
      <c r="D633" t="inlineStr">
        <is>
          <t>VÄSTERNORRLANDS LÄN</t>
        </is>
      </c>
      <c r="E633" t="inlineStr">
        <is>
          <t>SOLLEFTEÅ</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36137-2019</t>
        </is>
      </c>
      <c r="B634" s="1" t="n">
        <v>43668</v>
      </c>
      <c r="C634" s="1" t="n">
        <v>45852</v>
      </c>
      <c r="D634" t="inlineStr">
        <is>
          <t>VÄSTERNORRLANDS LÄN</t>
        </is>
      </c>
      <c r="E634" t="inlineStr">
        <is>
          <t>SOLLEFTEÅ</t>
        </is>
      </c>
      <c r="G634" t="n">
        <v>1.2</v>
      </c>
      <c r="H634" t="n">
        <v>0</v>
      </c>
      <c r="I634" t="n">
        <v>0</v>
      </c>
      <c r="J634" t="n">
        <v>0</v>
      </c>
      <c r="K634" t="n">
        <v>0</v>
      </c>
      <c r="L634" t="n">
        <v>0</v>
      </c>
      <c r="M634" t="n">
        <v>0</v>
      </c>
      <c r="N634" t="n">
        <v>0</v>
      </c>
      <c r="O634" t="n">
        <v>0</v>
      </c>
      <c r="P634" t="n">
        <v>0</v>
      </c>
      <c r="Q634" t="n">
        <v>0</v>
      </c>
      <c r="R634" s="2" t="inlineStr"/>
    </row>
    <row r="635" ht="15" customHeight="1">
      <c r="A635" t="inlineStr">
        <is>
          <t>A 36486-2019</t>
        </is>
      </c>
      <c r="B635" s="1" t="n">
        <v>43668</v>
      </c>
      <c r="C635" s="1" t="n">
        <v>45852</v>
      </c>
      <c r="D635" t="inlineStr">
        <is>
          <t>VÄSTERNORRLANDS LÄN</t>
        </is>
      </c>
      <c r="E635" t="inlineStr">
        <is>
          <t>SOLLEFTEÅ</t>
        </is>
      </c>
      <c r="G635" t="n">
        <v>2.5</v>
      </c>
      <c r="H635" t="n">
        <v>0</v>
      </c>
      <c r="I635" t="n">
        <v>0</v>
      </c>
      <c r="J635" t="n">
        <v>0</v>
      </c>
      <c r="K635" t="n">
        <v>0</v>
      </c>
      <c r="L635" t="n">
        <v>0</v>
      </c>
      <c r="M635" t="n">
        <v>0</v>
      </c>
      <c r="N635" t="n">
        <v>0</v>
      </c>
      <c r="O635" t="n">
        <v>0</v>
      </c>
      <c r="P635" t="n">
        <v>0</v>
      </c>
      <c r="Q635" t="n">
        <v>0</v>
      </c>
      <c r="R635" s="2" t="inlineStr"/>
    </row>
    <row r="636" ht="15" customHeight="1">
      <c r="A636" t="inlineStr">
        <is>
          <t>A 36293-2019</t>
        </is>
      </c>
      <c r="B636" s="1" t="n">
        <v>43669</v>
      </c>
      <c r="C636" s="1" t="n">
        <v>45852</v>
      </c>
      <c r="D636" t="inlineStr">
        <is>
          <t>VÄSTERNORRLANDS LÄN</t>
        </is>
      </c>
      <c r="E636" t="inlineStr">
        <is>
          <t>SOLLEFTEÅ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36711-2019</t>
        </is>
      </c>
      <c r="B637" s="1" t="n">
        <v>43671</v>
      </c>
      <c r="C637" s="1" t="n">
        <v>45852</v>
      </c>
      <c r="D637" t="inlineStr">
        <is>
          <t>VÄSTERNORRLANDS LÄN</t>
        </is>
      </c>
      <c r="E637" t="inlineStr">
        <is>
          <t>SOLLEFTEÅ</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37292-2019</t>
        </is>
      </c>
      <c r="B638" s="1" t="n">
        <v>43677</v>
      </c>
      <c r="C638" s="1" t="n">
        <v>45852</v>
      </c>
      <c r="D638" t="inlineStr">
        <is>
          <t>VÄSTERNORRLANDS LÄN</t>
        </is>
      </c>
      <c r="E638" t="inlineStr">
        <is>
          <t>SOLLEFTEÅ</t>
        </is>
      </c>
      <c r="G638" t="n">
        <v>7.8</v>
      </c>
      <c r="H638" t="n">
        <v>0</v>
      </c>
      <c r="I638" t="n">
        <v>0</v>
      </c>
      <c r="J638" t="n">
        <v>0</v>
      </c>
      <c r="K638" t="n">
        <v>0</v>
      </c>
      <c r="L638" t="n">
        <v>0</v>
      </c>
      <c r="M638" t="n">
        <v>0</v>
      </c>
      <c r="N638" t="n">
        <v>0</v>
      </c>
      <c r="O638" t="n">
        <v>0</v>
      </c>
      <c r="P638" t="n">
        <v>0</v>
      </c>
      <c r="Q638" t="n">
        <v>0</v>
      </c>
      <c r="R638" s="2" t="inlineStr"/>
    </row>
    <row r="639" ht="15" customHeight="1">
      <c r="A639" t="inlineStr">
        <is>
          <t>A 37291-2019</t>
        </is>
      </c>
      <c r="B639" s="1" t="n">
        <v>43677</v>
      </c>
      <c r="C639" s="1" t="n">
        <v>45852</v>
      </c>
      <c r="D639" t="inlineStr">
        <is>
          <t>VÄSTERNORRLANDS LÄN</t>
        </is>
      </c>
      <c r="E639" t="inlineStr">
        <is>
          <t>SOLLEFTEÅ</t>
        </is>
      </c>
      <c r="G639" t="n">
        <v>7.4</v>
      </c>
      <c r="H639" t="n">
        <v>0</v>
      </c>
      <c r="I639" t="n">
        <v>0</v>
      </c>
      <c r="J639" t="n">
        <v>0</v>
      </c>
      <c r="K639" t="n">
        <v>0</v>
      </c>
      <c r="L639" t="n">
        <v>0</v>
      </c>
      <c r="M639" t="n">
        <v>0</v>
      </c>
      <c r="N639" t="n">
        <v>0</v>
      </c>
      <c r="O639" t="n">
        <v>0</v>
      </c>
      <c r="P639" t="n">
        <v>0</v>
      </c>
      <c r="Q639" t="n">
        <v>0</v>
      </c>
      <c r="R639" s="2" t="inlineStr"/>
    </row>
    <row r="640" ht="15" customHeight="1">
      <c r="A640" t="inlineStr">
        <is>
          <t>A 37434-2019</t>
        </is>
      </c>
      <c r="B640" s="1" t="n">
        <v>43678</v>
      </c>
      <c r="C640" s="1" t="n">
        <v>45852</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37652-2019</t>
        </is>
      </c>
      <c r="B641" s="1" t="n">
        <v>43679</v>
      </c>
      <c r="C641" s="1" t="n">
        <v>45852</v>
      </c>
      <c r="D641" t="inlineStr">
        <is>
          <t>VÄSTERNORRLANDS LÄN</t>
        </is>
      </c>
      <c r="E641" t="inlineStr">
        <is>
          <t>SOLLEFTEÅ</t>
        </is>
      </c>
      <c r="G641" t="n">
        <v>3.6</v>
      </c>
      <c r="H641" t="n">
        <v>0</v>
      </c>
      <c r="I641" t="n">
        <v>0</v>
      </c>
      <c r="J641" t="n">
        <v>0</v>
      </c>
      <c r="K641" t="n">
        <v>0</v>
      </c>
      <c r="L641" t="n">
        <v>0</v>
      </c>
      <c r="M641" t="n">
        <v>0</v>
      </c>
      <c r="N641" t="n">
        <v>0</v>
      </c>
      <c r="O641" t="n">
        <v>0</v>
      </c>
      <c r="P641" t="n">
        <v>0</v>
      </c>
      <c r="Q641" t="n">
        <v>0</v>
      </c>
      <c r="R641" s="2" t="inlineStr"/>
    </row>
    <row r="642" ht="15" customHeight="1">
      <c r="A642" t="inlineStr">
        <is>
          <t>A 37670-2019</t>
        </is>
      </c>
      <c r="B642" s="1" t="n">
        <v>43679</v>
      </c>
      <c r="C642" s="1" t="n">
        <v>45852</v>
      </c>
      <c r="D642" t="inlineStr">
        <is>
          <t>VÄSTERNORRLANDS LÄN</t>
        </is>
      </c>
      <c r="E642" t="inlineStr">
        <is>
          <t>SOLLEFTEÅ</t>
        </is>
      </c>
      <c r="G642" t="n">
        <v>3.2</v>
      </c>
      <c r="H642" t="n">
        <v>0</v>
      </c>
      <c r="I642" t="n">
        <v>0</v>
      </c>
      <c r="J642" t="n">
        <v>0</v>
      </c>
      <c r="K642" t="n">
        <v>0</v>
      </c>
      <c r="L642" t="n">
        <v>0</v>
      </c>
      <c r="M642" t="n">
        <v>0</v>
      </c>
      <c r="N642" t="n">
        <v>0</v>
      </c>
      <c r="O642" t="n">
        <v>0</v>
      </c>
      <c r="P642" t="n">
        <v>0</v>
      </c>
      <c r="Q642" t="n">
        <v>0</v>
      </c>
      <c r="R642" s="2" t="inlineStr"/>
    </row>
    <row r="643" ht="15" customHeight="1">
      <c r="A643" t="inlineStr">
        <is>
          <t>A 38081-2019</t>
        </is>
      </c>
      <c r="B643" s="1" t="n">
        <v>43682</v>
      </c>
      <c r="C643" s="1" t="n">
        <v>45852</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38074-2019</t>
        </is>
      </c>
      <c r="B644" s="1" t="n">
        <v>43682</v>
      </c>
      <c r="C644" s="1" t="n">
        <v>45852</v>
      </c>
      <c r="D644" t="inlineStr">
        <is>
          <t>VÄSTERNORRLANDS LÄN</t>
        </is>
      </c>
      <c r="E644" t="inlineStr">
        <is>
          <t>SOLLEFTEÅ</t>
        </is>
      </c>
      <c r="G644" t="n">
        <v>4.2</v>
      </c>
      <c r="H644" t="n">
        <v>0</v>
      </c>
      <c r="I644" t="n">
        <v>0</v>
      </c>
      <c r="J644" t="n">
        <v>0</v>
      </c>
      <c r="K644" t="n">
        <v>0</v>
      </c>
      <c r="L644" t="n">
        <v>0</v>
      </c>
      <c r="M644" t="n">
        <v>0</v>
      </c>
      <c r="N644" t="n">
        <v>0</v>
      </c>
      <c r="O644" t="n">
        <v>0</v>
      </c>
      <c r="P644" t="n">
        <v>0</v>
      </c>
      <c r="Q644" t="n">
        <v>0</v>
      </c>
      <c r="R644" s="2" t="inlineStr"/>
    </row>
    <row r="645" ht="15" customHeight="1">
      <c r="A645" t="inlineStr">
        <is>
          <t>A 38080-2019</t>
        </is>
      </c>
      <c r="B645" s="1" t="n">
        <v>43682</v>
      </c>
      <c r="C645" s="1" t="n">
        <v>45852</v>
      </c>
      <c r="D645" t="inlineStr">
        <is>
          <t>VÄSTERNORRLANDS LÄN</t>
        </is>
      </c>
      <c r="E645" t="inlineStr">
        <is>
          <t>SOLLEFTEÅ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38083-2019</t>
        </is>
      </c>
      <c r="B646" s="1" t="n">
        <v>43682</v>
      </c>
      <c r="C646" s="1" t="n">
        <v>45852</v>
      </c>
      <c r="D646" t="inlineStr">
        <is>
          <t>VÄSTERNORRLANDS LÄN</t>
        </is>
      </c>
      <c r="E646" t="inlineStr">
        <is>
          <t>SOLLEFTEÅ</t>
        </is>
      </c>
      <c r="G646" t="n">
        <v>9.6</v>
      </c>
      <c r="H646" t="n">
        <v>0</v>
      </c>
      <c r="I646" t="n">
        <v>0</v>
      </c>
      <c r="J646" t="n">
        <v>0</v>
      </c>
      <c r="K646" t="n">
        <v>0</v>
      </c>
      <c r="L646" t="n">
        <v>0</v>
      </c>
      <c r="M646" t="n">
        <v>0</v>
      </c>
      <c r="N646" t="n">
        <v>0</v>
      </c>
      <c r="O646" t="n">
        <v>0</v>
      </c>
      <c r="P646" t="n">
        <v>0</v>
      </c>
      <c r="Q646" t="n">
        <v>0</v>
      </c>
      <c r="R646" s="2" t="inlineStr"/>
    </row>
    <row r="647" ht="15" customHeight="1">
      <c r="A647" t="inlineStr">
        <is>
          <t>A 38544-2019</t>
        </is>
      </c>
      <c r="B647" s="1" t="n">
        <v>43684</v>
      </c>
      <c r="C647" s="1" t="n">
        <v>45852</v>
      </c>
      <c r="D647" t="inlineStr">
        <is>
          <t>VÄSTERNORRLANDS LÄN</t>
        </is>
      </c>
      <c r="E647" t="inlineStr">
        <is>
          <t>SOLLEFTEÅ</t>
        </is>
      </c>
      <c r="G647" t="n">
        <v>6.6</v>
      </c>
      <c r="H647" t="n">
        <v>0</v>
      </c>
      <c r="I647" t="n">
        <v>0</v>
      </c>
      <c r="J647" t="n">
        <v>0</v>
      </c>
      <c r="K647" t="n">
        <v>0</v>
      </c>
      <c r="L647" t="n">
        <v>0</v>
      </c>
      <c r="M647" t="n">
        <v>0</v>
      </c>
      <c r="N647" t="n">
        <v>0</v>
      </c>
      <c r="O647" t="n">
        <v>0</v>
      </c>
      <c r="P647" t="n">
        <v>0</v>
      </c>
      <c r="Q647" t="n">
        <v>0</v>
      </c>
      <c r="R647" s="2" t="inlineStr"/>
    </row>
    <row r="648" ht="15" customHeight="1">
      <c r="A648" t="inlineStr">
        <is>
          <t>A 38252-2019</t>
        </is>
      </c>
      <c r="B648" s="1" t="n">
        <v>43684</v>
      </c>
      <c r="C648" s="1" t="n">
        <v>45852</v>
      </c>
      <c r="D648" t="inlineStr">
        <is>
          <t>VÄSTERNORRLANDS LÄN</t>
        </is>
      </c>
      <c r="E648" t="inlineStr">
        <is>
          <t>SOLLEFTEÅ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38566-2019</t>
        </is>
      </c>
      <c r="B649" s="1" t="n">
        <v>43685</v>
      </c>
      <c r="C649" s="1" t="n">
        <v>45852</v>
      </c>
      <c r="D649" t="inlineStr">
        <is>
          <t>VÄSTERNORRLANDS LÄN</t>
        </is>
      </c>
      <c r="E649" t="inlineStr">
        <is>
          <t>SOLLEFTEÅ</t>
        </is>
      </c>
      <c r="F649" t="inlineStr">
        <is>
          <t>SCA</t>
        </is>
      </c>
      <c r="G649" t="n">
        <v>15.1</v>
      </c>
      <c r="H649" t="n">
        <v>0</v>
      </c>
      <c r="I649" t="n">
        <v>0</v>
      </c>
      <c r="J649" t="n">
        <v>0</v>
      </c>
      <c r="K649" t="n">
        <v>0</v>
      </c>
      <c r="L649" t="n">
        <v>0</v>
      </c>
      <c r="M649" t="n">
        <v>0</v>
      </c>
      <c r="N649" t="n">
        <v>0</v>
      </c>
      <c r="O649" t="n">
        <v>0</v>
      </c>
      <c r="P649" t="n">
        <v>0</v>
      </c>
      <c r="Q649" t="n">
        <v>0</v>
      </c>
      <c r="R649" s="2" t="inlineStr"/>
    </row>
    <row r="650" ht="15" customHeight="1">
      <c r="A650" t="inlineStr">
        <is>
          <t>A 38762-2019</t>
        </is>
      </c>
      <c r="B650" s="1" t="n">
        <v>43686</v>
      </c>
      <c r="C650" s="1" t="n">
        <v>45852</v>
      </c>
      <c r="D650" t="inlineStr">
        <is>
          <t>VÄSTERNORRLANDS LÄN</t>
        </is>
      </c>
      <c r="E650" t="inlineStr">
        <is>
          <t>SOLLEFTEÅ</t>
        </is>
      </c>
      <c r="G650" t="n">
        <v>7.7</v>
      </c>
      <c r="H650" t="n">
        <v>0</v>
      </c>
      <c r="I650" t="n">
        <v>0</v>
      </c>
      <c r="J650" t="n">
        <v>0</v>
      </c>
      <c r="K650" t="n">
        <v>0</v>
      </c>
      <c r="L650" t="n">
        <v>0</v>
      </c>
      <c r="M650" t="n">
        <v>0</v>
      </c>
      <c r="N650" t="n">
        <v>0</v>
      </c>
      <c r="O650" t="n">
        <v>0</v>
      </c>
      <c r="P650" t="n">
        <v>0</v>
      </c>
      <c r="Q650" t="n">
        <v>0</v>
      </c>
      <c r="R650" s="2" t="inlineStr"/>
    </row>
    <row r="651" ht="15" customHeight="1">
      <c r="A651" t="inlineStr">
        <is>
          <t>A 38763-2019</t>
        </is>
      </c>
      <c r="B651" s="1" t="n">
        <v>43686</v>
      </c>
      <c r="C651" s="1" t="n">
        <v>45852</v>
      </c>
      <c r="D651" t="inlineStr">
        <is>
          <t>VÄSTERNORRLANDS LÄN</t>
        </is>
      </c>
      <c r="E651" t="inlineStr">
        <is>
          <t>SOLLEFTEÅ</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39123-2019</t>
        </is>
      </c>
      <c r="B652" s="1" t="n">
        <v>43689</v>
      </c>
      <c r="C652" s="1" t="n">
        <v>45852</v>
      </c>
      <c r="D652" t="inlineStr">
        <is>
          <t>VÄSTERNORRLANDS LÄN</t>
        </is>
      </c>
      <c r="E652" t="inlineStr">
        <is>
          <t>SOLLEFTEÅ</t>
        </is>
      </c>
      <c r="G652" t="n">
        <v>10.9</v>
      </c>
      <c r="H652" t="n">
        <v>0</v>
      </c>
      <c r="I652" t="n">
        <v>0</v>
      </c>
      <c r="J652" t="n">
        <v>0</v>
      </c>
      <c r="K652" t="n">
        <v>0</v>
      </c>
      <c r="L652" t="n">
        <v>0</v>
      </c>
      <c r="M652" t="n">
        <v>0</v>
      </c>
      <c r="N652" t="n">
        <v>0</v>
      </c>
      <c r="O652" t="n">
        <v>0</v>
      </c>
      <c r="P652" t="n">
        <v>0</v>
      </c>
      <c r="Q652" t="n">
        <v>0</v>
      </c>
      <c r="R652" s="2" t="inlineStr"/>
    </row>
    <row r="653" ht="15" customHeight="1">
      <c r="A653" t="inlineStr">
        <is>
          <t>A 39768-2019</t>
        </is>
      </c>
      <c r="B653" s="1" t="n">
        <v>43689</v>
      </c>
      <c r="C653" s="1" t="n">
        <v>45852</v>
      </c>
      <c r="D653" t="inlineStr">
        <is>
          <t>VÄSTERNORRLANDS LÄN</t>
        </is>
      </c>
      <c r="E653" t="inlineStr">
        <is>
          <t>SOLLEFTEÅ</t>
        </is>
      </c>
      <c r="G653" t="n">
        <v>0.8</v>
      </c>
      <c r="H653" t="n">
        <v>0</v>
      </c>
      <c r="I653" t="n">
        <v>0</v>
      </c>
      <c r="J653" t="n">
        <v>0</v>
      </c>
      <c r="K653" t="n">
        <v>0</v>
      </c>
      <c r="L653" t="n">
        <v>0</v>
      </c>
      <c r="M653" t="n">
        <v>0</v>
      </c>
      <c r="N653" t="n">
        <v>0</v>
      </c>
      <c r="O653" t="n">
        <v>0</v>
      </c>
      <c r="P653" t="n">
        <v>0</v>
      </c>
      <c r="Q653" t="n">
        <v>0</v>
      </c>
      <c r="R653" s="2" t="inlineStr"/>
    </row>
    <row r="654" ht="15" customHeight="1">
      <c r="A654" t="inlineStr">
        <is>
          <t>A 40764-2019</t>
        </is>
      </c>
      <c r="B654" s="1" t="n">
        <v>43692</v>
      </c>
      <c r="C654" s="1" t="n">
        <v>45852</v>
      </c>
      <c r="D654" t="inlineStr">
        <is>
          <t>VÄSTERNORRLANDS LÄN</t>
        </is>
      </c>
      <c r="E654" t="inlineStr">
        <is>
          <t>SOLLEFTEÅ</t>
        </is>
      </c>
      <c r="G654" t="n">
        <v>2.9</v>
      </c>
      <c r="H654" t="n">
        <v>0</v>
      </c>
      <c r="I654" t="n">
        <v>0</v>
      </c>
      <c r="J654" t="n">
        <v>0</v>
      </c>
      <c r="K654" t="n">
        <v>0</v>
      </c>
      <c r="L654" t="n">
        <v>0</v>
      </c>
      <c r="M654" t="n">
        <v>0</v>
      </c>
      <c r="N654" t="n">
        <v>0</v>
      </c>
      <c r="O654" t="n">
        <v>0</v>
      </c>
      <c r="P654" t="n">
        <v>0</v>
      </c>
      <c r="Q654" t="n">
        <v>0</v>
      </c>
      <c r="R654" s="2" t="inlineStr"/>
    </row>
    <row r="655" ht="15" customHeight="1">
      <c r="A655" t="inlineStr">
        <is>
          <t>A 40769-2019</t>
        </is>
      </c>
      <c r="B655" s="1" t="n">
        <v>43692</v>
      </c>
      <c r="C655" s="1" t="n">
        <v>45852</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41069-2019</t>
        </is>
      </c>
      <c r="B656" s="1" t="n">
        <v>43693</v>
      </c>
      <c r="C656" s="1" t="n">
        <v>45852</v>
      </c>
      <c r="D656" t="inlineStr">
        <is>
          <t>VÄSTERNORRLANDS LÄN</t>
        </is>
      </c>
      <c r="E656" t="inlineStr">
        <is>
          <t>SOLLEFTEÅ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40685-2019</t>
        </is>
      </c>
      <c r="B657" s="1" t="n">
        <v>43696</v>
      </c>
      <c r="C657" s="1" t="n">
        <v>45852</v>
      </c>
      <c r="D657" t="inlineStr">
        <is>
          <t>VÄSTERNORRLANDS LÄN</t>
        </is>
      </c>
      <c r="E657" t="inlineStr">
        <is>
          <t>SOLLEFTEÅ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40682-2019</t>
        </is>
      </c>
      <c r="B658" s="1" t="n">
        <v>43696</v>
      </c>
      <c r="C658" s="1" t="n">
        <v>45852</v>
      </c>
      <c r="D658" t="inlineStr">
        <is>
          <t>VÄSTERNORRLANDS LÄN</t>
        </is>
      </c>
      <c r="E658" t="inlineStr">
        <is>
          <t>SOLLEFTEÅ</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40514-2019</t>
        </is>
      </c>
      <c r="B659" s="1" t="n">
        <v>43696</v>
      </c>
      <c r="C659" s="1" t="n">
        <v>45852</v>
      </c>
      <c r="D659" t="inlineStr">
        <is>
          <t>VÄSTERNORRLANDS LÄN</t>
        </is>
      </c>
      <c r="E659" t="inlineStr">
        <is>
          <t>SOLLEFTEÅ</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40679-2019</t>
        </is>
      </c>
      <c r="B660" s="1" t="n">
        <v>43696</v>
      </c>
      <c r="C660" s="1" t="n">
        <v>45852</v>
      </c>
      <c r="D660" t="inlineStr">
        <is>
          <t>VÄSTERNORRLANDS LÄN</t>
        </is>
      </c>
      <c r="E660" t="inlineStr">
        <is>
          <t>SOLLEFTEÅ</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41786-2019</t>
        </is>
      </c>
      <c r="B661" s="1" t="n">
        <v>43699</v>
      </c>
      <c r="C661" s="1" t="n">
        <v>45852</v>
      </c>
      <c r="D661" t="inlineStr">
        <is>
          <t>VÄSTERNORRLANDS LÄN</t>
        </is>
      </c>
      <c r="E661" t="inlineStr">
        <is>
          <t>SOLLEFTEÅ</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42417-2019</t>
        </is>
      </c>
      <c r="B662" s="1" t="n">
        <v>43703</v>
      </c>
      <c r="C662" s="1" t="n">
        <v>45852</v>
      </c>
      <c r="D662" t="inlineStr">
        <is>
          <t>VÄSTERNORRLANDS LÄN</t>
        </is>
      </c>
      <c r="E662" t="inlineStr">
        <is>
          <t>SOLLEFTEÅ</t>
        </is>
      </c>
      <c r="F662" t="inlineStr">
        <is>
          <t>SCA</t>
        </is>
      </c>
      <c r="G662" t="n">
        <v>3.8</v>
      </c>
      <c r="H662" t="n">
        <v>0</v>
      </c>
      <c r="I662" t="n">
        <v>0</v>
      </c>
      <c r="J662" t="n">
        <v>0</v>
      </c>
      <c r="K662" t="n">
        <v>0</v>
      </c>
      <c r="L662" t="n">
        <v>0</v>
      </c>
      <c r="M662" t="n">
        <v>0</v>
      </c>
      <c r="N662" t="n">
        <v>0</v>
      </c>
      <c r="O662" t="n">
        <v>0</v>
      </c>
      <c r="P662" t="n">
        <v>0</v>
      </c>
      <c r="Q662" t="n">
        <v>0</v>
      </c>
      <c r="R662" s="2" t="inlineStr"/>
    </row>
    <row r="663" ht="15" customHeight="1">
      <c r="A663" t="inlineStr">
        <is>
          <t>A 42791-2019</t>
        </is>
      </c>
      <c r="B663" s="1" t="n">
        <v>43704</v>
      </c>
      <c r="C663" s="1" t="n">
        <v>45852</v>
      </c>
      <c r="D663" t="inlineStr">
        <is>
          <t>VÄSTERNORRLANDS LÄN</t>
        </is>
      </c>
      <c r="E663" t="inlineStr">
        <is>
          <t>SOLLEFTEÅ</t>
        </is>
      </c>
      <c r="G663" t="n">
        <v>4.1</v>
      </c>
      <c r="H663" t="n">
        <v>0</v>
      </c>
      <c r="I663" t="n">
        <v>0</v>
      </c>
      <c r="J663" t="n">
        <v>0</v>
      </c>
      <c r="K663" t="n">
        <v>0</v>
      </c>
      <c r="L663" t="n">
        <v>0</v>
      </c>
      <c r="M663" t="n">
        <v>0</v>
      </c>
      <c r="N663" t="n">
        <v>0</v>
      </c>
      <c r="O663" t="n">
        <v>0</v>
      </c>
      <c r="P663" t="n">
        <v>0</v>
      </c>
      <c r="Q663" t="n">
        <v>0</v>
      </c>
      <c r="R663" s="2" t="inlineStr"/>
    </row>
    <row r="664" ht="15" customHeight="1">
      <c r="A664" t="inlineStr">
        <is>
          <t>A 42792-2019</t>
        </is>
      </c>
      <c r="B664" s="1" t="n">
        <v>43704</v>
      </c>
      <c r="C664" s="1" t="n">
        <v>45852</v>
      </c>
      <c r="D664" t="inlineStr">
        <is>
          <t>VÄSTERNORRLANDS LÄN</t>
        </is>
      </c>
      <c r="E664" t="inlineStr">
        <is>
          <t>SOLLEFTEÅ</t>
        </is>
      </c>
      <c r="G664" t="n">
        <v>5.7</v>
      </c>
      <c r="H664" t="n">
        <v>0</v>
      </c>
      <c r="I664" t="n">
        <v>0</v>
      </c>
      <c r="J664" t="n">
        <v>0</v>
      </c>
      <c r="K664" t="n">
        <v>0</v>
      </c>
      <c r="L664" t="n">
        <v>0</v>
      </c>
      <c r="M664" t="n">
        <v>0</v>
      </c>
      <c r="N664" t="n">
        <v>0</v>
      </c>
      <c r="O664" t="n">
        <v>0</v>
      </c>
      <c r="P664" t="n">
        <v>0</v>
      </c>
      <c r="Q664" t="n">
        <v>0</v>
      </c>
      <c r="R664" s="2" t="inlineStr"/>
    </row>
    <row r="665" ht="15" customHeight="1">
      <c r="A665" t="inlineStr">
        <is>
          <t>A 43499-2019</t>
        </is>
      </c>
      <c r="B665" s="1" t="n">
        <v>43706</v>
      </c>
      <c r="C665" s="1" t="n">
        <v>45852</v>
      </c>
      <c r="D665" t="inlineStr">
        <is>
          <t>VÄSTERNORRLANDS LÄN</t>
        </is>
      </c>
      <c r="E665" t="inlineStr">
        <is>
          <t>SOLLEFTEÅ</t>
        </is>
      </c>
      <c r="G665" t="n">
        <v>19.3</v>
      </c>
      <c r="H665" t="n">
        <v>0</v>
      </c>
      <c r="I665" t="n">
        <v>0</v>
      </c>
      <c r="J665" t="n">
        <v>0</v>
      </c>
      <c r="K665" t="n">
        <v>0</v>
      </c>
      <c r="L665" t="n">
        <v>0</v>
      </c>
      <c r="M665" t="n">
        <v>0</v>
      </c>
      <c r="N665" t="n">
        <v>0</v>
      </c>
      <c r="O665" t="n">
        <v>0</v>
      </c>
      <c r="P665" t="n">
        <v>0</v>
      </c>
      <c r="Q665" t="n">
        <v>0</v>
      </c>
      <c r="R665" s="2" t="inlineStr"/>
    </row>
    <row r="666" ht="15" customHeight="1">
      <c r="A666" t="inlineStr">
        <is>
          <t>A 45032-2019</t>
        </is>
      </c>
      <c r="B666" s="1" t="n">
        <v>43707</v>
      </c>
      <c r="C666" s="1" t="n">
        <v>45852</v>
      </c>
      <c r="D666" t="inlineStr">
        <is>
          <t>VÄSTERNORRLANDS LÄN</t>
        </is>
      </c>
      <c r="E666" t="inlineStr">
        <is>
          <t>SOLLEFTEÅ</t>
        </is>
      </c>
      <c r="G666" t="n">
        <v>9.4</v>
      </c>
      <c r="H666" t="n">
        <v>0</v>
      </c>
      <c r="I666" t="n">
        <v>0</v>
      </c>
      <c r="J666" t="n">
        <v>0</v>
      </c>
      <c r="K666" t="n">
        <v>0</v>
      </c>
      <c r="L666" t="n">
        <v>0</v>
      </c>
      <c r="M666" t="n">
        <v>0</v>
      </c>
      <c r="N666" t="n">
        <v>0</v>
      </c>
      <c r="O666" t="n">
        <v>0</v>
      </c>
      <c r="P666" t="n">
        <v>0</v>
      </c>
      <c r="Q666" t="n">
        <v>0</v>
      </c>
      <c r="R666" s="2" t="inlineStr"/>
    </row>
    <row r="667" ht="15" customHeight="1">
      <c r="A667" t="inlineStr">
        <is>
          <t>A 44815-2019</t>
        </is>
      </c>
      <c r="B667" s="1" t="n">
        <v>43712</v>
      </c>
      <c r="C667" s="1" t="n">
        <v>45852</v>
      </c>
      <c r="D667" t="inlineStr">
        <is>
          <t>VÄSTERNORRLANDS LÄN</t>
        </is>
      </c>
      <c r="E667" t="inlineStr">
        <is>
          <t>SOLLEFTEÅ</t>
        </is>
      </c>
      <c r="G667" t="n">
        <v>3</v>
      </c>
      <c r="H667" t="n">
        <v>0</v>
      </c>
      <c r="I667" t="n">
        <v>0</v>
      </c>
      <c r="J667" t="n">
        <v>0</v>
      </c>
      <c r="K667" t="n">
        <v>0</v>
      </c>
      <c r="L667" t="n">
        <v>0</v>
      </c>
      <c r="M667" t="n">
        <v>0</v>
      </c>
      <c r="N667" t="n">
        <v>0</v>
      </c>
      <c r="O667" t="n">
        <v>0</v>
      </c>
      <c r="P667" t="n">
        <v>0</v>
      </c>
      <c r="Q667" t="n">
        <v>0</v>
      </c>
      <c r="R667" s="2" t="inlineStr"/>
    </row>
    <row r="668" ht="15" customHeight="1">
      <c r="A668" t="inlineStr">
        <is>
          <t>A 45941-2019</t>
        </is>
      </c>
      <c r="B668" s="1" t="n">
        <v>43712</v>
      </c>
      <c r="C668" s="1" t="n">
        <v>45852</v>
      </c>
      <c r="D668" t="inlineStr">
        <is>
          <t>VÄSTERNORRLANDS LÄN</t>
        </is>
      </c>
      <c r="E668" t="inlineStr">
        <is>
          <t>SOLLEFTEÅ</t>
        </is>
      </c>
      <c r="G668" t="n">
        <v>25</v>
      </c>
      <c r="H668" t="n">
        <v>0</v>
      </c>
      <c r="I668" t="n">
        <v>0</v>
      </c>
      <c r="J668" t="n">
        <v>0</v>
      </c>
      <c r="K668" t="n">
        <v>0</v>
      </c>
      <c r="L668" t="n">
        <v>0</v>
      </c>
      <c r="M668" t="n">
        <v>0</v>
      </c>
      <c r="N668" t="n">
        <v>0</v>
      </c>
      <c r="O668" t="n">
        <v>0</v>
      </c>
      <c r="P668" t="n">
        <v>0</v>
      </c>
      <c r="Q668" t="n">
        <v>0</v>
      </c>
      <c r="R668" s="2" t="inlineStr"/>
    </row>
    <row r="669" ht="15" customHeight="1">
      <c r="A669" t="inlineStr">
        <is>
          <t>A 44888-2019</t>
        </is>
      </c>
      <c r="B669" s="1" t="n">
        <v>43712</v>
      </c>
      <c r="C669" s="1" t="n">
        <v>45852</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44960-2019</t>
        </is>
      </c>
      <c r="B670" s="1" t="n">
        <v>43713</v>
      </c>
      <c r="C670" s="1" t="n">
        <v>45852</v>
      </c>
      <c r="D670" t="inlineStr">
        <is>
          <t>VÄSTERNORRLANDS LÄN</t>
        </is>
      </c>
      <c r="E670" t="inlineStr">
        <is>
          <t>SOLLEFTEÅ</t>
        </is>
      </c>
      <c r="G670" t="n">
        <v>14.9</v>
      </c>
      <c r="H670" t="n">
        <v>0</v>
      </c>
      <c r="I670" t="n">
        <v>0</v>
      </c>
      <c r="J670" t="n">
        <v>0</v>
      </c>
      <c r="K670" t="n">
        <v>0</v>
      </c>
      <c r="L670" t="n">
        <v>0</v>
      </c>
      <c r="M670" t="n">
        <v>0</v>
      </c>
      <c r="N670" t="n">
        <v>0</v>
      </c>
      <c r="O670" t="n">
        <v>0</v>
      </c>
      <c r="P670" t="n">
        <v>0</v>
      </c>
      <c r="Q670" t="n">
        <v>0</v>
      </c>
      <c r="R670" s="2" t="inlineStr"/>
    </row>
    <row r="671" ht="15" customHeight="1">
      <c r="A671" t="inlineStr">
        <is>
          <t>A 45537-2019</t>
        </is>
      </c>
      <c r="B671" s="1" t="n">
        <v>43714</v>
      </c>
      <c r="C671" s="1" t="n">
        <v>45852</v>
      </c>
      <c r="D671" t="inlineStr">
        <is>
          <t>VÄSTERNORRLANDS LÄN</t>
        </is>
      </c>
      <c r="E671" t="inlineStr">
        <is>
          <t>SOLLEFTEÅ</t>
        </is>
      </c>
      <c r="F671" t="inlineStr">
        <is>
          <t>SCA</t>
        </is>
      </c>
      <c r="G671" t="n">
        <v>35.1</v>
      </c>
      <c r="H671" t="n">
        <v>0</v>
      </c>
      <c r="I671" t="n">
        <v>0</v>
      </c>
      <c r="J671" t="n">
        <v>0</v>
      </c>
      <c r="K671" t="n">
        <v>0</v>
      </c>
      <c r="L671" t="n">
        <v>0</v>
      </c>
      <c r="M671" t="n">
        <v>0</v>
      </c>
      <c r="N671" t="n">
        <v>0</v>
      </c>
      <c r="O671" t="n">
        <v>0</v>
      </c>
      <c r="P671" t="n">
        <v>0</v>
      </c>
      <c r="Q671" t="n">
        <v>0</v>
      </c>
      <c r="R671" s="2" t="inlineStr"/>
    </row>
    <row r="672" ht="15" customHeight="1">
      <c r="A672" t="inlineStr">
        <is>
          <t>A 46345-2019</t>
        </is>
      </c>
      <c r="B672" s="1" t="n">
        <v>43718</v>
      </c>
      <c r="C672" s="1" t="n">
        <v>45852</v>
      </c>
      <c r="D672" t="inlineStr">
        <is>
          <t>VÄSTERNORRLANDS LÄN</t>
        </is>
      </c>
      <c r="E672" t="inlineStr">
        <is>
          <t>SOLLEFTEÅ</t>
        </is>
      </c>
      <c r="F672" t="inlineStr">
        <is>
          <t>SCA</t>
        </is>
      </c>
      <c r="G672" t="n">
        <v>32</v>
      </c>
      <c r="H672" t="n">
        <v>0</v>
      </c>
      <c r="I672" t="n">
        <v>0</v>
      </c>
      <c r="J672" t="n">
        <v>0</v>
      </c>
      <c r="K672" t="n">
        <v>0</v>
      </c>
      <c r="L672" t="n">
        <v>0</v>
      </c>
      <c r="M672" t="n">
        <v>0</v>
      </c>
      <c r="N672" t="n">
        <v>0</v>
      </c>
      <c r="O672" t="n">
        <v>0</v>
      </c>
      <c r="P672" t="n">
        <v>0</v>
      </c>
      <c r="Q672" t="n">
        <v>0</v>
      </c>
      <c r="R672" s="2" t="inlineStr"/>
    </row>
    <row r="673" ht="15" customHeight="1">
      <c r="A673" t="inlineStr">
        <is>
          <t>A 46956-2019</t>
        </is>
      </c>
      <c r="B673" s="1" t="n">
        <v>43719</v>
      </c>
      <c r="C673" s="1" t="n">
        <v>45852</v>
      </c>
      <c r="D673" t="inlineStr">
        <is>
          <t>VÄSTERNORRLANDS LÄN</t>
        </is>
      </c>
      <c r="E673" t="inlineStr">
        <is>
          <t>SOLLEFTEÅ</t>
        </is>
      </c>
      <c r="G673" t="n">
        <v>18.1</v>
      </c>
      <c r="H673" t="n">
        <v>0</v>
      </c>
      <c r="I673" t="n">
        <v>0</v>
      </c>
      <c r="J673" t="n">
        <v>0</v>
      </c>
      <c r="K673" t="n">
        <v>0</v>
      </c>
      <c r="L673" t="n">
        <v>0</v>
      </c>
      <c r="M673" t="n">
        <v>0</v>
      </c>
      <c r="N673" t="n">
        <v>0</v>
      </c>
      <c r="O673" t="n">
        <v>0</v>
      </c>
      <c r="P673" t="n">
        <v>0</v>
      </c>
      <c r="Q673" t="n">
        <v>0</v>
      </c>
      <c r="R673" s="2" t="inlineStr"/>
    </row>
    <row r="674" ht="15" customHeight="1">
      <c r="A674" t="inlineStr">
        <is>
          <t>A 47366-2019</t>
        </is>
      </c>
      <c r="B674" s="1" t="n">
        <v>43721</v>
      </c>
      <c r="C674" s="1" t="n">
        <v>45852</v>
      </c>
      <c r="D674" t="inlineStr">
        <is>
          <t>VÄSTERNORRLANDS LÄN</t>
        </is>
      </c>
      <c r="E674" t="inlineStr">
        <is>
          <t>SOLLEFTEÅ</t>
        </is>
      </c>
      <c r="G674" t="n">
        <v>1.1</v>
      </c>
      <c r="H674" t="n">
        <v>0</v>
      </c>
      <c r="I674" t="n">
        <v>0</v>
      </c>
      <c r="J674" t="n">
        <v>0</v>
      </c>
      <c r="K674" t="n">
        <v>0</v>
      </c>
      <c r="L674" t="n">
        <v>0</v>
      </c>
      <c r="M674" t="n">
        <v>0</v>
      </c>
      <c r="N674" t="n">
        <v>0</v>
      </c>
      <c r="O674" t="n">
        <v>0</v>
      </c>
      <c r="P674" t="n">
        <v>0</v>
      </c>
      <c r="Q674" t="n">
        <v>0</v>
      </c>
      <c r="R674" s="2" t="inlineStr"/>
    </row>
    <row r="675" ht="15" customHeight="1">
      <c r="A675" t="inlineStr">
        <is>
          <t>A 47764-2019</t>
        </is>
      </c>
      <c r="B675" s="1" t="n">
        <v>43724</v>
      </c>
      <c r="C675" s="1" t="n">
        <v>45852</v>
      </c>
      <c r="D675" t="inlineStr">
        <is>
          <t>VÄSTERNORRLANDS LÄN</t>
        </is>
      </c>
      <c r="E675" t="inlineStr">
        <is>
          <t>SOLLEFTEÅ</t>
        </is>
      </c>
      <c r="F675" t="inlineStr">
        <is>
          <t>Kyrkan</t>
        </is>
      </c>
      <c r="G675" t="n">
        <v>4.1</v>
      </c>
      <c r="H675" t="n">
        <v>0</v>
      </c>
      <c r="I675" t="n">
        <v>0</v>
      </c>
      <c r="J675" t="n">
        <v>0</v>
      </c>
      <c r="K675" t="n">
        <v>0</v>
      </c>
      <c r="L675" t="n">
        <v>0</v>
      </c>
      <c r="M675" t="n">
        <v>0</v>
      </c>
      <c r="N675" t="n">
        <v>0</v>
      </c>
      <c r="O675" t="n">
        <v>0</v>
      </c>
      <c r="P675" t="n">
        <v>0</v>
      </c>
      <c r="Q675" t="n">
        <v>0</v>
      </c>
      <c r="R675" s="2" t="inlineStr"/>
    </row>
    <row r="676" ht="15" customHeight="1">
      <c r="A676" t="inlineStr">
        <is>
          <t>A 47768-2019</t>
        </is>
      </c>
      <c r="B676" s="1" t="n">
        <v>43724</v>
      </c>
      <c r="C676" s="1" t="n">
        <v>45852</v>
      </c>
      <c r="D676" t="inlineStr">
        <is>
          <t>VÄSTERNORRLANDS LÄN</t>
        </is>
      </c>
      <c r="E676" t="inlineStr">
        <is>
          <t>SOLLEFTEÅ</t>
        </is>
      </c>
      <c r="F676" t="inlineStr">
        <is>
          <t>Kyrkan</t>
        </is>
      </c>
      <c r="G676" t="n">
        <v>12.1</v>
      </c>
      <c r="H676" t="n">
        <v>0</v>
      </c>
      <c r="I676" t="n">
        <v>0</v>
      </c>
      <c r="J676" t="n">
        <v>0</v>
      </c>
      <c r="K676" t="n">
        <v>0</v>
      </c>
      <c r="L676" t="n">
        <v>0</v>
      </c>
      <c r="M676" t="n">
        <v>0</v>
      </c>
      <c r="N676" t="n">
        <v>0</v>
      </c>
      <c r="O676" t="n">
        <v>0</v>
      </c>
      <c r="P676" t="n">
        <v>0</v>
      </c>
      <c r="Q676" t="n">
        <v>0</v>
      </c>
      <c r="R676" s="2" t="inlineStr"/>
    </row>
    <row r="677" ht="15" customHeight="1">
      <c r="A677" t="inlineStr">
        <is>
          <t>A 49381-2019</t>
        </is>
      </c>
      <c r="B677" s="1" t="n">
        <v>43731</v>
      </c>
      <c r="C677" s="1" t="n">
        <v>45852</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49380-2019</t>
        </is>
      </c>
      <c r="B678" s="1" t="n">
        <v>43731</v>
      </c>
      <c r="C678" s="1" t="n">
        <v>45852</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49674-2019</t>
        </is>
      </c>
      <c r="B679" s="1" t="n">
        <v>43732</v>
      </c>
      <c r="C679" s="1" t="n">
        <v>45852</v>
      </c>
      <c r="D679" t="inlineStr">
        <is>
          <t>VÄSTERNORRLANDS LÄN</t>
        </is>
      </c>
      <c r="E679" t="inlineStr">
        <is>
          <t>SOLLEFTEÅ</t>
        </is>
      </c>
      <c r="G679" t="n">
        <v>2.2</v>
      </c>
      <c r="H679" t="n">
        <v>0</v>
      </c>
      <c r="I679" t="n">
        <v>0</v>
      </c>
      <c r="J679" t="n">
        <v>0</v>
      </c>
      <c r="K679" t="n">
        <v>0</v>
      </c>
      <c r="L679" t="n">
        <v>0</v>
      </c>
      <c r="M679" t="n">
        <v>0</v>
      </c>
      <c r="N679" t="n">
        <v>0</v>
      </c>
      <c r="O679" t="n">
        <v>0</v>
      </c>
      <c r="P679" t="n">
        <v>0</v>
      </c>
      <c r="Q679" t="n">
        <v>0</v>
      </c>
      <c r="R679" s="2" t="inlineStr"/>
    </row>
    <row r="680" ht="15" customHeight="1">
      <c r="A680" t="inlineStr">
        <is>
          <t>A 50283-2019</t>
        </is>
      </c>
      <c r="B680" s="1" t="n">
        <v>43734</v>
      </c>
      <c r="C680" s="1" t="n">
        <v>45852</v>
      </c>
      <c r="D680" t="inlineStr">
        <is>
          <t>VÄSTERNORRLANDS LÄN</t>
        </is>
      </c>
      <c r="E680" t="inlineStr">
        <is>
          <t>SOLLEFTEÅ</t>
        </is>
      </c>
      <c r="F680" t="inlineStr">
        <is>
          <t>SCA</t>
        </is>
      </c>
      <c r="G680" t="n">
        <v>10.6</v>
      </c>
      <c r="H680" t="n">
        <v>0</v>
      </c>
      <c r="I680" t="n">
        <v>0</v>
      </c>
      <c r="J680" t="n">
        <v>0</v>
      </c>
      <c r="K680" t="n">
        <v>0</v>
      </c>
      <c r="L680" t="n">
        <v>0</v>
      </c>
      <c r="M680" t="n">
        <v>0</v>
      </c>
      <c r="N680" t="n">
        <v>0</v>
      </c>
      <c r="O680" t="n">
        <v>0</v>
      </c>
      <c r="P680" t="n">
        <v>0</v>
      </c>
      <c r="Q680" t="n">
        <v>0</v>
      </c>
      <c r="R680" s="2" t="inlineStr"/>
    </row>
    <row r="681" ht="15" customHeight="1">
      <c r="A681" t="inlineStr">
        <is>
          <t>A 50513-2019</t>
        </is>
      </c>
      <c r="B681" s="1" t="n">
        <v>43735</v>
      </c>
      <c r="C681" s="1" t="n">
        <v>45852</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50668-2019</t>
        </is>
      </c>
      <c r="B682" s="1" t="n">
        <v>43737</v>
      </c>
      <c r="C682" s="1" t="n">
        <v>45852</v>
      </c>
      <c r="D682" t="inlineStr">
        <is>
          <t>VÄSTERNORRLANDS LÄN</t>
        </is>
      </c>
      <c r="E682" t="inlineStr">
        <is>
          <t>SOLLEFTEÅ</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51002-2019</t>
        </is>
      </c>
      <c r="B683" s="1" t="n">
        <v>43738</v>
      </c>
      <c r="C683" s="1" t="n">
        <v>45852</v>
      </c>
      <c r="D683" t="inlineStr">
        <is>
          <t>VÄSTERNORRLANDS LÄN</t>
        </is>
      </c>
      <c r="E683" t="inlineStr">
        <is>
          <t>SOLLEFTEÅ</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50999-2019</t>
        </is>
      </c>
      <c r="B684" s="1" t="n">
        <v>43738</v>
      </c>
      <c r="C684" s="1" t="n">
        <v>45852</v>
      </c>
      <c r="D684" t="inlineStr">
        <is>
          <t>VÄSTERNORRLANDS LÄN</t>
        </is>
      </c>
      <c r="E684" t="inlineStr">
        <is>
          <t>SOLLEFTEÅ</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51675-2019</t>
        </is>
      </c>
      <c r="B685" s="1" t="n">
        <v>43740</v>
      </c>
      <c r="C685" s="1" t="n">
        <v>45852</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51671-2019</t>
        </is>
      </c>
      <c r="B686" s="1" t="n">
        <v>43740</v>
      </c>
      <c r="C686" s="1" t="n">
        <v>45852</v>
      </c>
      <c r="D686" t="inlineStr">
        <is>
          <t>VÄSTERNORRLANDS LÄN</t>
        </is>
      </c>
      <c r="E686" t="inlineStr">
        <is>
          <t>SOLLEFTEÅ</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51682-2019</t>
        </is>
      </c>
      <c r="B687" s="1" t="n">
        <v>43740</v>
      </c>
      <c r="C687" s="1" t="n">
        <v>45852</v>
      </c>
      <c r="D687" t="inlineStr">
        <is>
          <t>VÄSTERNORRLANDS LÄN</t>
        </is>
      </c>
      <c r="E687" t="inlineStr">
        <is>
          <t>SOLLEFTEÅ</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53079-2019</t>
        </is>
      </c>
      <c r="B688" s="1" t="n">
        <v>43740</v>
      </c>
      <c r="C688" s="1" t="n">
        <v>45852</v>
      </c>
      <c r="D688" t="inlineStr">
        <is>
          <t>VÄSTERNORRLANDS LÄN</t>
        </is>
      </c>
      <c r="E688" t="inlineStr">
        <is>
          <t>SOLLEFTEÅ</t>
        </is>
      </c>
      <c r="G688" t="n">
        <v>7.9</v>
      </c>
      <c r="H688" t="n">
        <v>0</v>
      </c>
      <c r="I688" t="n">
        <v>0</v>
      </c>
      <c r="J688" t="n">
        <v>0</v>
      </c>
      <c r="K688" t="n">
        <v>0</v>
      </c>
      <c r="L688" t="n">
        <v>0</v>
      </c>
      <c r="M688" t="n">
        <v>0</v>
      </c>
      <c r="N688" t="n">
        <v>0</v>
      </c>
      <c r="O688" t="n">
        <v>0</v>
      </c>
      <c r="P688" t="n">
        <v>0</v>
      </c>
      <c r="Q688" t="n">
        <v>0</v>
      </c>
      <c r="R688" s="2" t="inlineStr"/>
    </row>
    <row r="689" ht="15" customHeight="1">
      <c r="A689" t="inlineStr">
        <is>
          <t>A 51673-2019</t>
        </is>
      </c>
      <c r="B689" s="1" t="n">
        <v>43740</v>
      </c>
      <c r="C689" s="1" t="n">
        <v>45852</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53076-2019</t>
        </is>
      </c>
      <c r="B690" s="1" t="n">
        <v>43740</v>
      </c>
      <c r="C690" s="1" t="n">
        <v>45852</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53088-2019</t>
        </is>
      </c>
      <c r="B691" s="1" t="n">
        <v>43740</v>
      </c>
      <c r="C691" s="1" t="n">
        <v>45852</v>
      </c>
      <c r="D691" t="inlineStr">
        <is>
          <t>VÄSTERNORRLANDS LÄN</t>
        </is>
      </c>
      <c r="E691" t="inlineStr">
        <is>
          <t>SOLLEFTEÅ</t>
        </is>
      </c>
      <c r="G691" t="n">
        <v>3</v>
      </c>
      <c r="H691" t="n">
        <v>0</v>
      </c>
      <c r="I691" t="n">
        <v>0</v>
      </c>
      <c r="J691" t="n">
        <v>0</v>
      </c>
      <c r="K691" t="n">
        <v>0</v>
      </c>
      <c r="L691" t="n">
        <v>0</v>
      </c>
      <c r="M691" t="n">
        <v>0</v>
      </c>
      <c r="N691" t="n">
        <v>0</v>
      </c>
      <c r="O691" t="n">
        <v>0</v>
      </c>
      <c r="P691" t="n">
        <v>0</v>
      </c>
      <c r="Q691" t="n">
        <v>0</v>
      </c>
      <c r="R691" s="2" t="inlineStr"/>
    </row>
    <row r="692" ht="15" customHeight="1">
      <c r="A692" t="inlineStr">
        <is>
          <t>A 51665-2019</t>
        </is>
      </c>
      <c r="B692" s="1" t="n">
        <v>43740</v>
      </c>
      <c r="C692" s="1" t="n">
        <v>45852</v>
      </c>
      <c r="D692" t="inlineStr">
        <is>
          <t>VÄSTERNORRLANDS LÄN</t>
        </is>
      </c>
      <c r="E692" t="inlineStr">
        <is>
          <t>SOLLEFTEÅ</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51953-2019</t>
        </is>
      </c>
      <c r="B693" s="1" t="n">
        <v>43741</v>
      </c>
      <c r="C693" s="1" t="n">
        <v>45852</v>
      </c>
      <c r="D693" t="inlineStr">
        <is>
          <t>VÄSTERNORRLANDS LÄN</t>
        </is>
      </c>
      <c r="E693" t="inlineStr">
        <is>
          <t>SOLLEFTEÅ</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53677-2019</t>
        </is>
      </c>
      <c r="B694" s="1" t="n">
        <v>43741</v>
      </c>
      <c r="C694" s="1" t="n">
        <v>45852</v>
      </c>
      <c r="D694" t="inlineStr">
        <is>
          <t>VÄSTERNORRLANDS LÄN</t>
        </is>
      </c>
      <c r="E694" t="inlineStr">
        <is>
          <t>SOLLEFTEÅ</t>
        </is>
      </c>
      <c r="G694" t="n">
        <v>1.5</v>
      </c>
      <c r="H694" t="n">
        <v>0</v>
      </c>
      <c r="I694" t="n">
        <v>0</v>
      </c>
      <c r="J694" t="n">
        <v>0</v>
      </c>
      <c r="K694" t="n">
        <v>0</v>
      </c>
      <c r="L694" t="n">
        <v>0</v>
      </c>
      <c r="M694" t="n">
        <v>0</v>
      </c>
      <c r="N694" t="n">
        <v>0</v>
      </c>
      <c r="O694" t="n">
        <v>0</v>
      </c>
      <c r="P694" t="n">
        <v>0</v>
      </c>
      <c r="Q694" t="n">
        <v>0</v>
      </c>
      <c r="R694" s="2" t="inlineStr"/>
    </row>
    <row r="695" ht="15" customHeight="1">
      <c r="A695" t="inlineStr">
        <is>
          <t>A 51952-2019</t>
        </is>
      </c>
      <c r="B695" s="1" t="n">
        <v>43741</v>
      </c>
      <c r="C695" s="1" t="n">
        <v>45852</v>
      </c>
      <c r="D695" t="inlineStr">
        <is>
          <t>VÄSTERNORRLANDS LÄN</t>
        </is>
      </c>
      <c r="E695" t="inlineStr">
        <is>
          <t>SOLLEFTEÅ</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52568-2019</t>
        </is>
      </c>
      <c r="B696" s="1" t="n">
        <v>43745</v>
      </c>
      <c r="C696" s="1" t="n">
        <v>45852</v>
      </c>
      <c r="D696" t="inlineStr">
        <is>
          <t>VÄSTERNORRLANDS LÄN</t>
        </is>
      </c>
      <c r="E696" t="inlineStr">
        <is>
          <t>SOLLEFTEÅ</t>
        </is>
      </c>
      <c r="F696" t="inlineStr">
        <is>
          <t>SCA</t>
        </is>
      </c>
      <c r="G696" t="n">
        <v>4.8</v>
      </c>
      <c r="H696" t="n">
        <v>0</v>
      </c>
      <c r="I696" t="n">
        <v>0</v>
      </c>
      <c r="J696" t="n">
        <v>0</v>
      </c>
      <c r="K696" t="n">
        <v>0</v>
      </c>
      <c r="L696" t="n">
        <v>0</v>
      </c>
      <c r="M696" t="n">
        <v>0</v>
      </c>
      <c r="N696" t="n">
        <v>0</v>
      </c>
      <c r="O696" t="n">
        <v>0</v>
      </c>
      <c r="P696" t="n">
        <v>0</v>
      </c>
      <c r="Q696" t="n">
        <v>0</v>
      </c>
      <c r="R696" s="2" t="inlineStr"/>
    </row>
    <row r="697" ht="15" customHeight="1">
      <c r="A697" t="inlineStr">
        <is>
          <t>A 52569-2019</t>
        </is>
      </c>
      <c r="B697" s="1" t="n">
        <v>43745</v>
      </c>
      <c r="C697" s="1" t="n">
        <v>45852</v>
      </c>
      <c r="D697" t="inlineStr">
        <is>
          <t>VÄSTERNORRLANDS LÄN</t>
        </is>
      </c>
      <c r="E697" t="inlineStr">
        <is>
          <t>SOLLEFTEÅ</t>
        </is>
      </c>
      <c r="G697" t="n">
        <v>7.1</v>
      </c>
      <c r="H697" t="n">
        <v>0</v>
      </c>
      <c r="I697" t="n">
        <v>0</v>
      </c>
      <c r="J697" t="n">
        <v>0</v>
      </c>
      <c r="K697" t="n">
        <v>0</v>
      </c>
      <c r="L697" t="n">
        <v>0</v>
      </c>
      <c r="M697" t="n">
        <v>0</v>
      </c>
      <c r="N697" t="n">
        <v>0</v>
      </c>
      <c r="O697" t="n">
        <v>0</v>
      </c>
      <c r="P697" t="n">
        <v>0</v>
      </c>
      <c r="Q697" t="n">
        <v>0</v>
      </c>
      <c r="R697" s="2" t="inlineStr"/>
      <c r="U697">
        <f>HYPERLINK("https://klasma.github.io/Logging_2283/knärot/A 52569-2019 karta knärot.png", "A 52569-2019")</f>
        <v/>
      </c>
      <c r="V697">
        <f>HYPERLINK("https://klasma.github.io/Logging_2283/klagomål/A 52569-2019 FSC-klagomål.docx", "A 52569-2019")</f>
        <v/>
      </c>
      <c r="W697">
        <f>HYPERLINK("https://klasma.github.io/Logging_2283/klagomålsmail/A 52569-2019 FSC-klagomål mail.docx", "A 52569-2019")</f>
        <v/>
      </c>
      <c r="X697">
        <f>HYPERLINK("https://klasma.github.io/Logging_2283/tillsyn/A 52569-2019 tillsynsbegäran.docx", "A 52569-2019")</f>
        <v/>
      </c>
      <c r="Y697">
        <f>HYPERLINK("https://klasma.github.io/Logging_2283/tillsynsmail/A 52569-2019 tillsynsbegäran mail.docx", "A 52569-2019")</f>
        <v/>
      </c>
    </row>
    <row r="698" ht="15" customHeight="1">
      <c r="A698" t="inlineStr">
        <is>
          <t>A 52922-2019</t>
        </is>
      </c>
      <c r="B698" s="1" t="n">
        <v>43746</v>
      </c>
      <c r="C698" s="1" t="n">
        <v>45852</v>
      </c>
      <c r="D698" t="inlineStr">
        <is>
          <t>VÄSTERNORRLANDS LÄN</t>
        </is>
      </c>
      <c r="E698" t="inlineStr">
        <is>
          <t>SOLLEFTEÅ</t>
        </is>
      </c>
      <c r="G698" t="n">
        <v>6.5</v>
      </c>
      <c r="H698" t="n">
        <v>0</v>
      </c>
      <c r="I698" t="n">
        <v>0</v>
      </c>
      <c r="J698" t="n">
        <v>0</v>
      </c>
      <c r="K698" t="n">
        <v>0</v>
      </c>
      <c r="L698" t="n">
        <v>0</v>
      </c>
      <c r="M698" t="n">
        <v>0</v>
      </c>
      <c r="N698" t="n">
        <v>0</v>
      </c>
      <c r="O698" t="n">
        <v>0</v>
      </c>
      <c r="P698" t="n">
        <v>0</v>
      </c>
      <c r="Q698" t="n">
        <v>0</v>
      </c>
      <c r="R698" s="2" t="inlineStr"/>
    </row>
    <row r="699" ht="15" customHeight="1">
      <c r="A699" t="inlineStr">
        <is>
          <t>A 53161-2019</t>
        </is>
      </c>
      <c r="B699" s="1" t="n">
        <v>43747</v>
      </c>
      <c r="C699" s="1" t="n">
        <v>45852</v>
      </c>
      <c r="D699" t="inlineStr">
        <is>
          <t>VÄSTERNORRLANDS LÄN</t>
        </is>
      </c>
      <c r="E699" t="inlineStr">
        <is>
          <t>SOLLEFTEÅ</t>
        </is>
      </c>
      <c r="F699" t="inlineStr">
        <is>
          <t>Kommuner</t>
        </is>
      </c>
      <c r="G699" t="n">
        <v>0.4</v>
      </c>
      <c r="H699" t="n">
        <v>0</v>
      </c>
      <c r="I699" t="n">
        <v>0</v>
      </c>
      <c r="J699" t="n">
        <v>0</v>
      </c>
      <c r="K699" t="n">
        <v>0</v>
      </c>
      <c r="L699" t="n">
        <v>0</v>
      </c>
      <c r="M699" t="n">
        <v>0</v>
      </c>
      <c r="N699" t="n">
        <v>0</v>
      </c>
      <c r="O699" t="n">
        <v>0</v>
      </c>
      <c r="P699" t="n">
        <v>0</v>
      </c>
      <c r="Q699" t="n">
        <v>0</v>
      </c>
      <c r="R699" s="2" t="inlineStr"/>
    </row>
    <row r="700" ht="15" customHeight="1">
      <c r="A700" t="inlineStr">
        <is>
          <t>A 55623-2019</t>
        </is>
      </c>
      <c r="B700" s="1" t="n">
        <v>43755</v>
      </c>
      <c r="C700" s="1" t="n">
        <v>45852</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55925-2019</t>
        </is>
      </c>
      <c r="B701" s="1" t="n">
        <v>43755</v>
      </c>
      <c r="C701" s="1" t="n">
        <v>45852</v>
      </c>
      <c r="D701" t="inlineStr">
        <is>
          <t>VÄSTERNORRLANDS LÄN</t>
        </is>
      </c>
      <c r="E701" t="inlineStr">
        <is>
          <t>SOLLEFTEÅ</t>
        </is>
      </c>
      <c r="G701" t="n">
        <v>6.4</v>
      </c>
      <c r="H701" t="n">
        <v>0</v>
      </c>
      <c r="I701" t="n">
        <v>0</v>
      </c>
      <c r="J701" t="n">
        <v>0</v>
      </c>
      <c r="K701" t="n">
        <v>0</v>
      </c>
      <c r="L701" t="n">
        <v>0</v>
      </c>
      <c r="M701" t="n">
        <v>0</v>
      </c>
      <c r="N701" t="n">
        <v>0</v>
      </c>
      <c r="O701" t="n">
        <v>0</v>
      </c>
      <c r="P701" t="n">
        <v>0</v>
      </c>
      <c r="Q701" t="n">
        <v>0</v>
      </c>
      <c r="R701" s="2" t="inlineStr"/>
    </row>
    <row r="702" ht="15" customHeight="1">
      <c r="A702" t="inlineStr">
        <is>
          <t>A 55628-2019</t>
        </is>
      </c>
      <c r="B702" s="1" t="n">
        <v>43755</v>
      </c>
      <c r="C702" s="1" t="n">
        <v>45852</v>
      </c>
      <c r="D702" t="inlineStr">
        <is>
          <t>VÄSTERNORRLANDS LÄN</t>
        </is>
      </c>
      <c r="E702" t="inlineStr">
        <is>
          <t>SOLLEFTEÅ</t>
        </is>
      </c>
      <c r="G702" t="n">
        <v>2.6</v>
      </c>
      <c r="H702" t="n">
        <v>0</v>
      </c>
      <c r="I702" t="n">
        <v>0</v>
      </c>
      <c r="J702" t="n">
        <v>0</v>
      </c>
      <c r="K702" t="n">
        <v>0</v>
      </c>
      <c r="L702" t="n">
        <v>0</v>
      </c>
      <c r="M702" t="n">
        <v>0</v>
      </c>
      <c r="N702" t="n">
        <v>0</v>
      </c>
      <c r="O702" t="n">
        <v>0</v>
      </c>
      <c r="P702" t="n">
        <v>0</v>
      </c>
      <c r="Q702" t="n">
        <v>0</v>
      </c>
      <c r="R702" s="2" t="inlineStr"/>
    </row>
    <row r="703" ht="15" customHeight="1">
      <c r="A703" t="inlineStr">
        <is>
          <t>A 55625-2019</t>
        </is>
      </c>
      <c r="B703" s="1" t="n">
        <v>43755</v>
      </c>
      <c r="C703" s="1" t="n">
        <v>45852</v>
      </c>
      <c r="D703" t="inlineStr">
        <is>
          <t>VÄSTERNORRLANDS LÄN</t>
        </is>
      </c>
      <c r="E703" t="inlineStr">
        <is>
          <t>SOLLEFTEÅ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57365-2019</t>
        </is>
      </c>
      <c r="B704" s="1" t="n">
        <v>43760</v>
      </c>
      <c r="C704" s="1" t="n">
        <v>45852</v>
      </c>
      <c r="D704" t="inlineStr">
        <is>
          <t>VÄSTERNORRLANDS LÄN</t>
        </is>
      </c>
      <c r="E704" t="inlineStr">
        <is>
          <t>SOLLEFTEÅ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57575-2019</t>
        </is>
      </c>
      <c r="B705" s="1" t="n">
        <v>43761</v>
      </c>
      <c r="C705" s="1" t="n">
        <v>45852</v>
      </c>
      <c r="D705" t="inlineStr">
        <is>
          <t>VÄSTERNORRLANDS LÄN</t>
        </is>
      </c>
      <c r="E705" t="inlineStr">
        <is>
          <t>SOLLEFTEÅ</t>
        </is>
      </c>
      <c r="G705" t="n">
        <v>14.4</v>
      </c>
      <c r="H705" t="n">
        <v>0</v>
      </c>
      <c r="I705" t="n">
        <v>0</v>
      </c>
      <c r="J705" t="n">
        <v>0</v>
      </c>
      <c r="K705" t="n">
        <v>0</v>
      </c>
      <c r="L705" t="n">
        <v>0</v>
      </c>
      <c r="M705" t="n">
        <v>0</v>
      </c>
      <c r="N705" t="n">
        <v>0</v>
      </c>
      <c r="O705" t="n">
        <v>0</v>
      </c>
      <c r="P705" t="n">
        <v>0</v>
      </c>
      <c r="Q705" t="n">
        <v>0</v>
      </c>
      <c r="R705" s="2" t="inlineStr"/>
    </row>
    <row r="706" ht="15" customHeight="1">
      <c r="A706" t="inlineStr">
        <is>
          <t>A 56252-2019</t>
        </is>
      </c>
      <c r="B706" s="1" t="n">
        <v>43762</v>
      </c>
      <c r="C706" s="1" t="n">
        <v>45852</v>
      </c>
      <c r="D706" t="inlineStr">
        <is>
          <t>VÄSTERNORRLANDS LÄN</t>
        </is>
      </c>
      <c r="E706" t="inlineStr">
        <is>
          <t>SOLLEFTEÅ</t>
        </is>
      </c>
      <c r="F706" t="inlineStr">
        <is>
          <t>Kyrkan</t>
        </is>
      </c>
      <c r="G706" t="n">
        <v>1.1</v>
      </c>
      <c r="H706" t="n">
        <v>0</v>
      </c>
      <c r="I706" t="n">
        <v>0</v>
      </c>
      <c r="J706" t="n">
        <v>0</v>
      </c>
      <c r="K706" t="n">
        <v>0</v>
      </c>
      <c r="L706" t="n">
        <v>0</v>
      </c>
      <c r="M706" t="n">
        <v>0</v>
      </c>
      <c r="N706" t="n">
        <v>0</v>
      </c>
      <c r="O706" t="n">
        <v>0</v>
      </c>
      <c r="P706" t="n">
        <v>0</v>
      </c>
      <c r="Q706" t="n">
        <v>0</v>
      </c>
      <c r="R706" s="2" t="inlineStr"/>
    </row>
    <row r="707" ht="15" customHeight="1">
      <c r="A707" t="inlineStr">
        <is>
          <t>A 56493-2019</t>
        </is>
      </c>
      <c r="B707" s="1" t="n">
        <v>43762</v>
      </c>
      <c r="C707" s="1" t="n">
        <v>45852</v>
      </c>
      <c r="D707" t="inlineStr">
        <is>
          <t>VÄSTERNORRLANDS LÄN</t>
        </is>
      </c>
      <c r="E707" t="inlineStr">
        <is>
          <t>SOLLEFTEÅ</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56492-2019</t>
        </is>
      </c>
      <c r="B708" s="1" t="n">
        <v>43762</v>
      </c>
      <c r="C708" s="1" t="n">
        <v>45852</v>
      </c>
      <c r="D708" t="inlineStr">
        <is>
          <t>VÄSTERNORRLANDS LÄN</t>
        </is>
      </c>
      <c r="E708" t="inlineStr">
        <is>
          <t>SOLLEFTEÅ</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56803-2019</t>
        </is>
      </c>
      <c r="B709" s="1" t="n">
        <v>43763</v>
      </c>
      <c r="C709" s="1" t="n">
        <v>45852</v>
      </c>
      <c r="D709" t="inlineStr">
        <is>
          <t>VÄSTERNORRLANDS LÄN</t>
        </is>
      </c>
      <c r="E709" t="inlineStr">
        <is>
          <t>SOLLEFTEÅ</t>
        </is>
      </c>
      <c r="F709" t="inlineStr">
        <is>
          <t>SCA</t>
        </is>
      </c>
      <c r="G709" t="n">
        <v>5.2</v>
      </c>
      <c r="H709" t="n">
        <v>0</v>
      </c>
      <c r="I709" t="n">
        <v>0</v>
      </c>
      <c r="J709" t="n">
        <v>0</v>
      </c>
      <c r="K709" t="n">
        <v>0</v>
      </c>
      <c r="L709" t="n">
        <v>0</v>
      </c>
      <c r="M709" t="n">
        <v>0</v>
      </c>
      <c r="N709" t="n">
        <v>0</v>
      </c>
      <c r="O709" t="n">
        <v>0</v>
      </c>
      <c r="P709" t="n">
        <v>0</v>
      </c>
      <c r="Q709" t="n">
        <v>0</v>
      </c>
      <c r="R709" s="2" t="inlineStr"/>
    </row>
    <row r="710" ht="15" customHeight="1">
      <c r="A710" t="inlineStr">
        <is>
          <t>A 56874-2019</t>
        </is>
      </c>
      <c r="B710" s="1" t="n">
        <v>43766</v>
      </c>
      <c r="C710" s="1" t="n">
        <v>45852</v>
      </c>
      <c r="D710" t="inlineStr">
        <is>
          <t>VÄSTERNORRLANDS LÄN</t>
        </is>
      </c>
      <c r="E710" t="inlineStr">
        <is>
          <t>SOLLEFTEÅ</t>
        </is>
      </c>
      <c r="G710" t="n">
        <v>6.1</v>
      </c>
      <c r="H710" t="n">
        <v>0</v>
      </c>
      <c r="I710" t="n">
        <v>0</v>
      </c>
      <c r="J710" t="n">
        <v>0</v>
      </c>
      <c r="K710" t="n">
        <v>0</v>
      </c>
      <c r="L710" t="n">
        <v>0</v>
      </c>
      <c r="M710" t="n">
        <v>0</v>
      </c>
      <c r="N710" t="n">
        <v>0</v>
      </c>
      <c r="O710" t="n">
        <v>0</v>
      </c>
      <c r="P710" t="n">
        <v>0</v>
      </c>
      <c r="Q710" t="n">
        <v>0</v>
      </c>
      <c r="R710" s="2" t="inlineStr"/>
    </row>
    <row r="711" ht="15" customHeight="1">
      <c r="A711" t="inlineStr">
        <is>
          <t>A 56985-2019</t>
        </is>
      </c>
      <c r="B711" s="1" t="n">
        <v>43766</v>
      </c>
      <c r="C711" s="1" t="n">
        <v>45852</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57041-2019</t>
        </is>
      </c>
      <c r="B712" s="1" t="n">
        <v>43766</v>
      </c>
      <c r="C712" s="1" t="n">
        <v>45852</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57188-2019</t>
        </is>
      </c>
      <c r="B713" s="1" t="n">
        <v>43766</v>
      </c>
      <c r="C713" s="1" t="n">
        <v>45852</v>
      </c>
      <c r="D713" t="inlineStr">
        <is>
          <t>VÄSTERNORRLANDS LÄN</t>
        </is>
      </c>
      <c r="E713" t="inlineStr">
        <is>
          <t>SOLLEFTEÅ</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57882-2019</t>
        </is>
      </c>
      <c r="B714" s="1" t="n">
        <v>43768</v>
      </c>
      <c r="C714" s="1" t="n">
        <v>45852</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57884-2019</t>
        </is>
      </c>
      <c r="B715" s="1" t="n">
        <v>43768</v>
      </c>
      <c r="C715" s="1" t="n">
        <v>45852</v>
      </c>
      <c r="D715" t="inlineStr">
        <is>
          <t>VÄSTERNORRLANDS LÄN</t>
        </is>
      </c>
      <c r="E715" t="inlineStr">
        <is>
          <t>SOLLEFTEÅ</t>
        </is>
      </c>
      <c r="F715" t="inlineStr">
        <is>
          <t>SCA</t>
        </is>
      </c>
      <c r="G715" t="n">
        <v>14.7</v>
      </c>
      <c r="H715" t="n">
        <v>0</v>
      </c>
      <c r="I715" t="n">
        <v>0</v>
      </c>
      <c r="J715" t="n">
        <v>0</v>
      </c>
      <c r="K715" t="n">
        <v>0</v>
      </c>
      <c r="L715" t="n">
        <v>0</v>
      </c>
      <c r="M715" t="n">
        <v>0</v>
      </c>
      <c r="N715" t="n">
        <v>0</v>
      </c>
      <c r="O715" t="n">
        <v>0</v>
      </c>
      <c r="P715" t="n">
        <v>0</v>
      </c>
      <c r="Q715" t="n">
        <v>0</v>
      </c>
      <c r="R715" s="2" t="inlineStr"/>
    </row>
    <row r="716" ht="15" customHeight="1">
      <c r="A716" t="inlineStr">
        <is>
          <t>A 57883-2019</t>
        </is>
      </c>
      <c r="B716" s="1" t="n">
        <v>43768</v>
      </c>
      <c r="C716" s="1" t="n">
        <v>45852</v>
      </c>
      <c r="D716" t="inlineStr">
        <is>
          <t>VÄSTERNORRLANDS LÄN</t>
        </is>
      </c>
      <c r="E716" t="inlineStr">
        <is>
          <t>SOLLEFTEÅ</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58170-2019</t>
        </is>
      </c>
      <c r="B717" s="1" t="n">
        <v>43769</v>
      </c>
      <c r="C717" s="1" t="n">
        <v>45852</v>
      </c>
      <c r="D717" t="inlineStr">
        <is>
          <t>VÄSTERNORRLANDS LÄN</t>
        </is>
      </c>
      <c r="E717" t="inlineStr">
        <is>
          <t>SOLLEFTEÅ</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58267-2019</t>
        </is>
      </c>
      <c r="B718" s="1" t="n">
        <v>43770</v>
      </c>
      <c r="C718" s="1" t="n">
        <v>45852</v>
      </c>
      <c r="D718" t="inlineStr">
        <is>
          <t>VÄSTERNORRLANDS LÄN</t>
        </is>
      </c>
      <c r="E718" t="inlineStr">
        <is>
          <t>SOLLEFTEÅ</t>
        </is>
      </c>
      <c r="G718" t="n">
        <v>4.6</v>
      </c>
      <c r="H718" t="n">
        <v>0</v>
      </c>
      <c r="I718" t="n">
        <v>0</v>
      </c>
      <c r="J718" t="n">
        <v>0</v>
      </c>
      <c r="K718" t="n">
        <v>0</v>
      </c>
      <c r="L718" t="n">
        <v>0</v>
      </c>
      <c r="M718" t="n">
        <v>0</v>
      </c>
      <c r="N718" t="n">
        <v>0</v>
      </c>
      <c r="O718" t="n">
        <v>0</v>
      </c>
      <c r="P718" t="n">
        <v>0</v>
      </c>
      <c r="Q718" t="n">
        <v>0</v>
      </c>
      <c r="R718" s="2" t="inlineStr"/>
    </row>
    <row r="719" ht="15" customHeight="1">
      <c r="A719" t="inlineStr">
        <is>
          <t>A 59460-2019</t>
        </is>
      </c>
      <c r="B719" s="1" t="n">
        <v>43776</v>
      </c>
      <c r="C719" s="1" t="n">
        <v>45852</v>
      </c>
      <c r="D719" t="inlineStr">
        <is>
          <t>VÄSTERNORRLANDS LÄN</t>
        </is>
      </c>
      <c r="E719" t="inlineStr">
        <is>
          <t>SOLLEFTEÅ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60491-2019</t>
        </is>
      </c>
      <c r="B720" s="1" t="n">
        <v>43780</v>
      </c>
      <c r="C720" s="1" t="n">
        <v>45852</v>
      </c>
      <c r="D720" t="inlineStr">
        <is>
          <t>VÄSTERNORRLANDS LÄN</t>
        </is>
      </c>
      <c r="E720" t="inlineStr">
        <is>
          <t>SOLLEFTEÅ</t>
        </is>
      </c>
      <c r="F720" t="inlineStr">
        <is>
          <t>Holmen skog AB</t>
        </is>
      </c>
      <c r="G720" t="n">
        <v>0.5</v>
      </c>
      <c r="H720" t="n">
        <v>0</v>
      </c>
      <c r="I720" t="n">
        <v>0</v>
      </c>
      <c r="J720" t="n">
        <v>0</v>
      </c>
      <c r="K720" t="n">
        <v>0</v>
      </c>
      <c r="L720" t="n">
        <v>0</v>
      </c>
      <c r="M720" t="n">
        <v>0</v>
      </c>
      <c r="N720" t="n">
        <v>0</v>
      </c>
      <c r="O720" t="n">
        <v>0</v>
      </c>
      <c r="P720" t="n">
        <v>0</v>
      </c>
      <c r="Q720" t="n">
        <v>0</v>
      </c>
      <c r="R720" s="2" t="inlineStr"/>
    </row>
    <row r="721" ht="15" customHeight="1">
      <c r="A721" t="inlineStr">
        <is>
          <t>A 61428-2019</t>
        </is>
      </c>
      <c r="B721" s="1" t="n">
        <v>43780</v>
      </c>
      <c r="C721" s="1" t="n">
        <v>45852</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60531-2019</t>
        </is>
      </c>
      <c r="B722" s="1" t="n">
        <v>43781</v>
      </c>
      <c r="C722" s="1" t="n">
        <v>45852</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60538-2019</t>
        </is>
      </c>
      <c r="B723" s="1" t="n">
        <v>43781</v>
      </c>
      <c r="C723" s="1" t="n">
        <v>45852</v>
      </c>
      <c r="D723" t="inlineStr">
        <is>
          <t>VÄSTERNORRLANDS LÄN</t>
        </is>
      </c>
      <c r="E723" t="inlineStr">
        <is>
          <t>SOLLEFTEÅ</t>
        </is>
      </c>
      <c r="G723" t="n">
        <v>4.6</v>
      </c>
      <c r="H723" t="n">
        <v>0</v>
      </c>
      <c r="I723" t="n">
        <v>0</v>
      </c>
      <c r="J723" t="n">
        <v>0</v>
      </c>
      <c r="K723" t="n">
        <v>0</v>
      </c>
      <c r="L723" t="n">
        <v>0</v>
      </c>
      <c r="M723" t="n">
        <v>0</v>
      </c>
      <c r="N723" t="n">
        <v>0</v>
      </c>
      <c r="O723" t="n">
        <v>0</v>
      </c>
      <c r="P723" t="n">
        <v>0</v>
      </c>
      <c r="Q723" t="n">
        <v>0</v>
      </c>
      <c r="R723" s="2" t="inlineStr"/>
    </row>
    <row r="724" ht="15" customHeight="1">
      <c r="A724" t="inlineStr">
        <is>
          <t>A 60905-2019</t>
        </is>
      </c>
      <c r="B724" s="1" t="n">
        <v>43781</v>
      </c>
      <c r="C724" s="1" t="n">
        <v>45852</v>
      </c>
      <c r="D724" t="inlineStr">
        <is>
          <t>VÄSTERNORRLANDS LÄN</t>
        </is>
      </c>
      <c r="E724" t="inlineStr">
        <is>
          <t>SOLLEFTEÅ</t>
        </is>
      </c>
      <c r="G724" t="n">
        <v>0.4</v>
      </c>
      <c r="H724" t="n">
        <v>0</v>
      </c>
      <c r="I724" t="n">
        <v>0</v>
      </c>
      <c r="J724" t="n">
        <v>0</v>
      </c>
      <c r="K724" t="n">
        <v>0</v>
      </c>
      <c r="L724" t="n">
        <v>0</v>
      </c>
      <c r="M724" t="n">
        <v>0</v>
      </c>
      <c r="N724" t="n">
        <v>0</v>
      </c>
      <c r="O724" t="n">
        <v>0</v>
      </c>
      <c r="P724" t="n">
        <v>0</v>
      </c>
      <c r="Q724" t="n">
        <v>0</v>
      </c>
      <c r="R724" s="2" t="inlineStr"/>
    </row>
    <row r="725" ht="15" customHeight="1">
      <c r="A725" t="inlineStr">
        <is>
          <t>A 61978-2019</t>
        </is>
      </c>
      <c r="B725" s="1" t="n">
        <v>43781</v>
      </c>
      <c r="C725" s="1" t="n">
        <v>45852</v>
      </c>
      <c r="D725" t="inlineStr">
        <is>
          <t>VÄSTERNORRLANDS LÄN</t>
        </is>
      </c>
      <c r="E725" t="inlineStr">
        <is>
          <t>SOLLEFTEÅ</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63450-2019</t>
        </is>
      </c>
      <c r="B726" s="1" t="n">
        <v>43788</v>
      </c>
      <c r="C726" s="1" t="n">
        <v>45852</v>
      </c>
      <c r="D726" t="inlineStr">
        <is>
          <t>VÄSTERNORRLANDS LÄN</t>
        </is>
      </c>
      <c r="E726" t="inlineStr">
        <is>
          <t>SOLLEFTEÅ</t>
        </is>
      </c>
      <c r="G726" t="n">
        <v>8.6</v>
      </c>
      <c r="H726" t="n">
        <v>0</v>
      </c>
      <c r="I726" t="n">
        <v>0</v>
      </c>
      <c r="J726" t="n">
        <v>0</v>
      </c>
      <c r="K726" t="n">
        <v>0</v>
      </c>
      <c r="L726" t="n">
        <v>0</v>
      </c>
      <c r="M726" t="n">
        <v>0</v>
      </c>
      <c r="N726" t="n">
        <v>0</v>
      </c>
      <c r="O726" t="n">
        <v>0</v>
      </c>
      <c r="P726" t="n">
        <v>0</v>
      </c>
      <c r="Q726" t="n">
        <v>0</v>
      </c>
      <c r="R726" s="2" t="inlineStr"/>
    </row>
    <row r="727" ht="15" customHeight="1">
      <c r="A727" t="inlineStr">
        <is>
          <t>A 62500-2019</t>
        </is>
      </c>
      <c r="B727" s="1" t="n">
        <v>43788</v>
      </c>
      <c r="C727" s="1" t="n">
        <v>45852</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64197-2019</t>
        </is>
      </c>
      <c r="B728" s="1" t="n">
        <v>43791</v>
      </c>
      <c r="C728" s="1" t="n">
        <v>45852</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63552-2019</t>
        </is>
      </c>
      <c r="B729" s="1" t="n">
        <v>43794</v>
      </c>
      <c r="C729" s="1" t="n">
        <v>45852</v>
      </c>
      <c r="D729" t="inlineStr">
        <is>
          <t>VÄSTERNORRLANDS LÄN</t>
        </is>
      </c>
      <c r="E729" t="inlineStr">
        <is>
          <t>SOLLEFTEÅ</t>
        </is>
      </c>
      <c r="G729" t="n">
        <v>7.2</v>
      </c>
      <c r="H729" t="n">
        <v>0</v>
      </c>
      <c r="I729" t="n">
        <v>0</v>
      </c>
      <c r="J729" t="n">
        <v>0</v>
      </c>
      <c r="K729" t="n">
        <v>0</v>
      </c>
      <c r="L729" t="n">
        <v>0</v>
      </c>
      <c r="M729" t="n">
        <v>0</v>
      </c>
      <c r="N729" t="n">
        <v>0</v>
      </c>
      <c r="O729" t="n">
        <v>0</v>
      </c>
      <c r="P729" t="n">
        <v>0</v>
      </c>
      <c r="Q729" t="n">
        <v>0</v>
      </c>
      <c r="R729" s="2" t="inlineStr"/>
    </row>
    <row r="730" ht="15" customHeight="1">
      <c r="A730" t="inlineStr">
        <is>
          <t>A 63752-2019</t>
        </is>
      </c>
      <c r="B730" s="1" t="n">
        <v>43795</v>
      </c>
      <c r="C730" s="1" t="n">
        <v>45852</v>
      </c>
      <c r="D730" t="inlineStr">
        <is>
          <t>VÄSTERNORRLANDS LÄN</t>
        </is>
      </c>
      <c r="E730" t="inlineStr">
        <is>
          <t>SOLLEFTEÅ</t>
        </is>
      </c>
      <c r="G730" t="n">
        <v>4.2</v>
      </c>
      <c r="H730" t="n">
        <v>0</v>
      </c>
      <c r="I730" t="n">
        <v>0</v>
      </c>
      <c r="J730" t="n">
        <v>0</v>
      </c>
      <c r="K730" t="n">
        <v>0</v>
      </c>
      <c r="L730" t="n">
        <v>0</v>
      </c>
      <c r="M730" t="n">
        <v>0</v>
      </c>
      <c r="N730" t="n">
        <v>0</v>
      </c>
      <c r="O730" t="n">
        <v>0</v>
      </c>
      <c r="P730" t="n">
        <v>0</v>
      </c>
      <c r="Q730" t="n">
        <v>0</v>
      </c>
      <c r="R730" s="2" t="inlineStr"/>
    </row>
    <row r="731" ht="15" customHeight="1">
      <c r="A731" t="inlineStr">
        <is>
          <t>A 65218-2019</t>
        </is>
      </c>
      <c r="B731" s="1" t="n">
        <v>43797</v>
      </c>
      <c r="C731" s="1" t="n">
        <v>45852</v>
      </c>
      <c r="D731" t="inlineStr">
        <is>
          <t>VÄSTERNORRLANDS LÄN</t>
        </is>
      </c>
      <c r="E731" t="inlineStr">
        <is>
          <t>SOLLEFTEÅ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65029-2019</t>
        </is>
      </c>
      <c r="B732" s="1" t="n">
        <v>43801</v>
      </c>
      <c r="C732" s="1" t="n">
        <v>45852</v>
      </c>
      <c r="D732" t="inlineStr">
        <is>
          <t>VÄSTERNORRLANDS LÄN</t>
        </is>
      </c>
      <c r="E732" t="inlineStr">
        <is>
          <t>SOLLEFTEÅ</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65332-2019</t>
        </is>
      </c>
      <c r="B733" s="1" t="n">
        <v>43802</v>
      </c>
      <c r="C733" s="1" t="n">
        <v>45852</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66321-2019</t>
        </is>
      </c>
      <c r="B734" s="1" t="n">
        <v>43802</v>
      </c>
      <c r="C734" s="1" t="n">
        <v>45852</v>
      </c>
      <c r="D734" t="inlineStr">
        <is>
          <t>VÄSTERNORRLANDS LÄN</t>
        </is>
      </c>
      <c r="E734" t="inlineStr">
        <is>
          <t>SOLLEFTEÅ</t>
        </is>
      </c>
      <c r="G734" t="n">
        <v>6.4</v>
      </c>
      <c r="H734" t="n">
        <v>0</v>
      </c>
      <c r="I734" t="n">
        <v>0</v>
      </c>
      <c r="J734" t="n">
        <v>0</v>
      </c>
      <c r="K734" t="n">
        <v>0</v>
      </c>
      <c r="L734" t="n">
        <v>0</v>
      </c>
      <c r="M734" t="n">
        <v>0</v>
      </c>
      <c r="N734" t="n">
        <v>0</v>
      </c>
      <c r="O734" t="n">
        <v>0</v>
      </c>
      <c r="P734" t="n">
        <v>0</v>
      </c>
      <c r="Q734" t="n">
        <v>0</v>
      </c>
      <c r="R734" s="2" t="inlineStr"/>
    </row>
    <row r="735" ht="15" customHeight="1">
      <c r="A735" t="inlineStr">
        <is>
          <t>A 65319-2019</t>
        </is>
      </c>
      <c r="B735" s="1" t="n">
        <v>43802</v>
      </c>
      <c r="C735" s="1" t="n">
        <v>45852</v>
      </c>
      <c r="D735" t="inlineStr">
        <is>
          <t>VÄSTERNORRLANDS LÄN</t>
        </is>
      </c>
      <c r="E735" t="inlineStr">
        <is>
          <t>SOLLEFTEÅ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65327-2019</t>
        </is>
      </c>
      <c r="B736" s="1" t="n">
        <v>43802</v>
      </c>
      <c r="C736" s="1" t="n">
        <v>45852</v>
      </c>
      <c r="D736" t="inlineStr">
        <is>
          <t>VÄSTERNORRLANDS LÄN</t>
        </is>
      </c>
      <c r="E736" t="inlineStr">
        <is>
          <t>SOLLEFTEÅ</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66391-2019</t>
        </is>
      </c>
      <c r="B737" s="1" t="n">
        <v>43808</v>
      </c>
      <c r="C737" s="1" t="n">
        <v>45852</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67805-2019</t>
        </is>
      </c>
      <c r="B738" s="1" t="n">
        <v>43815</v>
      </c>
      <c r="C738" s="1" t="n">
        <v>45852</v>
      </c>
      <c r="D738" t="inlineStr">
        <is>
          <t>VÄSTERNORRLANDS LÄN</t>
        </is>
      </c>
      <c r="E738" t="inlineStr">
        <is>
          <t>SOLLEFTEÅ</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67815-2019</t>
        </is>
      </c>
      <c r="B739" s="1" t="n">
        <v>43815</v>
      </c>
      <c r="C739" s="1" t="n">
        <v>45852</v>
      </c>
      <c r="D739" t="inlineStr">
        <is>
          <t>VÄSTERNORRLANDS LÄN</t>
        </is>
      </c>
      <c r="E739" t="inlineStr">
        <is>
          <t>SOLLEFTEÅ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1627-2020</t>
        </is>
      </c>
      <c r="B740" s="1" t="n">
        <v>43829</v>
      </c>
      <c r="C740" s="1" t="n">
        <v>45852</v>
      </c>
      <c r="D740" t="inlineStr">
        <is>
          <t>VÄSTERNORRLANDS LÄN</t>
        </is>
      </c>
      <c r="E740" t="inlineStr">
        <is>
          <t>SOLLEFTEÅ</t>
        </is>
      </c>
      <c r="G740" t="n">
        <v>9</v>
      </c>
      <c r="H740" t="n">
        <v>0</v>
      </c>
      <c r="I740" t="n">
        <v>0</v>
      </c>
      <c r="J740" t="n">
        <v>0</v>
      </c>
      <c r="K740" t="n">
        <v>0</v>
      </c>
      <c r="L740" t="n">
        <v>0</v>
      </c>
      <c r="M740" t="n">
        <v>0</v>
      </c>
      <c r="N740" t="n">
        <v>0</v>
      </c>
      <c r="O740" t="n">
        <v>0</v>
      </c>
      <c r="P740" t="n">
        <v>0</v>
      </c>
      <c r="Q740" t="n">
        <v>0</v>
      </c>
      <c r="R740" s="2" t="inlineStr"/>
    </row>
    <row r="741" ht="15" customHeight="1">
      <c r="A741" t="inlineStr">
        <is>
          <t>A 127-2020</t>
        </is>
      </c>
      <c r="B741" s="1" t="n">
        <v>43832</v>
      </c>
      <c r="C741" s="1" t="n">
        <v>45852</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125-2020</t>
        </is>
      </c>
      <c r="B742" s="1" t="n">
        <v>43832</v>
      </c>
      <c r="C742" s="1" t="n">
        <v>45852</v>
      </c>
      <c r="D742" t="inlineStr">
        <is>
          <t>VÄSTERNORRLANDS LÄN</t>
        </is>
      </c>
      <c r="E742" t="inlineStr">
        <is>
          <t>SOLLEFTEÅ</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126-2020</t>
        </is>
      </c>
      <c r="B743" s="1" t="n">
        <v>43832</v>
      </c>
      <c r="C743" s="1" t="n">
        <v>45852</v>
      </c>
      <c r="D743" t="inlineStr">
        <is>
          <t>VÄSTERNORRLANDS LÄN</t>
        </is>
      </c>
      <c r="E743" t="inlineStr">
        <is>
          <t>SOLLEFTEÅ</t>
        </is>
      </c>
      <c r="F743" t="inlineStr">
        <is>
          <t>SCA</t>
        </is>
      </c>
      <c r="G743" t="n">
        <v>2.8</v>
      </c>
      <c r="H743" t="n">
        <v>0</v>
      </c>
      <c r="I743" t="n">
        <v>0</v>
      </c>
      <c r="J743" t="n">
        <v>0</v>
      </c>
      <c r="K743" t="n">
        <v>0</v>
      </c>
      <c r="L743" t="n">
        <v>0</v>
      </c>
      <c r="M743" t="n">
        <v>0</v>
      </c>
      <c r="N743" t="n">
        <v>0</v>
      </c>
      <c r="O743" t="n">
        <v>0</v>
      </c>
      <c r="P743" t="n">
        <v>0</v>
      </c>
      <c r="Q743" t="n">
        <v>0</v>
      </c>
      <c r="R743" s="2" t="inlineStr"/>
    </row>
    <row r="744" ht="15" customHeight="1">
      <c r="A744" t="inlineStr">
        <is>
          <t>A 538-2020</t>
        </is>
      </c>
      <c r="B744" s="1" t="n">
        <v>43837</v>
      </c>
      <c r="C744" s="1" t="n">
        <v>45852</v>
      </c>
      <c r="D744" t="inlineStr">
        <is>
          <t>VÄSTERNORRLANDS LÄN</t>
        </is>
      </c>
      <c r="E744" t="inlineStr">
        <is>
          <t>SOLLEFTEÅ</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1263-2020</t>
        </is>
      </c>
      <c r="B745" s="1" t="n">
        <v>43840</v>
      </c>
      <c r="C745" s="1" t="n">
        <v>45852</v>
      </c>
      <c r="D745" t="inlineStr">
        <is>
          <t>VÄSTERNORRLANDS LÄN</t>
        </is>
      </c>
      <c r="E745" t="inlineStr">
        <is>
          <t>SOLLEFTEÅ</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1262-2020</t>
        </is>
      </c>
      <c r="B746" s="1" t="n">
        <v>43840</v>
      </c>
      <c r="C746" s="1" t="n">
        <v>45852</v>
      </c>
      <c r="D746" t="inlineStr">
        <is>
          <t>VÄSTERNORRLANDS LÄN</t>
        </is>
      </c>
      <c r="E746" t="inlineStr">
        <is>
          <t>SOLLEFTEÅ</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1213-2020</t>
        </is>
      </c>
      <c r="B747" s="1" t="n">
        <v>43840</v>
      </c>
      <c r="C747" s="1" t="n">
        <v>45852</v>
      </c>
      <c r="D747" t="inlineStr">
        <is>
          <t>VÄSTERNORRLANDS LÄN</t>
        </is>
      </c>
      <c r="E747" t="inlineStr">
        <is>
          <t>SOLLEFTEÅ</t>
        </is>
      </c>
      <c r="F747" t="inlineStr">
        <is>
          <t>Kyrkan</t>
        </is>
      </c>
      <c r="G747" t="n">
        <v>13.9</v>
      </c>
      <c r="H747" t="n">
        <v>0</v>
      </c>
      <c r="I747" t="n">
        <v>0</v>
      </c>
      <c r="J747" t="n">
        <v>0</v>
      </c>
      <c r="K747" t="n">
        <v>0</v>
      </c>
      <c r="L747" t="n">
        <v>0</v>
      </c>
      <c r="M747" t="n">
        <v>0</v>
      </c>
      <c r="N747" t="n">
        <v>0</v>
      </c>
      <c r="O747" t="n">
        <v>0</v>
      </c>
      <c r="P747" t="n">
        <v>0</v>
      </c>
      <c r="Q747" t="n">
        <v>0</v>
      </c>
      <c r="R747" s="2" t="inlineStr"/>
    </row>
    <row r="748" ht="15" customHeight="1">
      <c r="A748" t="inlineStr">
        <is>
          <t>A 1568-2020</t>
        </is>
      </c>
      <c r="B748" s="1" t="n">
        <v>43844</v>
      </c>
      <c r="C748" s="1" t="n">
        <v>45852</v>
      </c>
      <c r="D748" t="inlineStr">
        <is>
          <t>VÄSTERNORRLANDS LÄN</t>
        </is>
      </c>
      <c r="E748" t="inlineStr">
        <is>
          <t>SOLLEFTEÅ</t>
        </is>
      </c>
      <c r="G748" t="n">
        <v>3.4</v>
      </c>
      <c r="H748" t="n">
        <v>0</v>
      </c>
      <c r="I748" t="n">
        <v>0</v>
      </c>
      <c r="J748" t="n">
        <v>0</v>
      </c>
      <c r="K748" t="n">
        <v>0</v>
      </c>
      <c r="L748" t="n">
        <v>0</v>
      </c>
      <c r="M748" t="n">
        <v>0</v>
      </c>
      <c r="N748" t="n">
        <v>0</v>
      </c>
      <c r="O748" t="n">
        <v>0</v>
      </c>
      <c r="P748" t="n">
        <v>0</v>
      </c>
      <c r="Q748" t="n">
        <v>0</v>
      </c>
      <c r="R748" s="2" t="inlineStr"/>
    </row>
    <row r="749" ht="15" customHeight="1">
      <c r="A749" t="inlineStr">
        <is>
          <t>A 2897-2020</t>
        </is>
      </c>
      <c r="B749" s="1" t="n">
        <v>43850</v>
      </c>
      <c r="C749" s="1" t="n">
        <v>45852</v>
      </c>
      <c r="D749" t="inlineStr">
        <is>
          <t>VÄSTERNORRLANDS LÄN</t>
        </is>
      </c>
      <c r="E749" t="inlineStr">
        <is>
          <t>SOLLEFTEÅ</t>
        </is>
      </c>
      <c r="G749" t="n">
        <v>7.6</v>
      </c>
      <c r="H749" t="n">
        <v>0</v>
      </c>
      <c r="I749" t="n">
        <v>0</v>
      </c>
      <c r="J749" t="n">
        <v>0</v>
      </c>
      <c r="K749" t="n">
        <v>0</v>
      </c>
      <c r="L749" t="n">
        <v>0</v>
      </c>
      <c r="M749" t="n">
        <v>0</v>
      </c>
      <c r="N749" t="n">
        <v>0</v>
      </c>
      <c r="O749" t="n">
        <v>0</v>
      </c>
      <c r="P749" t="n">
        <v>0</v>
      </c>
      <c r="Q749" t="n">
        <v>0</v>
      </c>
      <c r="R749" s="2" t="inlineStr"/>
    </row>
    <row r="750" ht="15" customHeight="1">
      <c r="A750" t="inlineStr">
        <is>
          <t>A 3230-2020</t>
        </is>
      </c>
      <c r="B750" s="1" t="n">
        <v>43851</v>
      </c>
      <c r="C750" s="1" t="n">
        <v>45852</v>
      </c>
      <c r="D750" t="inlineStr">
        <is>
          <t>VÄSTERNORRLANDS LÄN</t>
        </is>
      </c>
      <c r="E750" t="inlineStr">
        <is>
          <t>SOLLEFTEÅ</t>
        </is>
      </c>
      <c r="F750" t="inlineStr">
        <is>
          <t>Övriga statliga verk och myndigheter</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4363-2020</t>
        </is>
      </c>
      <c r="B751" s="1" t="n">
        <v>43857</v>
      </c>
      <c r="C751" s="1" t="n">
        <v>45852</v>
      </c>
      <c r="D751" t="inlineStr">
        <is>
          <t>VÄSTERNORRLANDS LÄN</t>
        </is>
      </c>
      <c r="E751" t="inlineStr">
        <is>
          <t>SOLLEFTEÅ</t>
        </is>
      </c>
      <c r="G751" t="n">
        <v>6.4</v>
      </c>
      <c r="H751" t="n">
        <v>0</v>
      </c>
      <c r="I751" t="n">
        <v>0</v>
      </c>
      <c r="J751" t="n">
        <v>0</v>
      </c>
      <c r="K751" t="n">
        <v>0</v>
      </c>
      <c r="L751" t="n">
        <v>0</v>
      </c>
      <c r="M751" t="n">
        <v>0</v>
      </c>
      <c r="N751" t="n">
        <v>0</v>
      </c>
      <c r="O751" t="n">
        <v>0</v>
      </c>
      <c r="P751" t="n">
        <v>0</v>
      </c>
      <c r="Q751" t="n">
        <v>0</v>
      </c>
      <c r="R751" s="2" t="inlineStr"/>
    </row>
    <row r="752" ht="15" customHeight="1">
      <c r="A752" t="inlineStr">
        <is>
          <t>A 5248-2020</t>
        </is>
      </c>
      <c r="B752" s="1" t="n">
        <v>43857</v>
      </c>
      <c r="C752" s="1" t="n">
        <v>45852</v>
      </c>
      <c r="D752" t="inlineStr">
        <is>
          <t>VÄSTERNORRLANDS LÄN</t>
        </is>
      </c>
      <c r="E752" t="inlineStr">
        <is>
          <t>SOLLEFTEÅ</t>
        </is>
      </c>
      <c r="G752" t="n">
        <v>0.9</v>
      </c>
      <c r="H752" t="n">
        <v>0</v>
      </c>
      <c r="I752" t="n">
        <v>0</v>
      </c>
      <c r="J752" t="n">
        <v>0</v>
      </c>
      <c r="K752" t="n">
        <v>0</v>
      </c>
      <c r="L752" t="n">
        <v>0</v>
      </c>
      <c r="M752" t="n">
        <v>0</v>
      </c>
      <c r="N752" t="n">
        <v>0</v>
      </c>
      <c r="O752" t="n">
        <v>0</v>
      </c>
      <c r="P752" t="n">
        <v>0</v>
      </c>
      <c r="Q752" t="n">
        <v>0</v>
      </c>
      <c r="R752" s="2" t="inlineStr"/>
    </row>
    <row r="753" ht="15" customHeight="1">
      <c r="A753" t="inlineStr">
        <is>
          <t>A 5635-2020</t>
        </is>
      </c>
      <c r="B753" s="1" t="n">
        <v>43860</v>
      </c>
      <c r="C753" s="1" t="n">
        <v>45852</v>
      </c>
      <c r="D753" t="inlineStr">
        <is>
          <t>VÄSTERNORRLANDS LÄN</t>
        </is>
      </c>
      <c r="E753" t="inlineStr">
        <is>
          <t>SOLLEFTEÅ</t>
        </is>
      </c>
      <c r="G753" t="n">
        <v>1.5</v>
      </c>
      <c r="H753" t="n">
        <v>0</v>
      </c>
      <c r="I753" t="n">
        <v>0</v>
      </c>
      <c r="J753" t="n">
        <v>0</v>
      </c>
      <c r="K753" t="n">
        <v>0</v>
      </c>
      <c r="L753" t="n">
        <v>0</v>
      </c>
      <c r="M753" t="n">
        <v>0</v>
      </c>
      <c r="N753" t="n">
        <v>0</v>
      </c>
      <c r="O753" t="n">
        <v>0</v>
      </c>
      <c r="P753" t="n">
        <v>0</v>
      </c>
      <c r="Q753" t="n">
        <v>0</v>
      </c>
      <c r="R753" s="2" t="inlineStr"/>
    </row>
    <row r="754" ht="15" customHeight="1">
      <c r="A754" t="inlineStr">
        <is>
          <t>A 5662-2020</t>
        </is>
      </c>
      <c r="B754" s="1" t="n">
        <v>43861</v>
      </c>
      <c r="C754" s="1" t="n">
        <v>45852</v>
      </c>
      <c r="D754" t="inlineStr">
        <is>
          <t>VÄSTERNORRLANDS LÄN</t>
        </is>
      </c>
      <c r="E754" t="inlineStr">
        <is>
          <t>SOLLEFTEÅ</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5714-2020</t>
        </is>
      </c>
      <c r="B755" s="1" t="n">
        <v>43861</v>
      </c>
      <c r="C755" s="1" t="n">
        <v>45852</v>
      </c>
      <c r="D755" t="inlineStr">
        <is>
          <t>VÄSTERNORRLANDS LÄN</t>
        </is>
      </c>
      <c r="E755" t="inlineStr">
        <is>
          <t>SOLLEFTEÅ</t>
        </is>
      </c>
      <c r="G755" t="n">
        <v>3</v>
      </c>
      <c r="H755" t="n">
        <v>0</v>
      </c>
      <c r="I755" t="n">
        <v>0</v>
      </c>
      <c r="J755" t="n">
        <v>0</v>
      </c>
      <c r="K755" t="n">
        <v>0</v>
      </c>
      <c r="L755" t="n">
        <v>0</v>
      </c>
      <c r="M755" t="n">
        <v>0</v>
      </c>
      <c r="N755" t="n">
        <v>0</v>
      </c>
      <c r="O755" t="n">
        <v>0</v>
      </c>
      <c r="P755" t="n">
        <v>0</v>
      </c>
      <c r="Q755" t="n">
        <v>0</v>
      </c>
      <c r="R755" s="2" t="inlineStr"/>
    </row>
    <row r="756" ht="15" customHeight="1">
      <c r="A756" t="inlineStr">
        <is>
          <t>A 5908-2020</t>
        </is>
      </c>
      <c r="B756" s="1" t="n">
        <v>43861</v>
      </c>
      <c r="C756" s="1" t="n">
        <v>45852</v>
      </c>
      <c r="D756" t="inlineStr">
        <is>
          <t>VÄSTERNORRLANDS LÄN</t>
        </is>
      </c>
      <c r="E756" t="inlineStr">
        <is>
          <t>SOLLEFTEÅ</t>
        </is>
      </c>
      <c r="G756" t="n">
        <v>4.6</v>
      </c>
      <c r="H756" t="n">
        <v>0</v>
      </c>
      <c r="I756" t="n">
        <v>0</v>
      </c>
      <c r="J756" t="n">
        <v>0</v>
      </c>
      <c r="K756" t="n">
        <v>0</v>
      </c>
      <c r="L756" t="n">
        <v>0</v>
      </c>
      <c r="M756" t="n">
        <v>0</v>
      </c>
      <c r="N756" t="n">
        <v>0</v>
      </c>
      <c r="O756" t="n">
        <v>0</v>
      </c>
      <c r="P756" t="n">
        <v>0</v>
      </c>
      <c r="Q756" t="n">
        <v>0</v>
      </c>
      <c r="R756" s="2" t="inlineStr"/>
    </row>
    <row r="757" ht="15" customHeight="1">
      <c r="A757" t="inlineStr">
        <is>
          <t>A 8363-2020</t>
        </is>
      </c>
      <c r="B757" s="1" t="n">
        <v>43875</v>
      </c>
      <c r="C757" s="1" t="n">
        <v>45852</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8935-2020</t>
        </is>
      </c>
      <c r="B758" s="1" t="n">
        <v>43878</v>
      </c>
      <c r="C758" s="1" t="n">
        <v>45852</v>
      </c>
      <c r="D758" t="inlineStr">
        <is>
          <t>VÄSTERNORRLANDS LÄN</t>
        </is>
      </c>
      <c r="E758" t="inlineStr">
        <is>
          <t>SOLLEFTEÅ</t>
        </is>
      </c>
      <c r="G758" t="n">
        <v>3.9</v>
      </c>
      <c r="H758" t="n">
        <v>0</v>
      </c>
      <c r="I758" t="n">
        <v>0</v>
      </c>
      <c r="J758" t="n">
        <v>0</v>
      </c>
      <c r="K758" t="n">
        <v>0</v>
      </c>
      <c r="L758" t="n">
        <v>0</v>
      </c>
      <c r="M758" t="n">
        <v>0</v>
      </c>
      <c r="N758" t="n">
        <v>0</v>
      </c>
      <c r="O758" t="n">
        <v>0</v>
      </c>
      <c r="P758" t="n">
        <v>0</v>
      </c>
      <c r="Q758" t="n">
        <v>0</v>
      </c>
      <c r="R758" s="2" t="inlineStr"/>
    </row>
    <row r="759" ht="15" customHeight="1">
      <c r="A759" t="inlineStr">
        <is>
          <t>A 10631-2020</t>
        </is>
      </c>
      <c r="B759" s="1" t="n">
        <v>43887</v>
      </c>
      <c r="C759" s="1" t="n">
        <v>45852</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10846-2020</t>
        </is>
      </c>
      <c r="B760" s="1" t="n">
        <v>43888</v>
      </c>
      <c r="C760" s="1" t="n">
        <v>45852</v>
      </c>
      <c r="D760" t="inlineStr">
        <is>
          <t>VÄSTERNORRLANDS LÄN</t>
        </is>
      </c>
      <c r="E760" t="inlineStr">
        <is>
          <t>SOLLEFTEÅ</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11685-2020</t>
        </is>
      </c>
      <c r="B761" s="1" t="n">
        <v>43893</v>
      </c>
      <c r="C761" s="1" t="n">
        <v>45852</v>
      </c>
      <c r="D761" t="inlineStr">
        <is>
          <t>VÄSTERNORRLANDS LÄN</t>
        </is>
      </c>
      <c r="E761" t="inlineStr">
        <is>
          <t>SOLLEFTEÅ</t>
        </is>
      </c>
      <c r="F761" t="inlineStr">
        <is>
          <t>SCA</t>
        </is>
      </c>
      <c r="G761" t="n">
        <v>10.3</v>
      </c>
      <c r="H761" t="n">
        <v>0</v>
      </c>
      <c r="I761" t="n">
        <v>0</v>
      </c>
      <c r="J761" t="n">
        <v>0</v>
      </c>
      <c r="K761" t="n">
        <v>0</v>
      </c>
      <c r="L761" t="n">
        <v>0</v>
      </c>
      <c r="M761" t="n">
        <v>0</v>
      </c>
      <c r="N761" t="n">
        <v>0</v>
      </c>
      <c r="O761" t="n">
        <v>0</v>
      </c>
      <c r="P761" t="n">
        <v>0</v>
      </c>
      <c r="Q761" t="n">
        <v>0</v>
      </c>
      <c r="R761" s="2" t="inlineStr"/>
    </row>
    <row r="762" ht="15" customHeight="1">
      <c r="A762" t="inlineStr">
        <is>
          <t>A 12819-2020</t>
        </is>
      </c>
      <c r="B762" s="1" t="n">
        <v>43893</v>
      </c>
      <c r="C762" s="1" t="n">
        <v>45852</v>
      </c>
      <c r="D762" t="inlineStr">
        <is>
          <t>VÄSTERNORRLANDS LÄN</t>
        </is>
      </c>
      <c r="E762" t="inlineStr">
        <is>
          <t>SOLLEFTEÅ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12525-2020</t>
        </is>
      </c>
      <c r="B763" s="1" t="n">
        <v>43896</v>
      </c>
      <c r="C763" s="1" t="n">
        <v>45852</v>
      </c>
      <c r="D763" t="inlineStr">
        <is>
          <t>VÄSTERNORRLANDS LÄN</t>
        </is>
      </c>
      <c r="E763" t="inlineStr">
        <is>
          <t>SOLLEFTEÅ</t>
        </is>
      </c>
      <c r="F763" t="inlineStr">
        <is>
          <t>SCA</t>
        </is>
      </c>
      <c r="G763" t="n">
        <v>28.7</v>
      </c>
      <c r="H763" t="n">
        <v>0</v>
      </c>
      <c r="I763" t="n">
        <v>0</v>
      </c>
      <c r="J763" t="n">
        <v>0</v>
      </c>
      <c r="K763" t="n">
        <v>0</v>
      </c>
      <c r="L763" t="n">
        <v>0</v>
      </c>
      <c r="M763" t="n">
        <v>0</v>
      </c>
      <c r="N763" t="n">
        <v>0</v>
      </c>
      <c r="O763" t="n">
        <v>0</v>
      </c>
      <c r="P763" t="n">
        <v>0</v>
      </c>
      <c r="Q763" t="n">
        <v>0</v>
      </c>
      <c r="R763" s="2" t="inlineStr"/>
    </row>
    <row r="764" ht="15" customHeight="1">
      <c r="A764" t="inlineStr">
        <is>
          <t>A 13023-2020</t>
        </is>
      </c>
      <c r="B764" s="1" t="n">
        <v>43900</v>
      </c>
      <c r="C764" s="1" t="n">
        <v>45852</v>
      </c>
      <c r="D764" t="inlineStr">
        <is>
          <t>VÄSTERNORRLANDS LÄN</t>
        </is>
      </c>
      <c r="E764" t="inlineStr">
        <is>
          <t>SOLLEFTEÅ</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13567-2020</t>
        </is>
      </c>
      <c r="B765" s="1" t="n">
        <v>43902</v>
      </c>
      <c r="C765" s="1" t="n">
        <v>45852</v>
      </c>
      <c r="D765" t="inlineStr">
        <is>
          <t>VÄSTERNORRLANDS LÄN</t>
        </is>
      </c>
      <c r="E765" t="inlineStr">
        <is>
          <t>SOLLEFTEÅ</t>
        </is>
      </c>
      <c r="F765" t="inlineStr">
        <is>
          <t>SCA</t>
        </is>
      </c>
      <c r="G765" t="n">
        <v>15.9</v>
      </c>
      <c r="H765" t="n">
        <v>0</v>
      </c>
      <c r="I765" t="n">
        <v>0</v>
      </c>
      <c r="J765" t="n">
        <v>0</v>
      </c>
      <c r="K765" t="n">
        <v>0</v>
      </c>
      <c r="L765" t="n">
        <v>0</v>
      </c>
      <c r="M765" t="n">
        <v>0</v>
      </c>
      <c r="N765" t="n">
        <v>0</v>
      </c>
      <c r="O765" t="n">
        <v>0</v>
      </c>
      <c r="P765" t="n">
        <v>0</v>
      </c>
      <c r="Q765" t="n">
        <v>0</v>
      </c>
      <c r="R765" s="2" t="inlineStr"/>
    </row>
    <row r="766" ht="15" customHeight="1">
      <c r="A766" t="inlineStr">
        <is>
          <t>A 13577-2020</t>
        </is>
      </c>
      <c r="B766" s="1" t="n">
        <v>43902</v>
      </c>
      <c r="C766" s="1" t="n">
        <v>45852</v>
      </c>
      <c r="D766" t="inlineStr">
        <is>
          <t>VÄSTERNORRLANDS LÄN</t>
        </is>
      </c>
      <c r="E766" t="inlineStr">
        <is>
          <t>SOLLEFTEÅ</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13565-2020</t>
        </is>
      </c>
      <c r="B767" s="1" t="n">
        <v>43902</v>
      </c>
      <c r="C767" s="1" t="n">
        <v>45852</v>
      </c>
      <c r="D767" t="inlineStr">
        <is>
          <t>VÄSTERNORRLANDS LÄN</t>
        </is>
      </c>
      <c r="E767" t="inlineStr">
        <is>
          <t>SOLLEFTEÅ</t>
        </is>
      </c>
      <c r="F767" t="inlineStr">
        <is>
          <t>SCA</t>
        </is>
      </c>
      <c r="G767" t="n">
        <v>12.6</v>
      </c>
      <c r="H767" t="n">
        <v>0</v>
      </c>
      <c r="I767" t="n">
        <v>0</v>
      </c>
      <c r="J767" t="n">
        <v>0</v>
      </c>
      <c r="K767" t="n">
        <v>0</v>
      </c>
      <c r="L767" t="n">
        <v>0</v>
      </c>
      <c r="M767" t="n">
        <v>0</v>
      </c>
      <c r="N767" t="n">
        <v>0</v>
      </c>
      <c r="O767" t="n">
        <v>0</v>
      </c>
      <c r="P767" t="n">
        <v>0</v>
      </c>
      <c r="Q767" t="n">
        <v>0</v>
      </c>
      <c r="R767" s="2" t="inlineStr"/>
    </row>
    <row r="768" ht="15" customHeight="1">
      <c r="A768" t="inlineStr">
        <is>
          <t>A 13575-2020</t>
        </is>
      </c>
      <c r="B768" s="1" t="n">
        <v>43902</v>
      </c>
      <c r="C768" s="1" t="n">
        <v>45852</v>
      </c>
      <c r="D768" t="inlineStr">
        <is>
          <t>VÄSTERNORRLANDS LÄN</t>
        </is>
      </c>
      <c r="E768" t="inlineStr">
        <is>
          <t>SOLLEFTEÅ</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13561-2020</t>
        </is>
      </c>
      <c r="B769" s="1" t="n">
        <v>43902</v>
      </c>
      <c r="C769" s="1" t="n">
        <v>45852</v>
      </c>
      <c r="D769" t="inlineStr">
        <is>
          <t>VÄSTERNORRLANDS LÄN</t>
        </is>
      </c>
      <c r="E769" t="inlineStr">
        <is>
          <t>SOLLEFTEÅ</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13564-2020</t>
        </is>
      </c>
      <c r="B770" s="1" t="n">
        <v>43902</v>
      </c>
      <c r="C770" s="1" t="n">
        <v>45852</v>
      </c>
      <c r="D770" t="inlineStr">
        <is>
          <t>VÄSTERNORRLANDS LÄN</t>
        </is>
      </c>
      <c r="E770" t="inlineStr">
        <is>
          <t>SOLLEFTEÅ</t>
        </is>
      </c>
      <c r="F770" t="inlineStr">
        <is>
          <t>SCA</t>
        </is>
      </c>
      <c r="G770" t="n">
        <v>26.1</v>
      </c>
      <c r="H770" t="n">
        <v>0</v>
      </c>
      <c r="I770" t="n">
        <v>0</v>
      </c>
      <c r="J770" t="n">
        <v>0</v>
      </c>
      <c r="K770" t="n">
        <v>0</v>
      </c>
      <c r="L770" t="n">
        <v>0</v>
      </c>
      <c r="M770" t="n">
        <v>0</v>
      </c>
      <c r="N770" t="n">
        <v>0</v>
      </c>
      <c r="O770" t="n">
        <v>0</v>
      </c>
      <c r="P770" t="n">
        <v>0</v>
      </c>
      <c r="Q770" t="n">
        <v>0</v>
      </c>
      <c r="R770" s="2" t="inlineStr"/>
    </row>
    <row r="771" ht="15" customHeight="1">
      <c r="A771" t="inlineStr">
        <is>
          <t>A 13798-2020</t>
        </is>
      </c>
      <c r="B771" s="1" t="n">
        <v>43903</v>
      </c>
      <c r="C771" s="1" t="n">
        <v>45852</v>
      </c>
      <c r="D771" t="inlineStr">
        <is>
          <t>VÄSTERNORRLANDS LÄN</t>
        </is>
      </c>
      <c r="E771" t="inlineStr">
        <is>
          <t>SOLLEFTEÅ</t>
        </is>
      </c>
      <c r="F771" t="inlineStr">
        <is>
          <t>SCA</t>
        </is>
      </c>
      <c r="G771" t="n">
        <v>4.7</v>
      </c>
      <c r="H771" t="n">
        <v>0</v>
      </c>
      <c r="I771" t="n">
        <v>0</v>
      </c>
      <c r="J771" t="n">
        <v>0</v>
      </c>
      <c r="K771" t="n">
        <v>0</v>
      </c>
      <c r="L771" t="n">
        <v>0</v>
      </c>
      <c r="M771" t="n">
        <v>0</v>
      </c>
      <c r="N771" t="n">
        <v>0</v>
      </c>
      <c r="O771" t="n">
        <v>0</v>
      </c>
      <c r="P771" t="n">
        <v>0</v>
      </c>
      <c r="Q771" t="n">
        <v>0</v>
      </c>
      <c r="R771" s="2" t="inlineStr"/>
    </row>
    <row r="772" ht="15" customHeight="1">
      <c r="A772" t="inlineStr">
        <is>
          <t>A 13864-2020</t>
        </is>
      </c>
      <c r="B772" s="1" t="n">
        <v>43906</v>
      </c>
      <c r="C772" s="1" t="n">
        <v>45852</v>
      </c>
      <c r="D772" t="inlineStr">
        <is>
          <t>VÄSTERNORRLANDS LÄN</t>
        </is>
      </c>
      <c r="E772" t="inlineStr">
        <is>
          <t>SOLLEFTEÅ</t>
        </is>
      </c>
      <c r="G772" t="n">
        <v>0.4</v>
      </c>
      <c r="H772" t="n">
        <v>0</v>
      </c>
      <c r="I772" t="n">
        <v>0</v>
      </c>
      <c r="J772" t="n">
        <v>0</v>
      </c>
      <c r="K772" t="n">
        <v>0</v>
      </c>
      <c r="L772" t="n">
        <v>0</v>
      </c>
      <c r="M772" t="n">
        <v>0</v>
      </c>
      <c r="N772" t="n">
        <v>0</v>
      </c>
      <c r="O772" t="n">
        <v>0</v>
      </c>
      <c r="P772" t="n">
        <v>0</v>
      </c>
      <c r="Q772" t="n">
        <v>0</v>
      </c>
      <c r="R772" s="2" t="inlineStr"/>
    </row>
    <row r="773" ht="15" customHeight="1">
      <c r="A773" t="inlineStr">
        <is>
          <t>A 14859-2020</t>
        </is>
      </c>
      <c r="B773" s="1" t="n">
        <v>43909</v>
      </c>
      <c r="C773" s="1" t="n">
        <v>45852</v>
      </c>
      <c r="D773" t="inlineStr">
        <is>
          <t>VÄSTERNORRLANDS LÄN</t>
        </is>
      </c>
      <c r="E773" t="inlineStr">
        <is>
          <t>SOLLEFTEÅ</t>
        </is>
      </c>
      <c r="F773" t="inlineStr">
        <is>
          <t>SCA</t>
        </is>
      </c>
      <c r="G773" t="n">
        <v>5.8</v>
      </c>
      <c r="H773" t="n">
        <v>0</v>
      </c>
      <c r="I773" t="n">
        <v>0</v>
      </c>
      <c r="J773" t="n">
        <v>0</v>
      </c>
      <c r="K773" t="n">
        <v>0</v>
      </c>
      <c r="L773" t="n">
        <v>0</v>
      </c>
      <c r="M773" t="n">
        <v>0</v>
      </c>
      <c r="N773" t="n">
        <v>0</v>
      </c>
      <c r="O773" t="n">
        <v>0</v>
      </c>
      <c r="P773" t="n">
        <v>0</v>
      </c>
      <c r="Q773" t="n">
        <v>0</v>
      </c>
      <c r="R773" s="2" t="inlineStr"/>
    </row>
    <row r="774" ht="15" customHeight="1">
      <c r="A774" t="inlineStr">
        <is>
          <t>A 18515-2020</t>
        </is>
      </c>
      <c r="B774" s="1" t="n">
        <v>43927</v>
      </c>
      <c r="C774" s="1" t="n">
        <v>45852</v>
      </c>
      <c r="D774" t="inlineStr">
        <is>
          <t>VÄSTERNORRLANDS LÄN</t>
        </is>
      </c>
      <c r="E774" t="inlineStr">
        <is>
          <t>SOLLEFTEÅ</t>
        </is>
      </c>
      <c r="G774" t="n">
        <v>2.5</v>
      </c>
      <c r="H774" t="n">
        <v>0</v>
      </c>
      <c r="I774" t="n">
        <v>0</v>
      </c>
      <c r="J774" t="n">
        <v>0</v>
      </c>
      <c r="K774" t="n">
        <v>0</v>
      </c>
      <c r="L774" t="n">
        <v>0</v>
      </c>
      <c r="M774" t="n">
        <v>0</v>
      </c>
      <c r="N774" t="n">
        <v>0</v>
      </c>
      <c r="O774" t="n">
        <v>0</v>
      </c>
      <c r="P774" t="n">
        <v>0</v>
      </c>
      <c r="Q774" t="n">
        <v>0</v>
      </c>
      <c r="R774" s="2" t="inlineStr"/>
    </row>
    <row r="775" ht="15" customHeight="1">
      <c r="A775" t="inlineStr">
        <is>
          <t>A 18402-2020</t>
        </is>
      </c>
      <c r="B775" s="1" t="n">
        <v>43928</v>
      </c>
      <c r="C775" s="1" t="n">
        <v>45852</v>
      </c>
      <c r="D775" t="inlineStr">
        <is>
          <t>VÄSTERNORRLANDS LÄN</t>
        </is>
      </c>
      <c r="E775" t="inlineStr">
        <is>
          <t>SOLLEFTEÅ</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20164-2020</t>
        </is>
      </c>
      <c r="B776" s="1" t="n">
        <v>43944</v>
      </c>
      <c r="C776" s="1" t="n">
        <v>45852</v>
      </c>
      <c r="D776" t="inlineStr">
        <is>
          <t>VÄSTERNORRLANDS LÄN</t>
        </is>
      </c>
      <c r="E776" t="inlineStr">
        <is>
          <t>SOLLEFTEÅ</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20419-2020</t>
        </is>
      </c>
      <c r="B777" s="1" t="n">
        <v>43945</v>
      </c>
      <c r="C777" s="1" t="n">
        <v>45852</v>
      </c>
      <c r="D777" t="inlineStr">
        <is>
          <t>VÄSTERNORRLANDS LÄN</t>
        </is>
      </c>
      <c r="E777" t="inlineStr">
        <is>
          <t>SOLLEFTEÅ</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20861-2020</t>
        </is>
      </c>
      <c r="B778" s="1" t="n">
        <v>43948</v>
      </c>
      <c r="C778" s="1" t="n">
        <v>45852</v>
      </c>
      <c r="D778" t="inlineStr">
        <is>
          <t>VÄSTERNORRLANDS LÄN</t>
        </is>
      </c>
      <c r="E778" t="inlineStr">
        <is>
          <t>SOLLEFTEÅ</t>
        </is>
      </c>
      <c r="G778" t="n">
        <v>2.9</v>
      </c>
      <c r="H778" t="n">
        <v>0</v>
      </c>
      <c r="I778" t="n">
        <v>0</v>
      </c>
      <c r="J778" t="n">
        <v>0</v>
      </c>
      <c r="K778" t="n">
        <v>0</v>
      </c>
      <c r="L778" t="n">
        <v>0</v>
      </c>
      <c r="M778" t="n">
        <v>0</v>
      </c>
      <c r="N778" t="n">
        <v>0</v>
      </c>
      <c r="O778" t="n">
        <v>0</v>
      </c>
      <c r="P778" t="n">
        <v>0</v>
      </c>
      <c r="Q778" t="n">
        <v>0</v>
      </c>
      <c r="R778" s="2" t="inlineStr"/>
    </row>
    <row r="779" ht="15" customHeight="1">
      <c r="A779" t="inlineStr">
        <is>
          <t>A 21022-2020</t>
        </is>
      </c>
      <c r="B779" s="1" t="n">
        <v>43950</v>
      </c>
      <c r="C779" s="1" t="n">
        <v>45852</v>
      </c>
      <c r="D779" t="inlineStr">
        <is>
          <t>VÄSTERNORRLANDS LÄN</t>
        </is>
      </c>
      <c r="E779" t="inlineStr">
        <is>
          <t>SOLLEFTEÅ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21097-2020</t>
        </is>
      </c>
      <c r="B780" s="1" t="n">
        <v>43950</v>
      </c>
      <c r="C780" s="1" t="n">
        <v>45852</v>
      </c>
      <c r="D780" t="inlineStr">
        <is>
          <t>VÄSTERNORRLANDS LÄN</t>
        </is>
      </c>
      <c r="E780" t="inlineStr">
        <is>
          <t>SOLLEFTEÅ</t>
        </is>
      </c>
      <c r="G780" t="n">
        <v>1</v>
      </c>
      <c r="H780" t="n">
        <v>0</v>
      </c>
      <c r="I780" t="n">
        <v>0</v>
      </c>
      <c r="J780" t="n">
        <v>0</v>
      </c>
      <c r="K780" t="n">
        <v>0</v>
      </c>
      <c r="L780" t="n">
        <v>0</v>
      </c>
      <c r="M780" t="n">
        <v>0</v>
      </c>
      <c r="N780" t="n">
        <v>0</v>
      </c>
      <c r="O780" t="n">
        <v>0</v>
      </c>
      <c r="P780" t="n">
        <v>0</v>
      </c>
      <c r="Q780" t="n">
        <v>0</v>
      </c>
      <c r="R780" s="2" t="inlineStr"/>
    </row>
    <row r="781" ht="15" customHeight="1">
      <c r="A781" t="inlineStr">
        <is>
          <t>A 21020-2020</t>
        </is>
      </c>
      <c r="B781" s="1" t="n">
        <v>43950</v>
      </c>
      <c r="C781" s="1" t="n">
        <v>45852</v>
      </c>
      <c r="D781" t="inlineStr">
        <is>
          <t>VÄSTERNORRLANDS LÄN</t>
        </is>
      </c>
      <c r="E781" t="inlineStr">
        <is>
          <t>SOLLEFTEÅ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22371-2020</t>
        </is>
      </c>
      <c r="B782" s="1" t="n">
        <v>43957</v>
      </c>
      <c r="C782" s="1" t="n">
        <v>45852</v>
      </c>
      <c r="D782" t="inlineStr">
        <is>
          <t>VÄSTERNORRLANDS LÄN</t>
        </is>
      </c>
      <c r="E782" t="inlineStr">
        <is>
          <t>SOLLEFTEÅ</t>
        </is>
      </c>
      <c r="G782" t="n">
        <v>0.7</v>
      </c>
      <c r="H782" t="n">
        <v>0</v>
      </c>
      <c r="I782" t="n">
        <v>0</v>
      </c>
      <c r="J782" t="n">
        <v>0</v>
      </c>
      <c r="K782" t="n">
        <v>0</v>
      </c>
      <c r="L782" t="n">
        <v>0</v>
      </c>
      <c r="M782" t="n">
        <v>0</v>
      </c>
      <c r="N782" t="n">
        <v>0</v>
      </c>
      <c r="O782" t="n">
        <v>0</v>
      </c>
      <c r="P782" t="n">
        <v>0</v>
      </c>
      <c r="Q782" t="n">
        <v>0</v>
      </c>
      <c r="R782" s="2" t="inlineStr"/>
    </row>
    <row r="783" ht="15" customHeight="1">
      <c r="A783" t="inlineStr">
        <is>
          <t>A 22731-2020</t>
        </is>
      </c>
      <c r="B783" s="1" t="n">
        <v>43962</v>
      </c>
      <c r="C783" s="1" t="n">
        <v>45852</v>
      </c>
      <c r="D783" t="inlineStr">
        <is>
          <t>VÄSTERNORRLANDS LÄN</t>
        </is>
      </c>
      <c r="E783" t="inlineStr">
        <is>
          <t>SOLLEFTEÅ</t>
        </is>
      </c>
      <c r="G783" t="n">
        <v>16.8</v>
      </c>
      <c r="H783" t="n">
        <v>0</v>
      </c>
      <c r="I783" t="n">
        <v>0</v>
      </c>
      <c r="J783" t="n">
        <v>0</v>
      </c>
      <c r="K783" t="n">
        <v>0</v>
      </c>
      <c r="L783" t="n">
        <v>0</v>
      </c>
      <c r="M783" t="n">
        <v>0</v>
      </c>
      <c r="N783" t="n">
        <v>0</v>
      </c>
      <c r="O783" t="n">
        <v>0</v>
      </c>
      <c r="P783" t="n">
        <v>0</v>
      </c>
      <c r="Q783" t="n">
        <v>0</v>
      </c>
      <c r="R783" s="2" t="inlineStr"/>
    </row>
    <row r="784" ht="15" customHeight="1">
      <c r="A784" t="inlineStr">
        <is>
          <t>A 21607-2020</t>
        </is>
      </c>
      <c r="B784" s="1" t="n">
        <v>43963</v>
      </c>
      <c r="C784" s="1" t="n">
        <v>45852</v>
      </c>
      <c r="D784" t="inlineStr">
        <is>
          <t>VÄSTERNORRLANDS LÄN</t>
        </is>
      </c>
      <c r="E784" t="inlineStr">
        <is>
          <t>SOLLEFTEÅ</t>
        </is>
      </c>
      <c r="G784" t="n">
        <v>3.6</v>
      </c>
      <c r="H784" t="n">
        <v>0</v>
      </c>
      <c r="I784" t="n">
        <v>0</v>
      </c>
      <c r="J784" t="n">
        <v>0</v>
      </c>
      <c r="K784" t="n">
        <v>0</v>
      </c>
      <c r="L784" t="n">
        <v>0</v>
      </c>
      <c r="M784" t="n">
        <v>0</v>
      </c>
      <c r="N784" t="n">
        <v>0</v>
      </c>
      <c r="O784" t="n">
        <v>0</v>
      </c>
      <c r="P784" t="n">
        <v>0</v>
      </c>
      <c r="Q784" t="n">
        <v>0</v>
      </c>
      <c r="R784" s="2" t="inlineStr"/>
    </row>
    <row r="785" ht="15" customHeight="1">
      <c r="A785" t="inlineStr">
        <is>
          <t>A 22561-2020</t>
        </is>
      </c>
      <c r="B785" s="1" t="n">
        <v>43963</v>
      </c>
      <c r="C785" s="1" t="n">
        <v>45852</v>
      </c>
      <c r="D785" t="inlineStr">
        <is>
          <t>VÄSTERNORRLANDS LÄN</t>
        </is>
      </c>
      <c r="E785" t="inlineStr">
        <is>
          <t>SOLLEFTEÅ</t>
        </is>
      </c>
      <c r="G785" t="n">
        <v>8.6</v>
      </c>
      <c r="H785" t="n">
        <v>0</v>
      </c>
      <c r="I785" t="n">
        <v>0</v>
      </c>
      <c r="J785" t="n">
        <v>0</v>
      </c>
      <c r="K785" t="n">
        <v>0</v>
      </c>
      <c r="L785" t="n">
        <v>0</v>
      </c>
      <c r="M785" t="n">
        <v>0</v>
      </c>
      <c r="N785" t="n">
        <v>0</v>
      </c>
      <c r="O785" t="n">
        <v>0</v>
      </c>
      <c r="P785" t="n">
        <v>0</v>
      </c>
      <c r="Q785" t="n">
        <v>0</v>
      </c>
      <c r="R785" s="2" t="inlineStr"/>
    </row>
    <row r="786" ht="15" customHeight="1">
      <c r="A786" t="inlineStr">
        <is>
          <t>A 23231-2020</t>
        </is>
      </c>
      <c r="B786" s="1" t="n">
        <v>43966</v>
      </c>
      <c r="C786" s="1" t="n">
        <v>45852</v>
      </c>
      <c r="D786" t="inlineStr">
        <is>
          <t>VÄSTERNORRLANDS LÄN</t>
        </is>
      </c>
      <c r="E786" t="inlineStr">
        <is>
          <t>SOLLEFTEÅ</t>
        </is>
      </c>
      <c r="G786" t="n">
        <v>2</v>
      </c>
      <c r="H786" t="n">
        <v>0</v>
      </c>
      <c r="I786" t="n">
        <v>0</v>
      </c>
      <c r="J786" t="n">
        <v>0</v>
      </c>
      <c r="K786" t="n">
        <v>0</v>
      </c>
      <c r="L786" t="n">
        <v>0</v>
      </c>
      <c r="M786" t="n">
        <v>0</v>
      </c>
      <c r="N786" t="n">
        <v>0</v>
      </c>
      <c r="O786" t="n">
        <v>0</v>
      </c>
      <c r="P786" t="n">
        <v>0</v>
      </c>
      <c r="Q786" t="n">
        <v>0</v>
      </c>
      <c r="R786" s="2" t="inlineStr"/>
    </row>
    <row r="787" ht="15" customHeight="1">
      <c r="A787" t="inlineStr">
        <is>
          <t>A 23638-2020</t>
        </is>
      </c>
      <c r="B787" s="1" t="n">
        <v>43969</v>
      </c>
      <c r="C787" s="1" t="n">
        <v>45852</v>
      </c>
      <c r="D787" t="inlineStr">
        <is>
          <t>VÄSTERNORRLANDS LÄN</t>
        </is>
      </c>
      <c r="E787" t="inlineStr">
        <is>
          <t>SOLLEFTEÅ</t>
        </is>
      </c>
      <c r="G787" t="n">
        <v>8.9</v>
      </c>
      <c r="H787" t="n">
        <v>0</v>
      </c>
      <c r="I787" t="n">
        <v>0</v>
      </c>
      <c r="J787" t="n">
        <v>0</v>
      </c>
      <c r="K787" t="n">
        <v>0</v>
      </c>
      <c r="L787" t="n">
        <v>0</v>
      </c>
      <c r="M787" t="n">
        <v>0</v>
      </c>
      <c r="N787" t="n">
        <v>0</v>
      </c>
      <c r="O787" t="n">
        <v>0</v>
      </c>
      <c r="P787" t="n">
        <v>0</v>
      </c>
      <c r="Q787" t="n">
        <v>0</v>
      </c>
      <c r="R787" s="2" t="inlineStr"/>
    </row>
    <row r="788" ht="15" customHeight="1">
      <c r="A788" t="inlineStr">
        <is>
          <t>A 24060-2020</t>
        </is>
      </c>
      <c r="B788" s="1" t="n">
        <v>43971</v>
      </c>
      <c r="C788" s="1" t="n">
        <v>45852</v>
      </c>
      <c r="D788" t="inlineStr">
        <is>
          <t>VÄSTERNORRLANDS LÄN</t>
        </is>
      </c>
      <c r="E788" t="inlineStr">
        <is>
          <t>SOLLEFTEÅ</t>
        </is>
      </c>
      <c r="G788" t="n">
        <v>16.3</v>
      </c>
      <c r="H788" t="n">
        <v>0</v>
      </c>
      <c r="I788" t="n">
        <v>0</v>
      </c>
      <c r="J788" t="n">
        <v>0</v>
      </c>
      <c r="K788" t="n">
        <v>0</v>
      </c>
      <c r="L788" t="n">
        <v>0</v>
      </c>
      <c r="M788" t="n">
        <v>0</v>
      </c>
      <c r="N788" t="n">
        <v>0</v>
      </c>
      <c r="O788" t="n">
        <v>0</v>
      </c>
      <c r="P788" t="n">
        <v>0</v>
      </c>
      <c r="Q788" t="n">
        <v>0</v>
      </c>
      <c r="R788" s="2" t="inlineStr"/>
    </row>
    <row r="789" ht="15" customHeight="1">
      <c r="A789" t="inlineStr">
        <is>
          <t>A 24062-2020</t>
        </is>
      </c>
      <c r="B789" s="1" t="n">
        <v>43971</v>
      </c>
      <c r="C789" s="1" t="n">
        <v>45852</v>
      </c>
      <c r="D789" t="inlineStr">
        <is>
          <t>VÄSTERNORRLANDS LÄN</t>
        </is>
      </c>
      <c r="E789" t="inlineStr">
        <is>
          <t>SOLLEFTEÅ</t>
        </is>
      </c>
      <c r="G789" t="n">
        <v>1.6</v>
      </c>
      <c r="H789" t="n">
        <v>0</v>
      </c>
      <c r="I789" t="n">
        <v>0</v>
      </c>
      <c r="J789" t="n">
        <v>0</v>
      </c>
      <c r="K789" t="n">
        <v>0</v>
      </c>
      <c r="L789" t="n">
        <v>0</v>
      </c>
      <c r="M789" t="n">
        <v>0</v>
      </c>
      <c r="N789" t="n">
        <v>0</v>
      </c>
      <c r="O789" t="n">
        <v>0</v>
      </c>
      <c r="P789" t="n">
        <v>0</v>
      </c>
      <c r="Q789" t="n">
        <v>0</v>
      </c>
      <c r="R789" s="2" t="inlineStr"/>
    </row>
    <row r="790" ht="15" customHeight="1">
      <c r="A790" t="inlineStr">
        <is>
          <t>A 24061-2020</t>
        </is>
      </c>
      <c r="B790" s="1" t="n">
        <v>43971</v>
      </c>
      <c r="C790" s="1" t="n">
        <v>45852</v>
      </c>
      <c r="D790" t="inlineStr">
        <is>
          <t>VÄSTERNORRLANDS LÄN</t>
        </is>
      </c>
      <c r="E790" t="inlineStr">
        <is>
          <t>SOLLEFTEÅ</t>
        </is>
      </c>
      <c r="G790" t="n">
        <v>5.7</v>
      </c>
      <c r="H790" t="n">
        <v>0</v>
      </c>
      <c r="I790" t="n">
        <v>0</v>
      </c>
      <c r="J790" t="n">
        <v>0</v>
      </c>
      <c r="K790" t="n">
        <v>0</v>
      </c>
      <c r="L790" t="n">
        <v>0</v>
      </c>
      <c r="M790" t="n">
        <v>0</v>
      </c>
      <c r="N790" t="n">
        <v>0</v>
      </c>
      <c r="O790" t="n">
        <v>0</v>
      </c>
      <c r="P790" t="n">
        <v>0</v>
      </c>
      <c r="Q790" t="n">
        <v>0</v>
      </c>
      <c r="R790" s="2" t="inlineStr"/>
    </row>
    <row r="791" ht="15" customHeight="1">
      <c r="A791" t="inlineStr">
        <is>
          <t>A 25100-2020</t>
        </is>
      </c>
      <c r="B791" s="1" t="n">
        <v>43979</v>
      </c>
      <c r="C791" s="1" t="n">
        <v>45852</v>
      </c>
      <c r="D791" t="inlineStr">
        <is>
          <t>VÄSTERNORRLANDS LÄN</t>
        </is>
      </c>
      <c r="E791" t="inlineStr">
        <is>
          <t>SOLLEFTEÅ</t>
        </is>
      </c>
      <c r="G791" t="n">
        <v>4.7</v>
      </c>
      <c r="H791" t="n">
        <v>0</v>
      </c>
      <c r="I791" t="n">
        <v>0</v>
      </c>
      <c r="J791" t="n">
        <v>0</v>
      </c>
      <c r="K791" t="n">
        <v>0</v>
      </c>
      <c r="L791" t="n">
        <v>0</v>
      </c>
      <c r="M791" t="n">
        <v>0</v>
      </c>
      <c r="N791" t="n">
        <v>0</v>
      </c>
      <c r="O791" t="n">
        <v>0</v>
      </c>
      <c r="P791" t="n">
        <v>0</v>
      </c>
      <c r="Q791" t="n">
        <v>0</v>
      </c>
      <c r="R791" s="2" t="inlineStr"/>
    </row>
    <row r="792" ht="15" customHeight="1">
      <c r="A792" t="inlineStr">
        <is>
          <t>A 26189-2020</t>
        </is>
      </c>
      <c r="B792" s="1" t="n">
        <v>43985</v>
      </c>
      <c r="C792" s="1" t="n">
        <v>45852</v>
      </c>
      <c r="D792" t="inlineStr">
        <is>
          <t>VÄSTERNORRLANDS LÄN</t>
        </is>
      </c>
      <c r="E792" t="inlineStr">
        <is>
          <t>SOLLEFTEÅ</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26249-2020</t>
        </is>
      </c>
      <c r="B793" s="1" t="n">
        <v>43986</v>
      </c>
      <c r="C793" s="1" t="n">
        <v>45852</v>
      </c>
      <c r="D793" t="inlineStr">
        <is>
          <t>VÄSTERNORRLANDS LÄN</t>
        </is>
      </c>
      <c r="E793" t="inlineStr">
        <is>
          <t>SOLLEFTEÅ</t>
        </is>
      </c>
      <c r="G793" t="n">
        <v>0.7</v>
      </c>
      <c r="H793" t="n">
        <v>0</v>
      </c>
      <c r="I793" t="n">
        <v>0</v>
      </c>
      <c r="J793" t="n">
        <v>0</v>
      </c>
      <c r="K793" t="n">
        <v>0</v>
      </c>
      <c r="L793" t="n">
        <v>0</v>
      </c>
      <c r="M793" t="n">
        <v>0</v>
      </c>
      <c r="N793" t="n">
        <v>0</v>
      </c>
      <c r="O793" t="n">
        <v>0</v>
      </c>
      <c r="P793" t="n">
        <v>0</v>
      </c>
      <c r="Q793" t="n">
        <v>0</v>
      </c>
      <c r="R793" s="2" t="inlineStr"/>
    </row>
    <row r="794" ht="15" customHeight="1">
      <c r="A794" t="inlineStr">
        <is>
          <t>A 27199-2020</t>
        </is>
      </c>
      <c r="B794" s="1" t="n">
        <v>43991</v>
      </c>
      <c r="C794" s="1" t="n">
        <v>45852</v>
      </c>
      <c r="D794" t="inlineStr">
        <is>
          <t>VÄSTERNORRLANDS LÄN</t>
        </is>
      </c>
      <c r="E794" t="inlineStr">
        <is>
          <t>SOLLEFTEÅ</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27209-2020</t>
        </is>
      </c>
      <c r="B795" s="1" t="n">
        <v>43991</v>
      </c>
      <c r="C795" s="1" t="n">
        <v>45852</v>
      </c>
      <c r="D795" t="inlineStr">
        <is>
          <t>VÄSTERNORRLANDS LÄN</t>
        </is>
      </c>
      <c r="E795" t="inlineStr">
        <is>
          <t>SOLLEFTEÅ</t>
        </is>
      </c>
      <c r="F795" t="inlineStr">
        <is>
          <t>SCA</t>
        </is>
      </c>
      <c r="G795" t="n">
        <v>15.7</v>
      </c>
      <c r="H795" t="n">
        <v>0</v>
      </c>
      <c r="I795" t="n">
        <v>0</v>
      </c>
      <c r="J795" t="n">
        <v>0</v>
      </c>
      <c r="K795" t="n">
        <v>0</v>
      </c>
      <c r="L795" t="n">
        <v>0</v>
      </c>
      <c r="M795" t="n">
        <v>0</v>
      </c>
      <c r="N795" t="n">
        <v>0</v>
      </c>
      <c r="O795" t="n">
        <v>0</v>
      </c>
      <c r="P795" t="n">
        <v>0</v>
      </c>
      <c r="Q795" t="n">
        <v>0</v>
      </c>
      <c r="R795" s="2" t="inlineStr"/>
    </row>
    <row r="796" ht="15" customHeight="1">
      <c r="A796" t="inlineStr">
        <is>
          <t>A 28489-2020</t>
        </is>
      </c>
      <c r="B796" s="1" t="n">
        <v>43998</v>
      </c>
      <c r="C796" s="1" t="n">
        <v>45852</v>
      </c>
      <c r="D796" t="inlineStr">
        <is>
          <t>VÄSTERNORRLANDS LÄN</t>
        </is>
      </c>
      <c r="E796" t="inlineStr">
        <is>
          <t>SOLLEFTEÅ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28486-2020</t>
        </is>
      </c>
      <c r="B797" s="1" t="n">
        <v>43999</v>
      </c>
      <c r="C797" s="1" t="n">
        <v>45852</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29648-2020</t>
        </is>
      </c>
      <c r="B798" s="1" t="n">
        <v>44004</v>
      </c>
      <c r="C798" s="1" t="n">
        <v>45852</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29503-2020</t>
        </is>
      </c>
      <c r="B799" s="1" t="n">
        <v>44005</v>
      </c>
      <c r="C799" s="1" t="n">
        <v>45852</v>
      </c>
      <c r="D799" t="inlineStr">
        <is>
          <t>VÄSTERNORRLANDS LÄN</t>
        </is>
      </c>
      <c r="E799" t="inlineStr">
        <is>
          <t>SOLLEFTEÅ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29825-2020</t>
        </is>
      </c>
      <c r="B800" s="1" t="n">
        <v>44005</v>
      </c>
      <c r="C800" s="1" t="n">
        <v>45852</v>
      </c>
      <c r="D800" t="inlineStr">
        <is>
          <t>VÄSTERNORRLANDS LÄN</t>
        </is>
      </c>
      <c r="E800" t="inlineStr">
        <is>
          <t>SOLLEFTEÅ</t>
        </is>
      </c>
      <c r="G800" t="n">
        <v>2.2</v>
      </c>
      <c r="H800" t="n">
        <v>0</v>
      </c>
      <c r="I800" t="n">
        <v>0</v>
      </c>
      <c r="J800" t="n">
        <v>0</v>
      </c>
      <c r="K800" t="n">
        <v>0</v>
      </c>
      <c r="L800" t="n">
        <v>0</v>
      </c>
      <c r="M800" t="n">
        <v>0</v>
      </c>
      <c r="N800" t="n">
        <v>0</v>
      </c>
      <c r="O800" t="n">
        <v>0</v>
      </c>
      <c r="P800" t="n">
        <v>0</v>
      </c>
      <c r="Q800" t="n">
        <v>0</v>
      </c>
      <c r="R800" s="2" t="inlineStr"/>
    </row>
    <row r="801" ht="15" customHeight="1">
      <c r="A801" t="inlineStr">
        <is>
          <t>A 29801-2020</t>
        </is>
      </c>
      <c r="B801" s="1" t="n">
        <v>44005</v>
      </c>
      <c r="C801" s="1" t="n">
        <v>45852</v>
      </c>
      <c r="D801" t="inlineStr">
        <is>
          <t>VÄSTERNORRLANDS LÄN</t>
        </is>
      </c>
      <c r="E801" t="inlineStr">
        <is>
          <t>SOLLEFTEÅ</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30492-2020</t>
        </is>
      </c>
      <c r="B802" s="1" t="n">
        <v>44007</v>
      </c>
      <c r="C802" s="1" t="n">
        <v>45852</v>
      </c>
      <c r="D802" t="inlineStr">
        <is>
          <t>VÄSTERNORRLANDS LÄN</t>
        </is>
      </c>
      <c r="E802" t="inlineStr">
        <is>
          <t>SOLLEFTEÅ</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30484-2020</t>
        </is>
      </c>
      <c r="B803" s="1" t="n">
        <v>44007</v>
      </c>
      <c r="C803" s="1" t="n">
        <v>45852</v>
      </c>
      <c r="D803" t="inlineStr">
        <is>
          <t>VÄSTERNORRLANDS LÄN</t>
        </is>
      </c>
      <c r="E803" t="inlineStr">
        <is>
          <t>SOLLEFTEÅ</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30753-2020</t>
        </is>
      </c>
      <c r="B804" s="1" t="n">
        <v>44008</v>
      </c>
      <c r="C804" s="1" t="n">
        <v>45852</v>
      </c>
      <c r="D804" t="inlineStr">
        <is>
          <t>VÄSTERNORRLANDS LÄN</t>
        </is>
      </c>
      <c r="E804" t="inlineStr">
        <is>
          <t>SOLLEFTEÅ</t>
        </is>
      </c>
      <c r="F804" t="inlineStr">
        <is>
          <t>SCA</t>
        </is>
      </c>
      <c r="G804" t="n">
        <v>10.7</v>
      </c>
      <c r="H804" t="n">
        <v>0</v>
      </c>
      <c r="I804" t="n">
        <v>0</v>
      </c>
      <c r="J804" t="n">
        <v>0</v>
      </c>
      <c r="K804" t="n">
        <v>0</v>
      </c>
      <c r="L804" t="n">
        <v>0</v>
      </c>
      <c r="M804" t="n">
        <v>0</v>
      </c>
      <c r="N804" t="n">
        <v>0</v>
      </c>
      <c r="O804" t="n">
        <v>0</v>
      </c>
      <c r="P804" t="n">
        <v>0</v>
      </c>
      <c r="Q804" t="n">
        <v>0</v>
      </c>
      <c r="R804" s="2" t="inlineStr"/>
    </row>
    <row r="805" ht="15" customHeight="1">
      <c r="A805" t="inlineStr">
        <is>
          <t>A 30747-2020</t>
        </is>
      </c>
      <c r="B805" s="1" t="n">
        <v>44008</v>
      </c>
      <c r="C805" s="1" t="n">
        <v>45852</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30802-2020</t>
        </is>
      </c>
      <c r="B806" s="1" t="n">
        <v>44011</v>
      </c>
      <c r="C806" s="1" t="n">
        <v>45852</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31313-2020</t>
        </is>
      </c>
      <c r="B807" s="1" t="n">
        <v>44012</v>
      </c>
      <c r="C807" s="1" t="n">
        <v>45852</v>
      </c>
      <c r="D807" t="inlineStr">
        <is>
          <t>VÄSTERNORRLANDS LÄN</t>
        </is>
      </c>
      <c r="E807" t="inlineStr">
        <is>
          <t>SOLLEFTEÅ</t>
        </is>
      </c>
      <c r="F807" t="inlineStr">
        <is>
          <t>SCA</t>
        </is>
      </c>
      <c r="G807" t="n">
        <v>6.9</v>
      </c>
      <c r="H807" t="n">
        <v>0</v>
      </c>
      <c r="I807" t="n">
        <v>0</v>
      </c>
      <c r="J807" t="n">
        <v>0</v>
      </c>
      <c r="K807" t="n">
        <v>0</v>
      </c>
      <c r="L807" t="n">
        <v>0</v>
      </c>
      <c r="M807" t="n">
        <v>0</v>
      </c>
      <c r="N807" t="n">
        <v>0</v>
      </c>
      <c r="O807" t="n">
        <v>0</v>
      </c>
      <c r="P807" t="n">
        <v>0</v>
      </c>
      <c r="Q807" t="n">
        <v>0</v>
      </c>
      <c r="R807" s="2" t="inlineStr"/>
    </row>
    <row r="808" ht="15" customHeight="1">
      <c r="A808" t="inlineStr">
        <is>
          <t>A 32013-2020</t>
        </is>
      </c>
      <c r="B808" s="1" t="n">
        <v>44015</v>
      </c>
      <c r="C808" s="1" t="n">
        <v>45852</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32325-2020</t>
        </is>
      </c>
      <c r="B809" s="1" t="n">
        <v>44016</v>
      </c>
      <c r="C809" s="1" t="n">
        <v>45852</v>
      </c>
      <c r="D809" t="inlineStr">
        <is>
          <t>VÄSTERNORRLANDS LÄN</t>
        </is>
      </c>
      <c r="E809" t="inlineStr">
        <is>
          <t>SOLLEFTEÅ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32461-2020</t>
        </is>
      </c>
      <c r="B810" s="1" t="n">
        <v>44015</v>
      </c>
      <c r="C810" s="1" t="n">
        <v>45852</v>
      </c>
      <c r="D810" t="inlineStr">
        <is>
          <t>VÄSTERNORRLANDS LÄN</t>
        </is>
      </c>
      <c r="E810" t="inlineStr">
        <is>
          <t>SOLLEFTEÅ</t>
        </is>
      </c>
      <c r="G810" t="n">
        <v>3.7</v>
      </c>
      <c r="H810" t="n">
        <v>0</v>
      </c>
      <c r="I810" t="n">
        <v>0</v>
      </c>
      <c r="J810" t="n">
        <v>0</v>
      </c>
      <c r="K810" t="n">
        <v>0</v>
      </c>
      <c r="L810" t="n">
        <v>0</v>
      </c>
      <c r="M810" t="n">
        <v>0</v>
      </c>
      <c r="N810" t="n">
        <v>0</v>
      </c>
      <c r="O810" t="n">
        <v>0</v>
      </c>
      <c r="P810" t="n">
        <v>0</v>
      </c>
      <c r="Q810" t="n">
        <v>0</v>
      </c>
      <c r="R810" s="2" t="inlineStr"/>
    </row>
    <row r="811" ht="15" customHeight="1">
      <c r="A811" t="inlineStr">
        <is>
          <t>A 32318-2020</t>
        </is>
      </c>
      <c r="B811" s="1" t="n">
        <v>44015</v>
      </c>
      <c r="C811" s="1" t="n">
        <v>45852</v>
      </c>
      <c r="D811" t="inlineStr">
        <is>
          <t>VÄSTERNORRLANDS LÄN</t>
        </is>
      </c>
      <c r="E811" t="inlineStr">
        <is>
          <t>SOLLEFTEÅ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32919-2020</t>
        </is>
      </c>
      <c r="B812" s="1" t="n">
        <v>44018</v>
      </c>
      <c r="C812" s="1" t="n">
        <v>45852</v>
      </c>
      <c r="D812" t="inlineStr">
        <is>
          <t>VÄSTERNORRLANDS LÄN</t>
        </is>
      </c>
      <c r="E812" t="inlineStr">
        <is>
          <t>SOLLEFTEÅ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32929-2020</t>
        </is>
      </c>
      <c r="B813" s="1" t="n">
        <v>44018</v>
      </c>
      <c r="C813" s="1" t="n">
        <v>45852</v>
      </c>
      <c r="D813" t="inlineStr">
        <is>
          <t>VÄSTERNORRLANDS LÄN</t>
        </is>
      </c>
      <c r="E813" t="inlineStr">
        <is>
          <t>SOLLEFTEÅ</t>
        </is>
      </c>
      <c r="G813" t="n">
        <v>2.3</v>
      </c>
      <c r="H813" t="n">
        <v>0</v>
      </c>
      <c r="I813" t="n">
        <v>0</v>
      </c>
      <c r="J813" t="n">
        <v>0</v>
      </c>
      <c r="K813" t="n">
        <v>0</v>
      </c>
      <c r="L813" t="n">
        <v>0</v>
      </c>
      <c r="M813" t="n">
        <v>0</v>
      </c>
      <c r="N813" t="n">
        <v>0</v>
      </c>
      <c r="O813" t="n">
        <v>0</v>
      </c>
      <c r="P813" t="n">
        <v>0</v>
      </c>
      <c r="Q813" t="n">
        <v>0</v>
      </c>
      <c r="R813" s="2" t="inlineStr"/>
    </row>
    <row r="814" ht="15" customHeight="1">
      <c r="A814" t="inlineStr">
        <is>
          <t>A 32924-2020</t>
        </is>
      </c>
      <c r="B814" s="1" t="n">
        <v>44018</v>
      </c>
      <c r="C814" s="1" t="n">
        <v>45852</v>
      </c>
      <c r="D814" t="inlineStr">
        <is>
          <t>VÄSTERNORRLANDS LÄN</t>
        </is>
      </c>
      <c r="E814" t="inlineStr">
        <is>
          <t>SOLLEFTEÅ</t>
        </is>
      </c>
      <c r="G814" t="n">
        <v>2.8</v>
      </c>
      <c r="H814" t="n">
        <v>0</v>
      </c>
      <c r="I814" t="n">
        <v>0</v>
      </c>
      <c r="J814" t="n">
        <v>0</v>
      </c>
      <c r="K814" t="n">
        <v>0</v>
      </c>
      <c r="L814" t="n">
        <v>0</v>
      </c>
      <c r="M814" t="n">
        <v>0</v>
      </c>
      <c r="N814" t="n">
        <v>0</v>
      </c>
      <c r="O814" t="n">
        <v>0</v>
      </c>
      <c r="P814" t="n">
        <v>0</v>
      </c>
      <c r="Q814" t="n">
        <v>0</v>
      </c>
      <c r="R814" s="2" t="inlineStr"/>
    </row>
    <row r="815" ht="15" customHeight="1">
      <c r="A815" t="inlineStr">
        <is>
          <t>A 32742-2020</t>
        </is>
      </c>
      <c r="B815" s="1" t="n">
        <v>44019</v>
      </c>
      <c r="C815" s="1" t="n">
        <v>45852</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33013-2020</t>
        </is>
      </c>
      <c r="B816" s="1" t="n">
        <v>44020</v>
      </c>
      <c r="C816" s="1" t="n">
        <v>45852</v>
      </c>
      <c r="D816" t="inlineStr">
        <is>
          <t>VÄSTERNORRLANDS LÄN</t>
        </is>
      </c>
      <c r="E816" t="inlineStr">
        <is>
          <t>SOLLEFTEÅ</t>
        </is>
      </c>
      <c r="F816" t="inlineStr">
        <is>
          <t>SCA</t>
        </is>
      </c>
      <c r="G816" t="n">
        <v>6.6</v>
      </c>
      <c r="H816" t="n">
        <v>0</v>
      </c>
      <c r="I816" t="n">
        <v>0</v>
      </c>
      <c r="J816" t="n">
        <v>0</v>
      </c>
      <c r="K816" t="n">
        <v>0</v>
      </c>
      <c r="L816" t="n">
        <v>0</v>
      </c>
      <c r="M816" t="n">
        <v>0</v>
      </c>
      <c r="N816" t="n">
        <v>0</v>
      </c>
      <c r="O816" t="n">
        <v>0</v>
      </c>
      <c r="P816" t="n">
        <v>0</v>
      </c>
      <c r="Q816" t="n">
        <v>0</v>
      </c>
      <c r="R816" s="2" t="inlineStr"/>
    </row>
    <row r="817" ht="15" customHeight="1">
      <c r="A817" t="inlineStr">
        <is>
          <t>A 33009-2020</t>
        </is>
      </c>
      <c r="B817" s="1" t="n">
        <v>44020</v>
      </c>
      <c r="C817" s="1" t="n">
        <v>45852</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33014-2020</t>
        </is>
      </c>
      <c r="B818" s="1" t="n">
        <v>44021</v>
      </c>
      <c r="C818" s="1" t="n">
        <v>45852</v>
      </c>
      <c r="D818" t="inlineStr">
        <is>
          <t>VÄSTERNORRLANDS LÄN</t>
        </is>
      </c>
      <c r="E818" t="inlineStr">
        <is>
          <t>SOLLEFTEÅ</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33010-2020</t>
        </is>
      </c>
      <c r="B819" s="1" t="n">
        <v>44020</v>
      </c>
      <c r="C819" s="1" t="n">
        <v>45852</v>
      </c>
      <c r="D819" t="inlineStr">
        <is>
          <t>VÄSTERNORRLANDS LÄN</t>
        </is>
      </c>
      <c r="E819" t="inlineStr">
        <is>
          <t>SOLLEFTEÅ</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33200-2020</t>
        </is>
      </c>
      <c r="B820" s="1" t="n">
        <v>44021</v>
      </c>
      <c r="C820" s="1" t="n">
        <v>45852</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33211-2020</t>
        </is>
      </c>
      <c r="B821" s="1" t="n">
        <v>44021</v>
      </c>
      <c r="C821" s="1" t="n">
        <v>45852</v>
      </c>
      <c r="D821" t="inlineStr">
        <is>
          <t>VÄSTERNORRLANDS LÄN</t>
        </is>
      </c>
      <c r="E821" t="inlineStr">
        <is>
          <t>SOLLEFTEÅ</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33212-2020</t>
        </is>
      </c>
      <c r="B822" s="1" t="n">
        <v>44021</v>
      </c>
      <c r="C822" s="1" t="n">
        <v>45852</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33440-2020</t>
        </is>
      </c>
      <c r="B823" s="1" t="n">
        <v>44022</v>
      </c>
      <c r="C823" s="1" t="n">
        <v>45852</v>
      </c>
      <c r="D823" t="inlineStr">
        <is>
          <t>VÄSTERNORRLANDS LÄN</t>
        </is>
      </c>
      <c r="E823" t="inlineStr">
        <is>
          <t>SOLLEFTEÅ</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33458-2020</t>
        </is>
      </c>
      <c r="B824" s="1" t="n">
        <v>44022</v>
      </c>
      <c r="C824" s="1" t="n">
        <v>45852</v>
      </c>
      <c r="D824" t="inlineStr">
        <is>
          <t>VÄSTERNORRLANDS LÄN</t>
        </is>
      </c>
      <c r="E824" t="inlineStr">
        <is>
          <t>SOLLEFTEÅ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33445-2020</t>
        </is>
      </c>
      <c r="B825" s="1" t="n">
        <v>44022</v>
      </c>
      <c r="C825" s="1" t="n">
        <v>45852</v>
      </c>
      <c r="D825" t="inlineStr">
        <is>
          <t>VÄSTERNORRLANDS LÄN</t>
        </is>
      </c>
      <c r="E825" t="inlineStr">
        <is>
          <t>SOLLEFTEÅ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33492-2020</t>
        </is>
      </c>
      <c r="B826" s="1" t="n">
        <v>44024</v>
      </c>
      <c r="C826" s="1" t="n">
        <v>45852</v>
      </c>
      <c r="D826" t="inlineStr">
        <is>
          <t>VÄSTERNORRLANDS LÄN</t>
        </is>
      </c>
      <c r="E826" t="inlineStr">
        <is>
          <t>SOLLEFTEÅ</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33640-2020</t>
        </is>
      </c>
      <c r="B827" s="1" t="n">
        <v>44025</v>
      </c>
      <c r="C827" s="1" t="n">
        <v>45852</v>
      </c>
      <c r="D827" t="inlineStr">
        <is>
          <t>VÄSTERNORRLANDS LÄN</t>
        </is>
      </c>
      <c r="E827" t="inlineStr">
        <is>
          <t>SOLLEFTEÅ</t>
        </is>
      </c>
      <c r="F827" t="inlineStr">
        <is>
          <t>SCA</t>
        </is>
      </c>
      <c r="G827" t="n">
        <v>6.2</v>
      </c>
      <c r="H827" t="n">
        <v>0</v>
      </c>
      <c r="I827" t="n">
        <v>0</v>
      </c>
      <c r="J827" t="n">
        <v>0</v>
      </c>
      <c r="K827" t="n">
        <v>0</v>
      </c>
      <c r="L827" t="n">
        <v>0</v>
      </c>
      <c r="M827" t="n">
        <v>0</v>
      </c>
      <c r="N827" t="n">
        <v>0</v>
      </c>
      <c r="O827" t="n">
        <v>0</v>
      </c>
      <c r="P827" t="n">
        <v>0</v>
      </c>
      <c r="Q827" t="n">
        <v>0</v>
      </c>
      <c r="R827" s="2" t="inlineStr"/>
    </row>
    <row r="828" ht="15" customHeight="1">
      <c r="A828" t="inlineStr">
        <is>
          <t>A 33641-2020</t>
        </is>
      </c>
      <c r="B828" s="1" t="n">
        <v>44025</v>
      </c>
      <c r="C828" s="1" t="n">
        <v>45852</v>
      </c>
      <c r="D828" t="inlineStr">
        <is>
          <t>VÄSTERNORRLANDS LÄN</t>
        </is>
      </c>
      <c r="E828" t="inlineStr">
        <is>
          <t>SOLLEFTEÅ</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33628-2020</t>
        </is>
      </c>
      <c r="B829" s="1" t="n">
        <v>44025</v>
      </c>
      <c r="C829" s="1" t="n">
        <v>45852</v>
      </c>
      <c r="D829" t="inlineStr">
        <is>
          <t>VÄSTERNORRLANDS LÄN</t>
        </is>
      </c>
      <c r="E829" t="inlineStr">
        <is>
          <t>SOLLEFTEÅ</t>
        </is>
      </c>
      <c r="F829" t="inlineStr">
        <is>
          <t>SCA</t>
        </is>
      </c>
      <c r="G829" t="n">
        <v>8</v>
      </c>
      <c r="H829" t="n">
        <v>0</v>
      </c>
      <c r="I829" t="n">
        <v>0</v>
      </c>
      <c r="J829" t="n">
        <v>0</v>
      </c>
      <c r="K829" t="n">
        <v>0</v>
      </c>
      <c r="L829" t="n">
        <v>0</v>
      </c>
      <c r="M829" t="n">
        <v>0</v>
      </c>
      <c r="N829" t="n">
        <v>0</v>
      </c>
      <c r="O829" t="n">
        <v>0</v>
      </c>
      <c r="P829" t="n">
        <v>0</v>
      </c>
      <c r="Q829" t="n">
        <v>0</v>
      </c>
      <c r="R829" s="2" t="inlineStr"/>
    </row>
    <row r="830" ht="15" customHeight="1">
      <c r="A830" t="inlineStr">
        <is>
          <t>A 33784-2020</t>
        </is>
      </c>
      <c r="B830" s="1" t="n">
        <v>44026</v>
      </c>
      <c r="C830" s="1" t="n">
        <v>45852</v>
      </c>
      <c r="D830" t="inlineStr">
        <is>
          <t>VÄSTERNORRLANDS LÄN</t>
        </is>
      </c>
      <c r="E830" t="inlineStr">
        <is>
          <t>SOLLEFTEÅ</t>
        </is>
      </c>
      <c r="F830" t="inlineStr">
        <is>
          <t>SCA</t>
        </is>
      </c>
      <c r="G830" t="n">
        <v>10.6</v>
      </c>
      <c r="H830" t="n">
        <v>0</v>
      </c>
      <c r="I830" t="n">
        <v>0</v>
      </c>
      <c r="J830" t="n">
        <v>0</v>
      </c>
      <c r="K830" t="n">
        <v>0</v>
      </c>
      <c r="L830" t="n">
        <v>0</v>
      </c>
      <c r="M830" t="n">
        <v>0</v>
      </c>
      <c r="N830" t="n">
        <v>0</v>
      </c>
      <c r="O830" t="n">
        <v>0</v>
      </c>
      <c r="P830" t="n">
        <v>0</v>
      </c>
      <c r="Q830" t="n">
        <v>0</v>
      </c>
      <c r="R830" s="2" t="inlineStr"/>
    </row>
    <row r="831" ht="15" customHeight="1">
      <c r="A831" t="inlineStr">
        <is>
          <t>A 33782-2020</t>
        </is>
      </c>
      <c r="B831" s="1" t="n">
        <v>44026</v>
      </c>
      <c r="C831" s="1" t="n">
        <v>45852</v>
      </c>
      <c r="D831" t="inlineStr">
        <is>
          <t>VÄSTERNORRLANDS LÄN</t>
        </is>
      </c>
      <c r="E831" t="inlineStr">
        <is>
          <t>SOLLEFTEÅ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33950-2020</t>
        </is>
      </c>
      <c r="B832" s="1" t="n">
        <v>44027</v>
      </c>
      <c r="C832" s="1" t="n">
        <v>45852</v>
      </c>
      <c r="D832" t="inlineStr">
        <is>
          <t>VÄSTERNORRLANDS LÄN</t>
        </is>
      </c>
      <c r="E832" t="inlineStr">
        <is>
          <t>SOLLEFTEÅ</t>
        </is>
      </c>
      <c r="F832" t="inlineStr">
        <is>
          <t>SCA</t>
        </is>
      </c>
      <c r="G832" t="n">
        <v>4.2</v>
      </c>
      <c r="H832" t="n">
        <v>0</v>
      </c>
      <c r="I832" t="n">
        <v>0</v>
      </c>
      <c r="J832" t="n">
        <v>0</v>
      </c>
      <c r="K832" t="n">
        <v>0</v>
      </c>
      <c r="L832" t="n">
        <v>0</v>
      </c>
      <c r="M832" t="n">
        <v>0</v>
      </c>
      <c r="N832" t="n">
        <v>0</v>
      </c>
      <c r="O832" t="n">
        <v>0</v>
      </c>
      <c r="P832" t="n">
        <v>0</v>
      </c>
      <c r="Q832" t="n">
        <v>0</v>
      </c>
      <c r="R832" s="2" t="inlineStr"/>
    </row>
    <row r="833" ht="15" customHeight="1">
      <c r="A833" t="inlineStr">
        <is>
          <t>A 34120-2020</t>
        </is>
      </c>
      <c r="B833" s="1" t="n">
        <v>44029</v>
      </c>
      <c r="C833" s="1" t="n">
        <v>45852</v>
      </c>
      <c r="D833" t="inlineStr">
        <is>
          <t>VÄSTERNORRLANDS LÄN</t>
        </is>
      </c>
      <c r="E833" t="inlineStr">
        <is>
          <t>SOLLEFTEÅ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34474-2020</t>
        </is>
      </c>
      <c r="B834" s="1" t="n">
        <v>44032</v>
      </c>
      <c r="C834" s="1" t="n">
        <v>45852</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34585-2020</t>
        </is>
      </c>
      <c r="B835" s="1" t="n">
        <v>44033</v>
      </c>
      <c r="C835" s="1" t="n">
        <v>45852</v>
      </c>
      <c r="D835" t="inlineStr">
        <is>
          <t>VÄSTERNORRLANDS LÄN</t>
        </is>
      </c>
      <c r="E835" t="inlineStr">
        <is>
          <t>SOLLEFTEÅ</t>
        </is>
      </c>
      <c r="F835" t="inlineStr">
        <is>
          <t>SCA</t>
        </is>
      </c>
      <c r="G835" t="n">
        <v>10</v>
      </c>
      <c r="H835" t="n">
        <v>0</v>
      </c>
      <c r="I835" t="n">
        <v>0</v>
      </c>
      <c r="J835" t="n">
        <v>0</v>
      </c>
      <c r="K835" t="n">
        <v>0</v>
      </c>
      <c r="L835" t="n">
        <v>0</v>
      </c>
      <c r="M835" t="n">
        <v>0</v>
      </c>
      <c r="N835" t="n">
        <v>0</v>
      </c>
      <c r="O835" t="n">
        <v>0</v>
      </c>
      <c r="P835" t="n">
        <v>0</v>
      </c>
      <c r="Q835" t="n">
        <v>0</v>
      </c>
      <c r="R835" s="2" t="inlineStr"/>
    </row>
    <row r="836" ht="15" customHeight="1">
      <c r="A836" t="inlineStr">
        <is>
          <t>A 34669-2020</t>
        </is>
      </c>
      <c r="B836" s="1" t="n">
        <v>44034</v>
      </c>
      <c r="C836" s="1" t="n">
        <v>45852</v>
      </c>
      <c r="D836" t="inlineStr">
        <is>
          <t>VÄSTERNORRLANDS LÄN</t>
        </is>
      </c>
      <c r="E836" t="inlineStr">
        <is>
          <t>SOLLEFTEÅ</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34800-2020</t>
        </is>
      </c>
      <c r="B837" s="1" t="n">
        <v>44035</v>
      </c>
      <c r="C837" s="1" t="n">
        <v>45852</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34921-2020</t>
        </is>
      </c>
      <c r="B838" s="1" t="n">
        <v>44036</v>
      </c>
      <c r="C838" s="1" t="n">
        <v>45852</v>
      </c>
      <c r="D838" t="inlineStr">
        <is>
          <t>VÄSTERNORRLANDS LÄN</t>
        </is>
      </c>
      <c r="E838" t="inlineStr">
        <is>
          <t>SOLLEFTEÅ</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34923-2020</t>
        </is>
      </c>
      <c r="B839" s="1" t="n">
        <v>44037</v>
      </c>
      <c r="C839" s="1" t="n">
        <v>45852</v>
      </c>
      <c r="D839" t="inlineStr">
        <is>
          <t>VÄSTERNORRLANDS LÄN</t>
        </is>
      </c>
      <c r="E839" t="inlineStr">
        <is>
          <t>SOLLEFTEÅ</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34922-2020</t>
        </is>
      </c>
      <c r="B840" s="1" t="n">
        <v>44036</v>
      </c>
      <c r="C840" s="1" t="n">
        <v>45852</v>
      </c>
      <c r="D840" t="inlineStr">
        <is>
          <t>VÄSTERNORRLANDS LÄN</t>
        </is>
      </c>
      <c r="E840" t="inlineStr">
        <is>
          <t>SOLLEFTEÅ</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35372-2020</t>
        </is>
      </c>
      <c r="B841" s="1" t="n">
        <v>44041</v>
      </c>
      <c r="C841" s="1" t="n">
        <v>45852</v>
      </c>
      <c r="D841" t="inlineStr">
        <is>
          <t>VÄSTERNORRLANDS LÄN</t>
        </is>
      </c>
      <c r="E841" t="inlineStr">
        <is>
          <t>SOLLEFTEÅ</t>
        </is>
      </c>
      <c r="F841" t="inlineStr">
        <is>
          <t>SCA</t>
        </is>
      </c>
      <c r="G841" t="n">
        <v>12.3</v>
      </c>
      <c r="H841" t="n">
        <v>0</v>
      </c>
      <c r="I841" t="n">
        <v>0</v>
      </c>
      <c r="J841" t="n">
        <v>0</v>
      </c>
      <c r="K841" t="n">
        <v>0</v>
      </c>
      <c r="L841" t="n">
        <v>0</v>
      </c>
      <c r="M841" t="n">
        <v>0</v>
      </c>
      <c r="N841" t="n">
        <v>0</v>
      </c>
      <c r="O841" t="n">
        <v>0</v>
      </c>
      <c r="P841" t="n">
        <v>0</v>
      </c>
      <c r="Q841" t="n">
        <v>0</v>
      </c>
      <c r="R841" s="2" t="inlineStr"/>
    </row>
    <row r="842" ht="15" customHeight="1">
      <c r="A842" t="inlineStr">
        <is>
          <t>A 35361-2020</t>
        </is>
      </c>
      <c r="B842" s="1" t="n">
        <v>44041</v>
      </c>
      <c r="C842" s="1" t="n">
        <v>45852</v>
      </c>
      <c r="D842" t="inlineStr">
        <is>
          <t>VÄSTERNORRLANDS LÄN</t>
        </is>
      </c>
      <c r="E842" t="inlineStr">
        <is>
          <t>SOLLEFTEÅ</t>
        </is>
      </c>
      <c r="F842" t="inlineStr">
        <is>
          <t>SCA</t>
        </is>
      </c>
      <c r="G842" t="n">
        <v>13.6</v>
      </c>
      <c r="H842" t="n">
        <v>0</v>
      </c>
      <c r="I842" t="n">
        <v>0</v>
      </c>
      <c r="J842" t="n">
        <v>0</v>
      </c>
      <c r="K842" t="n">
        <v>0</v>
      </c>
      <c r="L842" t="n">
        <v>0</v>
      </c>
      <c r="M842" t="n">
        <v>0</v>
      </c>
      <c r="N842" t="n">
        <v>0</v>
      </c>
      <c r="O842" t="n">
        <v>0</v>
      </c>
      <c r="P842" t="n">
        <v>0</v>
      </c>
      <c r="Q842" t="n">
        <v>0</v>
      </c>
      <c r="R842" s="2" t="inlineStr"/>
    </row>
    <row r="843" ht="15" customHeight="1">
      <c r="A843" t="inlineStr">
        <is>
          <t>A 36789-2020</t>
        </is>
      </c>
      <c r="B843" s="1" t="n">
        <v>44048</v>
      </c>
      <c r="C843" s="1" t="n">
        <v>45852</v>
      </c>
      <c r="D843" t="inlineStr">
        <is>
          <t>VÄSTERNORRLANDS LÄN</t>
        </is>
      </c>
      <c r="E843" t="inlineStr">
        <is>
          <t>SOLLEFTEÅ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36660-2020</t>
        </is>
      </c>
      <c r="B844" s="1" t="n">
        <v>44050</v>
      </c>
      <c r="C844" s="1" t="n">
        <v>45852</v>
      </c>
      <c r="D844" t="inlineStr">
        <is>
          <t>VÄSTERNORRLANDS LÄN</t>
        </is>
      </c>
      <c r="E844" t="inlineStr">
        <is>
          <t>SOLLEFTEÅ</t>
        </is>
      </c>
      <c r="G844" t="n">
        <v>18.2</v>
      </c>
      <c r="H844" t="n">
        <v>0</v>
      </c>
      <c r="I844" t="n">
        <v>0</v>
      </c>
      <c r="J844" t="n">
        <v>0</v>
      </c>
      <c r="K844" t="n">
        <v>0</v>
      </c>
      <c r="L844" t="n">
        <v>0</v>
      </c>
      <c r="M844" t="n">
        <v>0</v>
      </c>
      <c r="N844" t="n">
        <v>0</v>
      </c>
      <c r="O844" t="n">
        <v>0</v>
      </c>
      <c r="P844" t="n">
        <v>0</v>
      </c>
      <c r="Q844" t="n">
        <v>0</v>
      </c>
      <c r="R844" s="2" t="inlineStr"/>
    </row>
    <row r="845" ht="15" customHeight="1">
      <c r="A845" t="inlineStr">
        <is>
          <t>A 36811-2020</t>
        </is>
      </c>
      <c r="B845" s="1" t="n">
        <v>44053</v>
      </c>
      <c r="C845" s="1" t="n">
        <v>45852</v>
      </c>
      <c r="D845" t="inlineStr">
        <is>
          <t>VÄSTERNORRLANDS LÄN</t>
        </is>
      </c>
      <c r="E845" t="inlineStr">
        <is>
          <t>SOLLEFTEÅ</t>
        </is>
      </c>
      <c r="G845" t="n">
        <v>4.7</v>
      </c>
      <c r="H845" t="n">
        <v>0</v>
      </c>
      <c r="I845" t="n">
        <v>0</v>
      </c>
      <c r="J845" t="n">
        <v>0</v>
      </c>
      <c r="K845" t="n">
        <v>0</v>
      </c>
      <c r="L845" t="n">
        <v>0</v>
      </c>
      <c r="M845" t="n">
        <v>0</v>
      </c>
      <c r="N845" t="n">
        <v>0</v>
      </c>
      <c r="O845" t="n">
        <v>0</v>
      </c>
      <c r="P845" t="n">
        <v>0</v>
      </c>
      <c r="Q845" t="n">
        <v>0</v>
      </c>
      <c r="R845" s="2" t="inlineStr"/>
    </row>
    <row r="846" ht="15" customHeight="1">
      <c r="A846" t="inlineStr">
        <is>
          <t>A 37710-2020</t>
        </is>
      </c>
      <c r="B846" s="1" t="n">
        <v>44056</v>
      </c>
      <c r="C846" s="1" t="n">
        <v>45852</v>
      </c>
      <c r="D846" t="inlineStr">
        <is>
          <t>VÄSTERNORRLANDS LÄN</t>
        </is>
      </c>
      <c r="E846" t="inlineStr">
        <is>
          <t>SOLLEFTEÅ</t>
        </is>
      </c>
      <c r="F846" t="inlineStr">
        <is>
          <t>Kommuner</t>
        </is>
      </c>
      <c r="G846" t="n">
        <v>1</v>
      </c>
      <c r="H846" t="n">
        <v>0</v>
      </c>
      <c r="I846" t="n">
        <v>0</v>
      </c>
      <c r="J846" t="n">
        <v>0</v>
      </c>
      <c r="K846" t="n">
        <v>0</v>
      </c>
      <c r="L846" t="n">
        <v>0</v>
      </c>
      <c r="M846" t="n">
        <v>0</v>
      </c>
      <c r="N846" t="n">
        <v>0</v>
      </c>
      <c r="O846" t="n">
        <v>0</v>
      </c>
      <c r="P846" t="n">
        <v>0</v>
      </c>
      <c r="Q846" t="n">
        <v>0</v>
      </c>
      <c r="R846" s="2" t="inlineStr"/>
    </row>
    <row r="847" ht="15" customHeight="1">
      <c r="A847" t="inlineStr">
        <is>
          <t>A 38482-2020</t>
        </is>
      </c>
      <c r="B847" s="1" t="n">
        <v>44060</v>
      </c>
      <c r="C847" s="1" t="n">
        <v>45852</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38517-2020</t>
        </is>
      </c>
      <c r="B848" s="1" t="n">
        <v>44060</v>
      </c>
      <c r="C848" s="1" t="n">
        <v>45852</v>
      </c>
      <c r="D848" t="inlineStr">
        <is>
          <t>VÄSTERNORRLANDS LÄN</t>
        </is>
      </c>
      <c r="E848" t="inlineStr">
        <is>
          <t>SOLLEFTEÅ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39007-2020</t>
        </is>
      </c>
      <c r="B849" s="1" t="n">
        <v>44062</v>
      </c>
      <c r="C849" s="1" t="n">
        <v>45852</v>
      </c>
      <c r="D849" t="inlineStr">
        <is>
          <t>VÄSTERNORRLANDS LÄN</t>
        </is>
      </c>
      <c r="E849" t="inlineStr">
        <is>
          <t>SOLLEFTEÅ</t>
        </is>
      </c>
      <c r="F849" t="inlineStr">
        <is>
          <t>Kyrkan</t>
        </is>
      </c>
      <c r="G849" t="n">
        <v>5</v>
      </c>
      <c r="H849" t="n">
        <v>0</v>
      </c>
      <c r="I849" t="n">
        <v>0</v>
      </c>
      <c r="J849" t="n">
        <v>0</v>
      </c>
      <c r="K849" t="n">
        <v>0</v>
      </c>
      <c r="L849" t="n">
        <v>0</v>
      </c>
      <c r="M849" t="n">
        <v>0</v>
      </c>
      <c r="N849" t="n">
        <v>0</v>
      </c>
      <c r="O849" t="n">
        <v>0</v>
      </c>
      <c r="P849" t="n">
        <v>0</v>
      </c>
      <c r="Q849" t="n">
        <v>0</v>
      </c>
      <c r="R849" s="2" t="inlineStr"/>
    </row>
    <row r="850" ht="15" customHeight="1">
      <c r="A850" t="inlineStr">
        <is>
          <t>A 39077-2020</t>
        </is>
      </c>
      <c r="B850" s="1" t="n">
        <v>44062</v>
      </c>
      <c r="C850" s="1" t="n">
        <v>45852</v>
      </c>
      <c r="D850" t="inlineStr">
        <is>
          <t>VÄSTERNORRLANDS LÄN</t>
        </is>
      </c>
      <c r="E850" t="inlineStr">
        <is>
          <t>SOLLEFTEÅ</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39016-2020</t>
        </is>
      </c>
      <c r="B851" s="1" t="n">
        <v>44062</v>
      </c>
      <c r="C851" s="1" t="n">
        <v>45852</v>
      </c>
      <c r="D851" t="inlineStr">
        <is>
          <t>VÄSTERNORRLANDS LÄN</t>
        </is>
      </c>
      <c r="E851" t="inlineStr">
        <is>
          <t>SOLLEFTEÅ</t>
        </is>
      </c>
      <c r="F851" t="inlineStr">
        <is>
          <t>Kyrkan</t>
        </is>
      </c>
      <c r="G851" t="n">
        <v>2.4</v>
      </c>
      <c r="H851" t="n">
        <v>0</v>
      </c>
      <c r="I851" t="n">
        <v>0</v>
      </c>
      <c r="J851" t="n">
        <v>0</v>
      </c>
      <c r="K851" t="n">
        <v>0</v>
      </c>
      <c r="L851" t="n">
        <v>0</v>
      </c>
      <c r="M851" t="n">
        <v>0</v>
      </c>
      <c r="N851" t="n">
        <v>0</v>
      </c>
      <c r="O851" t="n">
        <v>0</v>
      </c>
      <c r="P851" t="n">
        <v>0</v>
      </c>
      <c r="Q851" t="n">
        <v>0</v>
      </c>
      <c r="R851" s="2" t="inlineStr"/>
    </row>
    <row r="852" ht="15" customHeight="1">
      <c r="A852" t="inlineStr">
        <is>
          <t>A 39148-2020</t>
        </is>
      </c>
      <c r="B852" s="1" t="n">
        <v>44063</v>
      </c>
      <c r="C852" s="1" t="n">
        <v>45852</v>
      </c>
      <c r="D852" t="inlineStr">
        <is>
          <t>VÄSTERNORRLANDS LÄN</t>
        </is>
      </c>
      <c r="E852" t="inlineStr">
        <is>
          <t>SOLLEFTEÅ</t>
        </is>
      </c>
      <c r="G852" t="n">
        <v>0.7</v>
      </c>
      <c r="H852" t="n">
        <v>0</v>
      </c>
      <c r="I852" t="n">
        <v>0</v>
      </c>
      <c r="J852" t="n">
        <v>0</v>
      </c>
      <c r="K852" t="n">
        <v>0</v>
      </c>
      <c r="L852" t="n">
        <v>0</v>
      </c>
      <c r="M852" t="n">
        <v>0</v>
      </c>
      <c r="N852" t="n">
        <v>0</v>
      </c>
      <c r="O852" t="n">
        <v>0</v>
      </c>
      <c r="P852" t="n">
        <v>0</v>
      </c>
      <c r="Q852" t="n">
        <v>0</v>
      </c>
      <c r="R852" s="2" t="inlineStr"/>
    </row>
    <row r="853" ht="15" customHeight="1">
      <c r="A853" t="inlineStr">
        <is>
          <t>A 39409-2020</t>
        </is>
      </c>
      <c r="B853" s="1" t="n">
        <v>44064</v>
      </c>
      <c r="C853" s="1" t="n">
        <v>45852</v>
      </c>
      <c r="D853" t="inlineStr">
        <is>
          <t>VÄSTERNORRLANDS LÄN</t>
        </is>
      </c>
      <c r="E853" t="inlineStr">
        <is>
          <t>SOLLEFTEÅ</t>
        </is>
      </c>
      <c r="F853" t="inlineStr">
        <is>
          <t>Holmen skog AB</t>
        </is>
      </c>
      <c r="G853" t="n">
        <v>7.8</v>
      </c>
      <c r="H853" t="n">
        <v>0</v>
      </c>
      <c r="I853" t="n">
        <v>0</v>
      </c>
      <c r="J853" t="n">
        <v>0</v>
      </c>
      <c r="K853" t="n">
        <v>0</v>
      </c>
      <c r="L853" t="n">
        <v>0</v>
      </c>
      <c r="M853" t="n">
        <v>0</v>
      </c>
      <c r="N853" t="n">
        <v>0</v>
      </c>
      <c r="O853" t="n">
        <v>0</v>
      </c>
      <c r="P853" t="n">
        <v>0</v>
      </c>
      <c r="Q853" t="n">
        <v>0</v>
      </c>
      <c r="R853" s="2" t="inlineStr"/>
    </row>
    <row r="854" ht="15" customHeight="1">
      <c r="A854" t="inlineStr">
        <is>
          <t>A 39479-2020</t>
        </is>
      </c>
      <c r="B854" s="1" t="n">
        <v>44064</v>
      </c>
      <c r="C854" s="1" t="n">
        <v>45852</v>
      </c>
      <c r="D854" t="inlineStr">
        <is>
          <t>VÄSTERNORRLANDS LÄN</t>
        </is>
      </c>
      <c r="E854" t="inlineStr">
        <is>
          <t>SOLLEFTEÅ</t>
        </is>
      </c>
      <c r="G854" t="n">
        <v>17.8</v>
      </c>
      <c r="H854" t="n">
        <v>0</v>
      </c>
      <c r="I854" t="n">
        <v>0</v>
      </c>
      <c r="J854" t="n">
        <v>0</v>
      </c>
      <c r="K854" t="n">
        <v>0</v>
      </c>
      <c r="L854" t="n">
        <v>0</v>
      </c>
      <c r="M854" t="n">
        <v>0</v>
      </c>
      <c r="N854" t="n">
        <v>0</v>
      </c>
      <c r="O854" t="n">
        <v>0</v>
      </c>
      <c r="P854" t="n">
        <v>0</v>
      </c>
      <c r="Q854" t="n">
        <v>0</v>
      </c>
      <c r="R854" s="2" t="inlineStr"/>
    </row>
    <row r="855" ht="15" customHeight="1">
      <c r="A855" t="inlineStr">
        <is>
          <t>A 40180-2020</t>
        </is>
      </c>
      <c r="B855" s="1" t="n">
        <v>44064</v>
      </c>
      <c r="C855" s="1" t="n">
        <v>45852</v>
      </c>
      <c r="D855" t="inlineStr">
        <is>
          <t>VÄSTERNORRLANDS LÄN</t>
        </is>
      </c>
      <c r="E855" t="inlineStr">
        <is>
          <t>SOLLEFTEÅ</t>
        </is>
      </c>
      <c r="G855" t="n">
        <v>3.8</v>
      </c>
      <c r="H855" t="n">
        <v>0</v>
      </c>
      <c r="I855" t="n">
        <v>0</v>
      </c>
      <c r="J855" t="n">
        <v>0</v>
      </c>
      <c r="K855" t="n">
        <v>0</v>
      </c>
      <c r="L855" t="n">
        <v>0</v>
      </c>
      <c r="M855" t="n">
        <v>0</v>
      </c>
      <c r="N855" t="n">
        <v>0</v>
      </c>
      <c r="O855" t="n">
        <v>0</v>
      </c>
      <c r="P855" t="n">
        <v>0</v>
      </c>
      <c r="Q855" t="n">
        <v>0</v>
      </c>
      <c r="R855" s="2" t="inlineStr"/>
    </row>
    <row r="856" ht="15" customHeight="1">
      <c r="A856" t="inlineStr">
        <is>
          <t>A 39681-2020</t>
        </is>
      </c>
      <c r="B856" s="1" t="n">
        <v>44065</v>
      </c>
      <c r="C856" s="1" t="n">
        <v>45852</v>
      </c>
      <c r="D856" t="inlineStr">
        <is>
          <t>VÄSTERNORRLANDS LÄN</t>
        </is>
      </c>
      <c r="E856" t="inlineStr">
        <is>
          <t>SOLLEFTEÅ</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40476-2020</t>
        </is>
      </c>
      <c r="B857" s="1" t="n">
        <v>44067</v>
      </c>
      <c r="C857" s="1" t="n">
        <v>45852</v>
      </c>
      <c r="D857" t="inlineStr">
        <is>
          <t>VÄSTERNORRLANDS LÄN</t>
        </is>
      </c>
      <c r="E857" t="inlineStr">
        <is>
          <t>SOLLEFTEÅ</t>
        </is>
      </c>
      <c r="G857" t="n">
        <v>8</v>
      </c>
      <c r="H857" t="n">
        <v>0</v>
      </c>
      <c r="I857" t="n">
        <v>0</v>
      </c>
      <c r="J857" t="n">
        <v>0</v>
      </c>
      <c r="K857" t="n">
        <v>0</v>
      </c>
      <c r="L857" t="n">
        <v>0</v>
      </c>
      <c r="M857" t="n">
        <v>0</v>
      </c>
      <c r="N857" t="n">
        <v>0</v>
      </c>
      <c r="O857" t="n">
        <v>0</v>
      </c>
      <c r="P857" t="n">
        <v>0</v>
      </c>
      <c r="Q857" t="n">
        <v>0</v>
      </c>
      <c r="R857" s="2" t="inlineStr"/>
    </row>
    <row r="858" ht="15" customHeight="1">
      <c r="A858" t="inlineStr">
        <is>
          <t>A 40697-2020</t>
        </is>
      </c>
      <c r="B858" s="1" t="n">
        <v>44067</v>
      </c>
      <c r="C858" s="1" t="n">
        <v>45852</v>
      </c>
      <c r="D858" t="inlineStr">
        <is>
          <t>VÄSTERNORRLANDS LÄN</t>
        </is>
      </c>
      <c r="E858" t="inlineStr">
        <is>
          <t>SOLLEFTEÅ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40682-2020</t>
        </is>
      </c>
      <c r="B859" s="1" t="n">
        <v>44067</v>
      </c>
      <c r="C859" s="1" t="n">
        <v>45852</v>
      </c>
      <c r="D859" t="inlineStr">
        <is>
          <t>VÄSTERNORRLANDS LÄN</t>
        </is>
      </c>
      <c r="E859" t="inlineStr">
        <is>
          <t>SOLLEFTEÅ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40735-2020</t>
        </is>
      </c>
      <c r="B860" s="1" t="n">
        <v>44069</v>
      </c>
      <c r="C860" s="1" t="n">
        <v>45852</v>
      </c>
      <c r="D860" t="inlineStr">
        <is>
          <t>VÄSTERNORRLANDS LÄN</t>
        </is>
      </c>
      <c r="E860" t="inlineStr">
        <is>
          <t>SOLLEFTEÅ</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40747-2020</t>
        </is>
      </c>
      <c r="B861" s="1" t="n">
        <v>44069</v>
      </c>
      <c r="C861" s="1" t="n">
        <v>45852</v>
      </c>
      <c r="D861" t="inlineStr">
        <is>
          <t>VÄSTERNORRLANDS LÄN</t>
        </is>
      </c>
      <c r="E861" t="inlineStr">
        <is>
          <t>SOLLEFTEÅ</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42196-2020</t>
        </is>
      </c>
      <c r="B862" s="1" t="n">
        <v>44076</v>
      </c>
      <c r="C862" s="1" t="n">
        <v>45852</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43300-2020</t>
        </is>
      </c>
      <c r="B863" s="1" t="n">
        <v>44076</v>
      </c>
      <c r="C863" s="1" t="n">
        <v>45852</v>
      </c>
      <c r="D863" t="inlineStr">
        <is>
          <t>VÄSTERNORRLANDS LÄN</t>
        </is>
      </c>
      <c r="E863" t="inlineStr">
        <is>
          <t>SOLLEFTEÅ</t>
        </is>
      </c>
      <c r="G863" t="n">
        <v>1.9</v>
      </c>
      <c r="H863" t="n">
        <v>0</v>
      </c>
      <c r="I863" t="n">
        <v>0</v>
      </c>
      <c r="J863" t="n">
        <v>0</v>
      </c>
      <c r="K863" t="n">
        <v>0</v>
      </c>
      <c r="L863" t="n">
        <v>0</v>
      </c>
      <c r="M863" t="n">
        <v>0</v>
      </c>
      <c r="N863" t="n">
        <v>0</v>
      </c>
      <c r="O863" t="n">
        <v>0</v>
      </c>
      <c r="P863" t="n">
        <v>0</v>
      </c>
      <c r="Q863" t="n">
        <v>0</v>
      </c>
      <c r="R863" s="2" t="inlineStr"/>
    </row>
    <row r="864" ht="15" customHeight="1">
      <c r="A864" t="inlineStr">
        <is>
          <t>A 43160-2020</t>
        </is>
      </c>
      <c r="B864" s="1" t="n">
        <v>44076</v>
      </c>
      <c r="C864" s="1" t="n">
        <v>45852</v>
      </c>
      <c r="D864" t="inlineStr">
        <is>
          <t>VÄSTERNORRLANDS LÄN</t>
        </is>
      </c>
      <c r="E864" t="inlineStr">
        <is>
          <t>SOLLEFTEÅ</t>
        </is>
      </c>
      <c r="G864" t="n">
        <v>1.1</v>
      </c>
      <c r="H864" t="n">
        <v>0</v>
      </c>
      <c r="I864" t="n">
        <v>0</v>
      </c>
      <c r="J864" t="n">
        <v>0</v>
      </c>
      <c r="K864" t="n">
        <v>0</v>
      </c>
      <c r="L864" t="n">
        <v>0</v>
      </c>
      <c r="M864" t="n">
        <v>0</v>
      </c>
      <c r="N864" t="n">
        <v>0</v>
      </c>
      <c r="O864" t="n">
        <v>0</v>
      </c>
      <c r="P864" t="n">
        <v>0</v>
      </c>
      <c r="Q864" t="n">
        <v>0</v>
      </c>
      <c r="R864" s="2" t="inlineStr"/>
    </row>
    <row r="865" ht="15" customHeight="1">
      <c r="A865" t="inlineStr">
        <is>
          <t>A 42846-2020</t>
        </is>
      </c>
      <c r="B865" s="1" t="n">
        <v>44078</v>
      </c>
      <c r="C865" s="1" t="n">
        <v>45852</v>
      </c>
      <c r="D865" t="inlineStr">
        <is>
          <t>VÄSTERNORRLANDS LÄN</t>
        </is>
      </c>
      <c r="E865" t="inlineStr">
        <is>
          <t>SOLLEFTEÅ</t>
        </is>
      </c>
      <c r="G865" t="n">
        <v>8.6</v>
      </c>
      <c r="H865" t="n">
        <v>0</v>
      </c>
      <c r="I865" t="n">
        <v>0</v>
      </c>
      <c r="J865" t="n">
        <v>0</v>
      </c>
      <c r="K865" t="n">
        <v>0</v>
      </c>
      <c r="L865" t="n">
        <v>0</v>
      </c>
      <c r="M865" t="n">
        <v>0</v>
      </c>
      <c r="N865" t="n">
        <v>0</v>
      </c>
      <c r="O865" t="n">
        <v>0</v>
      </c>
      <c r="P865" t="n">
        <v>0</v>
      </c>
      <c r="Q865" t="n">
        <v>0</v>
      </c>
      <c r="R865" s="2" t="inlineStr"/>
    </row>
    <row r="866" ht="15" customHeight="1">
      <c r="A866" t="inlineStr">
        <is>
          <t>A 43107-2020</t>
        </is>
      </c>
      <c r="B866" s="1" t="n">
        <v>44078</v>
      </c>
      <c r="C866" s="1" t="n">
        <v>45852</v>
      </c>
      <c r="D866" t="inlineStr">
        <is>
          <t>VÄSTERNORRLANDS LÄN</t>
        </is>
      </c>
      <c r="E866" t="inlineStr">
        <is>
          <t>SOLLEFTEÅ</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43820-2020</t>
        </is>
      </c>
      <c r="B867" s="1" t="n">
        <v>44082</v>
      </c>
      <c r="C867" s="1" t="n">
        <v>45852</v>
      </c>
      <c r="D867" t="inlineStr">
        <is>
          <t>VÄSTERNORRLANDS LÄN</t>
        </is>
      </c>
      <c r="E867" t="inlineStr">
        <is>
          <t>SOLLEFTEÅ</t>
        </is>
      </c>
      <c r="F867" t="inlineStr">
        <is>
          <t>SCA</t>
        </is>
      </c>
      <c r="G867" t="n">
        <v>8.1</v>
      </c>
      <c r="H867" t="n">
        <v>0</v>
      </c>
      <c r="I867" t="n">
        <v>0</v>
      </c>
      <c r="J867" t="n">
        <v>0</v>
      </c>
      <c r="K867" t="n">
        <v>0</v>
      </c>
      <c r="L867" t="n">
        <v>0</v>
      </c>
      <c r="M867" t="n">
        <v>0</v>
      </c>
      <c r="N867" t="n">
        <v>0</v>
      </c>
      <c r="O867" t="n">
        <v>0</v>
      </c>
      <c r="P867" t="n">
        <v>0</v>
      </c>
      <c r="Q867" t="n">
        <v>0</v>
      </c>
      <c r="R867" s="2" t="inlineStr"/>
    </row>
    <row r="868" ht="15" customHeight="1">
      <c r="A868" t="inlineStr">
        <is>
          <t>A 45147-2020</t>
        </is>
      </c>
      <c r="B868" s="1" t="n">
        <v>44084</v>
      </c>
      <c r="C868" s="1" t="n">
        <v>45852</v>
      </c>
      <c r="D868" t="inlineStr">
        <is>
          <t>VÄSTERNORRLANDS LÄN</t>
        </is>
      </c>
      <c r="E868" t="inlineStr">
        <is>
          <t>SOLLEFTEÅ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44681-2020</t>
        </is>
      </c>
      <c r="B869" s="1" t="n">
        <v>44085</v>
      </c>
      <c r="C869" s="1" t="n">
        <v>45852</v>
      </c>
      <c r="D869" t="inlineStr">
        <is>
          <t>VÄSTERNORRLANDS LÄN</t>
        </is>
      </c>
      <c r="E869" t="inlineStr">
        <is>
          <t>SOLLEFTEÅ</t>
        </is>
      </c>
      <c r="G869" t="n">
        <v>7.8</v>
      </c>
      <c r="H869" t="n">
        <v>0</v>
      </c>
      <c r="I869" t="n">
        <v>0</v>
      </c>
      <c r="J869" t="n">
        <v>0</v>
      </c>
      <c r="K869" t="n">
        <v>0</v>
      </c>
      <c r="L869" t="n">
        <v>0</v>
      </c>
      <c r="M869" t="n">
        <v>0</v>
      </c>
      <c r="N869" t="n">
        <v>0</v>
      </c>
      <c r="O869" t="n">
        <v>0</v>
      </c>
      <c r="P869" t="n">
        <v>0</v>
      </c>
      <c r="Q869" t="n">
        <v>0</v>
      </c>
      <c r="R869" s="2" t="inlineStr"/>
    </row>
    <row r="870" ht="15" customHeight="1">
      <c r="A870" t="inlineStr">
        <is>
          <t>A 45250-2020</t>
        </is>
      </c>
      <c r="B870" s="1" t="n">
        <v>44088</v>
      </c>
      <c r="C870" s="1" t="n">
        <v>45852</v>
      </c>
      <c r="D870" t="inlineStr">
        <is>
          <t>VÄSTERNORRLANDS LÄN</t>
        </is>
      </c>
      <c r="E870" t="inlineStr">
        <is>
          <t>SOLLEFTEÅ</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45251-2020</t>
        </is>
      </c>
      <c r="B871" s="1" t="n">
        <v>44088</v>
      </c>
      <c r="C871" s="1" t="n">
        <v>45852</v>
      </c>
      <c r="D871" t="inlineStr">
        <is>
          <t>VÄSTERNORRLANDS LÄN</t>
        </is>
      </c>
      <c r="E871" t="inlineStr">
        <is>
          <t>SOLLEFTEÅ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45549-2020</t>
        </is>
      </c>
      <c r="B872" s="1" t="n">
        <v>44090</v>
      </c>
      <c r="C872" s="1" t="n">
        <v>45852</v>
      </c>
      <c r="D872" t="inlineStr">
        <is>
          <t>VÄSTERNORRLANDS LÄN</t>
        </is>
      </c>
      <c r="E872" t="inlineStr">
        <is>
          <t>SOLLEFTEÅ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45542-2020</t>
        </is>
      </c>
      <c r="B873" s="1" t="n">
        <v>44089</v>
      </c>
      <c r="C873" s="1" t="n">
        <v>45852</v>
      </c>
      <c r="D873" t="inlineStr">
        <is>
          <t>VÄSTERNORRLANDS LÄN</t>
        </is>
      </c>
      <c r="E873" t="inlineStr">
        <is>
          <t>SOLLEFTEÅ</t>
        </is>
      </c>
      <c r="G873" t="n">
        <v>0.3</v>
      </c>
      <c r="H873" t="n">
        <v>0</v>
      </c>
      <c r="I873" t="n">
        <v>0</v>
      </c>
      <c r="J873" t="n">
        <v>0</v>
      </c>
      <c r="K873" t="n">
        <v>0</v>
      </c>
      <c r="L873" t="n">
        <v>0</v>
      </c>
      <c r="M873" t="n">
        <v>0</v>
      </c>
      <c r="N873" t="n">
        <v>0</v>
      </c>
      <c r="O873" t="n">
        <v>0</v>
      </c>
      <c r="P873" t="n">
        <v>0</v>
      </c>
      <c r="Q873" t="n">
        <v>0</v>
      </c>
      <c r="R873" s="2" t="inlineStr"/>
    </row>
    <row r="874" ht="15" customHeight="1">
      <c r="A874" t="inlineStr">
        <is>
          <t>A 45551-2020</t>
        </is>
      </c>
      <c r="B874" s="1" t="n">
        <v>44089</v>
      </c>
      <c r="C874" s="1" t="n">
        <v>45852</v>
      </c>
      <c r="D874" t="inlineStr">
        <is>
          <t>VÄSTERNORRLANDS LÄN</t>
        </is>
      </c>
      <c r="E874" t="inlineStr">
        <is>
          <t>SOLLEFTEÅ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46715-2020</t>
        </is>
      </c>
      <c r="B875" s="1" t="n">
        <v>44095</v>
      </c>
      <c r="C875" s="1" t="n">
        <v>45852</v>
      </c>
      <c r="D875" t="inlineStr">
        <is>
          <t>VÄSTERNORRLANDS LÄN</t>
        </is>
      </c>
      <c r="E875" t="inlineStr">
        <is>
          <t>SOLLEFTEÅ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47827-2020</t>
        </is>
      </c>
      <c r="B876" s="1" t="n">
        <v>44098</v>
      </c>
      <c r="C876" s="1" t="n">
        <v>45852</v>
      </c>
      <c r="D876" t="inlineStr">
        <is>
          <t>VÄSTERNORRLANDS LÄN</t>
        </is>
      </c>
      <c r="E876" t="inlineStr">
        <is>
          <t>SOLLEFTEÅ</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47859-2020</t>
        </is>
      </c>
      <c r="B877" s="1" t="n">
        <v>44099</v>
      </c>
      <c r="C877" s="1" t="n">
        <v>45852</v>
      </c>
      <c r="D877" t="inlineStr">
        <is>
          <t>VÄSTERNORRLANDS LÄN</t>
        </is>
      </c>
      <c r="E877" t="inlineStr">
        <is>
          <t>SOLLEFTEÅ</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48052-2020</t>
        </is>
      </c>
      <c r="B878" s="1" t="n">
        <v>44100</v>
      </c>
      <c r="C878" s="1" t="n">
        <v>45852</v>
      </c>
      <c r="D878" t="inlineStr">
        <is>
          <t>VÄSTERNORRLANDS LÄN</t>
        </is>
      </c>
      <c r="E878" t="inlineStr">
        <is>
          <t>SOLLEFTEÅ</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48240-2020</t>
        </is>
      </c>
      <c r="B879" s="1" t="n">
        <v>44102</v>
      </c>
      <c r="C879" s="1" t="n">
        <v>45852</v>
      </c>
      <c r="D879" t="inlineStr">
        <is>
          <t>VÄSTERNORRLANDS LÄN</t>
        </is>
      </c>
      <c r="E879" t="inlineStr">
        <is>
          <t>SOLLEFTEÅ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48477-2020</t>
        </is>
      </c>
      <c r="B880" s="1" t="n">
        <v>44102</v>
      </c>
      <c r="C880" s="1" t="n">
        <v>45852</v>
      </c>
      <c r="D880" t="inlineStr">
        <is>
          <t>VÄSTERNORRLANDS LÄN</t>
        </is>
      </c>
      <c r="E880" t="inlineStr">
        <is>
          <t>SOLLEFTEÅ</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48468-2020</t>
        </is>
      </c>
      <c r="B881" s="1" t="n">
        <v>44102</v>
      </c>
      <c r="C881" s="1" t="n">
        <v>45852</v>
      </c>
      <c r="D881" t="inlineStr">
        <is>
          <t>VÄSTERNORRLANDS LÄN</t>
        </is>
      </c>
      <c r="E881" t="inlineStr">
        <is>
          <t>SOLLEFTEÅ</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48470-2020</t>
        </is>
      </c>
      <c r="B882" s="1" t="n">
        <v>44102</v>
      </c>
      <c r="C882" s="1" t="n">
        <v>45852</v>
      </c>
      <c r="D882" t="inlineStr">
        <is>
          <t>VÄSTERNORRLANDS LÄN</t>
        </is>
      </c>
      <c r="E882" t="inlineStr">
        <is>
          <t>SOLLEFTEÅ</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48475-2020</t>
        </is>
      </c>
      <c r="B883" s="1" t="n">
        <v>44103</v>
      </c>
      <c r="C883" s="1" t="n">
        <v>45852</v>
      </c>
      <c r="D883" t="inlineStr">
        <is>
          <t>VÄSTERNORRLANDS LÄN</t>
        </is>
      </c>
      <c r="E883" t="inlineStr">
        <is>
          <t>SOLLEFTEÅ</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48802-2020</t>
        </is>
      </c>
      <c r="B884" s="1" t="n">
        <v>44103</v>
      </c>
      <c r="C884" s="1" t="n">
        <v>45852</v>
      </c>
      <c r="D884" t="inlineStr">
        <is>
          <t>VÄSTERNORRLANDS LÄN</t>
        </is>
      </c>
      <c r="E884" t="inlineStr">
        <is>
          <t>SOLLEFTEÅ</t>
        </is>
      </c>
      <c r="F884" t="inlineStr">
        <is>
          <t>SCA</t>
        </is>
      </c>
      <c r="G884" t="n">
        <v>10.9</v>
      </c>
      <c r="H884" t="n">
        <v>0</v>
      </c>
      <c r="I884" t="n">
        <v>0</v>
      </c>
      <c r="J884" t="n">
        <v>0</v>
      </c>
      <c r="K884" t="n">
        <v>0</v>
      </c>
      <c r="L884" t="n">
        <v>0</v>
      </c>
      <c r="M884" t="n">
        <v>0</v>
      </c>
      <c r="N884" t="n">
        <v>0</v>
      </c>
      <c r="O884" t="n">
        <v>0</v>
      </c>
      <c r="P884" t="n">
        <v>0</v>
      </c>
      <c r="Q884" t="n">
        <v>0</v>
      </c>
      <c r="R884" s="2" t="inlineStr"/>
    </row>
    <row r="885" ht="15" customHeight="1">
      <c r="A885" t="inlineStr">
        <is>
          <t>A 49629-2020</t>
        </is>
      </c>
      <c r="B885" s="1" t="n">
        <v>44103</v>
      </c>
      <c r="C885" s="1" t="n">
        <v>45852</v>
      </c>
      <c r="D885" t="inlineStr">
        <is>
          <t>VÄSTERNORRLANDS LÄN</t>
        </is>
      </c>
      <c r="E885" t="inlineStr">
        <is>
          <t>SOLLEFTEÅ</t>
        </is>
      </c>
      <c r="G885" t="n">
        <v>0.8</v>
      </c>
      <c r="H885" t="n">
        <v>0</v>
      </c>
      <c r="I885" t="n">
        <v>0</v>
      </c>
      <c r="J885" t="n">
        <v>0</v>
      </c>
      <c r="K885" t="n">
        <v>0</v>
      </c>
      <c r="L885" t="n">
        <v>0</v>
      </c>
      <c r="M885" t="n">
        <v>0</v>
      </c>
      <c r="N885" t="n">
        <v>0</v>
      </c>
      <c r="O885" t="n">
        <v>0</v>
      </c>
      <c r="P885" t="n">
        <v>0</v>
      </c>
      <c r="Q885" t="n">
        <v>0</v>
      </c>
      <c r="R885" s="2" t="inlineStr"/>
    </row>
    <row r="886" ht="15" customHeight="1">
      <c r="A886" t="inlineStr">
        <is>
          <t>A 49165-2020</t>
        </is>
      </c>
      <c r="B886" s="1" t="n">
        <v>44105</v>
      </c>
      <c r="C886" s="1" t="n">
        <v>45852</v>
      </c>
      <c r="D886" t="inlineStr">
        <is>
          <t>VÄSTERNORRLANDS LÄN</t>
        </is>
      </c>
      <c r="E886" t="inlineStr">
        <is>
          <t>SOLLEFTEÅ</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49507-2020</t>
        </is>
      </c>
      <c r="B887" s="1" t="n">
        <v>44105</v>
      </c>
      <c r="C887" s="1" t="n">
        <v>45852</v>
      </c>
      <c r="D887" t="inlineStr">
        <is>
          <t>VÄSTERNORRLANDS LÄN</t>
        </is>
      </c>
      <c r="E887" t="inlineStr">
        <is>
          <t>SOLLEFTEÅ</t>
        </is>
      </c>
      <c r="F887" t="inlineStr">
        <is>
          <t>SCA</t>
        </is>
      </c>
      <c r="G887" t="n">
        <v>0.2</v>
      </c>
      <c r="H887" t="n">
        <v>0</v>
      </c>
      <c r="I887" t="n">
        <v>0</v>
      </c>
      <c r="J887" t="n">
        <v>0</v>
      </c>
      <c r="K887" t="n">
        <v>0</v>
      </c>
      <c r="L887" t="n">
        <v>0</v>
      </c>
      <c r="M887" t="n">
        <v>0</v>
      </c>
      <c r="N887" t="n">
        <v>0</v>
      </c>
      <c r="O887" t="n">
        <v>0</v>
      </c>
      <c r="P887" t="n">
        <v>0</v>
      </c>
      <c r="Q887" t="n">
        <v>0</v>
      </c>
      <c r="R887" s="2" t="inlineStr"/>
    </row>
    <row r="888" ht="15" customHeight="1">
      <c r="A888" t="inlineStr">
        <is>
          <t>A 49508-2020</t>
        </is>
      </c>
      <c r="B888" s="1" t="n">
        <v>44105</v>
      </c>
      <c r="C888" s="1" t="n">
        <v>45852</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49837-2020</t>
        </is>
      </c>
      <c r="B889" s="1" t="n">
        <v>44106</v>
      </c>
      <c r="C889" s="1" t="n">
        <v>45852</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50647-2020</t>
        </is>
      </c>
      <c r="B890" s="1" t="n">
        <v>44111</v>
      </c>
      <c r="C890" s="1" t="n">
        <v>45852</v>
      </c>
      <c r="D890" t="inlineStr">
        <is>
          <t>VÄSTERNORRLANDS LÄN</t>
        </is>
      </c>
      <c r="E890" t="inlineStr">
        <is>
          <t>SOLLEFTEÅ</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51018-2020</t>
        </is>
      </c>
      <c r="B891" s="1" t="n">
        <v>44111</v>
      </c>
      <c r="C891" s="1" t="n">
        <v>45852</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51011-2020</t>
        </is>
      </c>
      <c r="B892" s="1" t="n">
        <v>44111</v>
      </c>
      <c r="C892" s="1" t="n">
        <v>45852</v>
      </c>
      <c r="D892" t="inlineStr">
        <is>
          <t>VÄSTERNORRLANDS LÄN</t>
        </is>
      </c>
      <c r="E892" t="inlineStr">
        <is>
          <t>SOLLEFTEÅ</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51534-2020</t>
        </is>
      </c>
      <c r="B893" s="1" t="n">
        <v>44113</v>
      </c>
      <c r="C893" s="1" t="n">
        <v>45852</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52035-2020</t>
        </is>
      </c>
      <c r="B894" s="1" t="n">
        <v>44117</v>
      </c>
      <c r="C894" s="1" t="n">
        <v>45852</v>
      </c>
      <c r="D894" t="inlineStr">
        <is>
          <t>VÄSTERNORRLANDS LÄN</t>
        </is>
      </c>
      <c r="E894" t="inlineStr">
        <is>
          <t>SOLLEFTEÅ</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52189-2020</t>
        </is>
      </c>
      <c r="B895" s="1" t="n">
        <v>44117</v>
      </c>
      <c r="C895" s="1" t="n">
        <v>45852</v>
      </c>
      <c r="D895" t="inlineStr">
        <is>
          <t>VÄSTERNORRLANDS LÄN</t>
        </is>
      </c>
      <c r="E895" t="inlineStr">
        <is>
          <t>SOLLEFTEÅ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52199-2020</t>
        </is>
      </c>
      <c r="B896" s="1" t="n">
        <v>44117</v>
      </c>
      <c r="C896" s="1" t="n">
        <v>45852</v>
      </c>
      <c r="D896" t="inlineStr">
        <is>
          <t>VÄSTERNORRLANDS LÄN</t>
        </is>
      </c>
      <c r="E896" t="inlineStr">
        <is>
          <t>SOLLEFTEÅ</t>
        </is>
      </c>
      <c r="G896" t="n">
        <v>4.9</v>
      </c>
      <c r="H896" t="n">
        <v>0</v>
      </c>
      <c r="I896" t="n">
        <v>0</v>
      </c>
      <c r="J896" t="n">
        <v>0</v>
      </c>
      <c r="K896" t="n">
        <v>0</v>
      </c>
      <c r="L896" t="n">
        <v>0</v>
      </c>
      <c r="M896" t="n">
        <v>0</v>
      </c>
      <c r="N896" t="n">
        <v>0</v>
      </c>
      <c r="O896" t="n">
        <v>0</v>
      </c>
      <c r="P896" t="n">
        <v>0</v>
      </c>
      <c r="Q896" t="n">
        <v>0</v>
      </c>
      <c r="R896" s="2" t="inlineStr"/>
    </row>
    <row r="897" ht="15" customHeight="1">
      <c r="A897" t="inlineStr">
        <is>
          <t>A 52406-2020</t>
        </is>
      </c>
      <c r="B897" s="1" t="n">
        <v>44118</v>
      </c>
      <c r="C897" s="1" t="n">
        <v>45852</v>
      </c>
      <c r="D897" t="inlineStr">
        <is>
          <t>VÄSTERNORRLANDS LÄN</t>
        </is>
      </c>
      <c r="E897" t="inlineStr">
        <is>
          <t>SOLLEFTEÅ</t>
        </is>
      </c>
      <c r="G897" t="n">
        <v>2.8</v>
      </c>
      <c r="H897" t="n">
        <v>0</v>
      </c>
      <c r="I897" t="n">
        <v>0</v>
      </c>
      <c r="J897" t="n">
        <v>0</v>
      </c>
      <c r="K897" t="n">
        <v>0</v>
      </c>
      <c r="L897" t="n">
        <v>0</v>
      </c>
      <c r="M897" t="n">
        <v>0</v>
      </c>
      <c r="N897" t="n">
        <v>0</v>
      </c>
      <c r="O897" t="n">
        <v>0</v>
      </c>
      <c r="P897" t="n">
        <v>0</v>
      </c>
      <c r="Q897" t="n">
        <v>0</v>
      </c>
      <c r="R897" s="2" t="inlineStr"/>
    </row>
    <row r="898" ht="15" customHeight="1">
      <c r="A898" t="inlineStr">
        <is>
          <t>A 52983-2020</t>
        </is>
      </c>
      <c r="B898" s="1" t="n">
        <v>44119</v>
      </c>
      <c r="C898" s="1" t="n">
        <v>45852</v>
      </c>
      <c r="D898" t="inlineStr">
        <is>
          <t>VÄSTERNORRLANDS LÄN</t>
        </is>
      </c>
      <c r="E898" t="inlineStr">
        <is>
          <t>SOLLEFTEÅ</t>
        </is>
      </c>
      <c r="G898" t="n">
        <v>3.8</v>
      </c>
      <c r="H898" t="n">
        <v>0</v>
      </c>
      <c r="I898" t="n">
        <v>0</v>
      </c>
      <c r="J898" t="n">
        <v>0</v>
      </c>
      <c r="K898" t="n">
        <v>0</v>
      </c>
      <c r="L898" t="n">
        <v>0</v>
      </c>
      <c r="M898" t="n">
        <v>0</v>
      </c>
      <c r="N898" t="n">
        <v>0</v>
      </c>
      <c r="O898" t="n">
        <v>0</v>
      </c>
      <c r="P898" t="n">
        <v>0</v>
      </c>
      <c r="Q898" t="n">
        <v>0</v>
      </c>
      <c r="R898" s="2" t="inlineStr"/>
    </row>
    <row r="899" ht="15" customHeight="1">
      <c r="A899" t="inlineStr">
        <is>
          <t>A 52936-2020</t>
        </is>
      </c>
      <c r="B899" s="1" t="n">
        <v>44120</v>
      </c>
      <c r="C899" s="1" t="n">
        <v>45852</v>
      </c>
      <c r="D899" t="inlineStr">
        <is>
          <t>VÄSTERNORRLANDS LÄN</t>
        </is>
      </c>
      <c r="E899" t="inlineStr">
        <is>
          <t>SOLLEFTEÅ</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53828-2020</t>
        </is>
      </c>
      <c r="B900" s="1" t="n">
        <v>44124</v>
      </c>
      <c r="C900" s="1" t="n">
        <v>45852</v>
      </c>
      <c r="D900" t="inlineStr">
        <is>
          <t>VÄSTERNORRLANDS LÄN</t>
        </is>
      </c>
      <c r="E900" t="inlineStr">
        <is>
          <t>SOLLEFTEÅ</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54463-2020</t>
        </is>
      </c>
      <c r="B901" s="1" t="n">
        <v>44125</v>
      </c>
      <c r="C901" s="1" t="n">
        <v>45852</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53866-2020</t>
        </is>
      </c>
      <c r="B902" s="1" t="n">
        <v>44125</v>
      </c>
      <c r="C902" s="1" t="n">
        <v>45852</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54567-2020</t>
        </is>
      </c>
      <c r="B903" s="1" t="n">
        <v>44126</v>
      </c>
      <c r="C903" s="1" t="n">
        <v>45852</v>
      </c>
      <c r="D903" t="inlineStr">
        <is>
          <t>VÄSTERNORRLANDS LÄN</t>
        </is>
      </c>
      <c r="E903" t="inlineStr">
        <is>
          <t>SOLLEFTEÅ</t>
        </is>
      </c>
      <c r="G903" t="n">
        <v>0.4</v>
      </c>
      <c r="H903" t="n">
        <v>0</v>
      </c>
      <c r="I903" t="n">
        <v>0</v>
      </c>
      <c r="J903" t="n">
        <v>0</v>
      </c>
      <c r="K903" t="n">
        <v>0</v>
      </c>
      <c r="L903" t="n">
        <v>0</v>
      </c>
      <c r="M903" t="n">
        <v>0</v>
      </c>
      <c r="N903" t="n">
        <v>0</v>
      </c>
      <c r="O903" t="n">
        <v>0</v>
      </c>
      <c r="P903" t="n">
        <v>0</v>
      </c>
      <c r="Q903" t="n">
        <v>0</v>
      </c>
      <c r="R903" s="2" t="inlineStr"/>
    </row>
    <row r="904" ht="15" customHeight="1">
      <c r="A904" t="inlineStr">
        <is>
          <t>A 54568-2020</t>
        </is>
      </c>
      <c r="B904" s="1" t="n">
        <v>44126</v>
      </c>
      <c r="C904" s="1" t="n">
        <v>45852</v>
      </c>
      <c r="D904" t="inlineStr">
        <is>
          <t>VÄSTERNORRLANDS LÄN</t>
        </is>
      </c>
      <c r="E904" t="inlineStr">
        <is>
          <t>SOLLEFTEÅ</t>
        </is>
      </c>
      <c r="G904" t="n">
        <v>0.2</v>
      </c>
      <c r="H904" t="n">
        <v>0</v>
      </c>
      <c r="I904" t="n">
        <v>0</v>
      </c>
      <c r="J904" t="n">
        <v>0</v>
      </c>
      <c r="K904" t="n">
        <v>0</v>
      </c>
      <c r="L904" t="n">
        <v>0</v>
      </c>
      <c r="M904" t="n">
        <v>0</v>
      </c>
      <c r="N904" t="n">
        <v>0</v>
      </c>
      <c r="O904" t="n">
        <v>0</v>
      </c>
      <c r="P904" t="n">
        <v>0</v>
      </c>
      <c r="Q904" t="n">
        <v>0</v>
      </c>
      <c r="R904" s="2" t="inlineStr"/>
    </row>
    <row r="905" ht="15" customHeight="1">
      <c r="A905" t="inlineStr">
        <is>
          <t>A 54572-2020</t>
        </is>
      </c>
      <c r="B905" s="1" t="n">
        <v>44126</v>
      </c>
      <c r="C905" s="1" t="n">
        <v>45852</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54576-2020</t>
        </is>
      </c>
      <c r="B906" s="1" t="n">
        <v>44126</v>
      </c>
      <c r="C906" s="1" t="n">
        <v>45852</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54571-2020</t>
        </is>
      </c>
      <c r="B907" s="1" t="n">
        <v>44126</v>
      </c>
      <c r="C907" s="1" t="n">
        <v>45852</v>
      </c>
      <c r="D907" t="inlineStr">
        <is>
          <t>VÄSTERNORRLANDS LÄN</t>
        </is>
      </c>
      <c r="E907" t="inlineStr">
        <is>
          <t>SOLLEFTEÅ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54569-2020</t>
        </is>
      </c>
      <c r="B908" s="1" t="n">
        <v>44126</v>
      </c>
      <c r="C908" s="1" t="n">
        <v>45852</v>
      </c>
      <c r="D908" t="inlineStr">
        <is>
          <t>VÄSTERNORRLANDS LÄN</t>
        </is>
      </c>
      <c r="E908" t="inlineStr">
        <is>
          <t>SOLLEFTEÅ</t>
        </is>
      </c>
      <c r="G908" t="n">
        <v>0.5</v>
      </c>
      <c r="H908" t="n">
        <v>0</v>
      </c>
      <c r="I908" t="n">
        <v>0</v>
      </c>
      <c r="J908" t="n">
        <v>0</v>
      </c>
      <c r="K908" t="n">
        <v>0</v>
      </c>
      <c r="L908" t="n">
        <v>0</v>
      </c>
      <c r="M908" t="n">
        <v>0</v>
      </c>
      <c r="N908" t="n">
        <v>0</v>
      </c>
      <c r="O908" t="n">
        <v>0</v>
      </c>
      <c r="P908" t="n">
        <v>0</v>
      </c>
      <c r="Q908" t="n">
        <v>0</v>
      </c>
      <c r="R908" s="2" t="inlineStr"/>
    </row>
    <row r="909" ht="15" customHeight="1">
      <c r="A909" t="inlineStr">
        <is>
          <t>A 54566-2020</t>
        </is>
      </c>
      <c r="B909" s="1" t="n">
        <v>44126</v>
      </c>
      <c r="C909" s="1" t="n">
        <v>45852</v>
      </c>
      <c r="D909" t="inlineStr">
        <is>
          <t>VÄSTERNORRLANDS LÄN</t>
        </is>
      </c>
      <c r="E909" t="inlineStr">
        <is>
          <t>SOLLEFTEÅ</t>
        </is>
      </c>
      <c r="G909" t="n">
        <v>0.6</v>
      </c>
      <c r="H909" t="n">
        <v>0</v>
      </c>
      <c r="I909" t="n">
        <v>0</v>
      </c>
      <c r="J909" t="n">
        <v>0</v>
      </c>
      <c r="K909" t="n">
        <v>0</v>
      </c>
      <c r="L909" t="n">
        <v>0</v>
      </c>
      <c r="M909" t="n">
        <v>0</v>
      </c>
      <c r="N909" t="n">
        <v>0</v>
      </c>
      <c r="O909" t="n">
        <v>0</v>
      </c>
      <c r="P909" t="n">
        <v>0</v>
      </c>
      <c r="Q909" t="n">
        <v>0</v>
      </c>
      <c r="R909" s="2" t="inlineStr"/>
    </row>
    <row r="910" ht="15" customHeight="1">
      <c r="A910" t="inlineStr">
        <is>
          <t>A 54570-2020</t>
        </is>
      </c>
      <c r="B910" s="1" t="n">
        <v>44126</v>
      </c>
      <c r="C910" s="1" t="n">
        <v>45852</v>
      </c>
      <c r="D910" t="inlineStr">
        <is>
          <t>VÄSTERNORRLANDS LÄN</t>
        </is>
      </c>
      <c r="E910" t="inlineStr">
        <is>
          <t>SOLLEFTEÅ</t>
        </is>
      </c>
      <c r="G910" t="n">
        <v>0.3</v>
      </c>
      <c r="H910" t="n">
        <v>0</v>
      </c>
      <c r="I910" t="n">
        <v>0</v>
      </c>
      <c r="J910" t="n">
        <v>0</v>
      </c>
      <c r="K910" t="n">
        <v>0</v>
      </c>
      <c r="L910" t="n">
        <v>0</v>
      </c>
      <c r="M910" t="n">
        <v>0</v>
      </c>
      <c r="N910" t="n">
        <v>0</v>
      </c>
      <c r="O910" t="n">
        <v>0</v>
      </c>
      <c r="P910" t="n">
        <v>0</v>
      </c>
      <c r="Q910" t="n">
        <v>0</v>
      </c>
      <c r="R910" s="2" t="inlineStr"/>
    </row>
    <row r="911" ht="15" customHeight="1">
      <c r="A911" t="inlineStr">
        <is>
          <t>A 54573-2020</t>
        </is>
      </c>
      <c r="B911" s="1" t="n">
        <v>44126</v>
      </c>
      <c r="C911" s="1" t="n">
        <v>45852</v>
      </c>
      <c r="D911" t="inlineStr">
        <is>
          <t>VÄSTERNORRLANDS LÄN</t>
        </is>
      </c>
      <c r="E911" t="inlineStr">
        <is>
          <t>SOLLEFTEÅ</t>
        </is>
      </c>
      <c r="G911" t="n">
        <v>0.2</v>
      </c>
      <c r="H911" t="n">
        <v>0</v>
      </c>
      <c r="I911" t="n">
        <v>0</v>
      </c>
      <c r="J911" t="n">
        <v>0</v>
      </c>
      <c r="K911" t="n">
        <v>0</v>
      </c>
      <c r="L911" t="n">
        <v>0</v>
      </c>
      <c r="M911" t="n">
        <v>0</v>
      </c>
      <c r="N911" t="n">
        <v>0</v>
      </c>
      <c r="O911" t="n">
        <v>0</v>
      </c>
      <c r="P911" t="n">
        <v>0</v>
      </c>
      <c r="Q911" t="n">
        <v>0</v>
      </c>
      <c r="R911" s="2" t="inlineStr"/>
    </row>
    <row r="912" ht="15" customHeight="1">
      <c r="A912" t="inlineStr">
        <is>
          <t>A 55337-2020</t>
        </is>
      </c>
      <c r="B912" s="1" t="n">
        <v>44130</v>
      </c>
      <c r="C912" s="1" t="n">
        <v>45852</v>
      </c>
      <c r="D912" t="inlineStr">
        <is>
          <t>VÄSTERNORRLANDS LÄN</t>
        </is>
      </c>
      <c r="E912" t="inlineStr">
        <is>
          <t>SOLLEFTEÅ</t>
        </is>
      </c>
      <c r="G912" t="n">
        <v>21.1</v>
      </c>
      <c r="H912" t="n">
        <v>0</v>
      </c>
      <c r="I912" t="n">
        <v>0</v>
      </c>
      <c r="J912" t="n">
        <v>0</v>
      </c>
      <c r="K912" t="n">
        <v>0</v>
      </c>
      <c r="L912" t="n">
        <v>0</v>
      </c>
      <c r="M912" t="n">
        <v>0</v>
      </c>
      <c r="N912" t="n">
        <v>0</v>
      </c>
      <c r="O912" t="n">
        <v>0</v>
      </c>
      <c r="P912" t="n">
        <v>0</v>
      </c>
      <c r="Q912" t="n">
        <v>0</v>
      </c>
      <c r="R912" s="2" t="inlineStr"/>
    </row>
    <row r="913" ht="15" customHeight="1">
      <c r="A913" t="inlineStr">
        <is>
          <t>A 55489-2020</t>
        </is>
      </c>
      <c r="B913" s="1" t="n">
        <v>44131</v>
      </c>
      <c r="C913" s="1" t="n">
        <v>45852</v>
      </c>
      <c r="D913" t="inlineStr">
        <is>
          <t>VÄSTERNORRLANDS LÄN</t>
        </is>
      </c>
      <c r="E913" t="inlineStr">
        <is>
          <t>SOLLEFTEÅ</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58380-2020</t>
        </is>
      </c>
      <c r="B914" s="1" t="n">
        <v>44145</v>
      </c>
      <c r="C914" s="1" t="n">
        <v>45852</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58381-2020</t>
        </is>
      </c>
      <c r="B915" s="1" t="n">
        <v>44145</v>
      </c>
      <c r="C915" s="1" t="n">
        <v>45852</v>
      </c>
      <c r="D915" t="inlineStr">
        <is>
          <t>VÄSTERNORRLANDS LÄN</t>
        </is>
      </c>
      <c r="E915" t="inlineStr">
        <is>
          <t>SOLLEFTEÅ</t>
        </is>
      </c>
      <c r="G915" t="n">
        <v>2.3</v>
      </c>
      <c r="H915" t="n">
        <v>0</v>
      </c>
      <c r="I915" t="n">
        <v>0</v>
      </c>
      <c r="J915" t="n">
        <v>0</v>
      </c>
      <c r="K915" t="n">
        <v>0</v>
      </c>
      <c r="L915" t="n">
        <v>0</v>
      </c>
      <c r="M915" t="n">
        <v>0</v>
      </c>
      <c r="N915" t="n">
        <v>0</v>
      </c>
      <c r="O915" t="n">
        <v>0</v>
      </c>
      <c r="P915" t="n">
        <v>0</v>
      </c>
      <c r="Q915" t="n">
        <v>0</v>
      </c>
      <c r="R915" s="2" t="inlineStr"/>
    </row>
    <row r="916" ht="15" customHeight="1">
      <c r="A916" t="inlineStr">
        <is>
          <t>A 59334-2020</t>
        </is>
      </c>
      <c r="B916" s="1" t="n">
        <v>44147</v>
      </c>
      <c r="C916" s="1" t="n">
        <v>45852</v>
      </c>
      <c r="D916" t="inlineStr">
        <is>
          <t>VÄSTERNORRLANDS LÄN</t>
        </is>
      </c>
      <c r="E916" t="inlineStr">
        <is>
          <t>SOLLEFTEÅ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59950-2020</t>
        </is>
      </c>
      <c r="B917" s="1" t="n">
        <v>44151</v>
      </c>
      <c r="C917" s="1" t="n">
        <v>45852</v>
      </c>
      <c r="D917" t="inlineStr">
        <is>
          <t>VÄSTERNORRLANDS LÄN</t>
        </is>
      </c>
      <c r="E917" t="inlineStr">
        <is>
          <t>SOLLEFTEÅ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59953-2020</t>
        </is>
      </c>
      <c r="B918" s="1" t="n">
        <v>44151</v>
      </c>
      <c r="C918" s="1" t="n">
        <v>45852</v>
      </c>
      <c r="D918" t="inlineStr">
        <is>
          <t>VÄSTERNORRLANDS LÄN</t>
        </is>
      </c>
      <c r="E918" t="inlineStr">
        <is>
          <t>SOLLEFTEÅ</t>
        </is>
      </c>
      <c r="G918" t="n">
        <v>3.6</v>
      </c>
      <c r="H918" t="n">
        <v>0</v>
      </c>
      <c r="I918" t="n">
        <v>0</v>
      </c>
      <c r="J918" t="n">
        <v>0</v>
      </c>
      <c r="K918" t="n">
        <v>0</v>
      </c>
      <c r="L918" t="n">
        <v>0</v>
      </c>
      <c r="M918" t="n">
        <v>0</v>
      </c>
      <c r="N918" t="n">
        <v>0</v>
      </c>
      <c r="O918" t="n">
        <v>0</v>
      </c>
      <c r="P918" t="n">
        <v>0</v>
      </c>
      <c r="Q918" t="n">
        <v>0</v>
      </c>
      <c r="R918" s="2" t="inlineStr"/>
    </row>
    <row r="919" ht="15" customHeight="1">
      <c r="A919" t="inlineStr">
        <is>
          <t>A 60091-2020</t>
        </is>
      </c>
      <c r="B919" s="1" t="n">
        <v>44151</v>
      </c>
      <c r="C919" s="1" t="n">
        <v>45852</v>
      </c>
      <c r="D919" t="inlineStr">
        <is>
          <t>VÄSTERNORRLANDS LÄN</t>
        </is>
      </c>
      <c r="E919" t="inlineStr">
        <is>
          <t>SOLLEFTEÅ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61127-2020</t>
        </is>
      </c>
      <c r="B920" s="1" t="n">
        <v>44154</v>
      </c>
      <c r="C920" s="1" t="n">
        <v>45852</v>
      </c>
      <c r="D920" t="inlineStr">
        <is>
          <t>VÄSTERNORRLANDS LÄN</t>
        </is>
      </c>
      <c r="E920" t="inlineStr">
        <is>
          <t>SOLLEFTEÅ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61130-2020</t>
        </is>
      </c>
      <c r="B921" s="1" t="n">
        <v>44154</v>
      </c>
      <c r="C921" s="1" t="n">
        <v>45852</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61894-2020</t>
        </is>
      </c>
      <c r="B922" s="1" t="n">
        <v>44155</v>
      </c>
      <c r="C922" s="1" t="n">
        <v>45852</v>
      </c>
      <c r="D922" t="inlineStr">
        <is>
          <t>VÄSTERNORRLANDS LÄN</t>
        </is>
      </c>
      <c r="E922" t="inlineStr">
        <is>
          <t>SOLLEFTEÅ</t>
        </is>
      </c>
      <c r="G922" t="n">
        <v>0.4</v>
      </c>
      <c r="H922" t="n">
        <v>0</v>
      </c>
      <c r="I922" t="n">
        <v>0</v>
      </c>
      <c r="J922" t="n">
        <v>0</v>
      </c>
      <c r="K922" t="n">
        <v>0</v>
      </c>
      <c r="L922" t="n">
        <v>0</v>
      </c>
      <c r="M922" t="n">
        <v>0</v>
      </c>
      <c r="N922" t="n">
        <v>0</v>
      </c>
      <c r="O922" t="n">
        <v>0</v>
      </c>
      <c r="P922" t="n">
        <v>0</v>
      </c>
      <c r="Q922" t="n">
        <v>0</v>
      </c>
      <c r="R922" s="2" t="inlineStr"/>
    </row>
    <row r="923" ht="15" customHeight="1">
      <c r="A923" t="inlineStr">
        <is>
          <t>A 61943-2020</t>
        </is>
      </c>
      <c r="B923" s="1" t="n">
        <v>44155</v>
      </c>
      <c r="C923" s="1" t="n">
        <v>45852</v>
      </c>
      <c r="D923" t="inlineStr">
        <is>
          <t>VÄSTERNORRLANDS LÄN</t>
        </is>
      </c>
      <c r="E923" t="inlineStr">
        <is>
          <t>SOLLEFTEÅ</t>
        </is>
      </c>
      <c r="G923" t="n">
        <v>1.7</v>
      </c>
      <c r="H923" t="n">
        <v>0</v>
      </c>
      <c r="I923" t="n">
        <v>0</v>
      </c>
      <c r="J923" t="n">
        <v>0</v>
      </c>
      <c r="K923" t="n">
        <v>0</v>
      </c>
      <c r="L923" t="n">
        <v>0</v>
      </c>
      <c r="M923" t="n">
        <v>0</v>
      </c>
      <c r="N923" t="n">
        <v>0</v>
      </c>
      <c r="O923" t="n">
        <v>0</v>
      </c>
      <c r="P923" t="n">
        <v>0</v>
      </c>
      <c r="Q923" t="n">
        <v>0</v>
      </c>
      <c r="R923" s="2" t="inlineStr"/>
    </row>
    <row r="924" ht="15" customHeight="1">
      <c r="A924" t="inlineStr">
        <is>
          <t>A 62666-2020</t>
        </is>
      </c>
      <c r="B924" s="1" t="n">
        <v>44161</v>
      </c>
      <c r="C924" s="1" t="n">
        <v>45852</v>
      </c>
      <c r="D924" t="inlineStr">
        <is>
          <t>VÄSTERNORRLANDS LÄN</t>
        </is>
      </c>
      <c r="E924" t="inlineStr">
        <is>
          <t>SOLLEFTEÅ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62881-2020</t>
        </is>
      </c>
      <c r="B925" s="1" t="n">
        <v>44161</v>
      </c>
      <c r="C925" s="1" t="n">
        <v>45852</v>
      </c>
      <c r="D925" t="inlineStr">
        <is>
          <t>VÄSTERNORRLANDS LÄN</t>
        </is>
      </c>
      <c r="E925" t="inlineStr">
        <is>
          <t>SOLLEFTEÅ</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62883-2020</t>
        </is>
      </c>
      <c r="B926" s="1" t="n">
        <v>44161</v>
      </c>
      <c r="C926" s="1" t="n">
        <v>45852</v>
      </c>
      <c r="D926" t="inlineStr">
        <is>
          <t>VÄSTERNORRLANDS LÄN</t>
        </is>
      </c>
      <c r="E926" t="inlineStr">
        <is>
          <t>SOLLEFTEÅ</t>
        </is>
      </c>
      <c r="F926" t="inlineStr">
        <is>
          <t>SCA</t>
        </is>
      </c>
      <c r="G926" t="n">
        <v>8.5</v>
      </c>
      <c r="H926" t="n">
        <v>0</v>
      </c>
      <c r="I926" t="n">
        <v>0</v>
      </c>
      <c r="J926" t="n">
        <v>0</v>
      </c>
      <c r="K926" t="n">
        <v>0</v>
      </c>
      <c r="L926" t="n">
        <v>0</v>
      </c>
      <c r="M926" t="n">
        <v>0</v>
      </c>
      <c r="N926" t="n">
        <v>0</v>
      </c>
      <c r="O926" t="n">
        <v>0</v>
      </c>
      <c r="P926" t="n">
        <v>0</v>
      </c>
      <c r="Q926" t="n">
        <v>0</v>
      </c>
      <c r="R926" s="2" t="inlineStr"/>
    </row>
    <row r="927" ht="15" customHeight="1">
      <c r="A927" t="inlineStr">
        <is>
          <t>A 63190-2020</t>
        </is>
      </c>
      <c r="B927" s="1" t="n">
        <v>44162</v>
      </c>
      <c r="C927" s="1" t="n">
        <v>45852</v>
      </c>
      <c r="D927" t="inlineStr">
        <is>
          <t>VÄSTERNORRLANDS LÄN</t>
        </is>
      </c>
      <c r="E927" t="inlineStr">
        <is>
          <t>SOLLEFTEÅ</t>
        </is>
      </c>
      <c r="G927" t="n">
        <v>0.2</v>
      </c>
      <c r="H927" t="n">
        <v>0</v>
      </c>
      <c r="I927" t="n">
        <v>0</v>
      </c>
      <c r="J927" t="n">
        <v>0</v>
      </c>
      <c r="K927" t="n">
        <v>0</v>
      </c>
      <c r="L927" t="n">
        <v>0</v>
      </c>
      <c r="M927" t="n">
        <v>0</v>
      </c>
      <c r="N927" t="n">
        <v>0</v>
      </c>
      <c r="O927" t="n">
        <v>0</v>
      </c>
      <c r="P927" t="n">
        <v>0</v>
      </c>
      <c r="Q927" t="n">
        <v>0</v>
      </c>
      <c r="R927" s="2" t="inlineStr"/>
    </row>
    <row r="928" ht="15" customHeight="1">
      <c r="A928" t="inlineStr">
        <is>
          <t>A 63210-2020</t>
        </is>
      </c>
      <c r="B928" s="1" t="n">
        <v>44163</v>
      </c>
      <c r="C928" s="1" t="n">
        <v>45852</v>
      </c>
      <c r="D928" t="inlineStr">
        <is>
          <t>VÄSTERNORRLANDS LÄN</t>
        </is>
      </c>
      <c r="E928" t="inlineStr">
        <is>
          <t>SOLLEFTEÅ</t>
        </is>
      </c>
      <c r="G928" t="n">
        <v>1.8</v>
      </c>
      <c r="H928" t="n">
        <v>0</v>
      </c>
      <c r="I928" t="n">
        <v>0</v>
      </c>
      <c r="J928" t="n">
        <v>0</v>
      </c>
      <c r="K928" t="n">
        <v>0</v>
      </c>
      <c r="L928" t="n">
        <v>0</v>
      </c>
      <c r="M928" t="n">
        <v>0</v>
      </c>
      <c r="N928" t="n">
        <v>0</v>
      </c>
      <c r="O928" t="n">
        <v>0</v>
      </c>
      <c r="P928" t="n">
        <v>0</v>
      </c>
      <c r="Q928" t="n">
        <v>0</v>
      </c>
      <c r="R928" s="2" t="inlineStr"/>
    </row>
    <row r="929" ht="15" customHeight="1">
      <c r="A929" t="inlineStr">
        <is>
          <t>A 65401-2020</t>
        </is>
      </c>
      <c r="B929" s="1" t="n">
        <v>44169</v>
      </c>
      <c r="C929" s="1" t="n">
        <v>45852</v>
      </c>
      <c r="D929" t="inlineStr">
        <is>
          <t>VÄSTERNORRLANDS LÄN</t>
        </is>
      </c>
      <c r="E929" t="inlineStr">
        <is>
          <t>SOLLEFTEÅ</t>
        </is>
      </c>
      <c r="G929" t="n">
        <v>2.3</v>
      </c>
      <c r="H929" t="n">
        <v>0</v>
      </c>
      <c r="I929" t="n">
        <v>0</v>
      </c>
      <c r="J929" t="n">
        <v>0</v>
      </c>
      <c r="K929" t="n">
        <v>0</v>
      </c>
      <c r="L929" t="n">
        <v>0</v>
      </c>
      <c r="M929" t="n">
        <v>0</v>
      </c>
      <c r="N929" t="n">
        <v>0</v>
      </c>
      <c r="O929" t="n">
        <v>0</v>
      </c>
      <c r="P929" t="n">
        <v>0</v>
      </c>
      <c r="Q929" t="n">
        <v>0</v>
      </c>
      <c r="R929" s="2" t="inlineStr"/>
    </row>
    <row r="930" ht="15" customHeight="1">
      <c r="A930" t="inlineStr">
        <is>
          <t>A 65407-2020</t>
        </is>
      </c>
      <c r="B930" s="1" t="n">
        <v>44169</v>
      </c>
      <c r="C930" s="1" t="n">
        <v>45852</v>
      </c>
      <c r="D930" t="inlineStr">
        <is>
          <t>VÄSTERNORRLANDS LÄN</t>
        </is>
      </c>
      <c r="E930" t="inlineStr">
        <is>
          <t>SOLLEFTEÅ</t>
        </is>
      </c>
      <c r="G930" t="n">
        <v>2.8</v>
      </c>
      <c r="H930" t="n">
        <v>0</v>
      </c>
      <c r="I930" t="n">
        <v>0</v>
      </c>
      <c r="J930" t="n">
        <v>0</v>
      </c>
      <c r="K930" t="n">
        <v>0</v>
      </c>
      <c r="L930" t="n">
        <v>0</v>
      </c>
      <c r="M930" t="n">
        <v>0</v>
      </c>
      <c r="N930" t="n">
        <v>0</v>
      </c>
      <c r="O930" t="n">
        <v>0</v>
      </c>
      <c r="P930" t="n">
        <v>0</v>
      </c>
      <c r="Q930" t="n">
        <v>0</v>
      </c>
      <c r="R930" s="2" t="inlineStr"/>
    </row>
    <row r="931" ht="15" customHeight="1">
      <c r="A931" t="inlineStr">
        <is>
          <t>A 65403-2020</t>
        </is>
      </c>
      <c r="B931" s="1" t="n">
        <v>44169</v>
      </c>
      <c r="C931" s="1" t="n">
        <v>45852</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67063-2020</t>
        </is>
      </c>
      <c r="B932" s="1" t="n">
        <v>44176</v>
      </c>
      <c r="C932" s="1" t="n">
        <v>45852</v>
      </c>
      <c r="D932" t="inlineStr">
        <is>
          <t>VÄSTERNORRLANDS LÄN</t>
        </is>
      </c>
      <c r="E932" t="inlineStr">
        <is>
          <t>SOLLEFTEÅ</t>
        </is>
      </c>
      <c r="G932" t="n">
        <v>1.4</v>
      </c>
      <c r="H932" t="n">
        <v>0</v>
      </c>
      <c r="I932" t="n">
        <v>0</v>
      </c>
      <c r="J932" t="n">
        <v>0</v>
      </c>
      <c r="K932" t="n">
        <v>0</v>
      </c>
      <c r="L932" t="n">
        <v>0</v>
      </c>
      <c r="M932" t="n">
        <v>0</v>
      </c>
      <c r="N932" t="n">
        <v>0</v>
      </c>
      <c r="O932" t="n">
        <v>0</v>
      </c>
      <c r="P932" t="n">
        <v>0</v>
      </c>
      <c r="Q932" t="n">
        <v>0</v>
      </c>
      <c r="R932" s="2" t="inlineStr"/>
    </row>
    <row r="933" ht="15" customHeight="1">
      <c r="A933" t="inlineStr">
        <is>
          <t>A 66845-2020</t>
        </is>
      </c>
      <c r="B933" s="1" t="n">
        <v>44179</v>
      </c>
      <c r="C933" s="1" t="n">
        <v>45852</v>
      </c>
      <c r="D933" t="inlineStr">
        <is>
          <t>VÄSTERNORRLANDS LÄN</t>
        </is>
      </c>
      <c r="E933" t="inlineStr">
        <is>
          <t>SOLLEFTEÅ</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66844-2020</t>
        </is>
      </c>
      <c r="B934" s="1" t="n">
        <v>44179</v>
      </c>
      <c r="C934" s="1" t="n">
        <v>45852</v>
      </c>
      <c r="D934" t="inlineStr">
        <is>
          <t>VÄSTERNORRLANDS LÄN</t>
        </is>
      </c>
      <c r="E934" t="inlineStr">
        <is>
          <t>SOLLEFTEÅ</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66850-2020</t>
        </is>
      </c>
      <c r="B935" s="1" t="n">
        <v>44179</v>
      </c>
      <c r="C935" s="1" t="n">
        <v>45852</v>
      </c>
      <c r="D935" t="inlineStr">
        <is>
          <t>VÄSTERNORRLANDS LÄN</t>
        </is>
      </c>
      <c r="E935" t="inlineStr">
        <is>
          <t>SOLLEFTEÅ</t>
        </is>
      </c>
      <c r="G935" t="n">
        <v>3</v>
      </c>
      <c r="H935" t="n">
        <v>0</v>
      </c>
      <c r="I935" t="n">
        <v>0</v>
      </c>
      <c r="J935" t="n">
        <v>0</v>
      </c>
      <c r="K935" t="n">
        <v>0</v>
      </c>
      <c r="L935" t="n">
        <v>0</v>
      </c>
      <c r="M935" t="n">
        <v>0</v>
      </c>
      <c r="N935" t="n">
        <v>0</v>
      </c>
      <c r="O935" t="n">
        <v>0</v>
      </c>
      <c r="P935" t="n">
        <v>0</v>
      </c>
      <c r="Q935" t="n">
        <v>0</v>
      </c>
      <c r="R935" s="2" t="inlineStr"/>
    </row>
    <row r="936" ht="15" customHeight="1">
      <c r="A936" t="inlineStr">
        <is>
          <t>A 66851-2020</t>
        </is>
      </c>
      <c r="B936" s="1" t="n">
        <v>44179</v>
      </c>
      <c r="C936" s="1" t="n">
        <v>45852</v>
      </c>
      <c r="D936" t="inlineStr">
        <is>
          <t>VÄSTERNORRLANDS LÄN</t>
        </is>
      </c>
      <c r="E936" t="inlineStr">
        <is>
          <t>SOLLEFTEÅ</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66853-2020</t>
        </is>
      </c>
      <c r="B937" s="1" t="n">
        <v>44179</v>
      </c>
      <c r="C937" s="1" t="n">
        <v>45852</v>
      </c>
      <c r="D937" t="inlineStr">
        <is>
          <t>VÄSTERNORRLANDS LÄN</t>
        </is>
      </c>
      <c r="E937" t="inlineStr">
        <is>
          <t>SOLLEFTEÅ</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67602-2020</t>
        </is>
      </c>
      <c r="B938" s="1" t="n">
        <v>44181</v>
      </c>
      <c r="C938" s="1" t="n">
        <v>45852</v>
      </c>
      <c r="D938" t="inlineStr">
        <is>
          <t>VÄSTERNORRLANDS LÄN</t>
        </is>
      </c>
      <c r="E938" t="inlineStr">
        <is>
          <t>SOLLEFTEÅ</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68016-2020</t>
        </is>
      </c>
      <c r="B939" s="1" t="n">
        <v>44182</v>
      </c>
      <c r="C939" s="1" t="n">
        <v>45852</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68026-2020</t>
        </is>
      </c>
      <c r="B940" s="1" t="n">
        <v>44182</v>
      </c>
      <c r="C940" s="1" t="n">
        <v>45852</v>
      </c>
      <c r="D940" t="inlineStr">
        <is>
          <t>VÄSTERNORRLANDS LÄN</t>
        </is>
      </c>
      <c r="E940" t="inlineStr">
        <is>
          <t>SOLLEFTEÅ</t>
        </is>
      </c>
      <c r="F940" t="inlineStr">
        <is>
          <t>SCA</t>
        </is>
      </c>
      <c r="G940" t="n">
        <v>4.8</v>
      </c>
      <c r="H940" t="n">
        <v>0</v>
      </c>
      <c r="I940" t="n">
        <v>0</v>
      </c>
      <c r="J940" t="n">
        <v>0</v>
      </c>
      <c r="K940" t="n">
        <v>0</v>
      </c>
      <c r="L940" t="n">
        <v>0</v>
      </c>
      <c r="M940" t="n">
        <v>0</v>
      </c>
      <c r="N940" t="n">
        <v>0</v>
      </c>
      <c r="O940" t="n">
        <v>0</v>
      </c>
      <c r="P940" t="n">
        <v>0</v>
      </c>
      <c r="Q940" t="n">
        <v>0</v>
      </c>
      <c r="R940" s="2" t="inlineStr"/>
    </row>
    <row r="941" ht="15" customHeight="1">
      <c r="A941" t="inlineStr">
        <is>
          <t>A 68022-2020</t>
        </is>
      </c>
      <c r="B941" s="1" t="n">
        <v>44182</v>
      </c>
      <c r="C941" s="1" t="n">
        <v>45852</v>
      </c>
      <c r="D941" t="inlineStr">
        <is>
          <t>VÄSTERNORRLANDS LÄN</t>
        </is>
      </c>
      <c r="E941" t="inlineStr">
        <is>
          <t>SOLLEFTEÅ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68031-2020</t>
        </is>
      </c>
      <c r="B942" s="1" t="n">
        <v>44182</v>
      </c>
      <c r="C942" s="1" t="n">
        <v>45852</v>
      </c>
      <c r="D942" t="inlineStr">
        <is>
          <t>VÄSTERNORRLANDS LÄN</t>
        </is>
      </c>
      <c r="E942" t="inlineStr">
        <is>
          <t>SOLLEFTEÅ</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68036-2020</t>
        </is>
      </c>
      <c r="B943" s="1" t="n">
        <v>44182</v>
      </c>
      <c r="C943" s="1" t="n">
        <v>45852</v>
      </c>
      <c r="D943" t="inlineStr">
        <is>
          <t>VÄSTERNORRLANDS LÄN</t>
        </is>
      </c>
      <c r="E943" t="inlineStr">
        <is>
          <t>SOLLEFTEÅ</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68020-2020</t>
        </is>
      </c>
      <c r="B944" s="1" t="n">
        <v>44182</v>
      </c>
      <c r="C944" s="1" t="n">
        <v>45852</v>
      </c>
      <c r="D944" t="inlineStr">
        <is>
          <t>VÄSTERNORRLANDS LÄN</t>
        </is>
      </c>
      <c r="E944" t="inlineStr">
        <is>
          <t>SOLLEFTEÅ</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68030-2020</t>
        </is>
      </c>
      <c r="B945" s="1" t="n">
        <v>44182</v>
      </c>
      <c r="C945" s="1" t="n">
        <v>45852</v>
      </c>
      <c r="D945" t="inlineStr">
        <is>
          <t>VÄSTERNORRLANDS LÄN</t>
        </is>
      </c>
      <c r="E945" t="inlineStr">
        <is>
          <t>SOLLEFTEÅ</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68034-2020</t>
        </is>
      </c>
      <c r="B946" s="1" t="n">
        <v>44182</v>
      </c>
      <c r="C946" s="1" t="n">
        <v>45852</v>
      </c>
      <c r="D946" t="inlineStr">
        <is>
          <t>VÄSTERNORRLANDS LÄN</t>
        </is>
      </c>
      <c r="E946" t="inlineStr">
        <is>
          <t>SOLLEFTEÅ</t>
        </is>
      </c>
      <c r="F946" t="inlineStr">
        <is>
          <t>SCA</t>
        </is>
      </c>
      <c r="G946" t="n">
        <v>17.1</v>
      </c>
      <c r="H946" t="n">
        <v>0</v>
      </c>
      <c r="I946" t="n">
        <v>0</v>
      </c>
      <c r="J946" t="n">
        <v>0</v>
      </c>
      <c r="K946" t="n">
        <v>0</v>
      </c>
      <c r="L946" t="n">
        <v>0</v>
      </c>
      <c r="M946" t="n">
        <v>0</v>
      </c>
      <c r="N946" t="n">
        <v>0</v>
      </c>
      <c r="O946" t="n">
        <v>0</v>
      </c>
      <c r="P946" t="n">
        <v>0</v>
      </c>
      <c r="Q946" t="n">
        <v>0</v>
      </c>
      <c r="R946" s="2" t="inlineStr"/>
    </row>
    <row r="947" ht="15" customHeight="1">
      <c r="A947" t="inlineStr">
        <is>
          <t>A 68033-2020</t>
        </is>
      </c>
      <c r="B947" s="1" t="n">
        <v>44182</v>
      </c>
      <c r="C947" s="1" t="n">
        <v>45852</v>
      </c>
      <c r="D947" t="inlineStr">
        <is>
          <t>VÄSTERNORRLANDS LÄN</t>
        </is>
      </c>
      <c r="E947" t="inlineStr">
        <is>
          <t>SOLLEFTEÅ</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68015-2020</t>
        </is>
      </c>
      <c r="B948" s="1" t="n">
        <v>44182</v>
      </c>
      <c r="C948" s="1" t="n">
        <v>45852</v>
      </c>
      <c r="D948" t="inlineStr">
        <is>
          <t>VÄSTERNORRLANDS LÄN</t>
        </is>
      </c>
      <c r="E948" t="inlineStr">
        <is>
          <t>SOLLEFTEÅ</t>
        </is>
      </c>
      <c r="F948" t="inlineStr">
        <is>
          <t>SCA</t>
        </is>
      </c>
      <c r="G948" t="n">
        <v>5.7</v>
      </c>
      <c r="H948" t="n">
        <v>0</v>
      </c>
      <c r="I948" t="n">
        <v>0</v>
      </c>
      <c r="J948" t="n">
        <v>0</v>
      </c>
      <c r="K948" t="n">
        <v>0</v>
      </c>
      <c r="L948" t="n">
        <v>0</v>
      </c>
      <c r="M948" t="n">
        <v>0</v>
      </c>
      <c r="N948" t="n">
        <v>0</v>
      </c>
      <c r="O948" t="n">
        <v>0</v>
      </c>
      <c r="P948" t="n">
        <v>0</v>
      </c>
      <c r="Q948" t="n">
        <v>0</v>
      </c>
      <c r="R948" s="2" t="inlineStr"/>
    </row>
    <row r="949" ht="15" customHeight="1">
      <c r="A949" t="inlineStr">
        <is>
          <t>A 68025-2020</t>
        </is>
      </c>
      <c r="B949" s="1" t="n">
        <v>44182</v>
      </c>
      <c r="C949" s="1" t="n">
        <v>45852</v>
      </c>
      <c r="D949" t="inlineStr">
        <is>
          <t>VÄSTERNORRLANDS LÄN</t>
        </is>
      </c>
      <c r="E949" t="inlineStr">
        <is>
          <t>SOLLEFTEÅ</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68032-2020</t>
        </is>
      </c>
      <c r="B950" s="1" t="n">
        <v>44182</v>
      </c>
      <c r="C950" s="1" t="n">
        <v>45852</v>
      </c>
      <c r="D950" t="inlineStr">
        <is>
          <t>VÄSTERNORRLANDS LÄN</t>
        </is>
      </c>
      <c r="E950" t="inlineStr">
        <is>
          <t>SOLLEFTEÅ</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68037-2020</t>
        </is>
      </c>
      <c r="B951" s="1" t="n">
        <v>44182</v>
      </c>
      <c r="C951" s="1" t="n">
        <v>45852</v>
      </c>
      <c r="D951" t="inlineStr">
        <is>
          <t>VÄSTERNORRLANDS LÄN</t>
        </is>
      </c>
      <c r="E951" t="inlineStr">
        <is>
          <t>SOLLEFTEÅ</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68292-2020</t>
        </is>
      </c>
      <c r="B952" s="1" t="n">
        <v>44183</v>
      </c>
      <c r="C952" s="1" t="n">
        <v>45852</v>
      </c>
      <c r="D952" t="inlineStr">
        <is>
          <t>VÄSTERNORRLANDS LÄN</t>
        </is>
      </c>
      <c r="E952" t="inlineStr">
        <is>
          <t>SOLLEFTEÅ</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68570-2020</t>
        </is>
      </c>
      <c r="B953" s="1" t="n">
        <v>44186</v>
      </c>
      <c r="C953" s="1" t="n">
        <v>45852</v>
      </c>
      <c r="D953" t="inlineStr">
        <is>
          <t>VÄSTERNORRLANDS LÄN</t>
        </is>
      </c>
      <c r="E953" t="inlineStr">
        <is>
          <t>SOLLEFTEÅ</t>
        </is>
      </c>
      <c r="G953" t="n">
        <v>5.5</v>
      </c>
      <c r="H953" t="n">
        <v>0</v>
      </c>
      <c r="I953" t="n">
        <v>0</v>
      </c>
      <c r="J953" t="n">
        <v>0</v>
      </c>
      <c r="K953" t="n">
        <v>0</v>
      </c>
      <c r="L953" t="n">
        <v>0</v>
      </c>
      <c r="M953" t="n">
        <v>0</v>
      </c>
      <c r="N953" t="n">
        <v>0</v>
      </c>
      <c r="O953" t="n">
        <v>0</v>
      </c>
      <c r="P953" t="n">
        <v>0</v>
      </c>
      <c r="Q953" t="n">
        <v>0</v>
      </c>
      <c r="R953" s="2" t="inlineStr"/>
    </row>
    <row r="954" ht="15" customHeight="1">
      <c r="A954" t="inlineStr">
        <is>
          <t>A 68652-2020</t>
        </is>
      </c>
      <c r="B954" s="1" t="n">
        <v>44186</v>
      </c>
      <c r="C954" s="1" t="n">
        <v>45852</v>
      </c>
      <c r="D954" t="inlineStr">
        <is>
          <t>VÄSTERNORRLANDS LÄN</t>
        </is>
      </c>
      <c r="E954" t="inlineStr">
        <is>
          <t>SOLLEFTEÅ</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68647-2020</t>
        </is>
      </c>
      <c r="B955" s="1" t="n">
        <v>44186</v>
      </c>
      <c r="C955" s="1" t="n">
        <v>45852</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68648-2020</t>
        </is>
      </c>
      <c r="B956" s="1" t="n">
        <v>44186</v>
      </c>
      <c r="C956" s="1" t="n">
        <v>45852</v>
      </c>
      <c r="D956" t="inlineStr">
        <is>
          <t>VÄSTERNORRLANDS LÄN</t>
        </is>
      </c>
      <c r="E956" t="inlineStr">
        <is>
          <t>SOLLEFTEÅ</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68656-2020</t>
        </is>
      </c>
      <c r="B957" s="1" t="n">
        <v>44186</v>
      </c>
      <c r="C957" s="1" t="n">
        <v>45852</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69436-2020</t>
        </is>
      </c>
      <c r="B958" s="1" t="n">
        <v>44193</v>
      </c>
      <c r="C958" s="1" t="n">
        <v>45852</v>
      </c>
      <c r="D958" t="inlineStr">
        <is>
          <t>VÄSTERNORRLANDS LÄN</t>
        </is>
      </c>
      <c r="E958" t="inlineStr">
        <is>
          <t>SOLLEFTEÅ</t>
        </is>
      </c>
      <c r="G958" t="n">
        <v>4.9</v>
      </c>
      <c r="H958" t="n">
        <v>0</v>
      </c>
      <c r="I958" t="n">
        <v>0</v>
      </c>
      <c r="J958" t="n">
        <v>0</v>
      </c>
      <c r="K958" t="n">
        <v>0</v>
      </c>
      <c r="L958" t="n">
        <v>0</v>
      </c>
      <c r="M958" t="n">
        <v>0</v>
      </c>
      <c r="N958" t="n">
        <v>0</v>
      </c>
      <c r="O958" t="n">
        <v>0</v>
      </c>
      <c r="P958" t="n">
        <v>0</v>
      </c>
      <c r="Q958" t="n">
        <v>0</v>
      </c>
      <c r="R958" s="2" t="inlineStr"/>
    </row>
    <row r="959" ht="15" customHeight="1">
      <c r="A959" t="inlineStr">
        <is>
          <t>A 272-2021</t>
        </is>
      </c>
      <c r="B959" s="1" t="n">
        <v>44200</v>
      </c>
      <c r="C959" s="1" t="n">
        <v>45852</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691-2021</t>
        </is>
      </c>
      <c r="B960" s="1" t="n">
        <v>44203</v>
      </c>
      <c r="C960" s="1" t="n">
        <v>45852</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1858-2021</t>
        </is>
      </c>
      <c r="B961" s="1" t="n">
        <v>44210</v>
      </c>
      <c r="C961" s="1" t="n">
        <v>45852</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2077-2021</t>
        </is>
      </c>
      <c r="B962" s="1" t="n">
        <v>44210</v>
      </c>
      <c r="C962" s="1" t="n">
        <v>45852</v>
      </c>
      <c r="D962" t="inlineStr">
        <is>
          <t>VÄSTERNORRLANDS LÄN</t>
        </is>
      </c>
      <c r="E962" t="inlineStr">
        <is>
          <t>SOLLEFTEÅ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2487-2021</t>
        </is>
      </c>
      <c r="B963" s="1" t="n">
        <v>44211</v>
      </c>
      <c r="C963" s="1" t="n">
        <v>45852</v>
      </c>
      <c r="D963" t="inlineStr">
        <is>
          <t>VÄSTERNORRLANDS LÄN</t>
        </is>
      </c>
      <c r="E963" t="inlineStr">
        <is>
          <t>SOLLEFTEÅ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3441-2021</t>
        </is>
      </c>
      <c r="B964" s="1" t="n">
        <v>44218</v>
      </c>
      <c r="C964" s="1" t="n">
        <v>45852</v>
      </c>
      <c r="D964" t="inlineStr">
        <is>
          <t>VÄSTERNORRLANDS LÄN</t>
        </is>
      </c>
      <c r="E964" t="inlineStr">
        <is>
          <t>SOLLEFTEÅ</t>
        </is>
      </c>
      <c r="G964" t="n">
        <v>2.3</v>
      </c>
      <c r="H964" t="n">
        <v>0</v>
      </c>
      <c r="I964" t="n">
        <v>0</v>
      </c>
      <c r="J964" t="n">
        <v>0</v>
      </c>
      <c r="K964" t="n">
        <v>0</v>
      </c>
      <c r="L964" t="n">
        <v>0</v>
      </c>
      <c r="M964" t="n">
        <v>0</v>
      </c>
      <c r="N964" t="n">
        <v>0</v>
      </c>
      <c r="O964" t="n">
        <v>0</v>
      </c>
      <c r="P964" t="n">
        <v>0</v>
      </c>
      <c r="Q964" t="n">
        <v>0</v>
      </c>
      <c r="R964" s="2" t="inlineStr"/>
    </row>
    <row r="965" ht="15" customHeight="1">
      <c r="A965" t="inlineStr">
        <is>
          <t>A 4127-2021</t>
        </is>
      </c>
      <c r="B965" s="1" t="n">
        <v>44222</v>
      </c>
      <c r="C965" s="1" t="n">
        <v>45852</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5989-2021</t>
        </is>
      </c>
      <c r="B966" s="1" t="n">
        <v>44231</v>
      </c>
      <c r="C966" s="1" t="n">
        <v>45852</v>
      </c>
      <c r="D966" t="inlineStr">
        <is>
          <t>VÄSTERNORRLANDS LÄN</t>
        </is>
      </c>
      <c r="E966" t="inlineStr">
        <is>
          <t>SOLLEFTEÅ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7658-2021</t>
        </is>
      </c>
      <c r="B967" s="1" t="n">
        <v>44242</v>
      </c>
      <c r="C967" s="1" t="n">
        <v>45852</v>
      </c>
      <c r="D967" t="inlineStr">
        <is>
          <t>VÄSTERNORRLANDS LÄN</t>
        </is>
      </c>
      <c r="E967" t="inlineStr">
        <is>
          <t>SOLLEFTEÅ</t>
        </is>
      </c>
      <c r="G967" t="n">
        <v>4.9</v>
      </c>
      <c r="H967" t="n">
        <v>0</v>
      </c>
      <c r="I967" t="n">
        <v>0</v>
      </c>
      <c r="J967" t="n">
        <v>0</v>
      </c>
      <c r="K967" t="n">
        <v>0</v>
      </c>
      <c r="L967" t="n">
        <v>0</v>
      </c>
      <c r="M967" t="n">
        <v>0</v>
      </c>
      <c r="N967" t="n">
        <v>0</v>
      </c>
      <c r="O967" t="n">
        <v>0</v>
      </c>
      <c r="P967" t="n">
        <v>0</v>
      </c>
      <c r="Q967" t="n">
        <v>0</v>
      </c>
      <c r="R967" s="2" t="inlineStr"/>
    </row>
    <row r="968" ht="15" customHeight="1">
      <c r="A968" t="inlineStr">
        <is>
          <t>A 7659-2021</t>
        </is>
      </c>
      <c r="B968" s="1" t="n">
        <v>44242</v>
      </c>
      <c r="C968" s="1" t="n">
        <v>45852</v>
      </c>
      <c r="D968" t="inlineStr">
        <is>
          <t>VÄSTERNORRLANDS LÄN</t>
        </is>
      </c>
      <c r="E968" t="inlineStr">
        <is>
          <t>SOLLEFTEÅ</t>
        </is>
      </c>
      <c r="G968" t="n">
        <v>8.1</v>
      </c>
      <c r="H968" t="n">
        <v>0</v>
      </c>
      <c r="I968" t="n">
        <v>0</v>
      </c>
      <c r="J968" t="n">
        <v>0</v>
      </c>
      <c r="K968" t="n">
        <v>0</v>
      </c>
      <c r="L968" t="n">
        <v>0</v>
      </c>
      <c r="M968" t="n">
        <v>0</v>
      </c>
      <c r="N968" t="n">
        <v>0</v>
      </c>
      <c r="O968" t="n">
        <v>0</v>
      </c>
      <c r="P968" t="n">
        <v>0</v>
      </c>
      <c r="Q968" t="n">
        <v>0</v>
      </c>
      <c r="R968" s="2" t="inlineStr"/>
    </row>
    <row r="969" ht="15" customHeight="1">
      <c r="A969" t="inlineStr">
        <is>
          <t>A 7889-2021</t>
        </is>
      </c>
      <c r="B969" s="1" t="n">
        <v>44242</v>
      </c>
      <c r="C969" s="1" t="n">
        <v>45852</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8631-2021</t>
        </is>
      </c>
      <c r="B970" s="1" t="n">
        <v>44245</v>
      </c>
      <c r="C970" s="1" t="n">
        <v>45852</v>
      </c>
      <c r="D970" t="inlineStr">
        <is>
          <t>VÄSTERNORRLANDS LÄN</t>
        </is>
      </c>
      <c r="E970" t="inlineStr">
        <is>
          <t>SOLLEFTEÅ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8692-2021</t>
        </is>
      </c>
      <c r="B971" s="1" t="n">
        <v>44246</v>
      </c>
      <c r="C971" s="1" t="n">
        <v>45852</v>
      </c>
      <c r="D971" t="inlineStr">
        <is>
          <t>VÄSTERNORRLANDS LÄN</t>
        </is>
      </c>
      <c r="E971" t="inlineStr">
        <is>
          <t>SOLLEFTEÅ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9461-2021</t>
        </is>
      </c>
      <c r="B972" s="1" t="n">
        <v>44251</v>
      </c>
      <c r="C972" s="1" t="n">
        <v>45852</v>
      </c>
      <c r="D972" t="inlineStr">
        <is>
          <t>VÄSTERNORRLANDS LÄN</t>
        </is>
      </c>
      <c r="E972" t="inlineStr">
        <is>
          <t>SOLLEFTEÅ</t>
        </is>
      </c>
      <c r="G972" t="n">
        <v>0.7</v>
      </c>
      <c r="H972" t="n">
        <v>0</v>
      </c>
      <c r="I972" t="n">
        <v>0</v>
      </c>
      <c r="J972" t="n">
        <v>0</v>
      </c>
      <c r="K972" t="n">
        <v>0</v>
      </c>
      <c r="L972" t="n">
        <v>0</v>
      </c>
      <c r="M972" t="n">
        <v>0</v>
      </c>
      <c r="N972" t="n">
        <v>0</v>
      </c>
      <c r="O972" t="n">
        <v>0</v>
      </c>
      <c r="P972" t="n">
        <v>0</v>
      </c>
      <c r="Q972" t="n">
        <v>0</v>
      </c>
      <c r="R972" s="2" t="inlineStr"/>
    </row>
    <row r="973" ht="15" customHeight="1">
      <c r="A973" t="inlineStr">
        <is>
          <t>A 11270-2021</t>
        </is>
      </c>
      <c r="B973" s="1" t="n">
        <v>44263</v>
      </c>
      <c r="C973" s="1" t="n">
        <v>45852</v>
      </c>
      <c r="D973" t="inlineStr">
        <is>
          <t>VÄSTERNORRLANDS LÄN</t>
        </is>
      </c>
      <c r="E973" t="inlineStr">
        <is>
          <t>SOLLEFTEÅ</t>
        </is>
      </c>
      <c r="F973" t="inlineStr">
        <is>
          <t>Kommuner</t>
        </is>
      </c>
      <c r="G973" t="n">
        <v>10.9</v>
      </c>
      <c r="H973" t="n">
        <v>0</v>
      </c>
      <c r="I973" t="n">
        <v>0</v>
      </c>
      <c r="J973" t="n">
        <v>0</v>
      </c>
      <c r="K973" t="n">
        <v>0</v>
      </c>
      <c r="L973" t="n">
        <v>0</v>
      </c>
      <c r="M973" t="n">
        <v>0</v>
      </c>
      <c r="N973" t="n">
        <v>0</v>
      </c>
      <c r="O973" t="n">
        <v>0</v>
      </c>
      <c r="P973" t="n">
        <v>0</v>
      </c>
      <c r="Q973" t="n">
        <v>0</v>
      </c>
      <c r="R973" s="2" t="inlineStr"/>
    </row>
    <row r="974" ht="15" customHeight="1">
      <c r="A974" t="inlineStr">
        <is>
          <t>A 11710-2021</t>
        </is>
      </c>
      <c r="B974" s="1" t="n">
        <v>44264</v>
      </c>
      <c r="C974" s="1" t="n">
        <v>45852</v>
      </c>
      <c r="D974" t="inlineStr">
        <is>
          <t>VÄSTERNORRLANDS LÄN</t>
        </is>
      </c>
      <c r="E974" t="inlineStr">
        <is>
          <t>SOLLEFTEÅ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12278-2021</t>
        </is>
      </c>
      <c r="B975" s="1" t="n">
        <v>44266</v>
      </c>
      <c r="C975" s="1" t="n">
        <v>45852</v>
      </c>
      <c r="D975" t="inlineStr">
        <is>
          <t>VÄSTERNORRLANDS LÄN</t>
        </is>
      </c>
      <c r="E975" t="inlineStr">
        <is>
          <t>SOLLEFTEÅ</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12277-2021</t>
        </is>
      </c>
      <c r="B976" s="1" t="n">
        <v>44266</v>
      </c>
      <c r="C976" s="1" t="n">
        <v>45852</v>
      </c>
      <c r="D976" t="inlineStr">
        <is>
          <t>VÄSTERNORRLANDS LÄN</t>
        </is>
      </c>
      <c r="E976" t="inlineStr">
        <is>
          <t>SOLLEFTEÅ</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12279-2021</t>
        </is>
      </c>
      <c r="B977" s="1" t="n">
        <v>44266</v>
      </c>
      <c r="C977" s="1" t="n">
        <v>45852</v>
      </c>
      <c r="D977" t="inlineStr">
        <is>
          <t>VÄSTERNORRLANDS LÄN</t>
        </is>
      </c>
      <c r="E977" t="inlineStr">
        <is>
          <t>SOLLEFTEÅ</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14733-2021</t>
        </is>
      </c>
      <c r="B978" s="1" t="n">
        <v>44280</v>
      </c>
      <c r="C978" s="1" t="n">
        <v>45852</v>
      </c>
      <c r="D978" t="inlineStr">
        <is>
          <t>VÄSTERNORRLANDS LÄN</t>
        </is>
      </c>
      <c r="E978" t="inlineStr">
        <is>
          <t>SOLLEFTEÅ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15461-2021</t>
        </is>
      </c>
      <c r="B979" s="1" t="n">
        <v>44285</v>
      </c>
      <c r="C979" s="1" t="n">
        <v>45852</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15894-2021</t>
        </is>
      </c>
      <c r="B980" s="1" t="n">
        <v>44286</v>
      </c>
      <c r="C980" s="1" t="n">
        <v>45852</v>
      </c>
      <c r="D980" t="inlineStr">
        <is>
          <t>VÄSTERNORRLANDS LÄN</t>
        </is>
      </c>
      <c r="E980" t="inlineStr">
        <is>
          <t>SOLLEFTEÅ</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16700-2021</t>
        </is>
      </c>
      <c r="B981" s="1" t="n">
        <v>44293</v>
      </c>
      <c r="C981" s="1" t="n">
        <v>45852</v>
      </c>
      <c r="D981" t="inlineStr">
        <is>
          <t>VÄSTERNORRLANDS LÄN</t>
        </is>
      </c>
      <c r="E981" t="inlineStr">
        <is>
          <t>SOLLEFTEÅ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16799-2021</t>
        </is>
      </c>
      <c r="B982" s="1" t="n">
        <v>44293</v>
      </c>
      <c r="C982" s="1" t="n">
        <v>45852</v>
      </c>
      <c r="D982" t="inlineStr">
        <is>
          <t>VÄSTERNORRLANDS LÄN</t>
        </is>
      </c>
      <c r="E982" t="inlineStr">
        <is>
          <t>SOLLEFTEÅ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16905-2021</t>
        </is>
      </c>
      <c r="B983" s="1" t="n">
        <v>44294</v>
      </c>
      <c r="C983" s="1" t="n">
        <v>45852</v>
      </c>
      <c r="D983" t="inlineStr">
        <is>
          <t>VÄSTERNORRLANDS LÄN</t>
        </is>
      </c>
      <c r="E983" t="inlineStr">
        <is>
          <t>SOLLEFTEÅ</t>
        </is>
      </c>
      <c r="G983" t="n">
        <v>5</v>
      </c>
      <c r="H983" t="n">
        <v>0</v>
      </c>
      <c r="I983" t="n">
        <v>0</v>
      </c>
      <c r="J983" t="n">
        <v>0</v>
      </c>
      <c r="K983" t="n">
        <v>0</v>
      </c>
      <c r="L983" t="n">
        <v>0</v>
      </c>
      <c r="M983" t="n">
        <v>0</v>
      </c>
      <c r="N983" t="n">
        <v>0</v>
      </c>
      <c r="O983" t="n">
        <v>0</v>
      </c>
      <c r="P983" t="n">
        <v>0</v>
      </c>
      <c r="Q983" t="n">
        <v>0</v>
      </c>
      <c r="R983" s="2" t="inlineStr"/>
    </row>
    <row r="984" ht="15" customHeight="1">
      <c r="A984" t="inlineStr">
        <is>
          <t>A 17604-2021</t>
        </is>
      </c>
      <c r="B984" s="1" t="n">
        <v>44299</v>
      </c>
      <c r="C984" s="1" t="n">
        <v>45852</v>
      </c>
      <c r="D984" t="inlineStr">
        <is>
          <t>VÄSTERNORRLANDS LÄN</t>
        </is>
      </c>
      <c r="E984" t="inlineStr">
        <is>
          <t>SOLLEFTEÅ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18459-2021</t>
        </is>
      </c>
      <c r="B985" s="1" t="n">
        <v>44306</v>
      </c>
      <c r="C985" s="1" t="n">
        <v>45852</v>
      </c>
      <c r="D985" t="inlineStr">
        <is>
          <t>VÄSTERNORRLANDS LÄN</t>
        </is>
      </c>
      <c r="E985" t="inlineStr">
        <is>
          <t>SOLLEFTEÅ</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18668-2021</t>
        </is>
      </c>
      <c r="B986" s="1" t="n">
        <v>44306</v>
      </c>
      <c r="C986" s="1" t="n">
        <v>45852</v>
      </c>
      <c r="D986" t="inlineStr">
        <is>
          <t>VÄSTERNORRLANDS LÄN</t>
        </is>
      </c>
      <c r="E986" t="inlineStr">
        <is>
          <t>SOLLEFTEÅ</t>
        </is>
      </c>
      <c r="G986" t="n">
        <v>12.7</v>
      </c>
      <c r="H986" t="n">
        <v>0</v>
      </c>
      <c r="I986" t="n">
        <v>0</v>
      </c>
      <c r="J986" t="n">
        <v>0</v>
      </c>
      <c r="K986" t="n">
        <v>0</v>
      </c>
      <c r="L986" t="n">
        <v>0</v>
      </c>
      <c r="M986" t="n">
        <v>0</v>
      </c>
      <c r="N986" t="n">
        <v>0</v>
      </c>
      <c r="O986" t="n">
        <v>0</v>
      </c>
      <c r="P986" t="n">
        <v>0</v>
      </c>
      <c r="Q986" t="n">
        <v>0</v>
      </c>
      <c r="R986" s="2" t="inlineStr"/>
    </row>
    <row r="987" ht="15" customHeight="1">
      <c r="A987" t="inlineStr">
        <is>
          <t>A 18741-2021</t>
        </is>
      </c>
      <c r="B987" s="1" t="n">
        <v>44306</v>
      </c>
      <c r="C987" s="1" t="n">
        <v>45852</v>
      </c>
      <c r="D987" t="inlineStr">
        <is>
          <t>VÄSTERNORRLANDS LÄN</t>
        </is>
      </c>
      <c r="E987" t="inlineStr">
        <is>
          <t>SOLLEFTEÅ</t>
        </is>
      </c>
      <c r="F987" t="inlineStr">
        <is>
          <t>Kyrkan</t>
        </is>
      </c>
      <c r="G987" t="n">
        <v>4.8</v>
      </c>
      <c r="H987" t="n">
        <v>0</v>
      </c>
      <c r="I987" t="n">
        <v>0</v>
      </c>
      <c r="J987" t="n">
        <v>0</v>
      </c>
      <c r="K987" t="n">
        <v>0</v>
      </c>
      <c r="L987" t="n">
        <v>0</v>
      </c>
      <c r="M987" t="n">
        <v>0</v>
      </c>
      <c r="N987" t="n">
        <v>0</v>
      </c>
      <c r="O987" t="n">
        <v>0</v>
      </c>
      <c r="P987" t="n">
        <v>0</v>
      </c>
      <c r="Q987" t="n">
        <v>0</v>
      </c>
      <c r="R987" s="2" t="inlineStr"/>
    </row>
    <row r="988" ht="15" customHeight="1">
      <c r="A988" t="inlineStr">
        <is>
          <t>A 18662-2021</t>
        </is>
      </c>
      <c r="B988" s="1" t="n">
        <v>44306</v>
      </c>
      <c r="C988" s="1" t="n">
        <v>45852</v>
      </c>
      <c r="D988" t="inlineStr">
        <is>
          <t>VÄSTERNORRLANDS LÄN</t>
        </is>
      </c>
      <c r="E988" t="inlineStr">
        <is>
          <t>SOLLEFTEÅ</t>
        </is>
      </c>
      <c r="G988" t="n">
        <v>0.9</v>
      </c>
      <c r="H988" t="n">
        <v>0</v>
      </c>
      <c r="I988" t="n">
        <v>0</v>
      </c>
      <c r="J988" t="n">
        <v>0</v>
      </c>
      <c r="K988" t="n">
        <v>0</v>
      </c>
      <c r="L988" t="n">
        <v>0</v>
      </c>
      <c r="M988" t="n">
        <v>0</v>
      </c>
      <c r="N988" t="n">
        <v>0</v>
      </c>
      <c r="O988" t="n">
        <v>0</v>
      </c>
      <c r="P988" t="n">
        <v>0</v>
      </c>
      <c r="Q988" t="n">
        <v>0</v>
      </c>
      <c r="R988" s="2" t="inlineStr"/>
    </row>
    <row r="989" ht="15" customHeight="1">
      <c r="A989" t="inlineStr">
        <is>
          <t>A 18766-2021</t>
        </is>
      </c>
      <c r="B989" s="1" t="n">
        <v>44307</v>
      </c>
      <c r="C989" s="1" t="n">
        <v>45852</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18761-2021</t>
        </is>
      </c>
      <c r="B990" s="1" t="n">
        <v>44307</v>
      </c>
      <c r="C990" s="1" t="n">
        <v>45852</v>
      </c>
      <c r="D990" t="inlineStr">
        <is>
          <t>VÄSTERNORRLANDS LÄN</t>
        </is>
      </c>
      <c r="E990" t="inlineStr">
        <is>
          <t>SOLLEFTEÅ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18873-2021</t>
        </is>
      </c>
      <c r="B991" s="1" t="n">
        <v>44308</v>
      </c>
      <c r="C991" s="1" t="n">
        <v>45852</v>
      </c>
      <c r="D991" t="inlineStr">
        <is>
          <t>VÄSTERNORRLANDS LÄN</t>
        </is>
      </c>
      <c r="E991" t="inlineStr">
        <is>
          <t>SOLLEFTEÅ</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18878-2021</t>
        </is>
      </c>
      <c r="B992" s="1" t="n">
        <v>44307</v>
      </c>
      <c r="C992" s="1" t="n">
        <v>45852</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18867-2021</t>
        </is>
      </c>
      <c r="B993" s="1" t="n">
        <v>44307</v>
      </c>
      <c r="C993" s="1" t="n">
        <v>45852</v>
      </c>
      <c r="D993" t="inlineStr">
        <is>
          <t>VÄSTERNORRLANDS LÄN</t>
        </is>
      </c>
      <c r="E993" t="inlineStr">
        <is>
          <t>SOLLEFTEÅ</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18882-2021</t>
        </is>
      </c>
      <c r="B994" s="1" t="n">
        <v>44308</v>
      </c>
      <c r="C994" s="1" t="n">
        <v>45852</v>
      </c>
      <c r="D994" t="inlineStr">
        <is>
          <t>VÄSTERNORRLANDS LÄN</t>
        </is>
      </c>
      <c r="E994" t="inlineStr">
        <is>
          <t>SOLLEFTEÅ</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18875-2021</t>
        </is>
      </c>
      <c r="B995" s="1" t="n">
        <v>44307</v>
      </c>
      <c r="C995" s="1" t="n">
        <v>45852</v>
      </c>
      <c r="D995" t="inlineStr">
        <is>
          <t>VÄSTERNORRLANDS LÄN</t>
        </is>
      </c>
      <c r="E995" t="inlineStr">
        <is>
          <t>SOLLEFTEÅ</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18866-2021</t>
        </is>
      </c>
      <c r="B996" s="1" t="n">
        <v>44308</v>
      </c>
      <c r="C996" s="1" t="n">
        <v>45852</v>
      </c>
      <c r="D996" t="inlineStr">
        <is>
          <t>VÄSTERNORRLANDS LÄN</t>
        </is>
      </c>
      <c r="E996" t="inlineStr">
        <is>
          <t>SOLLEFTEÅ</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18874-2021</t>
        </is>
      </c>
      <c r="B997" s="1" t="n">
        <v>44308</v>
      </c>
      <c r="C997" s="1" t="n">
        <v>45852</v>
      </c>
      <c r="D997" t="inlineStr">
        <is>
          <t>VÄSTERNORRLANDS LÄN</t>
        </is>
      </c>
      <c r="E997" t="inlineStr">
        <is>
          <t>SOLLEFTEÅ</t>
        </is>
      </c>
      <c r="F997" t="inlineStr">
        <is>
          <t>SCA</t>
        </is>
      </c>
      <c r="G997" t="n">
        <v>10.7</v>
      </c>
      <c r="H997" t="n">
        <v>0</v>
      </c>
      <c r="I997" t="n">
        <v>0</v>
      </c>
      <c r="J997" t="n">
        <v>0</v>
      </c>
      <c r="K997" t="n">
        <v>0</v>
      </c>
      <c r="L997" t="n">
        <v>0</v>
      </c>
      <c r="M997" t="n">
        <v>0</v>
      </c>
      <c r="N997" t="n">
        <v>0</v>
      </c>
      <c r="O997" t="n">
        <v>0</v>
      </c>
      <c r="P997" t="n">
        <v>0</v>
      </c>
      <c r="Q997" t="n">
        <v>0</v>
      </c>
      <c r="R997" s="2" t="inlineStr"/>
    </row>
    <row r="998" ht="15" customHeight="1">
      <c r="A998" t="inlineStr">
        <is>
          <t>A 18879-2021</t>
        </is>
      </c>
      <c r="B998" s="1" t="n">
        <v>44307</v>
      </c>
      <c r="C998" s="1" t="n">
        <v>45852</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18868-2021</t>
        </is>
      </c>
      <c r="B999" s="1" t="n">
        <v>44307</v>
      </c>
      <c r="C999" s="1" t="n">
        <v>45852</v>
      </c>
      <c r="D999" t="inlineStr">
        <is>
          <t>VÄSTERNORRLANDS LÄN</t>
        </is>
      </c>
      <c r="E999" t="inlineStr">
        <is>
          <t>SOLLEFTEÅ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18877-2021</t>
        </is>
      </c>
      <c r="B1000" s="1" t="n">
        <v>44308</v>
      </c>
      <c r="C1000" s="1" t="n">
        <v>45852</v>
      </c>
      <c r="D1000" t="inlineStr">
        <is>
          <t>VÄSTERNORRLANDS LÄN</t>
        </is>
      </c>
      <c r="E1000" t="inlineStr">
        <is>
          <t>SOLLEFTEÅ</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18889-2021</t>
        </is>
      </c>
      <c r="B1001" s="1" t="n">
        <v>44308</v>
      </c>
      <c r="C1001" s="1" t="n">
        <v>45852</v>
      </c>
      <c r="D1001" t="inlineStr">
        <is>
          <t>VÄSTERNORRLANDS LÄN</t>
        </is>
      </c>
      <c r="E1001" t="inlineStr">
        <is>
          <t>SOLLEFTEÅ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19200-2021</t>
        </is>
      </c>
      <c r="B1002" s="1" t="n">
        <v>44309</v>
      </c>
      <c r="C1002" s="1" t="n">
        <v>45852</v>
      </c>
      <c r="D1002" t="inlineStr">
        <is>
          <t>VÄSTERNORRLANDS LÄN</t>
        </is>
      </c>
      <c r="E1002" t="inlineStr">
        <is>
          <t>SOLLEFTEÅ</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19510-2021</t>
        </is>
      </c>
      <c r="B1003" s="1" t="n">
        <v>44308</v>
      </c>
      <c r="C1003" s="1" t="n">
        <v>45852</v>
      </c>
      <c r="D1003" t="inlineStr">
        <is>
          <t>VÄSTERNORRLANDS LÄN</t>
        </is>
      </c>
      <c r="E1003" t="inlineStr">
        <is>
          <t>SOLLEFTEÅ</t>
        </is>
      </c>
      <c r="F1003" t="inlineStr">
        <is>
          <t>Kyrkan</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19220-2021</t>
        </is>
      </c>
      <c r="B1004" s="1" t="n">
        <v>44309</v>
      </c>
      <c r="C1004" s="1" t="n">
        <v>45852</v>
      </c>
      <c r="D1004" t="inlineStr">
        <is>
          <t>VÄSTERNORRLANDS LÄN</t>
        </is>
      </c>
      <c r="E1004" t="inlineStr">
        <is>
          <t>SOLLEFTEÅ</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19433-2021</t>
        </is>
      </c>
      <c r="B1005" s="1" t="n">
        <v>44310</v>
      </c>
      <c r="C1005" s="1" t="n">
        <v>45852</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19412-2021</t>
        </is>
      </c>
      <c r="B1006" s="1" t="n">
        <v>44310</v>
      </c>
      <c r="C1006" s="1" t="n">
        <v>45852</v>
      </c>
      <c r="D1006" t="inlineStr">
        <is>
          <t>VÄSTERNORRLANDS LÄN</t>
        </is>
      </c>
      <c r="E1006" t="inlineStr">
        <is>
          <t>SOLLEFTEÅ</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19435-2021</t>
        </is>
      </c>
      <c r="B1007" s="1" t="n">
        <v>44310</v>
      </c>
      <c r="C1007" s="1" t="n">
        <v>45852</v>
      </c>
      <c r="D1007" t="inlineStr">
        <is>
          <t>VÄSTERNORRLANDS LÄN</t>
        </is>
      </c>
      <c r="E1007" t="inlineStr">
        <is>
          <t>SOLLEFTEÅ</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19516-2021</t>
        </is>
      </c>
      <c r="B1008" s="1" t="n">
        <v>44309</v>
      </c>
      <c r="C1008" s="1" t="n">
        <v>45852</v>
      </c>
      <c r="D1008" t="inlineStr">
        <is>
          <t>VÄSTERNORRLANDS LÄN</t>
        </is>
      </c>
      <c r="E1008" t="inlineStr">
        <is>
          <t>SOLLEFTEÅ</t>
        </is>
      </c>
      <c r="G1008" t="n">
        <v>15.6</v>
      </c>
      <c r="H1008" t="n">
        <v>0</v>
      </c>
      <c r="I1008" t="n">
        <v>0</v>
      </c>
      <c r="J1008" t="n">
        <v>0</v>
      </c>
      <c r="K1008" t="n">
        <v>0</v>
      </c>
      <c r="L1008" t="n">
        <v>0</v>
      </c>
      <c r="M1008" t="n">
        <v>0</v>
      </c>
      <c r="N1008" t="n">
        <v>0</v>
      </c>
      <c r="O1008" t="n">
        <v>0</v>
      </c>
      <c r="P1008" t="n">
        <v>0</v>
      </c>
      <c r="Q1008" t="n">
        <v>0</v>
      </c>
      <c r="R1008" s="2" t="inlineStr"/>
    </row>
    <row r="1009" ht="15" customHeight="1">
      <c r="A1009" t="inlineStr">
        <is>
          <t>A 19830-2021</t>
        </is>
      </c>
      <c r="B1009" s="1" t="n">
        <v>44312</v>
      </c>
      <c r="C1009" s="1" t="n">
        <v>45852</v>
      </c>
      <c r="D1009" t="inlineStr">
        <is>
          <t>VÄSTERNORRLANDS LÄN</t>
        </is>
      </c>
      <c r="E1009" t="inlineStr">
        <is>
          <t>SOLLEFTEÅ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19637-2021</t>
        </is>
      </c>
      <c r="B1010" s="1" t="n">
        <v>44312</v>
      </c>
      <c r="C1010" s="1" t="n">
        <v>45852</v>
      </c>
      <c r="D1010" t="inlineStr">
        <is>
          <t>VÄSTERNORRLANDS LÄN</t>
        </is>
      </c>
      <c r="E1010" t="inlineStr">
        <is>
          <t>SOLLEFTEÅ</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21341-2021</t>
        </is>
      </c>
      <c r="B1011" s="1" t="n">
        <v>44321</v>
      </c>
      <c r="C1011" s="1" t="n">
        <v>45852</v>
      </c>
      <c r="D1011" t="inlineStr">
        <is>
          <t>VÄSTERNORRLANDS LÄN</t>
        </is>
      </c>
      <c r="E1011" t="inlineStr">
        <is>
          <t>SOLLEFTEÅ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21350-2021</t>
        </is>
      </c>
      <c r="B1012" s="1" t="n">
        <v>44321</v>
      </c>
      <c r="C1012" s="1" t="n">
        <v>45852</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21358-2021</t>
        </is>
      </c>
      <c r="B1013" s="1" t="n">
        <v>44320</v>
      </c>
      <c r="C1013" s="1" t="n">
        <v>45852</v>
      </c>
      <c r="D1013" t="inlineStr">
        <is>
          <t>VÄSTERNORRLANDS LÄN</t>
        </is>
      </c>
      <c r="E1013" t="inlineStr">
        <is>
          <t>SOLLEFTEÅ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21362-2021</t>
        </is>
      </c>
      <c r="B1014" s="1" t="n">
        <v>44321</v>
      </c>
      <c r="C1014" s="1" t="n">
        <v>45852</v>
      </c>
      <c r="D1014" t="inlineStr">
        <is>
          <t>VÄSTERNORRLANDS LÄN</t>
        </is>
      </c>
      <c r="E1014" t="inlineStr">
        <is>
          <t>SOLLEFTEÅ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21532-2021</t>
        </is>
      </c>
      <c r="B1015" s="1" t="n">
        <v>44321</v>
      </c>
      <c r="C1015" s="1" t="n">
        <v>45852</v>
      </c>
      <c r="D1015" t="inlineStr">
        <is>
          <t>VÄSTERNORRLANDS LÄN</t>
        </is>
      </c>
      <c r="E1015" t="inlineStr">
        <is>
          <t>SOLLEFTEÅ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21589-2021</t>
        </is>
      </c>
      <c r="B1016" s="1" t="n">
        <v>44321</v>
      </c>
      <c r="C1016" s="1" t="n">
        <v>45852</v>
      </c>
      <c r="D1016" t="inlineStr">
        <is>
          <t>VÄSTERNORRLANDS LÄN</t>
        </is>
      </c>
      <c r="E1016" t="inlineStr">
        <is>
          <t>SOLLEFTEÅ</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21711-2021</t>
        </is>
      </c>
      <c r="B1017" s="1" t="n">
        <v>44322</v>
      </c>
      <c r="C1017" s="1" t="n">
        <v>45852</v>
      </c>
      <c r="D1017" t="inlineStr">
        <is>
          <t>VÄSTERNORRLANDS LÄN</t>
        </is>
      </c>
      <c r="E1017" t="inlineStr">
        <is>
          <t>SOLLEFTEÅ</t>
        </is>
      </c>
      <c r="F1017" t="inlineStr">
        <is>
          <t>Kyrkan</t>
        </is>
      </c>
      <c r="G1017" t="n">
        <v>22.2</v>
      </c>
      <c r="H1017" t="n">
        <v>0</v>
      </c>
      <c r="I1017" t="n">
        <v>0</v>
      </c>
      <c r="J1017" t="n">
        <v>0</v>
      </c>
      <c r="K1017" t="n">
        <v>0</v>
      </c>
      <c r="L1017" t="n">
        <v>0</v>
      </c>
      <c r="M1017" t="n">
        <v>0</v>
      </c>
      <c r="N1017" t="n">
        <v>0</v>
      </c>
      <c r="O1017" t="n">
        <v>0</v>
      </c>
      <c r="P1017" t="n">
        <v>0</v>
      </c>
      <c r="Q1017" t="n">
        <v>0</v>
      </c>
      <c r="R1017" s="2" t="inlineStr"/>
    </row>
    <row r="1018" ht="15" customHeight="1">
      <c r="A1018" t="inlineStr">
        <is>
          <t>A 21924-2021</t>
        </is>
      </c>
      <c r="B1018" s="1" t="n">
        <v>44323</v>
      </c>
      <c r="C1018" s="1" t="n">
        <v>45852</v>
      </c>
      <c r="D1018" t="inlineStr">
        <is>
          <t>VÄSTERNORRLANDS LÄN</t>
        </is>
      </c>
      <c r="E1018" t="inlineStr">
        <is>
          <t>SOLLEFTEÅ</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22447-2021</t>
        </is>
      </c>
      <c r="B1019" s="1" t="n">
        <v>44323</v>
      </c>
      <c r="C1019" s="1" t="n">
        <v>45852</v>
      </c>
      <c r="D1019" t="inlineStr">
        <is>
          <t>VÄSTERNORRLANDS LÄN</t>
        </is>
      </c>
      <c r="E1019" t="inlineStr">
        <is>
          <t>SOLLEFTEÅ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22441-2021</t>
        </is>
      </c>
      <c r="B1020" s="1" t="n">
        <v>44323</v>
      </c>
      <c r="C1020" s="1" t="n">
        <v>45852</v>
      </c>
      <c r="D1020" t="inlineStr">
        <is>
          <t>VÄSTERNORRLANDS LÄN</t>
        </is>
      </c>
      <c r="E1020" t="inlineStr">
        <is>
          <t>SOLLEFTEÅ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22224-2021</t>
        </is>
      </c>
      <c r="B1021" s="1" t="n">
        <v>44326</v>
      </c>
      <c r="C1021" s="1" t="n">
        <v>45852</v>
      </c>
      <c r="D1021" t="inlineStr">
        <is>
          <t>VÄSTERNORRLANDS LÄN</t>
        </is>
      </c>
      <c r="E1021" t="inlineStr">
        <is>
          <t>SOLLEFTEÅ</t>
        </is>
      </c>
      <c r="F1021" t="inlineStr">
        <is>
          <t>Kommuner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22934-2021</t>
        </is>
      </c>
      <c r="B1022" s="1" t="n">
        <v>44328</v>
      </c>
      <c r="C1022" s="1" t="n">
        <v>45852</v>
      </c>
      <c r="D1022" t="inlineStr">
        <is>
          <t>VÄSTERNORRLANDS LÄN</t>
        </is>
      </c>
      <c r="E1022" t="inlineStr">
        <is>
          <t>SOLLEFTEÅ</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23033-2021</t>
        </is>
      </c>
      <c r="B1023" s="1" t="n">
        <v>44329</v>
      </c>
      <c r="C1023" s="1" t="n">
        <v>45852</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23032-2021</t>
        </is>
      </c>
      <c r="B1024" s="1" t="n">
        <v>44329</v>
      </c>
      <c r="C1024" s="1" t="n">
        <v>45852</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23034-2021</t>
        </is>
      </c>
      <c r="B1025" s="1" t="n">
        <v>44329</v>
      </c>
      <c r="C1025" s="1" t="n">
        <v>45852</v>
      </c>
      <c r="D1025" t="inlineStr">
        <is>
          <t>VÄSTERNORRLANDS LÄN</t>
        </is>
      </c>
      <c r="E1025" t="inlineStr">
        <is>
          <t>SOLLEFTEÅ</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23030-2021</t>
        </is>
      </c>
      <c r="B1026" s="1" t="n">
        <v>44329</v>
      </c>
      <c r="C1026" s="1" t="n">
        <v>45852</v>
      </c>
      <c r="D1026" t="inlineStr">
        <is>
          <t>VÄSTERNORRLANDS LÄN</t>
        </is>
      </c>
      <c r="E1026" t="inlineStr">
        <is>
          <t>SOLLEFTEÅ</t>
        </is>
      </c>
      <c r="F1026" t="inlineStr">
        <is>
          <t>SCA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23069-2021</t>
        </is>
      </c>
      <c r="B1027" s="1" t="n">
        <v>44330</v>
      </c>
      <c r="C1027" s="1" t="n">
        <v>45852</v>
      </c>
      <c r="D1027" t="inlineStr">
        <is>
          <t>VÄSTERNORRLANDS LÄN</t>
        </is>
      </c>
      <c r="E1027" t="inlineStr">
        <is>
          <t>SOLLEFTEÅ</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23394-2021</t>
        </is>
      </c>
      <c r="B1028" s="1" t="n">
        <v>44333</v>
      </c>
      <c r="C1028" s="1" t="n">
        <v>45852</v>
      </c>
      <c r="D1028" t="inlineStr">
        <is>
          <t>VÄSTERNORRLANDS LÄN</t>
        </is>
      </c>
      <c r="E1028" t="inlineStr">
        <is>
          <t>SOLLEFTEÅ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23639-2021</t>
        </is>
      </c>
      <c r="B1029" s="1" t="n">
        <v>44334</v>
      </c>
      <c r="C1029" s="1" t="n">
        <v>45852</v>
      </c>
      <c r="D1029" t="inlineStr">
        <is>
          <t>VÄSTERNORRLANDS LÄN</t>
        </is>
      </c>
      <c r="E1029" t="inlineStr">
        <is>
          <t>SOLLEFTEÅ</t>
        </is>
      </c>
      <c r="F1029" t="inlineStr">
        <is>
          <t>Kyrkan</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23689-2021</t>
        </is>
      </c>
      <c r="B1030" s="1" t="n">
        <v>44334</v>
      </c>
      <c r="C1030" s="1" t="n">
        <v>45852</v>
      </c>
      <c r="D1030" t="inlineStr">
        <is>
          <t>VÄSTERNORRLANDS LÄN</t>
        </is>
      </c>
      <c r="E1030" t="inlineStr">
        <is>
          <t>SOLLEFTEÅ</t>
        </is>
      </c>
      <c r="G1030" t="n">
        <v>14.9</v>
      </c>
      <c r="H1030" t="n">
        <v>0</v>
      </c>
      <c r="I1030" t="n">
        <v>0</v>
      </c>
      <c r="J1030" t="n">
        <v>0</v>
      </c>
      <c r="K1030" t="n">
        <v>0</v>
      </c>
      <c r="L1030" t="n">
        <v>0</v>
      </c>
      <c r="M1030" t="n">
        <v>0</v>
      </c>
      <c r="N1030" t="n">
        <v>0</v>
      </c>
      <c r="O1030" t="n">
        <v>0</v>
      </c>
      <c r="P1030" t="n">
        <v>0</v>
      </c>
      <c r="Q1030" t="n">
        <v>0</v>
      </c>
      <c r="R1030" s="2" t="inlineStr"/>
    </row>
    <row r="1031" ht="15" customHeight="1">
      <c r="A1031" t="inlineStr">
        <is>
          <t>A 23770-2021</t>
        </is>
      </c>
      <c r="B1031" s="1" t="n">
        <v>44335</v>
      </c>
      <c r="C1031" s="1" t="n">
        <v>45852</v>
      </c>
      <c r="D1031" t="inlineStr">
        <is>
          <t>VÄSTERNORRLANDS LÄN</t>
        </is>
      </c>
      <c r="E1031" t="inlineStr">
        <is>
          <t>SOLLEFTEÅ</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23753-2021</t>
        </is>
      </c>
      <c r="B1032" s="1" t="n">
        <v>44334</v>
      </c>
      <c r="C1032" s="1" t="n">
        <v>45852</v>
      </c>
      <c r="D1032" t="inlineStr">
        <is>
          <t>VÄSTERNORRLANDS LÄN</t>
        </is>
      </c>
      <c r="E1032" t="inlineStr">
        <is>
          <t>SOLLEFTEÅ</t>
        </is>
      </c>
      <c r="G1032" t="n">
        <v>14.8</v>
      </c>
      <c r="H1032" t="n">
        <v>0</v>
      </c>
      <c r="I1032" t="n">
        <v>0</v>
      </c>
      <c r="J1032" t="n">
        <v>0</v>
      </c>
      <c r="K1032" t="n">
        <v>0</v>
      </c>
      <c r="L1032" t="n">
        <v>0</v>
      </c>
      <c r="M1032" t="n">
        <v>0</v>
      </c>
      <c r="N1032" t="n">
        <v>0</v>
      </c>
      <c r="O1032" t="n">
        <v>0</v>
      </c>
      <c r="P1032" t="n">
        <v>0</v>
      </c>
      <c r="Q1032" t="n">
        <v>0</v>
      </c>
      <c r="R1032" s="2" t="inlineStr"/>
    </row>
    <row r="1033" ht="15" customHeight="1">
      <c r="A1033" t="inlineStr">
        <is>
          <t>A 23814-2021</t>
        </is>
      </c>
      <c r="B1033" s="1" t="n">
        <v>44335</v>
      </c>
      <c r="C1033" s="1" t="n">
        <v>45852</v>
      </c>
      <c r="D1033" t="inlineStr">
        <is>
          <t>VÄSTERNORRLANDS LÄN</t>
        </is>
      </c>
      <c r="E1033" t="inlineStr">
        <is>
          <t>SOLLEFTEÅ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24243-2021</t>
        </is>
      </c>
      <c r="B1034" s="1" t="n">
        <v>44336</v>
      </c>
      <c r="C1034" s="1" t="n">
        <v>45852</v>
      </c>
      <c r="D1034" t="inlineStr">
        <is>
          <t>VÄSTERNORRLANDS LÄN</t>
        </is>
      </c>
      <c r="E1034" t="inlineStr">
        <is>
          <t>SOLLEFTEÅ</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24244-2021</t>
        </is>
      </c>
      <c r="B1035" s="1" t="n">
        <v>44337</v>
      </c>
      <c r="C1035" s="1" t="n">
        <v>45852</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24720-2021</t>
        </is>
      </c>
      <c r="B1036" s="1" t="n">
        <v>44340</v>
      </c>
      <c r="C1036" s="1" t="n">
        <v>45852</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24731-2021</t>
        </is>
      </c>
      <c r="B1037" s="1" t="n">
        <v>44340</v>
      </c>
      <c r="C1037" s="1" t="n">
        <v>45852</v>
      </c>
      <c r="D1037" t="inlineStr">
        <is>
          <t>VÄSTERNORRLANDS LÄN</t>
        </is>
      </c>
      <c r="E1037" t="inlineStr">
        <is>
          <t>SOLLEFTEÅ</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25183-2021</t>
        </is>
      </c>
      <c r="B1038" s="1" t="n">
        <v>44341</v>
      </c>
      <c r="C1038" s="1" t="n">
        <v>45852</v>
      </c>
      <c r="D1038" t="inlineStr">
        <is>
          <t>VÄSTERNORRLANDS LÄN</t>
        </is>
      </c>
      <c r="E1038" t="inlineStr">
        <is>
          <t>SOLLEFTEÅ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25156-2021</t>
        </is>
      </c>
      <c r="B1039" s="1" t="n">
        <v>44341</v>
      </c>
      <c r="C1039" s="1" t="n">
        <v>45852</v>
      </c>
      <c r="D1039" t="inlineStr">
        <is>
          <t>VÄSTERNORRLANDS LÄN</t>
        </is>
      </c>
      <c r="E1039" t="inlineStr">
        <is>
          <t>SOLLEFTEÅ</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25152-2021</t>
        </is>
      </c>
      <c r="B1040" s="1" t="n">
        <v>44341</v>
      </c>
      <c r="C1040" s="1" t="n">
        <v>45852</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25329-2021</t>
        </is>
      </c>
      <c r="B1041" s="1" t="n">
        <v>44342</v>
      </c>
      <c r="C1041" s="1" t="n">
        <v>45852</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25345-2021</t>
        </is>
      </c>
      <c r="B1042" s="1" t="n">
        <v>44342</v>
      </c>
      <c r="C1042" s="1" t="n">
        <v>45852</v>
      </c>
      <c r="D1042" t="inlineStr">
        <is>
          <t>VÄSTERNORRLANDS LÄN</t>
        </is>
      </c>
      <c r="E1042" t="inlineStr">
        <is>
          <t>SOLLEFTEÅ</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25522-2021</t>
        </is>
      </c>
      <c r="B1043" s="1" t="n">
        <v>44342</v>
      </c>
      <c r="C1043" s="1" t="n">
        <v>45852</v>
      </c>
      <c r="D1043" t="inlineStr">
        <is>
          <t>VÄSTERNORRLANDS LÄN</t>
        </is>
      </c>
      <c r="E1043" t="inlineStr">
        <is>
          <t>SOLLEFTEÅ</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25999-2021</t>
        </is>
      </c>
      <c r="B1044" s="1" t="n">
        <v>44344</v>
      </c>
      <c r="C1044" s="1" t="n">
        <v>45852</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25877-2021</t>
        </is>
      </c>
      <c r="B1045" s="1" t="n">
        <v>44344</v>
      </c>
      <c r="C1045" s="1" t="n">
        <v>45852</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25989-2021</t>
        </is>
      </c>
      <c r="B1046" s="1" t="n">
        <v>44344</v>
      </c>
      <c r="C1046" s="1" t="n">
        <v>45852</v>
      </c>
      <c r="D1046" t="inlineStr">
        <is>
          <t>VÄSTERNORRLANDS LÄN</t>
        </is>
      </c>
      <c r="E1046" t="inlineStr">
        <is>
          <t>SOLLEFTEÅ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26406-2021</t>
        </is>
      </c>
      <c r="B1047" s="1" t="n">
        <v>44347</v>
      </c>
      <c r="C1047" s="1" t="n">
        <v>45852</v>
      </c>
      <c r="D1047" t="inlineStr">
        <is>
          <t>VÄSTERNORRLANDS LÄN</t>
        </is>
      </c>
      <c r="E1047" t="inlineStr">
        <is>
          <t>SOLLEFTEÅ</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26401-2021</t>
        </is>
      </c>
      <c r="B1048" s="1" t="n">
        <v>44348</v>
      </c>
      <c r="C1048" s="1" t="n">
        <v>45852</v>
      </c>
      <c r="D1048" t="inlineStr">
        <is>
          <t>VÄSTERNORRLANDS LÄN</t>
        </is>
      </c>
      <c r="E1048" t="inlineStr">
        <is>
          <t>SOLLEFTEÅ</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26498-2021</t>
        </is>
      </c>
      <c r="B1049" s="1" t="n">
        <v>44348</v>
      </c>
      <c r="C1049" s="1" t="n">
        <v>45852</v>
      </c>
      <c r="D1049" t="inlineStr">
        <is>
          <t>VÄSTERNORRLANDS LÄN</t>
        </is>
      </c>
      <c r="E1049" t="inlineStr">
        <is>
          <t>SOLLEFTEÅ</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26559-2021</t>
        </is>
      </c>
      <c r="B1050" s="1" t="n">
        <v>44348</v>
      </c>
      <c r="C1050" s="1" t="n">
        <v>45852</v>
      </c>
      <c r="D1050" t="inlineStr">
        <is>
          <t>VÄSTERNORRLANDS LÄN</t>
        </is>
      </c>
      <c r="E1050" t="inlineStr">
        <is>
          <t>SOLLEFTEÅ</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26669-2021</t>
        </is>
      </c>
      <c r="B1051" s="1" t="n">
        <v>44349</v>
      </c>
      <c r="C1051" s="1" t="n">
        <v>45852</v>
      </c>
      <c r="D1051" t="inlineStr">
        <is>
          <t>VÄSTERNORRLANDS LÄN</t>
        </is>
      </c>
      <c r="E1051" t="inlineStr">
        <is>
          <t>SOLLEFTEÅ</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27809-2021</t>
        </is>
      </c>
      <c r="B1052" s="1" t="n">
        <v>44354</v>
      </c>
      <c r="C1052" s="1" t="n">
        <v>45852</v>
      </c>
      <c r="D1052" t="inlineStr">
        <is>
          <t>VÄSTERNORRLANDS LÄN</t>
        </is>
      </c>
      <c r="E1052" t="inlineStr">
        <is>
          <t>SOLLEFTEÅ</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27972-2021</t>
        </is>
      </c>
      <c r="B1053" s="1" t="n">
        <v>44355</v>
      </c>
      <c r="C1053" s="1" t="n">
        <v>45852</v>
      </c>
      <c r="D1053" t="inlineStr">
        <is>
          <t>VÄSTERNORRLANDS LÄN</t>
        </is>
      </c>
      <c r="E1053" t="inlineStr">
        <is>
          <t>SOLLEFTEÅ</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28288-2021</t>
        </is>
      </c>
      <c r="B1054" s="1" t="n">
        <v>44355</v>
      </c>
      <c r="C1054" s="1" t="n">
        <v>45852</v>
      </c>
      <c r="D1054" t="inlineStr">
        <is>
          <t>VÄSTERNORRLANDS LÄN</t>
        </is>
      </c>
      <c r="E1054" t="inlineStr">
        <is>
          <t>SOLLEFTEÅ</t>
        </is>
      </c>
      <c r="F1054" t="inlineStr">
        <is>
          <t>SCA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28615-2021</t>
        </is>
      </c>
      <c r="B1055" s="1" t="n">
        <v>44357</v>
      </c>
      <c r="C1055" s="1" t="n">
        <v>45852</v>
      </c>
      <c r="D1055" t="inlineStr">
        <is>
          <t>VÄSTERNORRLANDS LÄN</t>
        </is>
      </c>
      <c r="E1055" t="inlineStr">
        <is>
          <t>SOLLEFTEÅ</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28939-2021</t>
        </is>
      </c>
      <c r="B1056" s="1" t="n">
        <v>44358</v>
      </c>
      <c r="C1056" s="1" t="n">
        <v>45852</v>
      </c>
      <c r="D1056" t="inlineStr">
        <is>
          <t>VÄSTERNORRLANDS LÄN</t>
        </is>
      </c>
      <c r="E1056" t="inlineStr">
        <is>
          <t>SOLLEFTEÅ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29623-2021</t>
        </is>
      </c>
      <c r="B1057" s="1" t="n">
        <v>44361</v>
      </c>
      <c r="C1057" s="1" t="n">
        <v>45852</v>
      </c>
      <c r="D1057" t="inlineStr">
        <is>
          <t>VÄSTERNORRLANDS LÄN</t>
        </is>
      </c>
      <c r="E1057" t="inlineStr">
        <is>
          <t>SOLLEFTEÅ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29602-2021</t>
        </is>
      </c>
      <c r="B1058" s="1" t="n">
        <v>44362</v>
      </c>
      <c r="C1058" s="1" t="n">
        <v>45852</v>
      </c>
      <c r="D1058" t="inlineStr">
        <is>
          <t>VÄSTERNORRLANDS LÄN</t>
        </is>
      </c>
      <c r="E1058" t="inlineStr">
        <is>
          <t>SOLLEFTEÅ</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29829-2021</t>
        </is>
      </c>
      <c r="B1059" s="1" t="n">
        <v>44362</v>
      </c>
      <c r="C1059" s="1" t="n">
        <v>45852</v>
      </c>
      <c r="D1059" t="inlineStr">
        <is>
          <t>VÄSTERNORRLANDS LÄN</t>
        </is>
      </c>
      <c r="E1059" t="inlineStr">
        <is>
          <t>SOLLEFTEÅ</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30692-2021</t>
        </is>
      </c>
      <c r="B1060" s="1" t="n">
        <v>44365</v>
      </c>
      <c r="C1060" s="1" t="n">
        <v>45852</v>
      </c>
      <c r="D1060" t="inlineStr">
        <is>
          <t>VÄSTERNORRLANDS LÄN</t>
        </is>
      </c>
      <c r="E1060" t="inlineStr">
        <is>
          <t>SOLLEFTEÅ</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31600-2021</t>
        </is>
      </c>
      <c r="B1061" s="1" t="n">
        <v>44369</v>
      </c>
      <c r="C1061" s="1" t="n">
        <v>45852</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31737-2021</t>
        </is>
      </c>
      <c r="B1062" s="1" t="n">
        <v>44370</v>
      </c>
      <c r="C1062" s="1" t="n">
        <v>45852</v>
      </c>
      <c r="D1062" t="inlineStr">
        <is>
          <t>VÄSTERNORRLANDS LÄN</t>
        </is>
      </c>
      <c r="E1062" t="inlineStr">
        <is>
          <t>SOLLEFTEÅ</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32091-2021</t>
        </is>
      </c>
      <c r="B1063" s="1" t="n">
        <v>44370</v>
      </c>
      <c r="C1063" s="1" t="n">
        <v>45852</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33207-2021</t>
        </is>
      </c>
      <c r="B1064" s="1" t="n">
        <v>44376</v>
      </c>
      <c r="C1064" s="1" t="n">
        <v>45852</v>
      </c>
      <c r="D1064" t="inlineStr">
        <is>
          <t>VÄSTERNORRLANDS LÄN</t>
        </is>
      </c>
      <c r="E1064" t="inlineStr">
        <is>
          <t>SOLLEFTEÅ</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33214-2021</t>
        </is>
      </c>
      <c r="B1065" s="1" t="n">
        <v>44377</v>
      </c>
      <c r="C1065" s="1" t="n">
        <v>45852</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33895-2021</t>
        </is>
      </c>
      <c r="B1066" s="1" t="n">
        <v>44378</v>
      </c>
      <c r="C1066" s="1" t="n">
        <v>45852</v>
      </c>
      <c r="D1066" t="inlineStr">
        <is>
          <t>VÄSTERNORRLANDS LÄN</t>
        </is>
      </c>
      <c r="E1066" t="inlineStr">
        <is>
          <t>SOLLEFTEÅ</t>
        </is>
      </c>
      <c r="F1066" t="inlineStr">
        <is>
          <t>Kyrkan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34396-2021</t>
        </is>
      </c>
      <c r="B1067" s="1" t="n">
        <v>44379</v>
      </c>
      <c r="C1067" s="1" t="n">
        <v>45852</v>
      </c>
      <c r="D1067" t="inlineStr">
        <is>
          <t>VÄSTERNORRLANDS LÄN</t>
        </is>
      </c>
      <c r="E1067" t="inlineStr">
        <is>
          <t>SOLLEFTEÅ</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34395-2021</t>
        </is>
      </c>
      <c r="B1068" s="1" t="n">
        <v>44379</v>
      </c>
      <c r="C1068" s="1" t="n">
        <v>45852</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34397-2021</t>
        </is>
      </c>
      <c r="B1069" s="1" t="n">
        <v>44379</v>
      </c>
      <c r="C1069" s="1" t="n">
        <v>45852</v>
      </c>
      <c r="D1069" t="inlineStr">
        <is>
          <t>VÄSTERNORRLANDS LÄN</t>
        </is>
      </c>
      <c r="E1069" t="inlineStr">
        <is>
          <t>SOLLEFTEÅ</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34475-2021</t>
        </is>
      </c>
      <c r="B1070" s="1" t="n">
        <v>44381</v>
      </c>
      <c r="C1070" s="1" t="n">
        <v>45852</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34473-2021</t>
        </is>
      </c>
      <c r="B1071" s="1" t="n">
        <v>44382</v>
      </c>
      <c r="C1071" s="1" t="n">
        <v>45852</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35333-2021</t>
        </is>
      </c>
      <c r="B1072" s="1" t="n">
        <v>44384</v>
      </c>
      <c r="C1072" s="1" t="n">
        <v>45852</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35358-2021</t>
        </is>
      </c>
      <c r="B1073" s="1" t="n">
        <v>44385</v>
      </c>
      <c r="C1073" s="1" t="n">
        <v>45852</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35574-2021</t>
        </is>
      </c>
      <c r="B1074" s="1" t="n">
        <v>44386</v>
      </c>
      <c r="C1074" s="1" t="n">
        <v>45852</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35862-2021</t>
        </is>
      </c>
      <c r="B1075" s="1" t="n">
        <v>44386</v>
      </c>
      <c r="C1075" s="1" t="n">
        <v>45852</v>
      </c>
      <c r="D1075" t="inlineStr">
        <is>
          <t>VÄSTERNORRLANDS LÄN</t>
        </is>
      </c>
      <c r="E1075" t="inlineStr">
        <is>
          <t>SOLLEFTEÅ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36447-2021</t>
        </is>
      </c>
      <c r="B1076" s="1" t="n">
        <v>44390</v>
      </c>
      <c r="C1076" s="1" t="n">
        <v>45852</v>
      </c>
      <c r="D1076" t="inlineStr">
        <is>
          <t>VÄSTERNORRLANDS LÄN</t>
        </is>
      </c>
      <c r="E1076" t="inlineStr">
        <is>
          <t>SOLLEFTEÅ</t>
        </is>
      </c>
      <c r="F1076" t="inlineStr">
        <is>
          <t>SCA</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36448-2021</t>
        </is>
      </c>
      <c r="B1077" s="1" t="n">
        <v>44390</v>
      </c>
      <c r="C1077" s="1" t="n">
        <v>45852</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36579-2021</t>
        </is>
      </c>
      <c r="B1078" s="1" t="n">
        <v>44391</v>
      </c>
      <c r="C1078" s="1" t="n">
        <v>45852</v>
      </c>
      <c r="D1078" t="inlineStr">
        <is>
          <t>VÄSTERNORRLANDS LÄN</t>
        </is>
      </c>
      <c r="E1078" t="inlineStr">
        <is>
          <t>SOLLEFTEÅ</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36816-2021</t>
        </is>
      </c>
      <c r="B1079" s="1" t="n">
        <v>44393</v>
      </c>
      <c r="C1079" s="1" t="n">
        <v>45852</v>
      </c>
      <c r="D1079" t="inlineStr">
        <is>
          <t>VÄSTERNORRLANDS LÄN</t>
        </is>
      </c>
      <c r="E1079" t="inlineStr">
        <is>
          <t>SOLLEFTEÅ</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36815-2021</t>
        </is>
      </c>
      <c r="B1080" s="1" t="n">
        <v>44393</v>
      </c>
      <c r="C1080" s="1" t="n">
        <v>45852</v>
      </c>
      <c r="D1080" t="inlineStr">
        <is>
          <t>VÄSTERNORRLANDS LÄN</t>
        </is>
      </c>
      <c r="E1080" t="inlineStr">
        <is>
          <t>SOLLEFTEÅ</t>
        </is>
      </c>
      <c r="F1080" t="inlineStr">
        <is>
          <t>SCA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37041-2021</t>
        </is>
      </c>
      <c r="B1081" s="1" t="n">
        <v>44394</v>
      </c>
      <c r="C1081" s="1" t="n">
        <v>45852</v>
      </c>
      <c r="D1081" t="inlineStr">
        <is>
          <t>VÄSTERNORRLANDS LÄN</t>
        </is>
      </c>
      <c r="E1081" t="inlineStr">
        <is>
          <t>SOLLEFTEÅ</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37042-2021</t>
        </is>
      </c>
      <c r="B1082" s="1" t="n">
        <v>44394</v>
      </c>
      <c r="C1082" s="1" t="n">
        <v>45852</v>
      </c>
      <c r="D1082" t="inlineStr">
        <is>
          <t>VÄSTERNORRLANDS LÄN</t>
        </is>
      </c>
      <c r="E1082" t="inlineStr">
        <is>
          <t>SOLLEFTEÅ</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37369-2021</t>
        </is>
      </c>
      <c r="B1083" s="1" t="n">
        <v>44397</v>
      </c>
      <c r="C1083" s="1" t="n">
        <v>45852</v>
      </c>
      <c r="D1083" t="inlineStr">
        <is>
          <t>VÄSTERNORRLANDS LÄN</t>
        </is>
      </c>
      <c r="E1083" t="inlineStr">
        <is>
          <t>SOLLEFTEÅ</t>
        </is>
      </c>
      <c r="F1083" t="inlineStr">
        <is>
          <t>SCA</t>
        </is>
      </c>
      <c r="G1083" t="n">
        <v>20.3</v>
      </c>
      <c r="H1083" t="n">
        <v>0</v>
      </c>
      <c r="I1083" t="n">
        <v>0</v>
      </c>
      <c r="J1083" t="n">
        <v>0</v>
      </c>
      <c r="K1083" t="n">
        <v>0</v>
      </c>
      <c r="L1083" t="n">
        <v>0</v>
      </c>
      <c r="M1083" t="n">
        <v>0</v>
      </c>
      <c r="N1083" t="n">
        <v>0</v>
      </c>
      <c r="O1083" t="n">
        <v>0</v>
      </c>
      <c r="P1083" t="n">
        <v>0</v>
      </c>
      <c r="Q1083" t="n">
        <v>0</v>
      </c>
      <c r="R1083" s="2" t="inlineStr"/>
    </row>
    <row r="1084" ht="15" customHeight="1">
      <c r="A1084" t="inlineStr">
        <is>
          <t>A 37639-2021</t>
        </is>
      </c>
      <c r="B1084" s="1" t="n">
        <v>44400</v>
      </c>
      <c r="C1084" s="1" t="n">
        <v>45852</v>
      </c>
      <c r="D1084" t="inlineStr">
        <is>
          <t>VÄSTERNORRLANDS LÄN</t>
        </is>
      </c>
      <c r="E1084" t="inlineStr">
        <is>
          <t>SOLLEFTEÅ</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37648-2021</t>
        </is>
      </c>
      <c r="B1085" s="1" t="n">
        <v>44400</v>
      </c>
      <c r="C1085" s="1" t="n">
        <v>45852</v>
      </c>
      <c r="D1085" t="inlineStr">
        <is>
          <t>VÄSTERNORRLANDS LÄN</t>
        </is>
      </c>
      <c r="E1085" t="inlineStr">
        <is>
          <t>SOLLEFTEÅ</t>
        </is>
      </c>
      <c r="G1085" t="n">
        <v>33.6</v>
      </c>
      <c r="H1085" t="n">
        <v>0</v>
      </c>
      <c r="I1085" t="n">
        <v>0</v>
      </c>
      <c r="J1085" t="n">
        <v>0</v>
      </c>
      <c r="K1085" t="n">
        <v>0</v>
      </c>
      <c r="L1085" t="n">
        <v>0</v>
      </c>
      <c r="M1085" t="n">
        <v>0</v>
      </c>
      <c r="N1085" t="n">
        <v>0</v>
      </c>
      <c r="O1085" t="n">
        <v>0</v>
      </c>
      <c r="P1085" t="n">
        <v>0</v>
      </c>
      <c r="Q1085" t="n">
        <v>0</v>
      </c>
      <c r="R1085" s="2" t="inlineStr"/>
    </row>
    <row r="1086" ht="15" customHeight="1">
      <c r="A1086" t="inlineStr">
        <is>
          <t>A 37634-2021</t>
        </is>
      </c>
      <c r="B1086" s="1" t="n">
        <v>44400</v>
      </c>
      <c r="C1086" s="1" t="n">
        <v>45852</v>
      </c>
      <c r="D1086" t="inlineStr">
        <is>
          <t>VÄSTERNORRLANDS LÄN</t>
        </is>
      </c>
      <c r="E1086" t="inlineStr">
        <is>
          <t>SOLLEFTEÅ</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38283-2021</t>
        </is>
      </c>
      <c r="B1087" s="1" t="n">
        <v>44405</v>
      </c>
      <c r="C1087" s="1" t="n">
        <v>45852</v>
      </c>
      <c r="D1087" t="inlineStr">
        <is>
          <t>VÄSTERNORRLANDS LÄN</t>
        </is>
      </c>
      <c r="E1087" t="inlineStr">
        <is>
          <t>SOLLEFTEÅ</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39334-2021</t>
        </is>
      </c>
      <c r="B1088" s="1" t="n">
        <v>44414</v>
      </c>
      <c r="C1088" s="1" t="n">
        <v>45852</v>
      </c>
      <c r="D1088" t="inlineStr">
        <is>
          <t>VÄSTERNORRLANDS LÄN</t>
        </is>
      </c>
      <c r="E1088" t="inlineStr">
        <is>
          <t>SOLLEFTEÅ</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39594-2021</t>
        </is>
      </c>
      <c r="B1089" s="1" t="n">
        <v>44413</v>
      </c>
      <c r="C1089" s="1" t="n">
        <v>45852</v>
      </c>
      <c r="D1089" t="inlineStr">
        <is>
          <t>VÄSTERNORRLANDS LÄN</t>
        </is>
      </c>
      <c r="E1089" t="inlineStr">
        <is>
          <t>SOLLEFTEÅ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39230-2021</t>
        </is>
      </c>
      <c r="B1090" s="1" t="n">
        <v>44413</v>
      </c>
      <c r="C1090" s="1" t="n">
        <v>45852</v>
      </c>
      <c r="D1090" t="inlineStr">
        <is>
          <t>VÄSTERNORRLANDS LÄN</t>
        </is>
      </c>
      <c r="E1090" t="inlineStr">
        <is>
          <t>SOLLEFTEÅ</t>
        </is>
      </c>
      <c r="G1090" t="n">
        <v>13.6</v>
      </c>
      <c r="H1090" t="n">
        <v>0</v>
      </c>
      <c r="I1090" t="n">
        <v>0</v>
      </c>
      <c r="J1090" t="n">
        <v>0</v>
      </c>
      <c r="K1090" t="n">
        <v>0</v>
      </c>
      <c r="L1090" t="n">
        <v>0</v>
      </c>
      <c r="M1090" t="n">
        <v>0</v>
      </c>
      <c r="N1090" t="n">
        <v>0</v>
      </c>
      <c r="O1090" t="n">
        <v>0</v>
      </c>
      <c r="P1090" t="n">
        <v>0</v>
      </c>
      <c r="Q1090" t="n">
        <v>0</v>
      </c>
      <c r="R1090" s="2" t="inlineStr"/>
    </row>
    <row r="1091" ht="15" customHeight="1">
      <c r="A1091" t="inlineStr">
        <is>
          <t>A 39504-2021</t>
        </is>
      </c>
      <c r="B1091" s="1" t="n">
        <v>44415</v>
      </c>
      <c r="C1091" s="1" t="n">
        <v>45852</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40539-2021</t>
        </is>
      </c>
      <c r="B1092" s="1" t="n">
        <v>44420</v>
      </c>
      <c r="C1092" s="1" t="n">
        <v>45852</v>
      </c>
      <c r="D1092" t="inlineStr">
        <is>
          <t>VÄSTERNORRLANDS LÄN</t>
        </is>
      </c>
      <c r="E1092" t="inlineStr">
        <is>
          <t>SOLLEFTEÅ</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41334-2021</t>
        </is>
      </c>
      <c r="B1093" s="1" t="n">
        <v>44424</v>
      </c>
      <c r="C1093" s="1" t="n">
        <v>45852</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42219-2021</t>
        </is>
      </c>
      <c r="B1094" s="1" t="n">
        <v>44426</v>
      </c>
      <c r="C1094" s="1" t="n">
        <v>45852</v>
      </c>
      <c r="D1094" t="inlineStr">
        <is>
          <t>VÄSTERNORRLANDS LÄN</t>
        </is>
      </c>
      <c r="E1094" t="inlineStr">
        <is>
          <t>SOLLEFTEÅ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42231-2021</t>
        </is>
      </c>
      <c r="B1095" s="1" t="n">
        <v>44426</v>
      </c>
      <c r="C1095" s="1" t="n">
        <v>45852</v>
      </c>
      <c r="D1095" t="inlineStr">
        <is>
          <t>VÄSTERNORRLANDS LÄN</t>
        </is>
      </c>
      <c r="E1095" t="inlineStr">
        <is>
          <t>SOLLEFTEÅ</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42228-2021</t>
        </is>
      </c>
      <c r="B1096" s="1" t="n">
        <v>44426</v>
      </c>
      <c r="C1096" s="1" t="n">
        <v>45852</v>
      </c>
      <c r="D1096" t="inlineStr">
        <is>
          <t>VÄSTERNORRLANDS LÄN</t>
        </is>
      </c>
      <c r="E1096" t="inlineStr">
        <is>
          <t>SOLLEFTEÅ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42229-2021</t>
        </is>
      </c>
      <c r="B1097" s="1" t="n">
        <v>44427</v>
      </c>
      <c r="C1097" s="1" t="n">
        <v>45852</v>
      </c>
      <c r="D1097" t="inlineStr">
        <is>
          <t>VÄSTERNORRLANDS LÄN</t>
        </is>
      </c>
      <c r="E1097" t="inlineStr">
        <is>
          <t>SOLLEFTEÅ</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42531-2021</t>
        </is>
      </c>
      <c r="B1098" s="1" t="n">
        <v>44428</v>
      </c>
      <c r="C1098" s="1" t="n">
        <v>45852</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43220-2021</t>
        </is>
      </c>
      <c r="B1099" s="1" t="n">
        <v>44432</v>
      </c>
      <c r="C1099" s="1" t="n">
        <v>45852</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43525-2021</t>
        </is>
      </c>
      <c r="B1100" s="1" t="n">
        <v>44433</v>
      </c>
      <c r="C1100" s="1" t="n">
        <v>45852</v>
      </c>
      <c r="D1100" t="inlineStr">
        <is>
          <t>VÄSTERNORRLANDS LÄN</t>
        </is>
      </c>
      <c r="E1100" t="inlineStr">
        <is>
          <t>SOLLEFTEÅ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44592-2021</t>
        </is>
      </c>
      <c r="B1101" s="1" t="n">
        <v>44435</v>
      </c>
      <c r="C1101" s="1" t="n">
        <v>45852</v>
      </c>
      <c r="D1101" t="inlineStr">
        <is>
          <t>VÄSTERNORRLANDS LÄN</t>
        </is>
      </c>
      <c r="E1101" t="inlineStr">
        <is>
          <t>SOLLEFTEÅ</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44587-2021</t>
        </is>
      </c>
      <c r="B1102" s="1" t="n">
        <v>44435</v>
      </c>
      <c r="C1102" s="1" t="n">
        <v>45852</v>
      </c>
      <c r="D1102" t="inlineStr">
        <is>
          <t>VÄSTERNORRLANDS LÄN</t>
        </is>
      </c>
      <c r="E1102" t="inlineStr">
        <is>
          <t>SOLLEFTEÅ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45187-2021</t>
        </is>
      </c>
      <c r="B1103" s="1" t="n">
        <v>44439</v>
      </c>
      <c r="C1103" s="1" t="n">
        <v>45852</v>
      </c>
      <c r="D1103" t="inlineStr">
        <is>
          <t>VÄSTERNORRLANDS LÄN</t>
        </is>
      </c>
      <c r="E1103" t="inlineStr">
        <is>
          <t>SOLLEFTEÅ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45105-2021</t>
        </is>
      </c>
      <c r="B1104" s="1" t="n">
        <v>44439</v>
      </c>
      <c r="C1104" s="1" t="n">
        <v>45852</v>
      </c>
      <c r="D1104" t="inlineStr">
        <is>
          <t>VÄSTERNORRLANDS LÄN</t>
        </is>
      </c>
      <c r="E1104" t="inlineStr">
        <is>
          <t>SOLLEFTEÅ</t>
        </is>
      </c>
      <c r="F1104" t="inlineStr">
        <is>
          <t>Kommuner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46049-2021</t>
        </is>
      </c>
      <c r="B1105" s="1" t="n">
        <v>44442</v>
      </c>
      <c r="C1105" s="1" t="n">
        <v>45852</v>
      </c>
      <c r="D1105" t="inlineStr">
        <is>
          <t>VÄSTERNORRLANDS LÄN</t>
        </is>
      </c>
      <c r="E1105" t="inlineStr">
        <is>
          <t>SOLLEFTEÅ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46058-2021</t>
        </is>
      </c>
      <c r="B1106" s="1" t="n">
        <v>44442</v>
      </c>
      <c r="C1106" s="1" t="n">
        <v>45852</v>
      </c>
      <c r="D1106" t="inlineStr">
        <is>
          <t>VÄSTERNORRLANDS LÄN</t>
        </is>
      </c>
      <c r="E1106" t="inlineStr">
        <is>
          <t>SOLLEFTEÅ</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47643-2021</t>
        </is>
      </c>
      <c r="B1107" s="1" t="n">
        <v>44448</v>
      </c>
      <c r="C1107" s="1" t="n">
        <v>45852</v>
      </c>
      <c r="D1107" t="inlineStr">
        <is>
          <t>VÄSTERNORRLANDS LÄN</t>
        </is>
      </c>
      <c r="E1107" t="inlineStr">
        <is>
          <t>SOLLEFTEÅ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47675-2021</t>
        </is>
      </c>
      <c r="B1108" s="1" t="n">
        <v>44448</v>
      </c>
      <c r="C1108" s="1" t="n">
        <v>45852</v>
      </c>
      <c r="D1108" t="inlineStr">
        <is>
          <t>VÄSTERNORRLANDS LÄN</t>
        </is>
      </c>
      <c r="E1108" t="inlineStr">
        <is>
          <t>SOLLEFTEÅ</t>
        </is>
      </c>
      <c r="F1108" t="inlineStr">
        <is>
          <t>Holmen skog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47626-2021</t>
        </is>
      </c>
      <c r="B1109" s="1" t="n">
        <v>44448</v>
      </c>
      <c r="C1109" s="1" t="n">
        <v>45852</v>
      </c>
      <c r="D1109" t="inlineStr">
        <is>
          <t>VÄSTERNORRLANDS LÄN</t>
        </is>
      </c>
      <c r="E1109" t="inlineStr">
        <is>
          <t>SOLLEFTEÅ</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47696-2021</t>
        </is>
      </c>
      <c r="B1110" s="1" t="n">
        <v>44448</v>
      </c>
      <c r="C1110" s="1" t="n">
        <v>45852</v>
      </c>
      <c r="D1110" t="inlineStr">
        <is>
          <t>VÄSTERNORRLANDS LÄN</t>
        </is>
      </c>
      <c r="E1110" t="inlineStr">
        <is>
          <t>SOLLEFTEÅ</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47681-2021</t>
        </is>
      </c>
      <c r="B1111" s="1" t="n">
        <v>44448</v>
      </c>
      <c r="C1111" s="1" t="n">
        <v>45852</v>
      </c>
      <c r="D1111" t="inlineStr">
        <is>
          <t>VÄSTERNORRLANDS LÄN</t>
        </is>
      </c>
      <c r="E1111" t="inlineStr">
        <is>
          <t>SOLLEFTEÅ</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48555-2021</t>
        </is>
      </c>
      <c r="B1112" s="1" t="n">
        <v>44452</v>
      </c>
      <c r="C1112" s="1" t="n">
        <v>45852</v>
      </c>
      <c r="D1112" t="inlineStr">
        <is>
          <t>VÄSTERNORRLANDS LÄN</t>
        </is>
      </c>
      <c r="E1112" t="inlineStr">
        <is>
          <t>SOLLEFTEÅ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48578-2021</t>
        </is>
      </c>
      <c r="B1113" s="1" t="n">
        <v>44452</v>
      </c>
      <c r="C1113" s="1" t="n">
        <v>45852</v>
      </c>
      <c r="D1113" t="inlineStr">
        <is>
          <t>VÄSTERNORRLANDS LÄN</t>
        </is>
      </c>
      <c r="E1113" t="inlineStr">
        <is>
          <t>SOLLEFTEÅ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49160-2021</t>
        </is>
      </c>
      <c r="B1114" s="1" t="n">
        <v>44454</v>
      </c>
      <c r="C1114" s="1" t="n">
        <v>45852</v>
      </c>
      <c r="D1114" t="inlineStr">
        <is>
          <t>VÄSTERNORRLANDS LÄN</t>
        </is>
      </c>
      <c r="E1114" t="inlineStr">
        <is>
          <t>SOLLEFTEÅ</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49492-2021</t>
        </is>
      </c>
      <c r="B1115" s="1" t="n">
        <v>44455</v>
      </c>
      <c r="C1115" s="1" t="n">
        <v>45852</v>
      </c>
      <c r="D1115" t="inlineStr">
        <is>
          <t>VÄSTERNORRLANDS LÄN</t>
        </is>
      </c>
      <c r="E1115" t="inlineStr">
        <is>
          <t>SOLLEFTEÅ</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49518-2021</t>
        </is>
      </c>
      <c r="B1116" s="1" t="n">
        <v>44455</v>
      </c>
      <c r="C1116" s="1" t="n">
        <v>45852</v>
      </c>
      <c r="D1116" t="inlineStr">
        <is>
          <t>VÄSTERNORRLANDS LÄN</t>
        </is>
      </c>
      <c r="E1116" t="inlineStr">
        <is>
          <t>SOLLEFTEÅ</t>
        </is>
      </c>
      <c r="G1116" t="n">
        <v>12.9</v>
      </c>
      <c r="H1116" t="n">
        <v>0</v>
      </c>
      <c r="I1116" t="n">
        <v>0</v>
      </c>
      <c r="J1116" t="n">
        <v>0</v>
      </c>
      <c r="K1116" t="n">
        <v>0</v>
      </c>
      <c r="L1116" t="n">
        <v>0</v>
      </c>
      <c r="M1116" t="n">
        <v>0</v>
      </c>
      <c r="N1116" t="n">
        <v>0</v>
      </c>
      <c r="O1116" t="n">
        <v>0</v>
      </c>
      <c r="P1116" t="n">
        <v>0</v>
      </c>
      <c r="Q1116" t="n">
        <v>0</v>
      </c>
      <c r="R1116" s="2" t="inlineStr"/>
    </row>
    <row r="1117" ht="15" customHeight="1">
      <c r="A1117" t="inlineStr">
        <is>
          <t>A 49711-2021</t>
        </is>
      </c>
      <c r="B1117" s="1" t="n">
        <v>44455</v>
      </c>
      <c r="C1117" s="1" t="n">
        <v>45852</v>
      </c>
      <c r="D1117" t="inlineStr">
        <is>
          <t>VÄSTERNORRLANDS LÄN</t>
        </is>
      </c>
      <c r="E1117" t="inlineStr">
        <is>
          <t>SOLLEFTEÅ</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50360-2021</t>
        </is>
      </c>
      <c r="B1118" s="1" t="n">
        <v>44459</v>
      </c>
      <c r="C1118" s="1" t="n">
        <v>45852</v>
      </c>
      <c r="D1118" t="inlineStr">
        <is>
          <t>VÄSTERNORRLANDS LÄN</t>
        </is>
      </c>
      <c r="E1118" t="inlineStr">
        <is>
          <t>SOLLEFTEÅ</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51104-2021</t>
        </is>
      </c>
      <c r="B1119" s="1" t="n">
        <v>44459</v>
      </c>
      <c r="C1119" s="1" t="n">
        <v>45852</v>
      </c>
      <c r="D1119" t="inlineStr">
        <is>
          <t>VÄSTERNORRLANDS LÄN</t>
        </is>
      </c>
      <c r="E1119" t="inlineStr">
        <is>
          <t>SOLLEFTEÅ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51020-2021</t>
        </is>
      </c>
      <c r="B1120" s="1" t="n">
        <v>44460</v>
      </c>
      <c r="C1120" s="1" t="n">
        <v>45852</v>
      </c>
      <c r="D1120" t="inlineStr">
        <is>
          <t>VÄSTERNORRLANDS LÄN</t>
        </is>
      </c>
      <c r="E1120" t="inlineStr">
        <is>
          <t>SOLLEFTEÅ</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51029-2021</t>
        </is>
      </c>
      <c r="B1121" s="1" t="n">
        <v>44461</v>
      </c>
      <c r="C1121" s="1" t="n">
        <v>45852</v>
      </c>
      <c r="D1121" t="inlineStr">
        <is>
          <t>VÄSTERNORRLANDS LÄN</t>
        </is>
      </c>
      <c r="E1121" t="inlineStr">
        <is>
          <t>SOLLEFTEÅ</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51440-2021</t>
        </is>
      </c>
      <c r="B1122" s="1" t="n">
        <v>44461</v>
      </c>
      <c r="C1122" s="1" t="n">
        <v>45852</v>
      </c>
      <c r="D1122" t="inlineStr">
        <is>
          <t>VÄSTERNORRLANDS LÄN</t>
        </is>
      </c>
      <c r="E1122" t="inlineStr">
        <is>
          <t>SOLLEFTEÅ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51443-2021</t>
        </is>
      </c>
      <c r="B1123" s="1" t="n">
        <v>44461</v>
      </c>
      <c r="C1123" s="1" t="n">
        <v>45852</v>
      </c>
      <c r="D1123" t="inlineStr">
        <is>
          <t>VÄSTERNORRLANDS LÄN</t>
        </is>
      </c>
      <c r="E1123" t="inlineStr">
        <is>
          <t>SOLLEFTEÅ</t>
        </is>
      </c>
      <c r="F1123" t="inlineStr">
        <is>
          <t>SCA</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51442-2021</t>
        </is>
      </c>
      <c r="B1124" s="1" t="n">
        <v>44462</v>
      </c>
      <c r="C1124" s="1" t="n">
        <v>45852</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51491-2021</t>
        </is>
      </c>
      <c r="B1125" s="1" t="n">
        <v>44462</v>
      </c>
      <c r="C1125" s="1" t="n">
        <v>45852</v>
      </c>
      <c r="D1125" t="inlineStr">
        <is>
          <t>VÄSTERNORRLANDS LÄN</t>
        </is>
      </c>
      <c r="E1125" t="inlineStr">
        <is>
          <t>SOLLEFTEÅ</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51847-2021</t>
        </is>
      </c>
      <c r="B1126" s="1" t="n">
        <v>44462</v>
      </c>
      <c r="C1126" s="1" t="n">
        <v>45852</v>
      </c>
      <c r="D1126" t="inlineStr">
        <is>
          <t>VÄSTERNORRLANDS LÄN</t>
        </is>
      </c>
      <c r="E1126" t="inlineStr">
        <is>
          <t>SOLLEFTEÅ</t>
        </is>
      </c>
      <c r="F1126" t="inlineStr">
        <is>
          <t>Holmen skog AB</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51952-2021</t>
        </is>
      </c>
      <c r="B1127" s="1" t="n">
        <v>44463</v>
      </c>
      <c r="C1127" s="1" t="n">
        <v>45852</v>
      </c>
      <c r="D1127" t="inlineStr">
        <is>
          <t>VÄSTERNORRLANDS LÄN</t>
        </is>
      </c>
      <c r="E1127" t="inlineStr">
        <is>
          <t>SOLLEFTEÅ</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52447-2021</t>
        </is>
      </c>
      <c r="B1128" s="1" t="n">
        <v>44466</v>
      </c>
      <c r="C1128" s="1" t="n">
        <v>45852</v>
      </c>
      <c r="D1128" t="inlineStr">
        <is>
          <t>VÄSTERNORRLANDS LÄN</t>
        </is>
      </c>
      <c r="E1128" t="inlineStr">
        <is>
          <t>SOLLEFTEÅ</t>
        </is>
      </c>
      <c r="F1128" t="inlineStr">
        <is>
          <t>Holmen skog AB</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53289-2021</t>
        </is>
      </c>
      <c r="B1129" s="1" t="n">
        <v>44467</v>
      </c>
      <c r="C1129" s="1" t="n">
        <v>45852</v>
      </c>
      <c r="D1129" t="inlineStr">
        <is>
          <t>VÄSTERNORRLANDS LÄN</t>
        </is>
      </c>
      <c r="E1129" t="inlineStr">
        <is>
          <t>SOLLEFTEÅ</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53278-2021</t>
        </is>
      </c>
      <c r="B1130" s="1" t="n">
        <v>44467</v>
      </c>
      <c r="C1130" s="1" t="n">
        <v>45852</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53524-2021</t>
        </is>
      </c>
      <c r="B1131" s="1" t="n">
        <v>44468</v>
      </c>
      <c r="C1131" s="1" t="n">
        <v>45852</v>
      </c>
      <c r="D1131" t="inlineStr">
        <is>
          <t>VÄSTERNORRLANDS LÄN</t>
        </is>
      </c>
      <c r="E1131" t="inlineStr">
        <is>
          <t>SOLLEFTEÅ</t>
        </is>
      </c>
      <c r="F1131" t="inlineStr">
        <is>
          <t>SCA</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53955-2021</t>
        </is>
      </c>
      <c r="B1132" s="1" t="n">
        <v>44469</v>
      </c>
      <c r="C1132" s="1" t="n">
        <v>45852</v>
      </c>
      <c r="D1132" t="inlineStr">
        <is>
          <t>VÄSTERNORRLANDS LÄN</t>
        </is>
      </c>
      <c r="E1132" t="inlineStr">
        <is>
          <t>SOLLEFTEÅ</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54146-2021</t>
        </is>
      </c>
      <c r="B1133" s="1" t="n">
        <v>44469</v>
      </c>
      <c r="C1133" s="1" t="n">
        <v>45852</v>
      </c>
      <c r="D1133" t="inlineStr">
        <is>
          <t>VÄSTERNORRLANDS LÄN</t>
        </is>
      </c>
      <c r="E1133" t="inlineStr">
        <is>
          <t>SOLLEFTEÅ</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54728-2021</t>
        </is>
      </c>
      <c r="B1134" s="1" t="n">
        <v>44473</v>
      </c>
      <c r="C1134" s="1" t="n">
        <v>45852</v>
      </c>
      <c r="D1134" t="inlineStr">
        <is>
          <t>VÄSTERNORRLANDS LÄN</t>
        </is>
      </c>
      <c r="E1134" t="inlineStr">
        <is>
          <t>SOLLEFTEÅ</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55016-2021</t>
        </is>
      </c>
      <c r="B1135" s="1" t="n">
        <v>44474</v>
      </c>
      <c r="C1135" s="1" t="n">
        <v>45852</v>
      </c>
      <c r="D1135" t="inlineStr">
        <is>
          <t>VÄSTERNORRLANDS LÄN</t>
        </is>
      </c>
      <c r="E1135" t="inlineStr">
        <is>
          <t>SOLLEFTEÅ</t>
        </is>
      </c>
      <c r="F1135" t="inlineStr">
        <is>
          <t>Övriga Aktiebolag</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55018-2021</t>
        </is>
      </c>
      <c r="B1136" s="1" t="n">
        <v>44474</v>
      </c>
      <c r="C1136" s="1" t="n">
        <v>45852</v>
      </c>
      <c r="D1136" t="inlineStr">
        <is>
          <t>VÄSTERNORRLANDS LÄN</t>
        </is>
      </c>
      <c r="E1136" t="inlineStr">
        <is>
          <t>SOLLEFTEÅ</t>
        </is>
      </c>
      <c r="F1136" t="inlineStr">
        <is>
          <t>Övriga Aktiebolag</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55610-2021</t>
        </is>
      </c>
      <c r="B1137" s="1" t="n">
        <v>44476</v>
      </c>
      <c r="C1137" s="1" t="n">
        <v>45852</v>
      </c>
      <c r="D1137" t="inlineStr">
        <is>
          <t>VÄSTERNORRLANDS LÄN</t>
        </is>
      </c>
      <c r="E1137" t="inlineStr">
        <is>
          <t>SOLLEFTEÅ</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55643-2021</t>
        </is>
      </c>
      <c r="B1138" s="1" t="n">
        <v>44475</v>
      </c>
      <c r="C1138" s="1" t="n">
        <v>45852</v>
      </c>
      <c r="D1138" t="inlineStr">
        <is>
          <t>VÄSTERNORRLANDS LÄN</t>
        </is>
      </c>
      <c r="E1138" t="inlineStr">
        <is>
          <t>SOLLEFTEÅ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55904-2021</t>
        </is>
      </c>
      <c r="B1139" s="1" t="n">
        <v>44476</v>
      </c>
      <c r="C1139" s="1" t="n">
        <v>45852</v>
      </c>
      <c r="D1139" t="inlineStr">
        <is>
          <t>VÄSTERNORRLANDS LÄN</t>
        </is>
      </c>
      <c r="E1139" t="inlineStr">
        <is>
          <t>SOLLEFTEÅ</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56211-2021</t>
        </is>
      </c>
      <c r="B1140" s="1" t="n">
        <v>44478</v>
      </c>
      <c r="C1140" s="1" t="n">
        <v>45852</v>
      </c>
      <c r="D1140" t="inlineStr">
        <is>
          <t>VÄSTERNORRLANDS LÄN</t>
        </is>
      </c>
      <c r="E1140" t="inlineStr">
        <is>
          <t>SOLLEFTEÅ</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56918-2021</t>
        </is>
      </c>
      <c r="B1141" s="1" t="n">
        <v>44482</v>
      </c>
      <c r="C1141" s="1" t="n">
        <v>45852</v>
      </c>
      <c r="D1141" t="inlineStr">
        <is>
          <t>VÄSTERNORRLANDS LÄN</t>
        </is>
      </c>
      <c r="E1141" t="inlineStr">
        <is>
          <t>SOLLEFTEÅ</t>
        </is>
      </c>
      <c r="F1141" t="inlineStr">
        <is>
          <t>SCA</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57007-2021</t>
        </is>
      </c>
      <c r="B1142" s="1" t="n">
        <v>44482</v>
      </c>
      <c r="C1142" s="1" t="n">
        <v>45852</v>
      </c>
      <c r="D1142" t="inlineStr">
        <is>
          <t>VÄSTERNORRLANDS LÄN</t>
        </is>
      </c>
      <c r="E1142" t="inlineStr">
        <is>
          <t>SOLLEFTEÅ</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57550-2021</t>
        </is>
      </c>
      <c r="B1143" s="1" t="n">
        <v>44484</v>
      </c>
      <c r="C1143" s="1" t="n">
        <v>45852</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57552-2021</t>
        </is>
      </c>
      <c r="B1144" s="1" t="n">
        <v>44483</v>
      </c>
      <c r="C1144" s="1" t="n">
        <v>45852</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57856-2021</t>
        </is>
      </c>
      <c r="B1145" s="1" t="n">
        <v>44485</v>
      </c>
      <c r="C1145" s="1" t="n">
        <v>45852</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57911-2021</t>
        </is>
      </c>
      <c r="B1146" s="1" t="n">
        <v>44486</v>
      </c>
      <c r="C1146" s="1" t="n">
        <v>45852</v>
      </c>
      <c r="D1146" t="inlineStr">
        <is>
          <t>VÄSTERNORRLANDS LÄN</t>
        </is>
      </c>
      <c r="E1146" t="inlineStr">
        <is>
          <t>SOLLEFTEÅ</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58268-2021</t>
        </is>
      </c>
      <c r="B1147" s="1" t="n">
        <v>44487</v>
      </c>
      <c r="C1147" s="1" t="n">
        <v>45852</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58276-2021</t>
        </is>
      </c>
      <c r="B1148" s="1" t="n">
        <v>44488</v>
      </c>
      <c r="C1148" s="1" t="n">
        <v>45852</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58179-2021</t>
        </is>
      </c>
      <c r="B1149" s="1" t="n">
        <v>44487</v>
      </c>
      <c r="C1149" s="1" t="n">
        <v>45852</v>
      </c>
      <c r="D1149" t="inlineStr">
        <is>
          <t>VÄSTERNORRLANDS LÄN</t>
        </is>
      </c>
      <c r="E1149" t="inlineStr">
        <is>
          <t>SOLLEFTEÅ</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58478-2021</t>
        </is>
      </c>
      <c r="B1150" s="1" t="n">
        <v>44488</v>
      </c>
      <c r="C1150" s="1" t="n">
        <v>45852</v>
      </c>
      <c r="D1150" t="inlineStr">
        <is>
          <t>VÄSTERNORRLANDS LÄN</t>
        </is>
      </c>
      <c r="E1150" t="inlineStr">
        <is>
          <t>SOLLEFTEÅ</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58486-2021</t>
        </is>
      </c>
      <c r="B1151" s="1" t="n">
        <v>44488</v>
      </c>
      <c r="C1151" s="1" t="n">
        <v>45852</v>
      </c>
      <c r="D1151" t="inlineStr">
        <is>
          <t>VÄSTERNORRLANDS LÄN</t>
        </is>
      </c>
      <c r="E1151" t="inlineStr">
        <is>
          <t>SOLLEFTEÅ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58571-2021</t>
        </is>
      </c>
      <c r="B1152" s="1" t="n">
        <v>44488</v>
      </c>
      <c r="C1152" s="1" t="n">
        <v>45852</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58573-2021</t>
        </is>
      </c>
      <c r="B1153" s="1" t="n">
        <v>44488</v>
      </c>
      <c r="C1153" s="1" t="n">
        <v>45852</v>
      </c>
      <c r="D1153" t="inlineStr">
        <is>
          <t>VÄSTERNORRLANDS LÄN</t>
        </is>
      </c>
      <c r="E1153" t="inlineStr">
        <is>
          <t>SOLLEFTEÅ</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58726-2021</t>
        </is>
      </c>
      <c r="B1154" s="1" t="n">
        <v>44489</v>
      </c>
      <c r="C1154" s="1" t="n">
        <v>45852</v>
      </c>
      <c r="D1154" t="inlineStr">
        <is>
          <t>VÄSTERNORRLANDS LÄN</t>
        </is>
      </c>
      <c r="E1154" t="inlineStr">
        <is>
          <t>SOLLEFTEÅ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58742-2021</t>
        </is>
      </c>
      <c r="B1155" s="1" t="n">
        <v>44489</v>
      </c>
      <c r="C1155" s="1" t="n">
        <v>45852</v>
      </c>
      <c r="D1155" t="inlineStr">
        <is>
          <t>VÄSTERNORRLANDS LÄN</t>
        </is>
      </c>
      <c r="E1155" t="inlineStr">
        <is>
          <t>SOLLEFTEÅ</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58755-2021</t>
        </is>
      </c>
      <c r="B1156" s="1" t="n">
        <v>44489</v>
      </c>
      <c r="C1156" s="1" t="n">
        <v>45852</v>
      </c>
      <c r="D1156" t="inlineStr">
        <is>
          <t>VÄSTERNORRLANDS LÄN</t>
        </is>
      </c>
      <c r="E1156" t="inlineStr">
        <is>
          <t>SOLLEFTEÅ</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58688-2021</t>
        </is>
      </c>
      <c r="B1157" s="1" t="n">
        <v>44489</v>
      </c>
      <c r="C1157" s="1" t="n">
        <v>45852</v>
      </c>
      <c r="D1157" t="inlineStr">
        <is>
          <t>VÄSTERNORRLANDS LÄN</t>
        </is>
      </c>
      <c r="E1157" t="inlineStr">
        <is>
          <t>SOLLEFTEÅ</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58715-2021</t>
        </is>
      </c>
      <c r="B1158" s="1" t="n">
        <v>44489</v>
      </c>
      <c r="C1158" s="1" t="n">
        <v>45852</v>
      </c>
      <c r="D1158" t="inlineStr">
        <is>
          <t>VÄSTERNORRLANDS LÄN</t>
        </is>
      </c>
      <c r="E1158" t="inlineStr">
        <is>
          <t>SOLLEFTEÅ</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59344-2021</t>
        </is>
      </c>
      <c r="B1159" s="1" t="n">
        <v>44490</v>
      </c>
      <c r="C1159" s="1" t="n">
        <v>45852</v>
      </c>
      <c r="D1159" t="inlineStr">
        <is>
          <t>VÄSTERNORRLANDS LÄN</t>
        </is>
      </c>
      <c r="E1159" t="inlineStr">
        <is>
          <t>SOLLEFTEÅ</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59309-2021</t>
        </is>
      </c>
      <c r="B1160" s="1" t="n">
        <v>44491</v>
      </c>
      <c r="C1160" s="1" t="n">
        <v>45852</v>
      </c>
      <c r="D1160" t="inlineStr">
        <is>
          <t>VÄSTERNORRLANDS LÄN</t>
        </is>
      </c>
      <c r="E1160" t="inlineStr">
        <is>
          <t>SOLLEFTEÅ</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59343-2021</t>
        </is>
      </c>
      <c r="B1161" s="1" t="n">
        <v>44490</v>
      </c>
      <c r="C1161" s="1" t="n">
        <v>45852</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60324-2021</t>
        </is>
      </c>
      <c r="B1162" s="1" t="n">
        <v>44496</v>
      </c>
      <c r="C1162" s="1" t="n">
        <v>45852</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60757-2021</t>
        </is>
      </c>
      <c r="B1163" s="1" t="n">
        <v>44497</v>
      </c>
      <c r="C1163" s="1" t="n">
        <v>45852</v>
      </c>
      <c r="D1163" t="inlineStr">
        <is>
          <t>VÄSTERNORRLANDS LÄN</t>
        </is>
      </c>
      <c r="E1163" t="inlineStr">
        <is>
          <t>SOLLEFTEÅ</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60756-2021</t>
        </is>
      </c>
      <c r="B1164" s="1" t="n">
        <v>44496</v>
      </c>
      <c r="C1164" s="1" t="n">
        <v>45852</v>
      </c>
      <c r="D1164" t="inlineStr">
        <is>
          <t>VÄSTERNORRLANDS LÄN</t>
        </is>
      </c>
      <c r="E1164" t="inlineStr">
        <is>
          <t>SOLLEFTEÅ</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61739-2021</t>
        </is>
      </c>
      <c r="B1165" s="1" t="n">
        <v>44498</v>
      </c>
      <c r="C1165" s="1" t="n">
        <v>45852</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61424-2021</t>
        </is>
      </c>
      <c r="B1166" s="1" t="n">
        <v>44500</v>
      </c>
      <c r="C1166" s="1" t="n">
        <v>45852</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61470-2021</t>
        </is>
      </c>
      <c r="B1167" s="1" t="n">
        <v>44500</v>
      </c>
      <c r="C1167" s="1" t="n">
        <v>45852</v>
      </c>
      <c r="D1167" t="inlineStr">
        <is>
          <t>VÄSTERNORRLANDS LÄN</t>
        </is>
      </c>
      <c r="E1167" t="inlineStr">
        <is>
          <t>SOLLEFTEÅ</t>
        </is>
      </c>
      <c r="F1167" t="inlineStr">
        <is>
          <t>SCA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61480-2021</t>
        </is>
      </c>
      <c r="B1168" s="1" t="n">
        <v>44500</v>
      </c>
      <c r="C1168" s="1" t="n">
        <v>45852</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61426-2021</t>
        </is>
      </c>
      <c r="B1169" s="1" t="n">
        <v>44500</v>
      </c>
      <c r="C1169" s="1" t="n">
        <v>45852</v>
      </c>
      <c r="D1169" t="inlineStr">
        <is>
          <t>VÄSTERNORRLANDS LÄN</t>
        </is>
      </c>
      <c r="E1169" t="inlineStr">
        <is>
          <t>SOLLEFTEÅ</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61469-2021</t>
        </is>
      </c>
      <c r="B1170" s="1" t="n">
        <v>44500</v>
      </c>
      <c r="C1170" s="1" t="n">
        <v>45852</v>
      </c>
      <c r="D1170" t="inlineStr">
        <is>
          <t>VÄSTERNORRLANDS LÄN</t>
        </is>
      </c>
      <c r="E1170" t="inlineStr">
        <is>
          <t>SOLLEFTEÅ</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61496-2021</t>
        </is>
      </c>
      <c r="B1171" s="1" t="n">
        <v>44501</v>
      </c>
      <c r="C1171" s="1" t="n">
        <v>45852</v>
      </c>
      <c r="D1171" t="inlineStr">
        <is>
          <t>VÄSTERNORRLANDS LÄN</t>
        </is>
      </c>
      <c r="E1171" t="inlineStr">
        <is>
          <t>SOLLEFTEÅ</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62214-2021</t>
        </is>
      </c>
      <c r="B1172" s="1" t="n">
        <v>44502</v>
      </c>
      <c r="C1172" s="1" t="n">
        <v>45852</v>
      </c>
      <c r="D1172" t="inlineStr">
        <is>
          <t>VÄSTERNORRLANDS LÄN</t>
        </is>
      </c>
      <c r="E1172" t="inlineStr">
        <is>
          <t>SOLLEFTEÅ</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62210-2021</t>
        </is>
      </c>
      <c r="B1173" s="1" t="n">
        <v>44502</v>
      </c>
      <c r="C1173" s="1" t="n">
        <v>45852</v>
      </c>
      <c r="D1173" t="inlineStr">
        <is>
          <t>VÄSTERNORRLANDS LÄN</t>
        </is>
      </c>
      <c r="E1173" t="inlineStr">
        <is>
          <t>SOLLEFTEÅ</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62418-2021</t>
        </is>
      </c>
      <c r="B1174" s="1" t="n">
        <v>44503</v>
      </c>
      <c r="C1174" s="1" t="n">
        <v>45852</v>
      </c>
      <c r="D1174" t="inlineStr">
        <is>
          <t>VÄSTERNORRLANDS LÄN</t>
        </is>
      </c>
      <c r="E1174" t="inlineStr">
        <is>
          <t>SOLLEFTEÅ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62790-2021</t>
        </is>
      </c>
      <c r="B1175" s="1" t="n">
        <v>44503</v>
      </c>
      <c r="C1175" s="1" t="n">
        <v>45852</v>
      </c>
      <c r="D1175" t="inlineStr">
        <is>
          <t>VÄSTERNORRLANDS LÄN</t>
        </is>
      </c>
      <c r="E1175" t="inlineStr">
        <is>
          <t>SOLLEFTEÅ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62697-2021</t>
        </is>
      </c>
      <c r="B1176" s="1" t="n">
        <v>44504</v>
      </c>
      <c r="C1176" s="1" t="n">
        <v>45852</v>
      </c>
      <c r="D1176" t="inlineStr">
        <is>
          <t>VÄSTERNORRLANDS LÄN</t>
        </is>
      </c>
      <c r="E1176" t="inlineStr">
        <is>
          <t>SOLLEFTEÅ</t>
        </is>
      </c>
      <c r="F1176" t="inlineStr">
        <is>
          <t>Holmen skog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62692-2021</t>
        </is>
      </c>
      <c r="B1177" s="1" t="n">
        <v>44504</v>
      </c>
      <c r="C1177" s="1" t="n">
        <v>45852</v>
      </c>
      <c r="D1177" t="inlineStr">
        <is>
          <t>VÄSTERNORRLANDS LÄN</t>
        </is>
      </c>
      <c r="E1177" t="inlineStr">
        <is>
          <t>SOLLEFTEÅ</t>
        </is>
      </c>
      <c r="F1177" t="inlineStr">
        <is>
          <t>Holmen skog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63710-2021</t>
        </is>
      </c>
      <c r="B1178" s="1" t="n">
        <v>44504</v>
      </c>
      <c r="C1178" s="1" t="n">
        <v>45852</v>
      </c>
      <c r="D1178" t="inlineStr">
        <is>
          <t>VÄSTERNORRLANDS LÄN</t>
        </is>
      </c>
      <c r="E1178" t="inlineStr">
        <is>
          <t>SOLLEFTEÅ</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64638-2021</t>
        </is>
      </c>
      <c r="B1179" s="1" t="n">
        <v>44511</v>
      </c>
      <c r="C1179" s="1" t="n">
        <v>45852</v>
      </c>
      <c r="D1179" t="inlineStr">
        <is>
          <t>VÄSTERNORRLANDS LÄN</t>
        </is>
      </c>
      <c r="E1179" t="inlineStr">
        <is>
          <t>SOLLEFTEÅ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64651-2021</t>
        </is>
      </c>
      <c r="B1180" s="1" t="n">
        <v>44511</v>
      </c>
      <c r="C1180" s="1" t="n">
        <v>45852</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64653-2021</t>
        </is>
      </c>
      <c r="B1181" s="1" t="n">
        <v>44511</v>
      </c>
      <c r="C1181" s="1" t="n">
        <v>45852</v>
      </c>
      <c r="D1181" t="inlineStr">
        <is>
          <t>VÄSTERNORRLANDS LÄN</t>
        </is>
      </c>
      <c r="E1181" t="inlineStr">
        <is>
          <t>SOLLEFTEÅ</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64939-2021</t>
        </is>
      </c>
      <c r="B1182" s="1" t="n">
        <v>44512</v>
      </c>
      <c r="C1182" s="1" t="n">
        <v>45852</v>
      </c>
      <c r="D1182" t="inlineStr">
        <is>
          <t>VÄSTERNORRLANDS LÄN</t>
        </is>
      </c>
      <c r="E1182" t="inlineStr">
        <is>
          <t>SOLLEFTEÅ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64947-2021</t>
        </is>
      </c>
      <c r="B1183" s="1" t="n">
        <v>44512</v>
      </c>
      <c r="C1183" s="1" t="n">
        <v>45852</v>
      </c>
      <c r="D1183" t="inlineStr">
        <is>
          <t>VÄSTERNORRLANDS LÄN</t>
        </is>
      </c>
      <c r="E1183" t="inlineStr">
        <is>
          <t>SOLLEFTEÅ</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64944-2021</t>
        </is>
      </c>
      <c r="B1184" s="1" t="n">
        <v>44512</v>
      </c>
      <c r="C1184" s="1" t="n">
        <v>45852</v>
      </c>
      <c r="D1184" t="inlineStr">
        <is>
          <t>VÄSTERNORRLANDS LÄN</t>
        </is>
      </c>
      <c r="E1184" t="inlineStr">
        <is>
          <t>SOLLEFTEÅ</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65009-2021</t>
        </is>
      </c>
      <c r="B1185" s="1" t="n">
        <v>44514</v>
      </c>
      <c r="C1185" s="1" t="n">
        <v>45852</v>
      </c>
      <c r="D1185" t="inlineStr">
        <is>
          <t>VÄSTERNORRLANDS LÄN</t>
        </is>
      </c>
      <c r="E1185" t="inlineStr">
        <is>
          <t>SOLLEFTEÅ</t>
        </is>
      </c>
      <c r="G1185" t="n">
        <v>17.3</v>
      </c>
      <c r="H1185" t="n">
        <v>0</v>
      </c>
      <c r="I1185" t="n">
        <v>0</v>
      </c>
      <c r="J1185" t="n">
        <v>0</v>
      </c>
      <c r="K1185" t="n">
        <v>0</v>
      </c>
      <c r="L1185" t="n">
        <v>0</v>
      </c>
      <c r="M1185" t="n">
        <v>0</v>
      </c>
      <c r="N1185" t="n">
        <v>0</v>
      </c>
      <c r="O1185" t="n">
        <v>0</v>
      </c>
      <c r="P1185" t="n">
        <v>0</v>
      </c>
      <c r="Q1185" t="n">
        <v>0</v>
      </c>
      <c r="R1185" s="2" t="inlineStr"/>
    </row>
    <row r="1186" ht="15" customHeight="1">
      <c r="A1186" t="inlineStr">
        <is>
          <t>A 66178-2021</t>
        </is>
      </c>
      <c r="B1186" s="1" t="n">
        <v>44517</v>
      </c>
      <c r="C1186" s="1" t="n">
        <v>45852</v>
      </c>
      <c r="D1186" t="inlineStr">
        <is>
          <t>VÄSTERNORRLANDS LÄN</t>
        </is>
      </c>
      <c r="E1186" t="inlineStr">
        <is>
          <t>SOLLEFTEÅ</t>
        </is>
      </c>
      <c r="F1186" t="inlineStr">
        <is>
          <t>SCA</t>
        </is>
      </c>
      <c r="G1186" t="n">
        <v>31.7</v>
      </c>
      <c r="H1186" t="n">
        <v>0</v>
      </c>
      <c r="I1186" t="n">
        <v>0</v>
      </c>
      <c r="J1186" t="n">
        <v>0</v>
      </c>
      <c r="K1186" t="n">
        <v>0</v>
      </c>
      <c r="L1186" t="n">
        <v>0</v>
      </c>
      <c r="M1186" t="n">
        <v>0</v>
      </c>
      <c r="N1186" t="n">
        <v>0</v>
      </c>
      <c r="O1186" t="n">
        <v>0</v>
      </c>
      <c r="P1186" t="n">
        <v>0</v>
      </c>
      <c r="Q1186" t="n">
        <v>0</v>
      </c>
      <c r="R1186" s="2" t="inlineStr"/>
    </row>
    <row r="1187" ht="15" customHeight="1">
      <c r="A1187" t="inlineStr">
        <is>
          <t>A 66856-2021</t>
        </is>
      </c>
      <c r="B1187" s="1" t="n">
        <v>44522</v>
      </c>
      <c r="C1187" s="1" t="n">
        <v>45852</v>
      </c>
      <c r="D1187" t="inlineStr">
        <is>
          <t>VÄSTERNORRLANDS LÄN</t>
        </is>
      </c>
      <c r="E1187" t="inlineStr">
        <is>
          <t>SOLLEFTEÅ</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67085-2021</t>
        </is>
      </c>
      <c r="B1188" s="1" t="n">
        <v>44522</v>
      </c>
      <c r="C1188" s="1" t="n">
        <v>45852</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67143-2021</t>
        </is>
      </c>
      <c r="B1189" s="1" t="n">
        <v>44523</v>
      </c>
      <c r="C1189" s="1" t="n">
        <v>45852</v>
      </c>
      <c r="D1189" t="inlineStr">
        <is>
          <t>VÄSTERNORRLANDS LÄN</t>
        </is>
      </c>
      <c r="E1189" t="inlineStr">
        <is>
          <t>SOLLEFTEÅ</t>
        </is>
      </c>
      <c r="G1189" t="n">
        <v>19.7</v>
      </c>
      <c r="H1189" t="n">
        <v>0</v>
      </c>
      <c r="I1189" t="n">
        <v>0</v>
      </c>
      <c r="J1189" t="n">
        <v>0</v>
      </c>
      <c r="K1189" t="n">
        <v>0</v>
      </c>
      <c r="L1189" t="n">
        <v>0</v>
      </c>
      <c r="M1189" t="n">
        <v>0</v>
      </c>
      <c r="N1189" t="n">
        <v>0</v>
      </c>
      <c r="O1189" t="n">
        <v>0</v>
      </c>
      <c r="P1189" t="n">
        <v>0</v>
      </c>
      <c r="Q1189" t="n">
        <v>0</v>
      </c>
      <c r="R1189" s="2" t="inlineStr"/>
    </row>
    <row r="1190" ht="15" customHeight="1">
      <c r="A1190" t="inlineStr">
        <is>
          <t>A 67136-2021</t>
        </is>
      </c>
      <c r="B1190" s="1" t="n">
        <v>44523</v>
      </c>
      <c r="C1190" s="1" t="n">
        <v>45852</v>
      </c>
      <c r="D1190" t="inlineStr">
        <is>
          <t>VÄSTERNORRLANDS LÄN</t>
        </is>
      </c>
      <c r="E1190" t="inlineStr">
        <is>
          <t>SOLLEFTEÅ</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67390-2021</t>
        </is>
      </c>
      <c r="B1191" s="1" t="n">
        <v>44523</v>
      </c>
      <c r="C1191" s="1" t="n">
        <v>45852</v>
      </c>
      <c r="D1191" t="inlineStr">
        <is>
          <t>VÄSTERNORRLANDS LÄN</t>
        </is>
      </c>
      <c r="E1191" t="inlineStr">
        <is>
          <t>SOLLEFTEÅ</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67401-2021</t>
        </is>
      </c>
      <c r="B1192" s="1" t="n">
        <v>44523</v>
      </c>
      <c r="C1192" s="1" t="n">
        <v>45852</v>
      </c>
      <c r="D1192" t="inlineStr">
        <is>
          <t>VÄSTERNORRLANDS LÄN</t>
        </is>
      </c>
      <c r="E1192" t="inlineStr">
        <is>
          <t>SOLLEFTEÅ</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67689-2021</t>
        </is>
      </c>
      <c r="B1193" s="1" t="n">
        <v>44524</v>
      </c>
      <c r="C1193" s="1" t="n">
        <v>45852</v>
      </c>
      <c r="D1193" t="inlineStr">
        <is>
          <t>VÄSTERNORRLANDS LÄN</t>
        </is>
      </c>
      <c r="E1193" t="inlineStr">
        <is>
          <t>SOLLEFTEÅ</t>
        </is>
      </c>
      <c r="F1193" t="inlineStr">
        <is>
          <t>SCA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67702-2021</t>
        </is>
      </c>
      <c r="B1194" s="1" t="n">
        <v>44524</v>
      </c>
      <c r="C1194" s="1" t="n">
        <v>45852</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67822-2021</t>
        </is>
      </c>
      <c r="B1195" s="1" t="n">
        <v>44525</v>
      </c>
      <c r="C1195" s="1" t="n">
        <v>45852</v>
      </c>
      <c r="D1195" t="inlineStr">
        <is>
          <t>VÄSTERNORRLANDS LÄN</t>
        </is>
      </c>
      <c r="E1195" t="inlineStr">
        <is>
          <t>SOLLEFTEÅ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68317-2021</t>
        </is>
      </c>
      <c r="B1196" s="1" t="n">
        <v>44526</v>
      </c>
      <c r="C1196" s="1" t="n">
        <v>45852</v>
      </c>
      <c r="D1196" t="inlineStr">
        <is>
          <t>VÄSTERNORRLANDS LÄN</t>
        </is>
      </c>
      <c r="E1196" t="inlineStr">
        <is>
          <t>SOLLEFTEÅ</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68792-2021</t>
        </is>
      </c>
      <c r="B1197" s="1" t="n">
        <v>44529</v>
      </c>
      <c r="C1197" s="1" t="n">
        <v>45852</v>
      </c>
      <c r="D1197" t="inlineStr">
        <is>
          <t>VÄSTERNORRLANDS LÄN</t>
        </is>
      </c>
      <c r="E1197" t="inlineStr">
        <is>
          <t>SOLLEFTEÅ</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68843-2021</t>
        </is>
      </c>
      <c r="B1198" s="1" t="n">
        <v>44530</v>
      </c>
      <c r="C1198" s="1" t="n">
        <v>45852</v>
      </c>
      <c r="D1198" t="inlineStr">
        <is>
          <t>VÄSTERNORRLANDS LÄN</t>
        </is>
      </c>
      <c r="E1198" t="inlineStr">
        <is>
          <t>SOLLEFTEÅ</t>
        </is>
      </c>
      <c r="F1198" t="inlineStr">
        <is>
          <t>Holmen skog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68863-2021</t>
        </is>
      </c>
      <c r="B1199" s="1" t="n">
        <v>44530</v>
      </c>
      <c r="C1199" s="1" t="n">
        <v>45852</v>
      </c>
      <c r="D1199" t="inlineStr">
        <is>
          <t>VÄSTERNORRLANDS LÄN</t>
        </is>
      </c>
      <c r="E1199" t="inlineStr">
        <is>
          <t>SOLLEFTEÅ</t>
        </is>
      </c>
      <c r="F1199" t="inlineStr">
        <is>
          <t>Holmen skog AB</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69121-2021</t>
        </is>
      </c>
      <c r="B1200" s="1" t="n">
        <v>44530</v>
      </c>
      <c r="C1200" s="1" t="n">
        <v>45852</v>
      </c>
      <c r="D1200" t="inlineStr">
        <is>
          <t>VÄSTERNORRLANDS LÄN</t>
        </is>
      </c>
      <c r="E1200" t="inlineStr">
        <is>
          <t>SOLLEFTEÅ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69543-2021</t>
        </is>
      </c>
      <c r="B1201" s="1" t="n">
        <v>44531</v>
      </c>
      <c r="C1201" s="1" t="n">
        <v>45852</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69542-2021</t>
        </is>
      </c>
      <c r="B1202" s="1" t="n">
        <v>44531</v>
      </c>
      <c r="C1202" s="1" t="n">
        <v>45852</v>
      </c>
      <c r="D1202" t="inlineStr">
        <is>
          <t>VÄSTERNORRLANDS LÄN</t>
        </is>
      </c>
      <c r="E1202" t="inlineStr">
        <is>
          <t>SOLLEFTEÅ</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69919-2021</t>
        </is>
      </c>
      <c r="B1203" s="1" t="n">
        <v>44532</v>
      </c>
      <c r="C1203" s="1" t="n">
        <v>45852</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69916-2021</t>
        </is>
      </c>
      <c r="B1204" s="1" t="n">
        <v>44532</v>
      </c>
      <c r="C1204" s="1" t="n">
        <v>45852</v>
      </c>
      <c r="D1204" t="inlineStr">
        <is>
          <t>VÄSTERNORRLANDS LÄN</t>
        </is>
      </c>
      <c r="E1204" t="inlineStr">
        <is>
          <t>SOLLEFTEÅ</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70180-2021</t>
        </is>
      </c>
      <c r="B1205" s="1" t="n">
        <v>44533</v>
      </c>
      <c r="C1205" s="1" t="n">
        <v>45852</v>
      </c>
      <c r="D1205" t="inlineStr">
        <is>
          <t>VÄSTERNORRLANDS LÄN</t>
        </is>
      </c>
      <c r="E1205" t="inlineStr">
        <is>
          <t>SOLLEFTEÅ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70821-2021</t>
        </is>
      </c>
      <c r="B1206" s="1" t="n">
        <v>44537</v>
      </c>
      <c r="C1206" s="1" t="n">
        <v>45852</v>
      </c>
      <c r="D1206" t="inlineStr">
        <is>
          <t>VÄSTERNORRLANDS LÄN</t>
        </is>
      </c>
      <c r="E1206" t="inlineStr">
        <is>
          <t>SOLLEFTEÅ</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71080-2021</t>
        </is>
      </c>
      <c r="B1207" s="1" t="n">
        <v>44538</v>
      </c>
      <c r="C1207" s="1" t="n">
        <v>45852</v>
      </c>
      <c r="D1207" t="inlineStr">
        <is>
          <t>VÄSTERNORRLANDS LÄN</t>
        </is>
      </c>
      <c r="E1207" t="inlineStr">
        <is>
          <t>SOLLEFTEÅ</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71079-2021</t>
        </is>
      </c>
      <c r="B1208" s="1" t="n">
        <v>44538</v>
      </c>
      <c r="C1208" s="1" t="n">
        <v>45852</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71348-2021</t>
        </is>
      </c>
      <c r="B1209" s="1" t="n">
        <v>44539</v>
      </c>
      <c r="C1209" s="1" t="n">
        <v>45852</v>
      </c>
      <c r="D1209" t="inlineStr">
        <is>
          <t>VÄSTERNORRLANDS LÄN</t>
        </is>
      </c>
      <c r="E1209" t="inlineStr">
        <is>
          <t>SOLLEFTEÅ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71351-2021</t>
        </is>
      </c>
      <c r="B1210" s="1" t="n">
        <v>44539</v>
      </c>
      <c r="C1210" s="1" t="n">
        <v>45852</v>
      </c>
      <c r="D1210" t="inlineStr">
        <is>
          <t>VÄSTERNORRLANDS LÄN</t>
        </is>
      </c>
      <c r="E1210" t="inlineStr">
        <is>
          <t>SOLLEFTEÅ</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71350-2021</t>
        </is>
      </c>
      <c r="B1211" s="1" t="n">
        <v>44539</v>
      </c>
      <c r="C1211" s="1" t="n">
        <v>45852</v>
      </c>
      <c r="D1211" t="inlineStr">
        <is>
          <t>VÄSTERNORRLANDS LÄN</t>
        </is>
      </c>
      <c r="E1211" t="inlineStr">
        <is>
          <t>SOLLEFTEÅ</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71580-2021</t>
        </is>
      </c>
      <c r="B1212" s="1" t="n">
        <v>44540</v>
      </c>
      <c r="C1212" s="1" t="n">
        <v>45852</v>
      </c>
      <c r="D1212" t="inlineStr">
        <is>
          <t>VÄSTERNORRLANDS LÄN</t>
        </is>
      </c>
      <c r="E1212" t="inlineStr">
        <is>
          <t>SOLLEFTEÅ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72244-2021</t>
        </is>
      </c>
      <c r="B1213" s="1" t="n">
        <v>44544</v>
      </c>
      <c r="C1213" s="1" t="n">
        <v>45852</v>
      </c>
      <c r="D1213" t="inlineStr">
        <is>
          <t>VÄSTERNORRLANDS LÄN</t>
        </is>
      </c>
      <c r="E1213" t="inlineStr">
        <is>
          <t>SOLLEFTEÅ</t>
        </is>
      </c>
      <c r="F1213" t="inlineStr">
        <is>
          <t>SCA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72249-2021</t>
        </is>
      </c>
      <c r="B1214" s="1" t="n">
        <v>44544</v>
      </c>
      <c r="C1214" s="1" t="n">
        <v>45852</v>
      </c>
      <c r="D1214" t="inlineStr">
        <is>
          <t>VÄSTERNORRLANDS LÄN</t>
        </is>
      </c>
      <c r="E1214" t="inlineStr">
        <is>
          <t>SOLLEFTEÅ</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72315-2021</t>
        </is>
      </c>
      <c r="B1215" s="1" t="n">
        <v>44545</v>
      </c>
      <c r="C1215" s="1" t="n">
        <v>45852</v>
      </c>
      <c r="D1215" t="inlineStr">
        <is>
          <t>VÄSTERNORRLANDS LÄN</t>
        </is>
      </c>
      <c r="E1215" t="inlineStr">
        <is>
          <t>SOLLEFTEÅ</t>
        </is>
      </c>
      <c r="F1215" t="inlineStr">
        <is>
          <t>SCA</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72485-2021</t>
        </is>
      </c>
      <c r="B1216" s="1" t="n">
        <v>44545</v>
      </c>
      <c r="C1216" s="1" t="n">
        <v>45852</v>
      </c>
      <c r="D1216" t="inlineStr">
        <is>
          <t>VÄSTERNORRLANDS LÄN</t>
        </is>
      </c>
      <c r="E1216" t="inlineStr">
        <is>
          <t>SOLLEFTEÅ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72496-2021</t>
        </is>
      </c>
      <c r="B1217" s="1" t="n">
        <v>44545</v>
      </c>
      <c r="C1217" s="1" t="n">
        <v>45852</v>
      </c>
      <c r="D1217" t="inlineStr">
        <is>
          <t>VÄSTERNORRLANDS LÄN</t>
        </is>
      </c>
      <c r="E1217" t="inlineStr">
        <is>
          <t>SOLLEFTEÅ</t>
        </is>
      </c>
      <c r="G1217" t="n">
        <v>20</v>
      </c>
      <c r="H1217" t="n">
        <v>0</v>
      </c>
      <c r="I1217" t="n">
        <v>0</v>
      </c>
      <c r="J1217" t="n">
        <v>0</v>
      </c>
      <c r="K1217" t="n">
        <v>0</v>
      </c>
      <c r="L1217" t="n">
        <v>0</v>
      </c>
      <c r="M1217" t="n">
        <v>0</v>
      </c>
      <c r="N1217" t="n">
        <v>0</v>
      </c>
      <c r="O1217" t="n">
        <v>0</v>
      </c>
      <c r="P1217" t="n">
        <v>0</v>
      </c>
      <c r="Q1217" t="n">
        <v>0</v>
      </c>
      <c r="R1217" s="2" t="inlineStr"/>
    </row>
    <row r="1218" ht="15" customHeight="1">
      <c r="A1218" t="inlineStr">
        <is>
          <t>A 72949-2021</t>
        </is>
      </c>
      <c r="B1218" s="1" t="n">
        <v>44547</v>
      </c>
      <c r="C1218" s="1" t="n">
        <v>45852</v>
      </c>
      <c r="D1218" t="inlineStr">
        <is>
          <t>VÄSTERNORRLANDS LÄN</t>
        </is>
      </c>
      <c r="E1218" t="inlineStr">
        <is>
          <t>SOLLEFTEÅ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72958-2021</t>
        </is>
      </c>
      <c r="B1219" s="1" t="n">
        <v>44547</v>
      </c>
      <c r="C1219" s="1" t="n">
        <v>45852</v>
      </c>
      <c r="D1219" t="inlineStr">
        <is>
          <t>VÄSTERNORRLANDS LÄN</t>
        </is>
      </c>
      <c r="E1219" t="inlineStr">
        <is>
          <t>SOLLEFTEÅ</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72977-2021</t>
        </is>
      </c>
      <c r="B1220" s="1" t="n">
        <v>44548</v>
      </c>
      <c r="C1220" s="1" t="n">
        <v>45852</v>
      </c>
      <c r="D1220" t="inlineStr">
        <is>
          <t>VÄSTERNORRLANDS LÄN</t>
        </is>
      </c>
      <c r="E1220" t="inlineStr">
        <is>
          <t>SOLLEFTEÅ</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73285-2021</t>
        </is>
      </c>
      <c r="B1221" s="1" t="n">
        <v>44550</v>
      </c>
      <c r="C1221" s="1" t="n">
        <v>45852</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73367-2021</t>
        </is>
      </c>
      <c r="B1222" s="1" t="n">
        <v>44550</v>
      </c>
      <c r="C1222" s="1" t="n">
        <v>45852</v>
      </c>
      <c r="D1222" t="inlineStr">
        <is>
          <t>VÄSTERNORRLANDS LÄN</t>
        </is>
      </c>
      <c r="E1222" t="inlineStr">
        <is>
          <t>SOLLEFTEÅ</t>
        </is>
      </c>
      <c r="G1222" t="n">
        <v>10.8</v>
      </c>
      <c r="H1222" t="n">
        <v>0</v>
      </c>
      <c r="I1222" t="n">
        <v>0</v>
      </c>
      <c r="J1222" t="n">
        <v>0</v>
      </c>
      <c r="K1222" t="n">
        <v>0</v>
      </c>
      <c r="L1222" t="n">
        <v>0</v>
      </c>
      <c r="M1222" t="n">
        <v>0</v>
      </c>
      <c r="N1222" t="n">
        <v>0</v>
      </c>
      <c r="O1222" t="n">
        <v>0</v>
      </c>
      <c r="P1222" t="n">
        <v>0</v>
      </c>
      <c r="Q1222" t="n">
        <v>0</v>
      </c>
      <c r="R1222" s="2" t="inlineStr"/>
    </row>
    <row r="1223" ht="15" customHeight="1">
      <c r="A1223" t="inlineStr">
        <is>
          <t>A 73566-2021</t>
        </is>
      </c>
      <c r="B1223" s="1" t="n">
        <v>44551</v>
      </c>
      <c r="C1223" s="1" t="n">
        <v>45852</v>
      </c>
      <c r="D1223" t="inlineStr">
        <is>
          <t>VÄSTERNORRLANDS LÄN</t>
        </is>
      </c>
      <c r="E1223" t="inlineStr">
        <is>
          <t>SOLLEFTEÅ</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73564-2021</t>
        </is>
      </c>
      <c r="B1224" s="1" t="n">
        <v>44551</v>
      </c>
      <c r="C1224" s="1" t="n">
        <v>45852</v>
      </c>
      <c r="D1224" t="inlineStr">
        <is>
          <t>VÄSTERNORRLANDS LÄN</t>
        </is>
      </c>
      <c r="E1224" t="inlineStr">
        <is>
          <t>SOLLEFTEÅ</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73567-2021</t>
        </is>
      </c>
      <c r="B1225" s="1" t="n">
        <v>44551</v>
      </c>
      <c r="C1225" s="1" t="n">
        <v>45852</v>
      </c>
      <c r="D1225" t="inlineStr">
        <is>
          <t>VÄSTERNORRLANDS LÄN</t>
        </is>
      </c>
      <c r="E1225" t="inlineStr">
        <is>
          <t>SOLLEFTEÅ</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73886-2021</t>
        </is>
      </c>
      <c r="B1226" s="1" t="n">
        <v>44553</v>
      </c>
      <c r="C1226" s="1" t="n">
        <v>45852</v>
      </c>
      <c r="D1226" t="inlineStr">
        <is>
          <t>VÄSTERNORRLANDS LÄN</t>
        </is>
      </c>
      <c r="E1226" t="inlineStr">
        <is>
          <t>SOLLEFTEÅ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73847-2021</t>
        </is>
      </c>
      <c r="B1227" s="1" t="n">
        <v>44553</v>
      </c>
      <c r="C1227" s="1" t="n">
        <v>45852</v>
      </c>
      <c r="D1227" t="inlineStr">
        <is>
          <t>VÄSTERNORRLANDS LÄN</t>
        </is>
      </c>
      <c r="E1227" t="inlineStr">
        <is>
          <t>SOLLEFTEÅ</t>
        </is>
      </c>
      <c r="F1227" t="inlineStr">
        <is>
          <t>Övriga Aktiebolag</t>
        </is>
      </c>
      <c r="G1227" t="n">
        <v>20.1</v>
      </c>
      <c r="H1227" t="n">
        <v>0</v>
      </c>
      <c r="I1227" t="n">
        <v>0</v>
      </c>
      <c r="J1227" t="n">
        <v>0</v>
      </c>
      <c r="K1227" t="n">
        <v>0</v>
      </c>
      <c r="L1227" t="n">
        <v>0</v>
      </c>
      <c r="M1227" t="n">
        <v>0</v>
      </c>
      <c r="N1227" t="n">
        <v>0</v>
      </c>
      <c r="O1227" t="n">
        <v>0</v>
      </c>
      <c r="P1227" t="n">
        <v>0</v>
      </c>
      <c r="Q1227" t="n">
        <v>0</v>
      </c>
      <c r="R1227" s="2" t="inlineStr"/>
    </row>
    <row r="1228" ht="15" customHeight="1">
      <c r="A1228" t="inlineStr">
        <is>
          <t>A 2-2022</t>
        </is>
      </c>
      <c r="B1228" s="1" t="n">
        <v>44562</v>
      </c>
      <c r="C1228" s="1" t="n">
        <v>45852</v>
      </c>
      <c r="D1228" t="inlineStr">
        <is>
          <t>VÄSTERNORRLANDS LÄN</t>
        </is>
      </c>
      <c r="E1228" t="inlineStr">
        <is>
          <t>SOLLEFTEÅ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19-2022</t>
        </is>
      </c>
      <c r="B1229" s="1" t="n">
        <v>44564</v>
      </c>
      <c r="C1229" s="1" t="n">
        <v>45852</v>
      </c>
      <c r="D1229" t="inlineStr">
        <is>
          <t>VÄSTERNORRLANDS LÄN</t>
        </is>
      </c>
      <c r="E1229" t="inlineStr">
        <is>
          <t>SOLLEFTEÅ</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576-2022</t>
        </is>
      </c>
      <c r="B1230" s="1" t="n">
        <v>44566</v>
      </c>
      <c r="C1230" s="1" t="n">
        <v>45852</v>
      </c>
      <c r="D1230" t="inlineStr">
        <is>
          <t>VÄSTERNORRLANDS LÄN</t>
        </is>
      </c>
      <c r="E1230" t="inlineStr">
        <is>
          <t>SOLLEFTEÅ</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1095-2022</t>
        </is>
      </c>
      <c r="B1231" s="1" t="n">
        <v>44571</v>
      </c>
      <c r="C1231" s="1" t="n">
        <v>45852</v>
      </c>
      <c r="D1231" t="inlineStr">
        <is>
          <t>VÄSTERNORRLANDS LÄN</t>
        </is>
      </c>
      <c r="E1231" t="inlineStr">
        <is>
          <t>SOLLEFTEÅ</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1094-2022</t>
        </is>
      </c>
      <c r="B1232" s="1" t="n">
        <v>44571</v>
      </c>
      <c r="C1232" s="1" t="n">
        <v>45852</v>
      </c>
      <c r="D1232" t="inlineStr">
        <is>
          <t>VÄSTERNORRLANDS LÄN</t>
        </is>
      </c>
      <c r="E1232" t="inlineStr">
        <is>
          <t>SOLLEFTEÅ</t>
        </is>
      </c>
      <c r="F1232" t="inlineStr">
        <is>
          <t>SCA</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1402-2022</t>
        </is>
      </c>
      <c r="B1233" s="1" t="n">
        <v>44573</v>
      </c>
      <c r="C1233" s="1" t="n">
        <v>45852</v>
      </c>
      <c r="D1233" t="inlineStr">
        <is>
          <t>VÄSTERNORRLANDS LÄN</t>
        </is>
      </c>
      <c r="E1233" t="inlineStr">
        <is>
          <t>SOLLEFTEÅ</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1987-2022</t>
        </is>
      </c>
      <c r="B1234" s="1" t="n">
        <v>44575</v>
      </c>
      <c r="C1234" s="1" t="n">
        <v>45852</v>
      </c>
      <c r="D1234" t="inlineStr">
        <is>
          <t>VÄSTERNORRLANDS LÄN</t>
        </is>
      </c>
      <c r="E1234" t="inlineStr">
        <is>
          <t>SOLLEFTEÅ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1997-2022</t>
        </is>
      </c>
      <c r="B1235" s="1" t="n">
        <v>44575</v>
      </c>
      <c r="C1235" s="1" t="n">
        <v>45852</v>
      </c>
      <c r="D1235" t="inlineStr">
        <is>
          <t>VÄSTERNORRLANDS LÄN</t>
        </is>
      </c>
      <c r="E1235" t="inlineStr">
        <is>
          <t>SOLLEFTEÅ</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2536-2022</t>
        </is>
      </c>
      <c r="B1236" s="1" t="n">
        <v>44579</v>
      </c>
      <c r="C1236" s="1" t="n">
        <v>45852</v>
      </c>
      <c r="D1236" t="inlineStr">
        <is>
          <t>VÄSTERNORRLANDS LÄN</t>
        </is>
      </c>
      <c r="E1236" t="inlineStr">
        <is>
          <t>SOLLEFTEÅ</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2543-2022</t>
        </is>
      </c>
      <c r="B1237" s="1" t="n">
        <v>44580</v>
      </c>
      <c r="C1237" s="1" t="n">
        <v>45852</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2542-2022</t>
        </is>
      </c>
      <c r="B1238" s="1" t="n">
        <v>44580</v>
      </c>
      <c r="C1238" s="1" t="n">
        <v>45852</v>
      </c>
      <c r="D1238" t="inlineStr">
        <is>
          <t>VÄSTERNORRLANDS LÄN</t>
        </is>
      </c>
      <c r="E1238" t="inlineStr">
        <is>
          <t>SOLLEFTEÅ</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2541-2022</t>
        </is>
      </c>
      <c r="B1239" s="1" t="n">
        <v>44580</v>
      </c>
      <c r="C1239" s="1" t="n">
        <v>45852</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2747-2022</t>
        </is>
      </c>
      <c r="B1240" s="1" t="n">
        <v>44580</v>
      </c>
      <c r="C1240" s="1" t="n">
        <v>45852</v>
      </c>
      <c r="D1240" t="inlineStr">
        <is>
          <t>VÄSTERNORRLANDS LÄN</t>
        </is>
      </c>
      <c r="E1240" t="inlineStr">
        <is>
          <t>SOLLEFTEÅ</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3001-2022</t>
        </is>
      </c>
      <c r="B1241" s="1" t="n">
        <v>44581</v>
      </c>
      <c r="C1241" s="1" t="n">
        <v>45852</v>
      </c>
      <c r="D1241" t="inlineStr">
        <is>
          <t>VÄSTERNORRLANDS LÄN</t>
        </is>
      </c>
      <c r="E1241" t="inlineStr">
        <is>
          <t>SOLLEFTEÅ</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3541-2022</t>
        </is>
      </c>
      <c r="B1242" s="1" t="n">
        <v>44585</v>
      </c>
      <c r="C1242" s="1" t="n">
        <v>45852</v>
      </c>
      <c r="D1242" t="inlineStr">
        <is>
          <t>VÄSTERNORRLANDS LÄN</t>
        </is>
      </c>
      <c r="E1242" t="inlineStr">
        <is>
          <t>SOLLEFTEÅ</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3548-2022</t>
        </is>
      </c>
      <c r="B1243" s="1" t="n">
        <v>44585</v>
      </c>
      <c r="C1243" s="1" t="n">
        <v>45852</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3554-2022</t>
        </is>
      </c>
      <c r="B1244" s="1" t="n">
        <v>44585</v>
      </c>
      <c r="C1244" s="1" t="n">
        <v>45852</v>
      </c>
      <c r="D1244" t="inlineStr">
        <is>
          <t>VÄSTERNORRLANDS LÄN</t>
        </is>
      </c>
      <c r="E1244" t="inlineStr">
        <is>
          <t>SOLLEFTEÅ</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3560-2022</t>
        </is>
      </c>
      <c r="B1245" s="1" t="n">
        <v>44585</v>
      </c>
      <c r="C1245" s="1" t="n">
        <v>45852</v>
      </c>
      <c r="D1245" t="inlineStr">
        <is>
          <t>VÄSTERNORRLANDS LÄN</t>
        </is>
      </c>
      <c r="E1245" t="inlineStr">
        <is>
          <t>SOLLEFTEÅ</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3549-2022</t>
        </is>
      </c>
      <c r="B1246" s="1" t="n">
        <v>44585</v>
      </c>
      <c r="C1246" s="1" t="n">
        <v>45852</v>
      </c>
      <c r="D1246" t="inlineStr">
        <is>
          <t>VÄSTERNORRLANDS LÄN</t>
        </is>
      </c>
      <c r="E1246" t="inlineStr">
        <is>
          <t>SOLLEFTEÅ</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3551-2022</t>
        </is>
      </c>
      <c r="B1247" s="1" t="n">
        <v>44585</v>
      </c>
      <c r="C1247" s="1" t="n">
        <v>45852</v>
      </c>
      <c r="D1247" t="inlineStr">
        <is>
          <t>VÄSTERNORRLANDS LÄN</t>
        </is>
      </c>
      <c r="E1247" t="inlineStr">
        <is>
          <t>SOLLEFTEÅ</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3556-2022</t>
        </is>
      </c>
      <c r="B1248" s="1" t="n">
        <v>44585</v>
      </c>
      <c r="C1248" s="1" t="n">
        <v>45852</v>
      </c>
      <c r="D1248" t="inlineStr">
        <is>
          <t>VÄSTERNORRLANDS LÄN</t>
        </is>
      </c>
      <c r="E1248" t="inlineStr">
        <is>
          <t>SOLLEFTEÅ</t>
        </is>
      </c>
      <c r="F1248" t="inlineStr">
        <is>
          <t>SCA</t>
        </is>
      </c>
      <c r="G1248" t="n">
        <v>18.2</v>
      </c>
      <c r="H1248" t="n">
        <v>0</v>
      </c>
      <c r="I1248" t="n">
        <v>0</v>
      </c>
      <c r="J1248" t="n">
        <v>0</v>
      </c>
      <c r="K1248" t="n">
        <v>0</v>
      </c>
      <c r="L1248" t="n">
        <v>0</v>
      </c>
      <c r="M1248" t="n">
        <v>0</v>
      </c>
      <c r="N1248" t="n">
        <v>0</v>
      </c>
      <c r="O1248" t="n">
        <v>0</v>
      </c>
      <c r="P1248" t="n">
        <v>0</v>
      </c>
      <c r="Q1248" t="n">
        <v>0</v>
      </c>
      <c r="R1248" s="2" t="inlineStr"/>
    </row>
    <row r="1249" ht="15" customHeight="1">
      <c r="A1249" t="inlineStr">
        <is>
          <t>A 3555-2022</t>
        </is>
      </c>
      <c r="B1249" s="1" t="n">
        <v>44585</v>
      </c>
      <c r="C1249" s="1" t="n">
        <v>45852</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3552-2022</t>
        </is>
      </c>
      <c r="B1250" s="1" t="n">
        <v>44585</v>
      </c>
      <c r="C1250" s="1" t="n">
        <v>45852</v>
      </c>
      <c r="D1250" t="inlineStr">
        <is>
          <t>VÄSTERNORRLANDS LÄN</t>
        </is>
      </c>
      <c r="E1250" t="inlineStr">
        <is>
          <t>SOLLEFTEÅ</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3557-2022</t>
        </is>
      </c>
      <c r="B1251" s="1" t="n">
        <v>44585</v>
      </c>
      <c r="C1251" s="1" t="n">
        <v>45852</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3699-2022</t>
        </is>
      </c>
      <c r="B1252" s="1" t="n">
        <v>44586</v>
      </c>
      <c r="C1252" s="1" t="n">
        <v>45852</v>
      </c>
      <c r="D1252" t="inlineStr">
        <is>
          <t>VÄSTERNORRLANDS LÄN</t>
        </is>
      </c>
      <c r="E1252" t="inlineStr">
        <is>
          <t>SOLLEFTEÅ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3793-2022</t>
        </is>
      </c>
      <c r="B1253" s="1" t="n">
        <v>44586</v>
      </c>
      <c r="C1253" s="1" t="n">
        <v>45852</v>
      </c>
      <c r="D1253" t="inlineStr">
        <is>
          <t>VÄSTERNORRLANDS LÄN</t>
        </is>
      </c>
      <c r="E1253" t="inlineStr">
        <is>
          <t>SOLLEFTEÅ</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4018-2022</t>
        </is>
      </c>
      <c r="B1254" s="1" t="n">
        <v>44587</v>
      </c>
      <c r="C1254" s="1" t="n">
        <v>45852</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4343-2022</t>
        </is>
      </c>
      <c r="B1255" s="1" t="n">
        <v>44588</v>
      </c>
      <c r="C1255" s="1" t="n">
        <v>45852</v>
      </c>
      <c r="D1255" t="inlineStr">
        <is>
          <t>VÄSTERNORRLANDS LÄN</t>
        </is>
      </c>
      <c r="E1255" t="inlineStr">
        <is>
          <t>SOLLEFTEÅ</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4555-2022</t>
        </is>
      </c>
      <c r="B1256" s="1" t="n">
        <v>44590</v>
      </c>
      <c r="C1256" s="1" t="n">
        <v>45852</v>
      </c>
      <c r="D1256" t="inlineStr">
        <is>
          <t>VÄSTERNORRLANDS LÄN</t>
        </is>
      </c>
      <c r="E1256" t="inlineStr">
        <is>
          <t>SOLLEFTEÅ</t>
        </is>
      </c>
      <c r="F1256" t="inlineStr">
        <is>
          <t>SCA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5108-2022</t>
        </is>
      </c>
      <c r="B1257" s="1" t="n">
        <v>44593</v>
      </c>
      <c r="C1257" s="1" t="n">
        <v>45852</v>
      </c>
      <c r="D1257" t="inlineStr">
        <is>
          <t>VÄSTERNORRLANDS LÄN</t>
        </is>
      </c>
      <c r="E1257" t="inlineStr">
        <is>
          <t>SOLLEFTEÅ</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5110-2022</t>
        </is>
      </c>
      <c r="B1258" s="1" t="n">
        <v>44593</v>
      </c>
      <c r="C1258" s="1" t="n">
        <v>45852</v>
      </c>
      <c r="D1258" t="inlineStr">
        <is>
          <t>VÄSTERNORRLANDS LÄN</t>
        </is>
      </c>
      <c r="E1258" t="inlineStr">
        <is>
          <t>SOLLEFTEÅ</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5111-2022</t>
        </is>
      </c>
      <c r="B1259" s="1" t="n">
        <v>44593</v>
      </c>
      <c r="C1259" s="1" t="n">
        <v>45852</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5134-2022</t>
        </is>
      </c>
      <c r="B1260" s="1" t="n">
        <v>44594</v>
      </c>
      <c r="C1260" s="1" t="n">
        <v>45852</v>
      </c>
      <c r="D1260" t="inlineStr">
        <is>
          <t>VÄSTERNORRLANDS LÄN</t>
        </is>
      </c>
      <c r="E1260" t="inlineStr">
        <is>
          <t>SOLLEFTEÅ</t>
        </is>
      </c>
      <c r="G1260" t="n">
        <v>20.4</v>
      </c>
      <c r="H1260" t="n">
        <v>0</v>
      </c>
      <c r="I1260" t="n">
        <v>0</v>
      </c>
      <c r="J1260" t="n">
        <v>0</v>
      </c>
      <c r="K1260" t="n">
        <v>0</v>
      </c>
      <c r="L1260" t="n">
        <v>0</v>
      </c>
      <c r="M1260" t="n">
        <v>0</v>
      </c>
      <c r="N1260" t="n">
        <v>0</v>
      </c>
      <c r="O1260" t="n">
        <v>0</v>
      </c>
      <c r="P1260" t="n">
        <v>0</v>
      </c>
      <c r="Q1260" t="n">
        <v>0</v>
      </c>
      <c r="R1260" s="2" t="inlineStr"/>
    </row>
    <row r="1261" ht="15" customHeight="1">
      <c r="A1261" t="inlineStr">
        <is>
          <t>A 5657-2022</t>
        </is>
      </c>
      <c r="B1261" s="1" t="n">
        <v>44595</v>
      </c>
      <c r="C1261" s="1" t="n">
        <v>45852</v>
      </c>
      <c r="D1261" t="inlineStr">
        <is>
          <t>VÄSTERNORRLANDS LÄN</t>
        </is>
      </c>
      <c r="E1261" t="inlineStr">
        <is>
          <t>SOLLEFTEÅ</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5909-2022</t>
        </is>
      </c>
      <c r="B1262" s="1" t="n">
        <v>44596</v>
      </c>
      <c r="C1262" s="1" t="n">
        <v>45852</v>
      </c>
      <c r="D1262" t="inlineStr">
        <is>
          <t>VÄSTERNORRLANDS LÄN</t>
        </is>
      </c>
      <c r="E1262" t="inlineStr">
        <is>
          <t>SOLLEFTEÅ</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6121-2022</t>
        </is>
      </c>
      <c r="B1263" s="1" t="n">
        <v>44599</v>
      </c>
      <c r="C1263" s="1" t="n">
        <v>45852</v>
      </c>
      <c r="D1263" t="inlineStr">
        <is>
          <t>VÄSTERNORRLANDS LÄN</t>
        </is>
      </c>
      <c r="E1263" t="inlineStr">
        <is>
          <t>SOLLEFTEÅ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6172-2022</t>
        </is>
      </c>
      <c r="B1264" s="1" t="n">
        <v>44599</v>
      </c>
      <c r="C1264" s="1" t="n">
        <v>45852</v>
      </c>
      <c r="D1264" t="inlineStr">
        <is>
          <t>VÄSTERNORRLANDS LÄN</t>
        </is>
      </c>
      <c r="E1264" t="inlineStr">
        <is>
          <t>SOLLEFTEÅ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6170-2022</t>
        </is>
      </c>
      <c r="B1265" s="1" t="n">
        <v>44599</v>
      </c>
      <c r="C1265" s="1" t="n">
        <v>45852</v>
      </c>
      <c r="D1265" t="inlineStr">
        <is>
          <t>VÄSTERNORRLANDS LÄN</t>
        </is>
      </c>
      <c r="E1265" t="inlineStr">
        <is>
          <t>SOLLEFTEÅ</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7667-2022</t>
        </is>
      </c>
      <c r="B1266" s="1" t="n">
        <v>44607</v>
      </c>
      <c r="C1266" s="1" t="n">
        <v>45852</v>
      </c>
      <c r="D1266" t="inlineStr">
        <is>
          <t>VÄSTERNORRLANDS LÄN</t>
        </is>
      </c>
      <c r="E1266" t="inlineStr">
        <is>
          <t>SOLLEFTEÅ</t>
        </is>
      </c>
      <c r="F1266" t="inlineStr">
        <is>
          <t>SCA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7965-2022</t>
        </is>
      </c>
      <c r="B1267" s="1" t="n">
        <v>44608</v>
      </c>
      <c r="C1267" s="1" t="n">
        <v>45852</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7963-2022</t>
        </is>
      </c>
      <c r="B1268" s="1" t="n">
        <v>44608</v>
      </c>
      <c r="C1268" s="1" t="n">
        <v>45852</v>
      </c>
      <c r="D1268" t="inlineStr">
        <is>
          <t>VÄSTERNORRLANDS LÄN</t>
        </is>
      </c>
      <c r="E1268" t="inlineStr">
        <is>
          <t>SOLLEFTEÅ</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7935-2022</t>
        </is>
      </c>
      <c r="B1269" s="1" t="n">
        <v>44608</v>
      </c>
      <c r="C1269" s="1" t="n">
        <v>45852</v>
      </c>
      <c r="D1269" t="inlineStr">
        <is>
          <t>VÄSTERNORRLANDS LÄN</t>
        </is>
      </c>
      <c r="E1269" t="inlineStr">
        <is>
          <t>SOLLEFTEÅ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7964-2022</t>
        </is>
      </c>
      <c r="B1270" s="1" t="n">
        <v>44608</v>
      </c>
      <c r="C1270" s="1" t="n">
        <v>45852</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8221-2022</t>
        </is>
      </c>
      <c r="B1271" s="1" t="n">
        <v>44609</v>
      </c>
      <c r="C1271" s="1" t="n">
        <v>45852</v>
      </c>
      <c r="D1271" t="inlineStr">
        <is>
          <t>VÄSTERNORRLANDS LÄN</t>
        </is>
      </c>
      <c r="E1271" t="inlineStr">
        <is>
          <t>SOLLEFTEÅ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8222-2022</t>
        </is>
      </c>
      <c r="B1272" s="1" t="n">
        <v>44609</v>
      </c>
      <c r="C1272" s="1" t="n">
        <v>45852</v>
      </c>
      <c r="D1272" t="inlineStr">
        <is>
          <t>VÄSTERNORRLANDS LÄN</t>
        </is>
      </c>
      <c r="E1272" t="inlineStr">
        <is>
          <t>SOLLEFTEÅ</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8728-2022</t>
        </is>
      </c>
      <c r="B1273" s="1" t="n">
        <v>44613</v>
      </c>
      <c r="C1273" s="1" t="n">
        <v>45852</v>
      </c>
      <c r="D1273" t="inlineStr">
        <is>
          <t>VÄSTERNORRLANDS LÄN</t>
        </is>
      </c>
      <c r="E1273" t="inlineStr">
        <is>
          <t>SOLLEFTEÅ</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8729-2022</t>
        </is>
      </c>
      <c r="B1274" s="1" t="n">
        <v>44613</v>
      </c>
      <c r="C1274" s="1" t="n">
        <v>45852</v>
      </c>
      <c r="D1274" t="inlineStr">
        <is>
          <t>VÄSTERNORRLANDS LÄN</t>
        </is>
      </c>
      <c r="E1274" t="inlineStr">
        <is>
          <t>SOLLEFTEÅ</t>
        </is>
      </c>
      <c r="F1274" t="inlineStr">
        <is>
          <t>SCA</t>
        </is>
      </c>
      <c r="G1274" t="n">
        <v>16.5</v>
      </c>
      <c r="H1274" t="n">
        <v>0</v>
      </c>
      <c r="I1274" t="n">
        <v>0</v>
      </c>
      <c r="J1274" t="n">
        <v>0</v>
      </c>
      <c r="K1274" t="n">
        <v>0</v>
      </c>
      <c r="L1274" t="n">
        <v>0</v>
      </c>
      <c r="M1274" t="n">
        <v>0</v>
      </c>
      <c r="N1274" t="n">
        <v>0</v>
      </c>
      <c r="O1274" t="n">
        <v>0</v>
      </c>
      <c r="P1274" t="n">
        <v>0</v>
      </c>
      <c r="Q1274" t="n">
        <v>0</v>
      </c>
      <c r="R1274" s="2" t="inlineStr"/>
    </row>
    <row r="1275" ht="15" customHeight="1">
      <c r="A1275" t="inlineStr">
        <is>
          <t>A 8734-2022</t>
        </is>
      </c>
      <c r="B1275" s="1" t="n">
        <v>44613</v>
      </c>
      <c r="C1275" s="1" t="n">
        <v>45852</v>
      </c>
      <c r="D1275" t="inlineStr">
        <is>
          <t>VÄSTERNORRLANDS LÄN</t>
        </is>
      </c>
      <c r="E1275" t="inlineStr">
        <is>
          <t>SOLLEFTEÅ</t>
        </is>
      </c>
      <c r="F1275" t="inlineStr">
        <is>
          <t>SCA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9124-2022</t>
        </is>
      </c>
      <c r="B1276" s="1" t="n">
        <v>44615</v>
      </c>
      <c r="C1276" s="1" t="n">
        <v>45852</v>
      </c>
      <c r="D1276" t="inlineStr">
        <is>
          <t>VÄSTERNORRLANDS LÄN</t>
        </is>
      </c>
      <c r="E1276" t="inlineStr">
        <is>
          <t>SOLLEFTEÅ</t>
        </is>
      </c>
      <c r="G1276" t="n">
        <v>20.2</v>
      </c>
      <c r="H1276" t="n">
        <v>0</v>
      </c>
      <c r="I1276" t="n">
        <v>0</v>
      </c>
      <c r="J1276" t="n">
        <v>0</v>
      </c>
      <c r="K1276" t="n">
        <v>0</v>
      </c>
      <c r="L1276" t="n">
        <v>0</v>
      </c>
      <c r="M1276" t="n">
        <v>0</v>
      </c>
      <c r="N1276" t="n">
        <v>0</v>
      </c>
      <c r="O1276" t="n">
        <v>0</v>
      </c>
      <c r="P1276" t="n">
        <v>0</v>
      </c>
      <c r="Q1276" t="n">
        <v>0</v>
      </c>
      <c r="R1276" s="2" t="inlineStr"/>
    </row>
    <row r="1277" ht="15" customHeight="1">
      <c r="A1277" t="inlineStr">
        <is>
          <t>A 9487-2022</t>
        </is>
      </c>
      <c r="B1277" s="1" t="n">
        <v>44616</v>
      </c>
      <c r="C1277" s="1" t="n">
        <v>45852</v>
      </c>
      <c r="D1277" t="inlineStr">
        <is>
          <t>VÄSTERNORRLANDS LÄN</t>
        </is>
      </c>
      <c r="E1277" t="inlineStr">
        <is>
          <t>SOLLEFTEÅ</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9586-2022</t>
        </is>
      </c>
      <c r="B1278" s="1" t="n">
        <v>44617</v>
      </c>
      <c r="C1278" s="1" t="n">
        <v>45852</v>
      </c>
      <c r="D1278" t="inlineStr">
        <is>
          <t>VÄSTERNORRLANDS LÄN</t>
        </is>
      </c>
      <c r="E1278" t="inlineStr">
        <is>
          <t>SOLLEFTEÅ</t>
        </is>
      </c>
      <c r="F1278" t="inlineStr">
        <is>
          <t>Övriga Aktiebolag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10138-2022</t>
        </is>
      </c>
      <c r="B1279" s="1" t="n">
        <v>44621</v>
      </c>
      <c r="C1279" s="1" t="n">
        <v>45852</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10139-2022</t>
        </is>
      </c>
      <c r="B1280" s="1" t="n">
        <v>44621</v>
      </c>
      <c r="C1280" s="1" t="n">
        <v>45852</v>
      </c>
      <c r="D1280" t="inlineStr">
        <is>
          <t>VÄSTERNORRLANDS LÄN</t>
        </is>
      </c>
      <c r="E1280" t="inlineStr">
        <is>
          <t>SOLLEFTEÅ</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10140-2022</t>
        </is>
      </c>
      <c r="B1281" s="1" t="n">
        <v>44621</v>
      </c>
      <c r="C1281" s="1" t="n">
        <v>45852</v>
      </c>
      <c r="D1281" t="inlineStr">
        <is>
          <t>VÄSTERNORRLANDS LÄN</t>
        </is>
      </c>
      <c r="E1281" t="inlineStr">
        <is>
          <t>SOLLEFTEÅ</t>
        </is>
      </c>
      <c r="F1281" t="inlineStr">
        <is>
          <t>SCA</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10141-2022</t>
        </is>
      </c>
      <c r="B1282" s="1" t="n">
        <v>44621</v>
      </c>
      <c r="C1282" s="1" t="n">
        <v>45852</v>
      </c>
      <c r="D1282" t="inlineStr">
        <is>
          <t>VÄSTERNORRLANDS LÄN</t>
        </is>
      </c>
      <c r="E1282" t="inlineStr">
        <is>
          <t>SOLLEFTEÅ</t>
        </is>
      </c>
      <c r="F1282" t="inlineStr">
        <is>
          <t>SCA</t>
        </is>
      </c>
      <c r="G1282" t="n">
        <v>15.5</v>
      </c>
      <c r="H1282" t="n">
        <v>0</v>
      </c>
      <c r="I1282" t="n">
        <v>0</v>
      </c>
      <c r="J1282" t="n">
        <v>0</v>
      </c>
      <c r="K1282" t="n">
        <v>0</v>
      </c>
      <c r="L1282" t="n">
        <v>0</v>
      </c>
      <c r="M1282" t="n">
        <v>0</v>
      </c>
      <c r="N1282" t="n">
        <v>0</v>
      </c>
      <c r="O1282" t="n">
        <v>0</v>
      </c>
      <c r="P1282" t="n">
        <v>0</v>
      </c>
      <c r="Q1282" t="n">
        <v>0</v>
      </c>
      <c r="R1282" s="2" t="inlineStr"/>
    </row>
    <row r="1283" ht="15" customHeight="1">
      <c r="A1283" t="inlineStr">
        <is>
          <t>A 10198-2022</t>
        </is>
      </c>
      <c r="B1283" s="1" t="n">
        <v>44622</v>
      </c>
      <c r="C1283" s="1" t="n">
        <v>45852</v>
      </c>
      <c r="D1283" t="inlineStr">
        <is>
          <t>VÄSTERNORRLANDS LÄN</t>
        </is>
      </c>
      <c r="E1283" t="inlineStr">
        <is>
          <t>SOLLEFTEÅ</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10242-2022</t>
        </is>
      </c>
      <c r="B1284" s="1" t="n">
        <v>44622</v>
      </c>
      <c r="C1284" s="1" t="n">
        <v>45852</v>
      </c>
      <c r="D1284" t="inlineStr">
        <is>
          <t>VÄSTERNORRLANDS LÄN</t>
        </is>
      </c>
      <c r="E1284" t="inlineStr">
        <is>
          <t>SOLLEFTEÅ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10308-2022</t>
        </is>
      </c>
      <c r="B1285" s="1" t="n">
        <v>44622</v>
      </c>
      <c r="C1285" s="1" t="n">
        <v>45852</v>
      </c>
      <c r="D1285" t="inlineStr">
        <is>
          <t>VÄSTERNORRLANDS LÄN</t>
        </is>
      </c>
      <c r="E1285" t="inlineStr">
        <is>
          <t>SOLLEFTEÅ</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10250-2022</t>
        </is>
      </c>
      <c r="B1286" s="1" t="n">
        <v>44622</v>
      </c>
      <c r="C1286" s="1" t="n">
        <v>45852</v>
      </c>
      <c r="D1286" t="inlineStr">
        <is>
          <t>VÄSTERNORRLANDS LÄN</t>
        </is>
      </c>
      <c r="E1286" t="inlineStr">
        <is>
          <t>SOLLEFTEÅ</t>
        </is>
      </c>
      <c r="G1286" t="n">
        <v>17.6</v>
      </c>
      <c r="H1286" t="n">
        <v>0</v>
      </c>
      <c r="I1286" t="n">
        <v>0</v>
      </c>
      <c r="J1286" t="n">
        <v>0</v>
      </c>
      <c r="K1286" t="n">
        <v>0</v>
      </c>
      <c r="L1286" t="n">
        <v>0</v>
      </c>
      <c r="M1286" t="n">
        <v>0</v>
      </c>
      <c r="N1286" t="n">
        <v>0</v>
      </c>
      <c r="O1286" t="n">
        <v>0</v>
      </c>
      <c r="P1286" t="n">
        <v>0</v>
      </c>
      <c r="Q1286" t="n">
        <v>0</v>
      </c>
      <c r="R1286" s="2" t="inlineStr"/>
    </row>
    <row r="1287" ht="15" customHeight="1">
      <c r="A1287" t="inlineStr">
        <is>
          <t>A 10310-2022</t>
        </is>
      </c>
      <c r="B1287" s="1" t="n">
        <v>44622</v>
      </c>
      <c r="C1287" s="1" t="n">
        <v>45852</v>
      </c>
      <c r="D1287" t="inlineStr">
        <is>
          <t>VÄSTERNORRLANDS LÄN</t>
        </is>
      </c>
      <c r="E1287" t="inlineStr">
        <is>
          <t>SOLLEFTEÅ</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10307-2022</t>
        </is>
      </c>
      <c r="B1288" s="1" t="n">
        <v>44622</v>
      </c>
      <c r="C1288" s="1" t="n">
        <v>45852</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10311-2022</t>
        </is>
      </c>
      <c r="B1289" s="1" t="n">
        <v>44622</v>
      </c>
      <c r="C1289" s="1" t="n">
        <v>45852</v>
      </c>
      <c r="D1289" t="inlineStr">
        <is>
          <t>VÄSTERNORRLANDS LÄN</t>
        </is>
      </c>
      <c r="E1289" t="inlineStr">
        <is>
          <t>SOLLEFTEÅ</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10309-2022</t>
        </is>
      </c>
      <c r="B1290" s="1" t="n">
        <v>44622</v>
      </c>
      <c r="C1290" s="1" t="n">
        <v>45852</v>
      </c>
      <c r="D1290" t="inlineStr">
        <is>
          <t>VÄSTERNORRLANDS LÄN</t>
        </is>
      </c>
      <c r="E1290" t="inlineStr">
        <is>
          <t>SOLLEFTEÅ</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10314-2022</t>
        </is>
      </c>
      <c r="B1291" s="1" t="n">
        <v>44622</v>
      </c>
      <c r="C1291" s="1" t="n">
        <v>45852</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10417-2022</t>
        </is>
      </c>
      <c r="B1292" s="1" t="n">
        <v>44623</v>
      </c>
      <c r="C1292" s="1" t="n">
        <v>45852</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10924-2022</t>
        </is>
      </c>
      <c r="B1293" s="1" t="n">
        <v>44627</v>
      </c>
      <c r="C1293" s="1" t="n">
        <v>45852</v>
      </c>
      <c r="D1293" t="inlineStr">
        <is>
          <t>VÄSTERNORRLANDS LÄN</t>
        </is>
      </c>
      <c r="E1293" t="inlineStr">
        <is>
          <t>SOLLEFTEÅ</t>
        </is>
      </c>
      <c r="F1293" t="inlineStr">
        <is>
          <t>SCA</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10926-2022</t>
        </is>
      </c>
      <c r="B1294" s="1" t="n">
        <v>44627</v>
      </c>
      <c r="C1294" s="1" t="n">
        <v>45852</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10925-2022</t>
        </is>
      </c>
      <c r="B1295" s="1" t="n">
        <v>44627</v>
      </c>
      <c r="C1295" s="1" t="n">
        <v>45852</v>
      </c>
      <c r="D1295" t="inlineStr">
        <is>
          <t>VÄSTERNORRLANDS LÄN</t>
        </is>
      </c>
      <c r="E1295" t="inlineStr">
        <is>
          <t>SOLLEFTEÅ</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10927-2022</t>
        </is>
      </c>
      <c r="B1296" s="1" t="n">
        <v>44627</v>
      </c>
      <c r="C1296" s="1" t="n">
        <v>45852</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11117-2022</t>
        </is>
      </c>
      <c r="B1297" s="1" t="n">
        <v>44628</v>
      </c>
      <c r="C1297" s="1" t="n">
        <v>45852</v>
      </c>
      <c r="D1297" t="inlineStr">
        <is>
          <t>VÄSTERNORRLANDS LÄN</t>
        </is>
      </c>
      <c r="E1297" t="inlineStr">
        <is>
          <t>SOLLEFTEÅ</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11131-2022</t>
        </is>
      </c>
      <c r="B1298" s="1" t="n">
        <v>44628</v>
      </c>
      <c r="C1298" s="1" t="n">
        <v>45852</v>
      </c>
      <c r="D1298" t="inlineStr">
        <is>
          <t>VÄSTERNORRLANDS LÄN</t>
        </is>
      </c>
      <c r="E1298" t="inlineStr">
        <is>
          <t>SOLLEFTEÅ</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11133-2022</t>
        </is>
      </c>
      <c r="B1299" s="1" t="n">
        <v>44628</v>
      </c>
      <c r="C1299" s="1" t="n">
        <v>45852</v>
      </c>
      <c r="D1299" t="inlineStr">
        <is>
          <t>VÄSTERNORRLANDS LÄN</t>
        </is>
      </c>
      <c r="E1299" t="inlineStr">
        <is>
          <t>SOLLEFTEÅ</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11125-2022</t>
        </is>
      </c>
      <c r="B1300" s="1" t="n">
        <v>44628</v>
      </c>
      <c r="C1300" s="1" t="n">
        <v>45852</v>
      </c>
      <c r="D1300" t="inlineStr">
        <is>
          <t>VÄSTERNORRLANDS LÄN</t>
        </is>
      </c>
      <c r="E1300" t="inlineStr">
        <is>
          <t>SOLLEFTEÅ</t>
        </is>
      </c>
      <c r="F1300" t="inlineStr">
        <is>
          <t>SCA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11241-2022</t>
        </is>
      </c>
      <c r="B1301" s="1" t="n">
        <v>44629</v>
      </c>
      <c r="C1301" s="1" t="n">
        <v>45852</v>
      </c>
      <c r="D1301" t="inlineStr">
        <is>
          <t>VÄSTERNORRLANDS LÄN</t>
        </is>
      </c>
      <c r="E1301" t="inlineStr">
        <is>
          <t>SOLLEFTEÅ</t>
        </is>
      </c>
      <c r="F1301" t="inlineStr">
        <is>
          <t>Kommuner</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11318-2022</t>
        </is>
      </c>
      <c r="B1302" s="1" t="n">
        <v>44629</v>
      </c>
      <c r="C1302" s="1" t="n">
        <v>45852</v>
      </c>
      <c r="D1302" t="inlineStr">
        <is>
          <t>VÄSTERNORRLANDS LÄN</t>
        </is>
      </c>
      <c r="E1302" t="inlineStr">
        <is>
          <t>SOLLEFTEÅ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11475-2022</t>
        </is>
      </c>
      <c r="B1303" s="1" t="n">
        <v>44630</v>
      </c>
      <c r="C1303" s="1" t="n">
        <v>45852</v>
      </c>
      <c r="D1303" t="inlineStr">
        <is>
          <t>VÄSTERNORRLANDS LÄN</t>
        </is>
      </c>
      <c r="E1303" t="inlineStr">
        <is>
          <t>SOLLEFTEÅ</t>
        </is>
      </c>
      <c r="G1303" t="n">
        <v>18.7</v>
      </c>
      <c r="H1303" t="n">
        <v>0</v>
      </c>
      <c r="I1303" t="n">
        <v>0</v>
      </c>
      <c r="J1303" t="n">
        <v>0</v>
      </c>
      <c r="K1303" t="n">
        <v>0</v>
      </c>
      <c r="L1303" t="n">
        <v>0</v>
      </c>
      <c r="M1303" t="n">
        <v>0</v>
      </c>
      <c r="N1303" t="n">
        <v>0</v>
      </c>
      <c r="O1303" t="n">
        <v>0</v>
      </c>
      <c r="P1303" t="n">
        <v>0</v>
      </c>
      <c r="Q1303" t="n">
        <v>0</v>
      </c>
      <c r="R1303" s="2" t="inlineStr"/>
    </row>
    <row r="1304" ht="15" customHeight="1">
      <c r="A1304" t="inlineStr">
        <is>
          <t>A 11484-2022</t>
        </is>
      </c>
      <c r="B1304" s="1" t="n">
        <v>44630</v>
      </c>
      <c r="C1304" s="1" t="n">
        <v>45852</v>
      </c>
      <c r="D1304" t="inlineStr">
        <is>
          <t>VÄSTERNORRLANDS LÄN</t>
        </is>
      </c>
      <c r="E1304" t="inlineStr">
        <is>
          <t>SOLLEFTEÅ</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11474-2022</t>
        </is>
      </c>
      <c r="B1305" s="1" t="n">
        <v>44630</v>
      </c>
      <c r="C1305" s="1" t="n">
        <v>45852</v>
      </c>
      <c r="D1305" t="inlineStr">
        <is>
          <t>VÄSTERNORRLANDS LÄN</t>
        </is>
      </c>
      <c r="E1305" t="inlineStr">
        <is>
          <t>SOLLEFTEÅ</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11483-2022</t>
        </is>
      </c>
      <c r="B1306" s="1" t="n">
        <v>44630</v>
      </c>
      <c r="C1306" s="1" t="n">
        <v>45852</v>
      </c>
      <c r="D1306" t="inlineStr">
        <is>
          <t>VÄSTERNORRLANDS LÄN</t>
        </is>
      </c>
      <c r="E1306" t="inlineStr">
        <is>
          <t>SOLLEFTEÅ</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11652-2022</t>
        </is>
      </c>
      <c r="B1307" s="1" t="n">
        <v>44631</v>
      </c>
      <c r="C1307" s="1" t="n">
        <v>45852</v>
      </c>
      <c r="D1307" t="inlineStr">
        <is>
          <t>VÄSTERNORRLANDS LÄN</t>
        </is>
      </c>
      <c r="E1307" t="inlineStr">
        <is>
          <t>SOLLEFTEÅ</t>
        </is>
      </c>
      <c r="F1307" t="inlineStr">
        <is>
          <t>SCA</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11656-2022</t>
        </is>
      </c>
      <c r="B1308" s="1" t="n">
        <v>44631</v>
      </c>
      <c r="C1308" s="1" t="n">
        <v>45852</v>
      </c>
      <c r="D1308" t="inlineStr">
        <is>
          <t>VÄSTERNORRLANDS LÄN</t>
        </is>
      </c>
      <c r="E1308" t="inlineStr">
        <is>
          <t>SOLLEFTEÅ</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11653-2022</t>
        </is>
      </c>
      <c r="B1309" s="1" t="n">
        <v>44631</v>
      </c>
      <c r="C1309" s="1" t="n">
        <v>45852</v>
      </c>
      <c r="D1309" t="inlineStr">
        <is>
          <t>VÄSTERNORRLANDS LÄN</t>
        </is>
      </c>
      <c r="E1309" t="inlineStr">
        <is>
          <t>SOLLEFTEÅ</t>
        </is>
      </c>
      <c r="F1309" t="inlineStr">
        <is>
          <t>SCA</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11677-2022</t>
        </is>
      </c>
      <c r="B1310" s="1" t="n">
        <v>44633</v>
      </c>
      <c r="C1310" s="1" t="n">
        <v>45852</v>
      </c>
      <c r="D1310" t="inlineStr">
        <is>
          <t>VÄSTERNORRLANDS LÄN</t>
        </is>
      </c>
      <c r="E1310" t="inlineStr">
        <is>
          <t>SOLLEFTEÅ</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11842-2022</t>
        </is>
      </c>
      <c r="B1311" s="1" t="n">
        <v>44634</v>
      </c>
      <c r="C1311" s="1" t="n">
        <v>45852</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11845-2022</t>
        </is>
      </c>
      <c r="B1312" s="1" t="n">
        <v>44634</v>
      </c>
      <c r="C1312" s="1" t="n">
        <v>45852</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11846-2022</t>
        </is>
      </c>
      <c r="B1313" s="1" t="n">
        <v>44634</v>
      </c>
      <c r="C1313" s="1" t="n">
        <v>45852</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11870-2022</t>
        </is>
      </c>
      <c r="B1314" s="1" t="n">
        <v>44635</v>
      </c>
      <c r="C1314" s="1" t="n">
        <v>45852</v>
      </c>
      <c r="D1314" t="inlineStr">
        <is>
          <t>VÄSTERNORRLANDS LÄN</t>
        </is>
      </c>
      <c r="E1314" t="inlineStr">
        <is>
          <t>SOLLEFTEÅ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11874-2022</t>
        </is>
      </c>
      <c r="B1315" s="1" t="n">
        <v>44635</v>
      </c>
      <c r="C1315" s="1" t="n">
        <v>45852</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12007-2022</t>
        </is>
      </c>
      <c r="B1316" s="1" t="n">
        <v>44635</v>
      </c>
      <c r="C1316" s="1" t="n">
        <v>45852</v>
      </c>
      <c r="D1316" t="inlineStr">
        <is>
          <t>VÄSTERNORRLANDS LÄN</t>
        </is>
      </c>
      <c r="E1316" t="inlineStr">
        <is>
          <t>SOLLEFTEÅ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12001-2022</t>
        </is>
      </c>
      <c r="B1317" s="1" t="n">
        <v>44635</v>
      </c>
      <c r="C1317" s="1" t="n">
        <v>45852</v>
      </c>
      <c r="D1317" t="inlineStr">
        <is>
          <t>VÄSTERNORRLANDS LÄN</t>
        </is>
      </c>
      <c r="E1317" t="inlineStr">
        <is>
          <t>SOLLEFTEÅ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12006-2022</t>
        </is>
      </c>
      <c r="B1318" s="1" t="n">
        <v>44635</v>
      </c>
      <c r="C1318" s="1" t="n">
        <v>45852</v>
      </c>
      <c r="D1318" t="inlineStr">
        <is>
          <t>VÄSTERNORRLANDS LÄN</t>
        </is>
      </c>
      <c r="E1318" t="inlineStr">
        <is>
          <t>SOLLEFTEÅ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12022-2022</t>
        </is>
      </c>
      <c r="B1319" s="1" t="n">
        <v>44635</v>
      </c>
      <c r="C1319" s="1" t="n">
        <v>45852</v>
      </c>
      <c r="D1319" t="inlineStr">
        <is>
          <t>VÄSTERNORRLANDS LÄN</t>
        </is>
      </c>
      <c r="E1319" t="inlineStr">
        <is>
          <t>SOLLEFTEÅ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12191-2022</t>
        </is>
      </c>
      <c r="B1320" s="1" t="n">
        <v>44636</v>
      </c>
      <c r="C1320" s="1" t="n">
        <v>45852</v>
      </c>
      <c r="D1320" t="inlineStr">
        <is>
          <t>VÄSTERNORRLANDS LÄN</t>
        </is>
      </c>
      <c r="E1320" t="inlineStr">
        <is>
          <t>SOLLEFTEÅ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12201-2022</t>
        </is>
      </c>
      <c r="B1321" s="1" t="n">
        <v>44636</v>
      </c>
      <c r="C1321" s="1" t="n">
        <v>45852</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12395-2022</t>
        </is>
      </c>
      <c r="B1322" s="1" t="n">
        <v>44637</v>
      </c>
      <c r="C1322" s="1" t="n">
        <v>45852</v>
      </c>
      <c r="D1322" t="inlineStr">
        <is>
          <t>VÄSTERNORRLANDS LÄN</t>
        </is>
      </c>
      <c r="E1322" t="inlineStr">
        <is>
          <t>SOLLEFTEÅ</t>
        </is>
      </c>
      <c r="F1322" t="inlineStr">
        <is>
          <t>SCA</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12561-2022</t>
        </is>
      </c>
      <c r="B1323" s="1" t="n">
        <v>44638</v>
      </c>
      <c r="C1323" s="1" t="n">
        <v>45852</v>
      </c>
      <c r="D1323" t="inlineStr">
        <is>
          <t>VÄSTERNORRLANDS LÄN</t>
        </is>
      </c>
      <c r="E1323" t="inlineStr">
        <is>
          <t>SOLLEFTEÅ</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12565-2022</t>
        </is>
      </c>
      <c r="B1324" s="1" t="n">
        <v>44638</v>
      </c>
      <c r="C1324" s="1" t="n">
        <v>45852</v>
      </c>
      <c r="D1324" t="inlineStr">
        <is>
          <t>VÄSTERNORRLANDS LÄN</t>
        </is>
      </c>
      <c r="E1324" t="inlineStr">
        <is>
          <t>SOLLEFTEÅ</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12572-2022</t>
        </is>
      </c>
      <c r="B1325" s="1" t="n">
        <v>44638</v>
      </c>
      <c r="C1325" s="1" t="n">
        <v>45852</v>
      </c>
      <c r="D1325" t="inlineStr">
        <is>
          <t>VÄSTERNORRLANDS LÄN</t>
        </is>
      </c>
      <c r="E1325" t="inlineStr">
        <is>
          <t>SOLLEFTEÅ</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12564-2022</t>
        </is>
      </c>
      <c r="B1326" s="1" t="n">
        <v>44638</v>
      </c>
      <c r="C1326" s="1" t="n">
        <v>45852</v>
      </c>
      <c r="D1326" t="inlineStr">
        <is>
          <t>VÄSTERNORRLANDS LÄN</t>
        </is>
      </c>
      <c r="E1326" t="inlineStr">
        <is>
          <t>SOLLEFTEÅ</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12568-2022</t>
        </is>
      </c>
      <c r="B1327" s="1" t="n">
        <v>44638</v>
      </c>
      <c r="C1327" s="1" t="n">
        <v>45852</v>
      </c>
      <c r="D1327" t="inlineStr">
        <is>
          <t>VÄSTERNORRLANDS LÄN</t>
        </is>
      </c>
      <c r="E1327" t="inlineStr">
        <is>
          <t>SOLLEFTEÅ</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12557-2022</t>
        </is>
      </c>
      <c r="B1328" s="1" t="n">
        <v>44638</v>
      </c>
      <c r="C1328" s="1" t="n">
        <v>45852</v>
      </c>
      <c r="D1328" t="inlineStr">
        <is>
          <t>VÄSTERNORRLANDS LÄN</t>
        </is>
      </c>
      <c r="E1328" t="inlineStr">
        <is>
          <t>SOLLEFTEÅ</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12563-2022</t>
        </is>
      </c>
      <c r="B1329" s="1" t="n">
        <v>44638</v>
      </c>
      <c r="C1329" s="1" t="n">
        <v>45852</v>
      </c>
      <c r="D1329" t="inlineStr">
        <is>
          <t>VÄSTERNORRLANDS LÄN</t>
        </is>
      </c>
      <c r="E1329" t="inlineStr">
        <is>
          <t>SOLLEFTEÅ</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12567-2022</t>
        </is>
      </c>
      <c r="B1330" s="1" t="n">
        <v>44638</v>
      </c>
      <c r="C1330" s="1" t="n">
        <v>45852</v>
      </c>
      <c r="D1330" t="inlineStr">
        <is>
          <t>VÄSTERNORRLANDS LÄN</t>
        </is>
      </c>
      <c r="E1330" t="inlineStr">
        <is>
          <t>SOLLEFTEÅ</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12562-2022</t>
        </is>
      </c>
      <c r="B1331" s="1" t="n">
        <v>44638</v>
      </c>
      <c r="C1331" s="1" t="n">
        <v>45852</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12566-2022</t>
        </is>
      </c>
      <c r="B1332" s="1" t="n">
        <v>44638</v>
      </c>
      <c r="C1332" s="1" t="n">
        <v>45852</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12758-2022</t>
        </is>
      </c>
      <c r="B1333" s="1" t="n">
        <v>44641</v>
      </c>
      <c r="C1333" s="1" t="n">
        <v>45852</v>
      </c>
      <c r="D1333" t="inlineStr">
        <is>
          <t>VÄSTERNORRLANDS LÄN</t>
        </is>
      </c>
      <c r="E1333" t="inlineStr">
        <is>
          <t>SOLLEFTEÅ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12764-2022</t>
        </is>
      </c>
      <c r="B1334" s="1" t="n">
        <v>44641</v>
      </c>
      <c r="C1334" s="1" t="n">
        <v>45852</v>
      </c>
      <c r="D1334" t="inlineStr">
        <is>
          <t>VÄSTERNORRLANDS LÄN</t>
        </is>
      </c>
      <c r="E1334" t="inlineStr">
        <is>
          <t>SOLLEFTEÅ</t>
        </is>
      </c>
      <c r="F1334" t="inlineStr">
        <is>
          <t>SCA</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12774-2022</t>
        </is>
      </c>
      <c r="B1335" s="1" t="n">
        <v>44641</v>
      </c>
      <c r="C1335" s="1" t="n">
        <v>45852</v>
      </c>
      <c r="D1335" t="inlineStr">
        <is>
          <t>VÄSTERNORRLANDS LÄN</t>
        </is>
      </c>
      <c r="E1335" t="inlineStr">
        <is>
          <t>SOLLEFTEÅ</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13300-2022</t>
        </is>
      </c>
      <c r="B1336" s="1" t="n">
        <v>44644</v>
      </c>
      <c r="C1336" s="1" t="n">
        <v>45852</v>
      </c>
      <c r="D1336" t="inlineStr">
        <is>
          <t>VÄSTERNORRLANDS LÄN</t>
        </is>
      </c>
      <c r="E1336" t="inlineStr">
        <is>
          <t>SOLLEFTEÅ</t>
        </is>
      </c>
      <c r="F1336" t="inlineStr">
        <is>
          <t>SCA</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13311-2022</t>
        </is>
      </c>
      <c r="B1337" s="1" t="n">
        <v>44644</v>
      </c>
      <c r="C1337" s="1" t="n">
        <v>45852</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13309-2022</t>
        </is>
      </c>
      <c r="B1338" s="1" t="n">
        <v>44644</v>
      </c>
      <c r="C1338" s="1" t="n">
        <v>45852</v>
      </c>
      <c r="D1338" t="inlineStr">
        <is>
          <t>VÄSTERNORRLANDS LÄN</t>
        </is>
      </c>
      <c r="E1338" t="inlineStr">
        <is>
          <t>SOLLEFTEÅ</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13492-2022</t>
        </is>
      </c>
      <c r="B1339" s="1" t="n">
        <v>44646</v>
      </c>
      <c r="C1339" s="1" t="n">
        <v>45852</v>
      </c>
      <c r="D1339" t="inlineStr">
        <is>
          <t>VÄSTERNORRLANDS LÄN</t>
        </is>
      </c>
      <c r="E1339" t="inlineStr">
        <is>
          <t>SOLLEFTEÅ</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13598-2022</t>
        </is>
      </c>
      <c r="B1340" s="1" t="n">
        <v>44648</v>
      </c>
      <c r="C1340" s="1" t="n">
        <v>45852</v>
      </c>
      <c r="D1340" t="inlineStr">
        <is>
          <t>VÄSTERNORRLANDS LÄN</t>
        </is>
      </c>
      <c r="E1340" t="inlineStr">
        <is>
          <t>SOLLEFTEÅ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13710-2022</t>
        </is>
      </c>
      <c r="B1341" s="1" t="n">
        <v>44649</v>
      </c>
      <c r="C1341" s="1" t="n">
        <v>45852</v>
      </c>
      <c r="D1341" t="inlineStr">
        <is>
          <t>VÄSTERNORRLANDS LÄN</t>
        </is>
      </c>
      <c r="E1341" t="inlineStr">
        <is>
          <t>SOLLEFTEÅ</t>
        </is>
      </c>
      <c r="F1341" t="inlineStr">
        <is>
          <t>SCA</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14061-2022</t>
        </is>
      </c>
      <c r="B1342" s="1" t="n">
        <v>44651</v>
      </c>
      <c r="C1342" s="1" t="n">
        <v>45852</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14066-2022</t>
        </is>
      </c>
      <c r="B1343" s="1" t="n">
        <v>44650</v>
      </c>
      <c r="C1343" s="1" t="n">
        <v>45852</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14058-2022</t>
        </is>
      </c>
      <c r="B1344" s="1" t="n">
        <v>44651</v>
      </c>
      <c r="C1344" s="1" t="n">
        <v>45852</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14063-2022</t>
        </is>
      </c>
      <c r="B1345" s="1" t="n">
        <v>44651</v>
      </c>
      <c r="C1345" s="1" t="n">
        <v>45852</v>
      </c>
      <c r="D1345" t="inlineStr">
        <is>
          <t>VÄSTERNORRLANDS LÄN</t>
        </is>
      </c>
      <c r="E1345" t="inlineStr">
        <is>
          <t>SOLLEFTEÅ</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14055-2022</t>
        </is>
      </c>
      <c r="B1346" s="1" t="n">
        <v>44651</v>
      </c>
      <c r="C1346" s="1" t="n">
        <v>45852</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14060-2022</t>
        </is>
      </c>
      <c r="B1347" s="1" t="n">
        <v>44651</v>
      </c>
      <c r="C1347" s="1" t="n">
        <v>45852</v>
      </c>
      <c r="D1347" t="inlineStr">
        <is>
          <t>VÄSTERNORRLANDS LÄN</t>
        </is>
      </c>
      <c r="E1347" t="inlineStr">
        <is>
          <t>SOLLEFTEÅ</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14065-2022</t>
        </is>
      </c>
      <c r="B1348" s="1" t="n">
        <v>44650</v>
      </c>
      <c r="C1348" s="1" t="n">
        <v>45852</v>
      </c>
      <c r="D1348" t="inlineStr">
        <is>
          <t>VÄSTERNORRLANDS LÄN</t>
        </is>
      </c>
      <c r="E1348" t="inlineStr">
        <is>
          <t>SOLLEFTEÅ</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14059-2022</t>
        </is>
      </c>
      <c r="B1349" s="1" t="n">
        <v>44651</v>
      </c>
      <c r="C1349" s="1" t="n">
        <v>45852</v>
      </c>
      <c r="D1349" t="inlineStr">
        <is>
          <t>VÄSTERNORRLANDS LÄN</t>
        </is>
      </c>
      <c r="E1349" t="inlineStr">
        <is>
          <t>SOLLEFTEÅ</t>
        </is>
      </c>
      <c r="F1349" t="inlineStr">
        <is>
          <t>SCA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14064-2022</t>
        </is>
      </c>
      <c r="B1350" s="1" t="n">
        <v>44651</v>
      </c>
      <c r="C1350" s="1" t="n">
        <v>45852</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14276-2022</t>
        </is>
      </c>
      <c r="B1351" s="1" t="n">
        <v>44652</v>
      </c>
      <c r="C1351" s="1" t="n">
        <v>45852</v>
      </c>
      <c r="D1351" t="inlineStr">
        <is>
          <t>VÄSTERNORRLANDS LÄN</t>
        </is>
      </c>
      <c r="E1351" t="inlineStr">
        <is>
          <t>SOLLEFTEÅ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14297-2022</t>
        </is>
      </c>
      <c r="B1352" s="1" t="n">
        <v>44651</v>
      </c>
      <c r="C1352" s="1" t="n">
        <v>45852</v>
      </c>
      <c r="D1352" t="inlineStr">
        <is>
          <t>VÄSTERNORRLANDS LÄN</t>
        </is>
      </c>
      <c r="E1352" t="inlineStr">
        <is>
          <t>SOLLEFTEÅ</t>
        </is>
      </c>
      <c r="F1352" t="inlineStr">
        <is>
          <t>SCA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14300-2022</t>
        </is>
      </c>
      <c r="B1353" s="1" t="n">
        <v>44652</v>
      </c>
      <c r="C1353" s="1" t="n">
        <v>45852</v>
      </c>
      <c r="D1353" t="inlineStr">
        <is>
          <t>VÄSTERNORRLANDS LÄN</t>
        </is>
      </c>
      <c r="E1353" t="inlineStr">
        <is>
          <t>SOLLEFTEÅ</t>
        </is>
      </c>
      <c r="F1353" t="inlineStr">
        <is>
          <t>SCA</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14308-2022</t>
        </is>
      </c>
      <c r="B1354" s="1" t="n">
        <v>44652</v>
      </c>
      <c r="C1354" s="1" t="n">
        <v>45852</v>
      </c>
      <c r="D1354" t="inlineStr">
        <is>
          <t>VÄSTERNORRLANDS LÄN</t>
        </is>
      </c>
      <c r="E1354" t="inlineStr">
        <is>
          <t>SOLLEFTEÅ</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14275-2022</t>
        </is>
      </c>
      <c r="B1355" s="1" t="n">
        <v>44651</v>
      </c>
      <c r="C1355" s="1" t="n">
        <v>45852</v>
      </c>
      <c r="D1355" t="inlineStr">
        <is>
          <t>VÄSTERNORRLANDS LÄN</t>
        </is>
      </c>
      <c r="E1355" t="inlineStr">
        <is>
          <t>SOLLEFTEÅ</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14299-2022</t>
        </is>
      </c>
      <c r="B1356" s="1" t="n">
        <v>44652</v>
      </c>
      <c r="C1356" s="1" t="n">
        <v>45852</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14296-2022</t>
        </is>
      </c>
      <c r="B1357" s="1" t="n">
        <v>44652</v>
      </c>
      <c r="C1357" s="1" t="n">
        <v>45852</v>
      </c>
      <c r="D1357" t="inlineStr">
        <is>
          <t>VÄSTERNORRLANDS LÄN</t>
        </is>
      </c>
      <c r="E1357" t="inlineStr">
        <is>
          <t>SOLLEFTEÅ</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14302-2022</t>
        </is>
      </c>
      <c r="B1358" s="1" t="n">
        <v>44651</v>
      </c>
      <c r="C1358" s="1" t="n">
        <v>45852</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14448-2022</t>
        </is>
      </c>
      <c r="B1359" s="1" t="n">
        <v>44652</v>
      </c>
      <c r="C1359" s="1" t="n">
        <v>45852</v>
      </c>
      <c r="D1359" t="inlineStr">
        <is>
          <t>VÄSTERNORRLANDS LÄN</t>
        </is>
      </c>
      <c r="E1359" t="inlineStr">
        <is>
          <t>SOLLEFTEÅ</t>
        </is>
      </c>
      <c r="F1359" t="inlineStr">
        <is>
          <t>SCA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14449-2022</t>
        </is>
      </c>
      <c r="B1360" s="1" t="n">
        <v>44652</v>
      </c>
      <c r="C1360" s="1" t="n">
        <v>45852</v>
      </c>
      <c r="D1360" t="inlineStr">
        <is>
          <t>VÄSTERNORRLANDS LÄN</t>
        </is>
      </c>
      <c r="E1360" t="inlineStr">
        <is>
          <t>SOLLEFTEÅ</t>
        </is>
      </c>
      <c r="F1360" t="inlineStr">
        <is>
          <t>SCA</t>
        </is>
      </c>
      <c r="G1360" t="n">
        <v>31.8</v>
      </c>
      <c r="H1360" t="n">
        <v>0</v>
      </c>
      <c r="I1360" t="n">
        <v>0</v>
      </c>
      <c r="J1360" t="n">
        <v>0</v>
      </c>
      <c r="K1360" t="n">
        <v>0</v>
      </c>
      <c r="L1360" t="n">
        <v>0</v>
      </c>
      <c r="M1360" t="n">
        <v>0</v>
      </c>
      <c r="N1360" t="n">
        <v>0</v>
      </c>
      <c r="O1360" t="n">
        <v>0</v>
      </c>
      <c r="P1360" t="n">
        <v>0</v>
      </c>
      <c r="Q1360" t="n">
        <v>0</v>
      </c>
      <c r="R1360" s="2" t="inlineStr"/>
    </row>
    <row r="1361" ht="15" customHeight="1">
      <c r="A1361" t="inlineStr">
        <is>
          <t>A 14450-2022</t>
        </is>
      </c>
      <c r="B1361" s="1" t="n">
        <v>44653</v>
      </c>
      <c r="C1361" s="1" t="n">
        <v>45852</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14447-2022</t>
        </is>
      </c>
      <c r="B1362" s="1" t="n">
        <v>44653</v>
      </c>
      <c r="C1362" s="1" t="n">
        <v>45852</v>
      </c>
      <c r="D1362" t="inlineStr">
        <is>
          <t>VÄSTERNORRLANDS LÄN</t>
        </is>
      </c>
      <c r="E1362" t="inlineStr">
        <is>
          <t>SOLLEFTEÅ</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14477-2022</t>
        </is>
      </c>
      <c r="B1363" s="1" t="n">
        <v>44655</v>
      </c>
      <c r="C1363" s="1" t="n">
        <v>45852</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14910-2022</t>
        </is>
      </c>
      <c r="B1364" s="1" t="n">
        <v>44657</v>
      </c>
      <c r="C1364" s="1" t="n">
        <v>45852</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15090-2022</t>
        </is>
      </c>
      <c r="B1365" s="1" t="n">
        <v>44658</v>
      </c>
      <c r="C1365" s="1" t="n">
        <v>45852</v>
      </c>
      <c r="D1365" t="inlineStr">
        <is>
          <t>VÄSTERNORRLANDS LÄN</t>
        </is>
      </c>
      <c r="E1365" t="inlineStr">
        <is>
          <t>SOLLEFTEÅ</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15241-2022</t>
        </is>
      </c>
      <c r="B1366" s="1" t="n">
        <v>44659</v>
      </c>
      <c r="C1366" s="1" t="n">
        <v>45852</v>
      </c>
      <c r="D1366" t="inlineStr">
        <is>
          <t>VÄSTERNORRLANDS LÄN</t>
        </is>
      </c>
      <c r="E1366" t="inlineStr">
        <is>
          <t>SOLLEFTEÅ</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15234-2022</t>
        </is>
      </c>
      <c r="B1367" s="1" t="n">
        <v>44659</v>
      </c>
      <c r="C1367" s="1" t="n">
        <v>45852</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15658-2022</t>
        </is>
      </c>
      <c r="B1368" s="1" t="n">
        <v>44663</v>
      </c>
      <c r="C1368" s="1" t="n">
        <v>45852</v>
      </c>
      <c r="D1368" t="inlineStr">
        <is>
          <t>VÄSTERNORRLANDS LÄN</t>
        </is>
      </c>
      <c r="E1368" t="inlineStr">
        <is>
          <t>SOLLEFTEÅ</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15809-2022</t>
        </is>
      </c>
      <c r="B1369" s="1" t="n">
        <v>44663</v>
      </c>
      <c r="C1369" s="1" t="n">
        <v>45852</v>
      </c>
      <c r="D1369" t="inlineStr">
        <is>
          <t>VÄSTERNORRLANDS LÄN</t>
        </is>
      </c>
      <c r="E1369" t="inlineStr">
        <is>
          <t>SOLLEFTEÅ</t>
        </is>
      </c>
      <c r="F1369" t="inlineStr">
        <is>
          <t>SCA</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15964-2022</t>
        </is>
      </c>
      <c r="B1370" s="1" t="n">
        <v>44665</v>
      </c>
      <c r="C1370" s="1" t="n">
        <v>45852</v>
      </c>
      <c r="D1370" t="inlineStr">
        <is>
          <t>VÄSTERNORRLANDS LÄN</t>
        </is>
      </c>
      <c r="E1370" t="inlineStr">
        <is>
          <t>SOLLEFTEÅ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15974-2022</t>
        </is>
      </c>
      <c r="B1371" s="1" t="n">
        <v>44665</v>
      </c>
      <c r="C1371" s="1" t="n">
        <v>45852</v>
      </c>
      <c r="D1371" t="inlineStr">
        <is>
          <t>VÄSTERNORRLANDS LÄN</t>
        </is>
      </c>
      <c r="E1371" t="inlineStr">
        <is>
          <t>SOLLEFTEÅ</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16088-2022</t>
        </is>
      </c>
      <c r="B1372" s="1" t="n">
        <v>44665</v>
      </c>
      <c r="C1372" s="1" t="n">
        <v>45852</v>
      </c>
      <c r="D1372" t="inlineStr">
        <is>
          <t>VÄSTERNORRLANDS LÄN</t>
        </is>
      </c>
      <c r="E1372" t="inlineStr">
        <is>
          <t>SOLLEFTEÅ</t>
        </is>
      </c>
      <c r="F1372" t="inlineStr">
        <is>
          <t>Holmen skog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16000-2022</t>
        </is>
      </c>
      <c r="B1373" s="1" t="n">
        <v>44665</v>
      </c>
      <c r="C1373" s="1" t="n">
        <v>45852</v>
      </c>
      <c r="D1373" t="inlineStr">
        <is>
          <t>VÄSTERNORRLANDS LÄN</t>
        </is>
      </c>
      <c r="E1373" t="inlineStr">
        <is>
          <t>SOLLEFTEÅ</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16083-2022</t>
        </is>
      </c>
      <c r="B1374" s="1" t="n">
        <v>44665</v>
      </c>
      <c r="C1374" s="1" t="n">
        <v>45852</v>
      </c>
      <c r="D1374" t="inlineStr">
        <is>
          <t>VÄSTERNORRLANDS LÄN</t>
        </is>
      </c>
      <c r="E1374" t="inlineStr">
        <is>
          <t>SOLLEFTEÅ</t>
        </is>
      </c>
      <c r="F1374" t="inlineStr">
        <is>
          <t>Holmen skog AB</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16093-2022</t>
        </is>
      </c>
      <c r="B1375" s="1" t="n">
        <v>44665</v>
      </c>
      <c r="C1375" s="1" t="n">
        <v>45852</v>
      </c>
      <c r="D1375" t="inlineStr">
        <is>
          <t>VÄSTERNORRLANDS LÄN</t>
        </is>
      </c>
      <c r="E1375" t="inlineStr">
        <is>
          <t>SOLLEFTEÅ</t>
        </is>
      </c>
      <c r="F1375" t="inlineStr">
        <is>
          <t>Holmen skog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16365-2022</t>
        </is>
      </c>
      <c r="B1376" s="1" t="n">
        <v>44671</v>
      </c>
      <c r="C1376" s="1" t="n">
        <v>45852</v>
      </c>
      <c r="D1376" t="inlineStr">
        <is>
          <t>VÄSTERNORRLANDS LÄN</t>
        </is>
      </c>
      <c r="E1376" t="inlineStr">
        <is>
          <t>SOLLEFTEÅ</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16419-2022</t>
        </is>
      </c>
      <c r="B1377" s="1" t="n">
        <v>44671</v>
      </c>
      <c r="C1377" s="1" t="n">
        <v>45852</v>
      </c>
      <c r="D1377" t="inlineStr">
        <is>
          <t>VÄSTERNORRLANDS LÄN</t>
        </is>
      </c>
      <c r="E1377" t="inlineStr">
        <is>
          <t>SOLLEFTEÅ</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16521-2022</t>
        </is>
      </c>
      <c r="B1378" s="1" t="n">
        <v>44671</v>
      </c>
      <c r="C1378" s="1" t="n">
        <v>45852</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16675-2022</t>
        </is>
      </c>
      <c r="B1379" s="1" t="n">
        <v>44672</v>
      </c>
      <c r="C1379" s="1" t="n">
        <v>45852</v>
      </c>
      <c r="D1379" t="inlineStr">
        <is>
          <t>VÄSTERNORRLANDS LÄN</t>
        </is>
      </c>
      <c r="E1379" t="inlineStr">
        <is>
          <t>SOLLEFTEÅ</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16611-2022</t>
        </is>
      </c>
      <c r="B1380" s="1" t="n">
        <v>44672</v>
      </c>
      <c r="C1380" s="1" t="n">
        <v>45852</v>
      </c>
      <c r="D1380" t="inlineStr">
        <is>
          <t>VÄSTERNORRLANDS LÄN</t>
        </is>
      </c>
      <c r="E1380" t="inlineStr">
        <is>
          <t>SOLLEFTEÅ</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16670-2022</t>
        </is>
      </c>
      <c r="B1381" s="1" t="n">
        <v>44673</v>
      </c>
      <c r="C1381" s="1" t="n">
        <v>45852</v>
      </c>
      <c r="D1381" t="inlineStr">
        <is>
          <t>VÄSTERNORRLANDS LÄN</t>
        </is>
      </c>
      <c r="E1381" t="inlineStr">
        <is>
          <t>SOLLEFTEÅ</t>
        </is>
      </c>
      <c r="F1381" t="inlineStr">
        <is>
          <t>SCA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17045-2022</t>
        </is>
      </c>
      <c r="B1382" s="1" t="n">
        <v>44676</v>
      </c>
      <c r="C1382" s="1" t="n">
        <v>45852</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17049-2022</t>
        </is>
      </c>
      <c r="B1383" s="1" t="n">
        <v>44676</v>
      </c>
      <c r="C1383" s="1" t="n">
        <v>45852</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c r="U1383">
        <f>HYPERLINK("https://klasma.github.io/Logging_2283/knärot/A 17049-2022 karta knärot.png", "A 17049-2022")</f>
        <v/>
      </c>
      <c r="V1383">
        <f>HYPERLINK("https://klasma.github.io/Logging_2283/klagomål/A 17049-2022 FSC-klagomål.docx", "A 17049-2022")</f>
        <v/>
      </c>
      <c r="W1383">
        <f>HYPERLINK("https://klasma.github.io/Logging_2283/klagomålsmail/A 17049-2022 FSC-klagomål mail.docx", "A 17049-2022")</f>
        <v/>
      </c>
      <c r="X1383">
        <f>HYPERLINK("https://klasma.github.io/Logging_2283/tillsyn/A 17049-2022 tillsynsbegäran.docx", "A 17049-2022")</f>
        <v/>
      </c>
      <c r="Y1383">
        <f>HYPERLINK("https://klasma.github.io/Logging_2283/tillsynsmail/A 17049-2022 tillsynsbegäran mail.docx", "A 17049-2022")</f>
        <v/>
      </c>
    </row>
    <row r="1384" ht="15" customHeight="1">
      <c r="A1384" t="inlineStr">
        <is>
          <t>A 17344-2022</t>
        </is>
      </c>
      <c r="B1384" s="1" t="n">
        <v>44678</v>
      </c>
      <c r="C1384" s="1" t="n">
        <v>45852</v>
      </c>
      <c r="D1384" t="inlineStr">
        <is>
          <t>VÄSTERNORRLANDS LÄN</t>
        </is>
      </c>
      <c r="E1384" t="inlineStr">
        <is>
          <t>SOLLEFTEÅ</t>
        </is>
      </c>
      <c r="G1384" t="n">
        <v>34.2</v>
      </c>
      <c r="H1384" t="n">
        <v>0</v>
      </c>
      <c r="I1384" t="n">
        <v>0</v>
      </c>
      <c r="J1384" t="n">
        <v>0</v>
      </c>
      <c r="K1384" t="n">
        <v>0</v>
      </c>
      <c r="L1384" t="n">
        <v>0</v>
      </c>
      <c r="M1384" t="n">
        <v>0</v>
      </c>
      <c r="N1384" t="n">
        <v>0</v>
      </c>
      <c r="O1384" t="n">
        <v>0</v>
      </c>
      <c r="P1384" t="n">
        <v>0</v>
      </c>
      <c r="Q1384" t="n">
        <v>0</v>
      </c>
      <c r="R1384" s="2" t="inlineStr"/>
    </row>
    <row r="1385" ht="15" customHeight="1">
      <c r="A1385" t="inlineStr">
        <is>
          <t>A 17995-2022</t>
        </is>
      </c>
      <c r="B1385" s="1" t="n">
        <v>44684</v>
      </c>
      <c r="C1385" s="1" t="n">
        <v>45852</v>
      </c>
      <c r="D1385" t="inlineStr">
        <is>
          <t>VÄSTERNORRLANDS LÄN</t>
        </is>
      </c>
      <c r="E1385" t="inlineStr">
        <is>
          <t>SOLLEFTEÅ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18000-2022</t>
        </is>
      </c>
      <c r="B1386" s="1" t="n">
        <v>44684</v>
      </c>
      <c r="C1386" s="1" t="n">
        <v>45852</v>
      </c>
      <c r="D1386" t="inlineStr">
        <is>
          <t>VÄSTERNORRLANDS LÄN</t>
        </is>
      </c>
      <c r="E1386" t="inlineStr">
        <is>
          <t>SOLLEFTEÅ</t>
        </is>
      </c>
      <c r="F1386" t="inlineStr">
        <is>
          <t>SCA</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18011-2022</t>
        </is>
      </c>
      <c r="B1387" s="1" t="n">
        <v>44683</v>
      </c>
      <c r="C1387" s="1" t="n">
        <v>45852</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18015-2022</t>
        </is>
      </c>
      <c r="B1388" s="1" t="n">
        <v>44684</v>
      </c>
      <c r="C1388" s="1" t="n">
        <v>45852</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18016-2022</t>
        </is>
      </c>
      <c r="B1389" s="1" t="n">
        <v>44684</v>
      </c>
      <c r="C1389" s="1" t="n">
        <v>45852</v>
      </c>
      <c r="D1389" t="inlineStr">
        <is>
          <t>VÄSTERNORRLANDS LÄN</t>
        </is>
      </c>
      <c r="E1389" t="inlineStr">
        <is>
          <t>SOLLEFTEÅ</t>
        </is>
      </c>
      <c r="F1389" t="inlineStr">
        <is>
          <t>SCA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17999-2022</t>
        </is>
      </c>
      <c r="B1390" s="1" t="n">
        <v>44683</v>
      </c>
      <c r="C1390" s="1" t="n">
        <v>45852</v>
      </c>
      <c r="D1390" t="inlineStr">
        <is>
          <t>VÄSTERNORRLANDS LÄN</t>
        </is>
      </c>
      <c r="E1390" t="inlineStr">
        <is>
          <t>SOLLEFTEÅ</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18013-2022</t>
        </is>
      </c>
      <c r="B1391" s="1" t="n">
        <v>44684</v>
      </c>
      <c r="C1391" s="1" t="n">
        <v>45852</v>
      </c>
      <c r="D1391" t="inlineStr">
        <is>
          <t>VÄSTERNORRLANDS LÄN</t>
        </is>
      </c>
      <c r="E1391" t="inlineStr">
        <is>
          <t>SOLLEFTEÅ</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18017-2022</t>
        </is>
      </c>
      <c r="B1392" s="1" t="n">
        <v>44683</v>
      </c>
      <c r="C1392" s="1" t="n">
        <v>45852</v>
      </c>
      <c r="D1392" t="inlineStr">
        <is>
          <t>VÄSTERNORRLANDS LÄN</t>
        </is>
      </c>
      <c r="E1392" t="inlineStr">
        <is>
          <t>SOLLEFTEÅ</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18187-2022</t>
        </is>
      </c>
      <c r="B1393" s="1" t="n">
        <v>44684</v>
      </c>
      <c r="C1393" s="1" t="n">
        <v>45852</v>
      </c>
      <c r="D1393" t="inlineStr">
        <is>
          <t>VÄSTERNORRLANDS LÄN</t>
        </is>
      </c>
      <c r="E1393" t="inlineStr">
        <is>
          <t>SOLLEFTEÅ</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18190-2022</t>
        </is>
      </c>
      <c r="B1394" s="1" t="n">
        <v>44685</v>
      </c>
      <c r="C1394" s="1" t="n">
        <v>45852</v>
      </c>
      <c r="D1394" t="inlineStr">
        <is>
          <t>VÄSTERNORRLANDS LÄN</t>
        </is>
      </c>
      <c r="E1394" t="inlineStr">
        <is>
          <t>SOLLEFTEÅ</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18197-2022</t>
        </is>
      </c>
      <c r="B1395" s="1" t="n">
        <v>44684</v>
      </c>
      <c r="C1395" s="1" t="n">
        <v>45852</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18188-2022</t>
        </is>
      </c>
      <c r="B1396" s="1" t="n">
        <v>44685</v>
      </c>
      <c r="C1396" s="1" t="n">
        <v>45852</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18196-2022</t>
        </is>
      </c>
      <c r="B1397" s="1" t="n">
        <v>44685</v>
      </c>
      <c r="C1397" s="1" t="n">
        <v>45852</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18202-2022</t>
        </is>
      </c>
      <c r="B1398" s="1" t="n">
        <v>44684</v>
      </c>
      <c r="C1398" s="1" t="n">
        <v>45852</v>
      </c>
      <c r="D1398" t="inlineStr">
        <is>
          <t>VÄSTERNORRLANDS LÄN</t>
        </is>
      </c>
      <c r="E1398" t="inlineStr">
        <is>
          <t>SOLLEFTEÅ</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18304-2022</t>
        </is>
      </c>
      <c r="B1399" s="1" t="n">
        <v>44685</v>
      </c>
      <c r="C1399" s="1" t="n">
        <v>45852</v>
      </c>
      <c r="D1399" t="inlineStr">
        <is>
          <t>VÄSTERNORRLANDS LÄN</t>
        </is>
      </c>
      <c r="E1399" t="inlineStr">
        <is>
          <t>SOLLEFTEÅ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18372-2022</t>
        </is>
      </c>
      <c r="B1400" s="1" t="n">
        <v>44685</v>
      </c>
      <c r="C1400" s="1" t="n">
        <v>45852</v>
      </c>
      <c r="D1400" t="inlineStr">
        <is>
          <t>VÄSTERNORRLANDS LÄN</t>
        </is>
      </c>
      <c r="E1400" t="inlineStr">
        <is>
          <t>SOLLEFTEÅ</t>
        </is>
      </c>
      <c r="F1400" t="inlineStr">
        <is>
          <t>SCA</t>
        </is>
      </c>
      <c r="G1400" t="n">
        <v>11.9</v>
      </c>
      <c r="H1400" t="n">
        <v>0</v>
      </c>
      <c r="I1400" t="n">
        <v>0</v>
      </c>
      <c r="J1400" t="n">
        <v>0</v>
      </c>
      <c r="K1400" t="n">
        <v>0</v>
      </c>
      <c r="L1400" t="n">
        <v>0</v>
      </c>
      <c r="M1400" t="n">
        <v>0</v>
      </c>
      <c r="N1400" t="n">
        <v>0</v>
      </c>
      <c r="O1400" t="n">
        <v>0</v>
      </c>
      <c r="P1400" t="n">
        <v>0</v>
      </c>
      <c r="Q1400" t="n">
        <v>0</v>
      </c>
      <c r="R1400" s="2" t="inlineStr"/>
    </row>
    <row r="1401" ht="15" customHeight="1">
      <c r="A1401" t="inlineStr">
        <is>
          <t>A 18570-2022</t>
        </is>
      </c>
      <c r="B1401" s="1" t="n">
        <v>44687</v>
      </c>
      <c r="C1401" s="1" t="n">
        <v>45852</v>
      </c>
      <c r="D1401" t="inlineStr">
        <is>
          <t>VÄSTERNORRLANDS LÄN</t>
        </is>
      </c>
      <c r="E1401" t="inlineStr">
        <is>
          <t>SOLLEFTEÅ</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18852-2022</t>
        </is>
      </c>
      <c r="B1402" s="1" t="n">
        <v>44690</v>
      </c>
      <c r="C1402" s="1" t="n">
        <v>45852</v>
      </c>
      <c r="D1402" t="inlineStr">
        <is>
          <t>VÄSTERNORRLANDS LÄN</t>
        </is>
      </c>
      <c r="E1402" t="inlineStr">
        <is>
          <t>SOLLEFTEÅ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19055-2022</t>
        </is>
      </c>
      <c r="B1403" s="1" t="n">
        <v>44691</v>
      </c>
      <c r="C1403" s="1" t="n">
        <v>45852</v>
      </c>
      <c r="D1403" t="inlineStr">
        <is>
          <t>VÄSTERNORRLANDS LÄN</t>
        </is>
      </c>
      <c r="E1403" t="inlineStr">
        <is>
          <t>SOLLEFTEÅ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19051-2022</t>
        </is>
      </c>
      <c r="B1404" s="1" t="n">
        <v>44691</v>
      </c>
      <c r="C1404" s="1" t="n">
        <v>45852</v>
      </c>
      <c r="D1404" t="inlineStr">
        <is>
          <t>VÄSTERNORRLANDS LÄN</t>
        </is>
      </c>
      <c r="E1404" t="inlineStr">
        <is>
          <t>SOLLEFTEÅ</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19053-2022</t>
        </is>
      </c>
      <c r="B1405" s="1" t="n">
        <v>44691</v>
      </c>
      <c r="C1405" s="1" t="n">
        <v>45852</v>
      </c>
      <c r="D1405" t="inlineStr">
        <is>
          <t>VÄSTERNORRLANDS LÄN</t>
        </is>
      </c>
      <c r="E1405" t="inlineStr">
        <is>
          <t>SOLLEFTEÅ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19203-2022</t>
        </is>
      </c>
      <c r="B1406" s="1" t="n">
        <v>44692</v>
      </c>
      <c r="C1406" s="1" t="n">
        <v>45852</v>
      </c>
      <c r="D1406" t="inlineStr">
        <is>
          <t>VÄSTERNORRLANDS LÄN</t>
        </is>
      </c>
      <c r="E1406" t="inlineStr">
        <is>
          <t>SOLLEFTEÅ</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19208-2022</t>
        </is>
      </c>
      <c r="B1407" s="1" t="n">
        <v>44691</v>
      </c>
      <c r="C1407" s="1" t="n">
        <v>45852</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19295-2022</t>
        </is>
      </c>
      <c r="B1408" s="1" t="n">
        <v>44692</v>
      </c>
      <c r="C1408" s="1" t="n">
        <v>45852</v>
      </c>
      <c r="D1408" t="inlineStr">
        <is>
          <t>VÄSTERNORRLANDS LÄN</t>
        </is>
      </c>
      <c r="E1408" t="inlineStr">
        <is>
          <t>SOLLEFTEÅ</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19414-2022</t>
        </is>
      </c>
      <c r="B1409" s="1" t="n">
        <v>44693</v>
      </c>
      <c r="C1409" s="1" t="n">
        <v>45852</v>
      </c>
      <c r="D1409" t="inlineStr">
        <is>
          <t>VÄSTERNORRLANDS LÄN</t>
        </is>
      </c>
      <c r="E1409" t="inlineStr">
        <is>
          <t>SOLLEFTEÅ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19416-2022</t>
        </is>
      </c>
      <c r="B1410" s="1" t="n">
        <v>44693</v>
      </c>
      <c r="C1410" s="1" t="n">
        <v>45852</v>
      </c>
      <c r="D1410" t="inlineStr">
        <is>
          <t>VÄSTERNORRLANDS LÄN</t>
        </is>
      </c>
      <c r="E1410" t="inlineStr">
        <is>
          <t>SOLLEFTEÅ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19508-2022</t>
        </is>
      </c>
      <c r="B1411" s="1" t="n">
        <v>44693</v>
      </c>
      <c r="C1411" s="1" t="n">
        <v>45852</v>
      </c>
      <c r="D1411" t="inlineStr">
        <is>
          <t>VÄSTERNORRLANDS LÄN</t>
        </is>
      </c>
      <c r="E1411" t="inlineStr">
        <is>
          <t>SOLLEFTEÅ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19585-2022</t>
        </is>
      </c>
      <c r="B1412" s="1" t="n">
        <v>44693</v>
      </c>
      <c r="C1412" s="1" t="n">
        <v>45852</v>
      </c>
      <c r="D1412" t="inlineStr">
        <is>
          <t>VÄSTERNORRLANDS LÄN</t>
        </is>
      </c>
      <c r="E1412" t="inlineStr">
        <is>
          <t>SOLLEFTEÅ</t>
        </is>
      </c>
      <c r="F1412" t="inlineStr">
        <is>
          <t>SCA</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19583-2022</t>
        </is>
      </c>
      <c r="B1413" s="1" t="n">
        <v>44693</v>
      </c>
      <c r="C1413" s="1" t="n">
        <v>45852</v>
      </c>
      <c r="D1413" t="inlineStr">
        <is>
          <t>VÄSTERNORRLANDS LÄN</t>
        </is>
      </c>
      <c r="E1413" t="inlineStr">
        <is>
          <t>SOLLEFTEÅ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19593-2022</t>
        </is>
      </c>
      <c r="B1414" s="1" t="n">
        <v>44694</v>
      </c>
      <c r="C1414" s="1" t="n">
        <v>45852</v>
      </c>
      <c r="D1414" t="inlineStr">
        <is>
          <t>VÄSTERNORRLANDS LÄN</t>
        </is>
      </c>
      <c r="E1414" t="inlineStr">
        <is>
          <t>SOLLEFTEÅ</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19588-2022</t>
        </is>
      </c>
      <c r="B1415" s="1" t="n">
        <v>44694</v>
      </c>
      <c r="C1415" s="1" t="n">
        <v>45852</v>
      </c>
      <c r="D1415" t="inlineStr">
        <is>
          <t>VÄSTERNORRLANDS LÄN</t>
        </is>
      </c>
      <c r="E1415" t="inlineStr">
        <is>
          <t>SOLLEFTEÅ</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19595-2022</t>
        </is>
      </c>
      <c r="B1416" s="1" t="n">
        <v>44693</v>
      </c>
      <c r="C1416" s="1" t="n">
        <v>45852</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19594-2022</t>
        </is>
      </c>
      <c r="B1417" s="1" t="n">
        <v>44694</v>
      </c>
      <c r="C1417" s="1" t="n">
        <v>45852</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19825-2022</t>
        </is>
      </c>
      <c r="B1418" s="1" t="n">
        <v>44695</v>
      </c>
      <c r="C1418" s="1" t="n">
        <v>45852</v>
      </c>
      <c r="D1418" t="inlineStr">
        <is>
          <t>VÄSTERNORRLANDS LÄN</t>
        </is>
      </c>
      <c r="E1418" t="inlineStr">
        <is>
          <t>SOLLEFTEÅ</t>
        </is>
      </c>
      <c r="F1418" t="inlineStr">
        <is>
          <t>SCA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19813-2022</t>
        </is>
      </c>
      <c r="B1419" s="1" t="n">
        <v>44695</v>
      </c>
      <c r="C1419" s="1" t="n">
        <v>45852</v>
      </c>
      <c r="D1419" t="inlineStr">
        <is>
          <t>VÄSTERNORRLANDS LÄN</t>
        </is>
      </c>
      <c r="E1419" t="inlineStr">
        <is>
          <t>SOLLEFTEÅ</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19814-2022</t>
        </is>
      </c>
      <c r="B1420" s="1" t="n">
        <v>44695</v>
      </c>
      <c r="C1420" s="1" t="n">
        <v>45852</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20061-2022</t>
        </is>
      </c>
      <c r="B1421" s="1" t="n">
        <v>44698</v>
      </c>
      <c r="C1421" s="1" t="n">
        <v>45852</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20062-2022</t>
        </is>
      </c>
      <c r="B1422" s="1" t="n">
        <v>44697</v>
      </c>
      <c r="C1422" s="1" t="n">
        <v>45852</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20296-2022</t>
        </is>
      </c>
      <c r="B1423" s="1" t="n">
        <v>44698</v>
      </c>
      <c r="C1423" s="1" t="n">
        <v>45852</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20551-2022</t>
        </is>
      </c>
      <c r="B1424" s="1" t="n">
        <v>44699</v>
      </c>
      <c r="C1424" s="1" t="n">
        <v>45852</v>
      </c>
      <c r="D1424" t="inlineStr">
        <is>
          <t>VÄSTERNORRLANDS LÄN</t>
        </is>
      </c>
      <c r="E1424" t="inlineStr">
        <is>
          <t>SOLLEFTEÅ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20699-2022</t>
        </is>
      </c>
      <c r="B1425" s="1" t="n">
        <v>44701</v>
      </c>
      <c r="C1425" s="1" t="n">
        <v>45852</v>
      </c>
      <c r="D1425" t="inlineStr">
        <is>
          <t>VÄSTERNORRLANDS LÄN</t>
        </is>
      </c>
      <c r="E1425" t="inlineStr">
        <is>
          <t>SOLLEFTEÅ</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20704-2022</t>
        </is>
      </c>
      <c r="B1426" s="1" t="n">
        <v>44700</v>
      </c>
      <c r="C1426" s="1" t="n">
        <v>45852</v>
      </c>
      <c r="D1426" t="inlineStr">
        <is>
          <t>VÄSTERNORRLANDS LÄN</t>
        </is>
      </c>
      <c r="E1426" t="inlineStr">
        <is>
          <t>SOLLEFTEÅ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20702-2022</t>
        </is>
      </c>
      <c r="B1427" s="1" t="n">
        <v>44701</v>
      </c>
      <c r="C1427" s="1" t="n">
        <v>45852</v>
      </c>
      <c r="D1427" t="inlineStr">
        <is>
          <t>VÄSTERNORRLANDS LÄN</t>
        </is>
      </c>
      <c r="E1427" t="inlineStr">
        <is>
          <t>SOLLEFTEÅ</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20703-2022</t>
        </is>
      </c>
      <c r="B1428" s="1" t="n">
        <v>44701</v>
      </c>
      <c r="C1428" s="1" t="n">
        <v>45852</v>
      </c>
      <c r="D1428" t="inlineStr">
        <is>
          <t>VÄSTERNORRLANDS LÄN</t>
        </is>
      </c>
      <c r="E1428" t="inlineStr">
        <is>
          <t>SOLLEFTEÅ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20724-2022</t>
        </is>
      </c>
      <c r="B1429" s="1" t="n">
        <v>44700</v>
      </c>
      <c r="C1429" s="1" t="n">
        <v>45852</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20738-2022</t>
        </is>
      </c>
      <c r="B1430" s="1" t="n">
        <v>44700</v>
      </c>
      <c r="C1430" s="1" t="n">
        <v>45852</v>
      </c>
      <c r="D1430" t="inlineStr">
        <is>
          <t>VÄSTERNORRLANDS LÄN</t>
        </is>
      </c>
      <c r="E1430" t="inlineStr">
        <is>
          <t>SOLLEFTEÅ</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20955-2022</t>
        </is>
      </c>
      <c r="B1431" s="1" t="n">
        <v>44702</v>
      </c>
      <c r="C1431" s="1" t="n">
        <v>45852</v>
      </c>
      <c r="D1431" t="inlineStr">
        <is>
          <t>VÄSTERNORRLANDS LÄN</t>
        </is>
      </c>
      <c r="E1431" t="inlineStr">
        <is>
          <t>SOLLEFTEÅ</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20950-2022</t>
        </is>
      </c>
      <c r="B1432" s="1" t="n">
        <v>44701</v>
      </c>
      <c r="C1432" s="1" t="n">
        <v>45852</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20954-2022</t>
        </is>
      </c>
      <c r="B1433" s="1" t="n">
        <v>44702</v>
      </c>
      <c r="C1433" s="1" t="n">
        <v>45852</v>
      </c>
      <c r="D1433" t="inlineStr">
        <is>
          <t>VÄSTERNORRLANDS LÄN</t>
        </is>
      </c>
      <c r="E1433" t="inlineStr">
        <is>
          <t>SOLLEFTEÅ</t>
        </is>
      </c>
      <c r="F1433" t="inlineStr">
        <is>
          <t>SCA</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20951-2022</t>
        </is>
      </c>
      <c r="B1434" s="1" t="n">
        <v>44701</v>
      </c>
      <c r="C1434" s="1" t="n">
        <v>45852</v>
      </c>
      <c r="D1434" t="inlineStr">
        <is>
          <t>VÄSTERNORRLANDS LÄN</t>
        </is>
      </c>
      <c r="E1434" t="inlineStr">
        <is>
          <t>SOLLEFTEÅ</t>
        </is>
      </c>
      <c r="F1434" t="inlineStr">
        <is>
          <t>SCA</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20942-2022</t>
        </is>
      </c>
      <c r="B1435" s="1" t="n">
        <v>44701</v>
      </c>
      <c r="C1435" s="1" t="n">
        <v>45852</v>
      </c>
      <c r="D1435" t="inlineStr">
        <is>
          <t>VÄSTERNORRLANDS LÄN</t>
        </is>
      </c>
      <c r="E1435" t="inlineStr">
        <is>
          <t>SOLLEFTEÅ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20996-2022</t>
        </is>
      </c>
      <c r="B1436" s="1" t="n">
        <v>44703</v>
      </c>
      <c r="C1436" s="1" t="n">
        <v>45852</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20994-2022</t>
        </is>
      </c>
      <c r="B1437" s="1" t="n">
        <v>44703</v>
      </c>
      <c r="C1437" s="1" t="n">
        <v>45852</v>
      </c>
      <c r="D1437" t="inlineStr">
        <is>
          <t>VÄSTERNORRLANDS LÄN</t>
        </is>
      </c>
      <c r="E1437" t="inlineStr">
        <is>
          <t>SOLLEFTEÅ</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21050-2022</t>
        </is>
      </c>
      <c r="B1438" s="1" t="n">
        <v>44704</v>
      </c>
      <c r="C1438" s="1" t="n">
        <v>45852</v>
      </c>
      <c r="D1438" t="inlineStr">
        <is>
          <t>VÄSTERNORRLANDS LÄN</t>
        </is>
      </c>
      <c r="E1438" t="inlineStr">
        <is>
          <t>SOLLEFTEÅ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21191-2022</t>
        </is>
      </c>
      <c r="B1439" s="1" t="n">
        <v>44705</v>
      </c>
      <c r="C1439" s="1" t="n">
        <v>45852</v>
      </c>
      <c r="D1439" t="inlineStr">
        <is>
          <t>VÄSTERNORRLANDS LÄN</t>
        </is>
      </c>
      <c r="E1439" t="inlineStr">
        <is>
          <t>SOLLEFTEÅ</t>
        </is>
      </c>
      <c r="F1439" t="inlineStr">
        <is>
          <t>SCA</t>
        </is>
      </c>
      <c r="G1439" t="n">
        <v>26.5</v>
      </c>
      <c r="H1439" t="n">
        <v>0</v>
      </c>
      <c r="I1439" t="n">
        <v>0</v>
      </c>
      <c r="J1439" t="n">
        <v>0</v>
      </c>
      <c r="K1439" t="n">
        <v>0</v>
      </c>
      <c r="L1439" t="n">
        <v>0</v>
      </c>
      <c r="M1439" t="n">
        <v>0</v>
      </c>
      <c r="N1439" t="n">
        <v>0</v>
      </c>
      <c r="O1439" t="n">
        <v>0</v>
      </c>
      <c r="P1439" t="n">
        <v>0</v>
      </c>
      <c r="Q1439" t="n">
        <v>0</v>
      </c>
      <c r="R1439" s="2" t="inlineStr"/>
    </row>
    <row r="1440" ht="15" customHeight="1">
      <c r="A1440" t="inlineStr">
        <is>
          <t>A 21210-2022</t>
        </is>
      </c>
      <c r="B1440" s="1" t="n">
        <v>44705</v>
      </c>
      <c r="C1440" s="1" t="n">
        <v>45852</v>
      </c>
      <c r="D1440" t="inlineStr">
        <is>
          <t>VÄSTERNORRLANDS LÄN</t>
        </is>
      </c>
      <c r="E1440" t="inlineStr">
        <is>
          <t>SOLLEFTEÅ</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21404-2022</t>
        </is>
      </c>
      <c r="B1441" s="1" t="n">
        <v>44706</v>
      </c>
      <c r="C1441" s="1" t="n">
        <v>45852</v>
      </c>
      <c r="D1441" t="inlineStr">
        <is>
          <t>VÄSTERNORRLANDS LÄN</t>
        </is>
      </c>
      <c r="E1441" t="inlineStr">
        <is>
          <t>SOLLEFTEÅ</t>
        </is>
      </c>
      <c r="F1441" t="inlineStr">
        <is>
          <t>SCA</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21582-2022</t>
        </is>
      </c>
      <c r="B1442" s="1" t="n">
        <v>44706</v>
      </c>
      <c r="C1442" s="1" t="n">
        <v>45852</v>
      </c>
      <c r="D1442" t="inlineStr">
        <is>
          <t>VÄSTERNORRLANDS LÄN</t>
        </is>
      </c>
      <c r="E1442" t="inlineStr">
        <is>
          <t>SOLLEFTEÅ</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21637-2022</t>
        </is>
      </c>
      <c r="B1443" s="1" t="n">
        <v>44707</v>
      </c>
      <c r="C1443" s="1" t="n">
        <v>45852</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21636-2022</t>
        </is>
      </c>
      <c r="B1444" s="1" t="n">
        <v>44707</v>
      </c>
      <c r="C1444" s="1" t="n">
        <v>45852</v>
      </c>
      <c r="D1444" t="inlineStr">
        <is>
          <t>VÄSTERNORRLANDS LÄN</t>
        </is>
      </c>
      <c r="E1444" t="inlineStr">
        <is>
          <t>SOLLEFTEÅ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21635-2022</t>
        </is>
      </c>
      <c r="B1445" s="1" t="n">
        <v>44707</v>
      </c>
      <c r="C1445" s="1" t="n">
        <v>45852</v>
      </c>
      <c r="D1445" t="inlineStr">
        <is>
          <t>VÄSTERNORRLANDS LÄN</t>
        </is>
      </c>
      <c r="E1445" t="inlineStr">
        <is>
          <t>SOLLEFTEÅ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21713-2022</t>
        </is>
      </c>
      <c r="B1446" s="1" t="n">
        <v>44708</v>
      </c>
      <c r="C1446" s="1" t="n">
        <v>45852</v>
      </c>
      <c r="D1446" t="inlineStr">
        <is>
          <t>VÄSTERNORRLANDS LÄN</t>
        </is>
      </c>
      <c r="E1446" t="inlineStr">
        <is>
          <t>SOLLEFTEÅ</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21714-2022</t>
        </is>
      </c>
      <c r="B1447" s="1" t="n">
        <v>44708</v>
      </c>
      <c r="C1447" s="1" t="n">
        <v>45852</v>
      </c>
      <c r="D1447" t="inlineStr">
        <is>
          <t>VÄSTERNORRLANDS LÄN</t>
        </is>
      </c>
      <c r="E1447" t="inlineStr">
        <is>
          <t>SOLLEFTEÅ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21715-2022</t>
        </is>
      </c>
      <c r="B1448" s="1" t="n">
        <v>44708</v>
      </c>
      <c r="C1448" s="1" t="n">
        <v>45852</v>
      </c>
      <c r="D1448" t="inlineStr">
        <is>
          <t>VÄSTERNORRLANDS LÄN</t>
        </is>
      </c>
      <c r="E1448" t="inlineStr">
        <is>
          <t>SOLLEFTEÅ</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21711-2022</t>
        </is>
      </c>
      <c r="B1449" s="1" t="n">
        <v>44707</v>
      </c>
      <c r="C1449" s="1" t="n">
        <v>45852</v>
      </c>
      <c r="D1449" t="inlineStr">
        <is>
          <t>VÄSTERNORRLANDS LÄN</t>
        </is>
      </c>
      <c r="E1449" t="inlineStr">
        <is>
          <t>SOLLEFTEÅ</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21807-2022</t>
        </is>
      </c>
      <c r="B1450" s="1" t="n">
        <v>44708</v>
      </c>
      <c r="C1450" s="1" t="n">
        <v>45852</v>
      </c>
      <c r="D1450" t="inlineStr">
        <is>
          <t>VÄSTERNORRLANDS LÄN</t>
        </is>
      </c>
      <c r="E1450" t="inlineStr">
        <is>
          <t>SOLLEFTEÅ</t>
        </is>
      </c>
      <c r="F1450" t="inlineStr">
        <is>
          <t>SCA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22101-2022</t>
        </is>
      </c>
      <c r="B1451" s="1" t="n">
        <v>44712</v>
      </c>
      <c r="C1451" s="1" t="n">
        <v>45852</v>
      </c>
      <c r="D1451" t="inlineStr">
        <is>
          <t>VÄSTERNORRLANDS LÄN</t>
        </is>
      </c>
      <c r="E1451" t="inlineStr">
        <is>
          <t>SOLLEFTEÅ</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22087-2022</t>
        </is>
      </c>
      <c r="B1452" s="1" t="n">
        <v>44712</v>
      </c>
      <c r="C1452" s="1" t="n">
        <v>45852</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22103-2022</t>
        </is>
      </c>
      <c r="B1453" s="1" t="n">
        <v>44712</v>
      </c>
      <c r="C1453" s="1" t="n">
        <v>45852</v>
      </c>
      <c r="D1453" t="inlineStr">
        <is>
          <t>VÄSTERNORRLANDS LÄN</t>
        </is>
      </c>
      <c r="E1453" t="inlineStr">
        <is>
          <t>SOLLEFTEÅ</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22330-2022</t>
        </is>
      </c>
      <c r="B1454" s="1" t="n">
        <v>44712</v>
      </c>
      <c r="C1454" s="1" t="n">
        <v>45852</v>
      </c>
      <c r="D1454" t="inlineStr">
        <is>
          <t>VÄSTERNORRLANDS LÄN</t>
        </is>
      </c>
      <c r="E1454" t="inlineStr">
        <is>
          <t>SOLLEFTEÅ</t>
        </is>
      </c>
      <c r="F1454" t="inlineStr">
        <is>
          <t>SCA</t>
        </is>
      </c>
      <c r="G1454" t="n">
        <v>21.9</v>
      </c>
      <c r="H1454" t="n">
        <v>0</v>
      </c>
      <c r="I1454" t="n">
        <v>0</v>
      </c>
      <c r="J1454" t="n">
        <v>0</v>
      </c>
      <c r="K1454" t="n">
        <v>0</v>
      </c>
      <c r="L1454" t="n">
        <v>0</v>
      </c>
      <c r="M1454" t="n">
        <v>0</v>
      </c>
      <c r="N1454" t="n">
        <v>0</v>
      </c>
      <c r="O1454" t="n">
        <v>0</v>
      </c>
      <c r="P1454" t="n">
        <v>0</v>
      </c>
      <c r="Q1454" t="n">
        <v>0</v>
      </c>
      <c r="R1454" s="2" t="inlineStr"/>
    </row>
    <row r="1455" ht="15" customHeight="1">
      <c r="A1455" t="inlineStr">
        <is>
          <t>A 22341-2022</t>
        </is>
      </c>
      <c r="B1455" s="1" t="n">
        <v>44713</v>
      </c>
      <c r="C1455" s="1" t="n">
        <v>45852</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22342-2022</t>
        </is>
      </c>
      <c r="B1456" s="1" t="n">
        <v>44713</v>
      </c>
      <c r="C1456" s="1" t="n">
        <v>45852</v>
      </c>
      <c r="D1456" t="inlineStr">
        <is>
          <t>VÄSTERNORRLANDS LÄN</t>
        </is>
      </c>
      <c r="E1456" t="inlineStr">
        <is>
          <t>SOLLEFTEÅ</t>
        </is>
      </c>
      <c r="F1456" t="inlineStr">
        <is>
          <t>SCA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22343-2022</t>
        </is>
      </c>
      <c r="B1457" s="1" t="n">
        <v>44713</v>
      </c>
      <c r="C1457" s="1" t="n">
        <v>45852</v>
      </c>
      <c r="D1457" t="inlineStr">
        <is>
          <t>VÄSTERNORRLANDS LÄN</t>
        </is>
      </c>
      <c r="E1457" t="inlineStr">
        <is>
          <t>SOLLEFTEÅ</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22664-2022</t>
        </is>
      </c>
      <c r="B1458" s="1" t="n">
        <v>44714</v>
      </c>
      <c r="C1458" s="1" t="n">
        <v>45852</v>
      </c>
      <c r="D1458" t="inlineStr">
        <is>
          <t>VÄSTERNORRLANDS LÄN</t>
        </is>
      </c>
      <c r="E1458" t="inlineStr">
        <is>
          <t>SOLLEFTEÅ</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22762-2022</t>
        </is>
      </c>
      <c r="B1459" s="1" t="n">
        <v>44715</v>
      </c>
      <c r="C1459" s="1" t="n">
        <v>45852</v>
      </c>
      <c r="D1459" t="inlineStr">
        <is>
          <t>VÄSTERNORRLANDS LÄN</t>
        </is>
      </c>
      <c r="E1459" t="inlineStr">
        <is>
          <t>SOLLEFTEÅ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22956-2022</t>
        </is>
      </c>
      <c r="B1460" s="1" t="n">
        <v>44716</v>
      </c>
      <c r="C1460" s="1" t="n">
        <v>45852</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22952-2022</t>
        </is>
      </c>
      <c r="B1461" s="1" t="n">
        <v>44716</v>
      </c>
      <c r="C1461" s="1" t="n">
        <v>45852</v>
      </c>
      <c r="D1461" t="inlineStr">
        <is>
          <t>VÄSTERNORRLANDS LÄN</t>
        </is>
      </c>
      <c r="E1461" t="inlineStr">
        <is>
          <t>SOLLEFTEÅ</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22962-2022</t>
        </is>
      </c>
      <c r="B1462" s="1" t="n">
        <v>44715</v>
      </c>
      <c r="C1462" s="1" t="n">
        <v>45852</v>
      </c>
      <c r="D1462" t="inlineStr">
        <is>
          <t>VÄSTERNORRLANDS LÄN</t>
        </is>
      </c>
      <c r="E1462" t="inlineStr">
        <is>
          <t>SOLLEFTEÅ</t>
        </is>
      </c>
      <c r="F1462" t="inlineStr">
        <is>
          <t>SCA</t>
        </is>
      </c>
      <c r="G1462" t="n">
        <v>12.1</v>
      </c>
      <c r="H1462" t="n">
        <v>0</v>
      </c>
      <c r="I1462" t="n">
        <v>0</v>
      </c>
      <c r="J1462" t="n">
        <v>0</v>
      </c>
      <c r="K1462" t="n">
        <v>0</v>
      </c>
      <c r="L1462" t="n">
        <v>0</v>
      </c>
      <c r="M1462" t="n">
        <v>0</v>
      </c>
      <c r="N1462" t="n">
        <v>0</v>
      </c>
      <c r="O1462" t="n">
        <v>0</v>
      </c>
      <c r="P1462" t="n">
        <v>0</v>
      </c>
      <c r="Q1462" t="n">
        <v>0</v>
      </c>
      <c r="R1462" s="2" t="inlineStr"/>
    </row>
    <row r="1463" ht="15" customHeight="1">
      <c r="A1463" t="inlineStr">
        <is>
          <t>A 23111-2022</t>
        </is>
      </c>
      <c r="B1463" s="1" t="n">
        <v>44720</v>
      </c>
      <c r="C1463" s="1" t="n">
        <v>45852</v>
      </c>
      <c r="D1463" t="inlineStr">
        <is>
          <t>VÄSTERNORRLANDS LÄN</t>
        </is>
      </c>
      <c r="E1463" t="inlineStr">
        <is>
          <t>SOLLEFTEÅ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23230-2022</t>
        </is>
      </c>
      <c r="B1464" s="1" t="n">
        <v>44720</v>
      </c>
      <c r="C1464" s="1" t="n">
        <v>45852</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23282-2022</t>
        </is>
      </c>
      <c r="B1465" s="1" t="n">
        <v>44720</v>
      </c>
      <c r="C1465" s="1" t="n">
        <v>45852</v>
      </c>
      <c r="D1465" t="inlineStr">
        <is>
          <t>VÄSTERNORRLANDS LÄN</t>
        </is>
      </c>
      <c r="E1465" t="inlineStr">
        <is>
          <t>SOLLEFTEÅ</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23436-2022</t>
        </is>
      </c>
      <c r="B1466" s="1" t="n">
        <v>44720</v>
      </c>
      <c r="C1466" s="1" t="n">
        <v>45852</v>
      </c>
      <c r="D1466" t="inlineStr">
        <is>
          <t>VÄSTERNORRLANDS LÄN</t>
        </is>
      </c>
      <c r="E1466" t="inlineStr">
        <is>
          <t>SOLLEFTEÅ</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23445-2022</t>
        </is>
      </c>
      <c r="B1467" s="1" t="n">
        <v>44721</v>
      </c>
      <c r="C1467" s="1" t="n">
        <v>45852</v>
      </c>
      <c r="D1467" t="inlineStr">
        <is>
          <t>VÄSTERNORRLANDS LÄN</t>
        </is>
      </c>
      <c r="E1467" t="inlineStr">
        <is>
          <t>SOLLEFTEÅ</t>
        </is>
      </c>
      <c r="F1467" t="inlineStr">
        <is>
          <t>SCA</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23447-2022</t>
        </is>
      </c>
      <c r="B1468" s="1" t="n">
        <v>44721</v>
      </c>
      <c r="C1468" s="1" t="n">
        <v>45852</v>
      </c>
      <c r="D1468" t="inlineStr">
        <is>
          <t>VÄSTERNORRLANDS LÄN</t>
        </is>
      </c>
      <c r="E1468" t="inlineStr">
        <is>
          <t>SOLLEFTEÅ</t>
        </is>
      </c>
      <c r="F1468" t="inlineStr">
        <is>
          <t>SCA</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23450-2022</t>
        </is>
      </c>
      <c r="B1469" s="1" t="n">
        <v>44720</v>
      </c>
      <c r="C1469" s="1" t="n">
        <v>45852</v>
      </c>
      <c r="D1469" t="inlineStr">
        <is>
          <t>VÄSTERNORRLANDS LÄN</t>
        </is>
      </c>
      <c r="E1469" t="inlineStr">
        <is>
          <t>SOLLEFTEÅ</t>
        </is>
      </c>
      <c r="F1469" t="inlineStr">
        <is>
          <t>SCA</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24008-2022</t>
        </is>
      </c>
      <c r="B1470" s="1" t="n">
        <v>44723</v>
      </c>
      <c r="C1470" s="1" t="n">
        <v>45852</v>
      </c>
      <c r="D1470" t="inlineStr">
        <is>
          <t>VÄSTERNORRLANDS LÄN</t>
        </is>
      </c>
      <c r="E1470" t="inlineStr">
        <is>
          <t>SOLLEFTEÅ</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24024-2022</t>
        </is>
      </c>
      <c r="B1471" s="1" t="n">
        <v>44723</v>
      </c>
      <c r="C1471" s="1" t="n">
        <v>45852</v>
      </c>
      <c r="D1471" t="inlineStr">
        <is>
          <t>VÄSTERNORRLANDS LÄN</t>
        </is>
      </c>
      <c r="E1471" t="inlineStr">
        <is>
          <t>SOLLEFTEÅ</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24322-2022</t>
        </is>
      </c>
      <c r="B1472" s="1" t="n">
        <v>44726</v>
      </c>
      <c r="C1472" s="1" t="n">
        <v>45852</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24723-2022</t>
        </is>
      </c>
      <c r="B1473" s="1" t="n">
        <v>44728</v>
      </c>
      <c r="C1473" s="1" t="n">
        <v>45852</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24739-2022</t>
        </is>
      </c>
      <c r="B1474" s="1" t="n">
        <v>44728</v>
      </c>
      <c r="C1474" s="1" t="n">
        <v>45852</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24734-2022</t>
        </is>
      </c>
      <c r="B1475" s="1" t="n">
        <v>44728</v>
      </c>
      <c r="C1475" s="1" t="n">
        <v>45852</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24735-2022</t>
        </is>
      </c>
      <c r="B1476" s="1" t="n">
        <v>44728</v>
      </c>
      <c r="C1476" s="1" t="n">
        <v>45852</v>
      </c>
      <c r="D1476" t="inlineStr">
        <is>
          <t>VÄSTERNORRLANDS LÄN</t>
        </is>
      </c>
      <c r="E1476" t="inlineStr">
        <is>
          <t>SOLLEFTEÅ</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24721-2022</t>
        </is>
      </c>
      <c r="B1477" s="1" t="n">
        <v>44728</v>
      </c>
      <c r="C1477" s="1" t="n">
        <v>45852</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24737-2022</t>
        </is>
      </c>
      <c r="B1478" s="1" t="n">
        <v>44728</v>
      </c>
      <c r="C1478" s="1" t="n">
        <v>45852</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25019-2022</t>
        </is>
      </c>
      <c r="B1479" s="1" t="n">
        <v>44728</v>
      </c>
      <c r="C1479" s="1" t="n">
        <v>45852</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25024-2022</t>
        </is>
      </c>
      <c r="B1480" s="1" t="n">
        <v>44729</v>
      </c>
      <c r="C1480" s="1" t="n">
        <v>45852</v>
      </c>
      <c r="D1480" t="inlineStr">
        <is>
          <t>VÄSTERNORRLANDS LÄN</t>
        </is>
      </c>
      <c r="E1480" t="inlineStr">
        <is>
          <t>SOLLEFTEÅ</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25026-2022</t>
        </is>
      </c>
      <c r="B1481" s="1" t="n">
        <v>44729</v>
      </c>
      <c r="C1481" s="1" t="n">
        <v>45852</v>
      </c>
      <c r="D1481" t="inlineStr">
        <is>
          <t>VÄSTERNORRLANDS LÄN</t>
        </is>
      </c>
      <c r="E1481" t="inlineStr">
        <is>
          <t>SOLLEFTEÅ</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25017-2022</t>
        </is>
      </c>
      <c r="B1482" s="1" t="n">
        <v>44729</v>
      </c>
      <c r="C1482" s="1" t="n">
        <v>45852</v>
      </c>
      <c r="D1482" t="inlineStr">
        <is>
          <t>VÄSTERNORRLANDS LÄN</t>
        </is>
      </c>
      <c r="E1482" t="inlineStr">
        <is>
          <t>SOLLEFTEÅ</t>
        </is>
      </c>
      <c r="F1482" t="inlineStr">
        <is>
          <t>SCA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25295-2022</t>
        </is>
      </c>
      <c r="B1483" s="1" t="n">
        <v>44731</v>
      </c>
      <c r="C1483" s="1" t="n">
        <v>45852</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25339-2022</t>
        </is>
      </c>
      <c r="B1484" s="1" t="n">
        <v>44732</v>
      </c>
      <c r="C1484" s="1" t="n">
        <v>45852</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25338-2022</t>
        </is>
      </c>
      <c r="B1485" s="1" t="n">
        <v>44731</v>
      </c>
      <c r="C1485" s="1" t="n">
        <v>45852</v>
      </c>
      <c r="D1485" t="inlineStr">
        <is>
          <t>VÄSTERNORRLANDS LÄN</t>
        </is>
      </c>
      <c r="E1485" t="inlineStr">
        <is>
          <t>SOLLEFTEÅ</t>
        </is>
      </c>
      <c r="F1485" t="inlineStr">
        <is>
          <t>SCA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25341-2022</t>
        </is>
      </c>
      <c r="B1486" s="1" t="n">
        <v>44731</v>
      </c>
      <c r="C1486" s="1" t="n">
        <v>45852</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26407-2022</t>
        </is>
      </c>
      <c r="B1487" s="1" t="n">
        <v>44735</v>
      </c>
      <c r="C1487" s="1" t="n">
        <v>45852</v>
      </c>
      <c r="D1487" t="inlineStr">
        <is>
          <t>VÄSTERNORRLANDS LÄN</t>
        </is>
      </c>
      <c r="E1487" t="inlineStr">
        <is>
          <t>SOLLEFTEÅ</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26416-2022</t>
        </is>
      </c>
      <c r="B1488" s="1" t="n">
        <v>44736</v>
      </c>
      <c r="C1488" s="1" t="n">
        <v>45852</v>
      </c>
      <c r="D1488" t="inlineStr">
        <is>
          <t>VÄSTERNORRLANDS LÄN</t>
        </is>
      </c>
      <c r="E1488" t="inlineStr">
        <is>
          <t>SOLLEFTEÅ</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26415-2022</t>
        </is>
      </c>
      <c r="B1489" s="1" t="n">
        <v>44735</v>
      </c>
      <c r="C1489" s="1" t="n">
        <v>45852</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26435-2022</t>
        </is>
      </c>
      <c r="B1490" s="1" t="n">
        <v>44737</v>
      </c>
      <c r="C1490" s="1" t="n">
        <v>45852</v>
      </c>
      <c r="D1490" t="inlineStr">
        <is>
          <t>VÄSTERNORRLANDS LÄN</t>
        </is>
      </c>
      <c r="E1490" t="inlineStr">
        <is>
          <t>SOLLEFTEÅ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26732-2022</t>
        </is>
      </c>
      <c r="B1491" s="1" t="n">
        <v>44740</v>
      </c>
      <c r="C1491" s="1" t="n">
        <v>45852</v>
      </c>
      <c r="D1491" t="inlineStr">
        <is>
          <t>VÄSTERNORRLANDS LÄN</t>
        </is>
      </c>
      <c r="E1491" t="inlineStr">
        <is>
          <t>SOLLEFTEÅ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26744-2022</t>
        </is>
      </c>
      <c r="B1492" s="1" t="n">
        <v>44739</v>
      </c>
      <c r="C1492" s="1" t="n">
        <v>45852</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26736-2022</t>
        </is>
      </c>
      <c r="B1493" s="1" t="n">
        <v>44740</v>
      </c>
      <c r="C1493" s="1" t="n">
        <v>45852</v>
      </c>
      <c r="D1493" t="inlineStr">
        <is>
          <t>VÄSTERNORRLANDS LÄN</t>
        </is>
      </c>
      <c r="E1493" t="inlineStr">
        <is>
          <t>SOLLEFTEÅ</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27016-2022</t>
        </is>
      </c>
      <c r="B1494" s="1" t="n">
        <v>44741</v>
      </c>
      <c r="C1494" s="1" t="n">
        <v>45852</v>
      </c>
      <c r="D1494" t="inlineStr">
        <is>
          <t>VÄSTERNORRLANDS LÄN</t>
        </is>
      </c>
      <c r="E1494" t="inlineStr">
        <is>
          <t>SOLLEFTEÅ</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27019-2022</t>
        </is>
      </c>
      <c r="B1495" s="1" t="n">
        <v>44741</v>
      </c>
      <c r="C1495" s="1" t="n">
        <v>45852</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27012-2022</t>
        </is>
      </c>
      <c r="B1496" s="1" t="n">
        <v>44740</v>
      </c>
      <c r="C1496" s="1" t="n">
        <v>45852</v>
      </c>
      <c r="D1496" t="inlineStr">
        <is>
          <t>VÄSTERNORRLANDS LÄN</t>
        </is>
      </c>
      <c r="E1496" t="inlineStr">
        <is>
          <t>SOLLEFTEÅ</t>
        </is>
      </c>
      <c r="F1496" t="inlineStr">
        <is>
          <t>SCA</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27020-2022</t>
        </is>
      </c>
      <c r="B1497" s="1" t="n">
        <v>44741</v>
      </c>
      <c r="C1497" s="1" t="n">
        <v>45852</v>
      </c>
      <c r="D1497" t="inlineStr">
        <is>
          <t>VÄSTERNORRLANDS LÄN</t>
        </is>
      </c>
      <c r="E1497" t="inlineStr">
        <is>
          <t>SOLLEFTEÅ</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27024-2022</t>
        </is>
      </c>
      <c r="B1498" s="1" t="n">
        <v>44741</v>
      </c>
      <c r="C1498" s="1" t="n">
        <v>45852</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27023-2022</t>
        </is>
      </c>
      <c r="B1499" s="1" t="n">
        <v>44741</v>
      </c>
      <c r="C1499" s="1" t="n">
        <v>45852</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27018-2022</t>
        </is>
      </c>
      <c r="B1500" s="1" t="n">
        <v>44740</v>
      </c>
      <c r="C1500" s="1" t="n">
        <v>45852</v>
      </c>
      <c r="D1500" t="inlineStr">
        <is>
          <t>VÄSTERNORRLANDS LÄN</t>
        </is>
      </c>
      <c r="E1500" t="inlineStr">
        <is>
          <t>SOLLEFTEÅ</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27022-2022</t>
        </is>
      </c>
      <c r="B1501" s="1" t="n">
        <v>44741</v>
      </c>
      <c r="C1501" s="1" t="n">
        <v>45852</v>
      </c>
      <c r="D1501" t="inlineStr">
        <is>
          <t>VÄSTERNORRLANDS LÄN</t>
        </is>
      </c>
      <c r="E1501" t="inlineStr">
        <is>
          <t>SOLLEFTEÅ</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27082-2022</t>
        </is>
      </c>
      <c r="B1502" s="1" t="n">
        <v>44741</v>
      </c>
      <c r="C1502" s="1" t="n">
        <v>45852</v>
      </c>
      <c r="D1502" t="inlineStr">
        <is>
          <t>VÄSTERNORRLANDS LÄN</t>
        </is>
      </c>
      <c r="E1502" t="inlineStr">
        <is>
          <t>SOLLEFTEÅ</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27283-2022</t>
        </is>
      </c>
      <c r="B1503" s="1" t="n">
        <v>44742</v>
      </c>
      <c r="C1503" s="1" t="n">
        <v>45852</v>
      </c>
      <c r="D1503" t="inlineStr">
        <is>
          <t>VÄSTERNORRLANDS LÄN</t>
        </is>
      </c>
      <c r="E1503" t="inlineStr">
        <is>
          <t>SOLLEFTEÅ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27282-2022</t>
        </is>
      </c>
      <c r="B1504" s="1" t="n">
        <v>44741</v>
      </c>
      <c r="C1504" s="1" t="n">
        <v>45852</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27573-2022</t>
        </is>
      </c>
      <c r="B1505" s="1" t="n">
        <v>44743</v>
      </c>
      <c r="C1505" s="1" t="n">
        <v>45852</v>
      </c>
      <c r="D1505" t="inlineStr">
        <is>
          <t>VÄSTERNORRLANDS LÄN</t>
        </is>
      </c>
      <c r="E1505" t="inlineStr">
        <is>
          <t>SOLLEFTEÅ</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27572-2022</t>
        </is>
      </c>
      <c r="B1506" s="1" t="n">
        <v>44743</v>
      </c>
      <c r="C1506" s="1" t="n">
        <v>45852</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27603-2022</t>
        </is>
      </c>
      <c r="B1507" s="1" t="n">
        <v>44743</v>
      </c>
      <c r="C1507" s="1" t="n">
        <v>45852</v>
      </c>
      <c r="D1507" t="inlineStr">
        <is>
          <t>VÄSTERNORRLANDS LÄN</t>
        </is>
      </c>
      <c r="E1507" t="inlineStr">
        <is>
          <t>SOLLEFTEÅ</t>
        </is>
      </c>
      <c r="F1507" t="inlineStr">
        <is>
          <t>SCA</t>
        </is>
      </c>
      <c r="G1507" t="n">
        <v>9.6</v>
      </c>
      <c r="H1507" t="n">
        <v>0</v>
      </c>
      <c r="I1507" t="n">
        <v>0</v>
      </c>
      <c r="J1507" t="n">
        <v>0</v>
      </c>
      <c r="K1507" t="n">
        <v>0</v>
      </c>
      <c r="L1507" t="n">
        <v>0</v>
      </c>
      <c r="M1507" t="n">
        <v>0</v>
      </c>
      <c r="N1507" t="n">
        <v>0</v>
      </c>
      <c r="O1507" t="n">
        <v>0</v>
      </c>
      <c r="P1507" t="n">
        <v>0</v>
      </c>
      <c r="Q1507" t="n">
        <v>0</v>
      </c>
      <c r="R1507" s="2" t="inlineStr"/>
    </row>
    <row r="1508" ht="15" customHeight="1">
      <c r="A1508" t="inlineStr">
        <is>
          <t>A 27593-2022</t>
        </is>
      </c>
      <c r="B1508" s="1" t="n">
        <v>44742</v>
      </c>
      <c r="C1508" s="1" t="n">
        <v>45852</v>
      </c>
      <c r="D1508" t="inlineStr">
        <is>
          <t>VÄSTERNORRLANDS LÄN</t>
        </is>
      </c>
      <c r="E1508" t="inlineStr">
        <is>
          <t>SOLLEFTEÅ</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27926-2022</t>
        </is>
      </c>
      <c r="B1509" s="1" t="n">
        <v>44743</v>
      </c>
      <c r="C1509" s="1" t="n">
        <v>45852</v>
      </c>
      <c r="D1509" t="inlineStr">
        <is>
          <t>VÄSTERNORRLANDS LÄN</t>
        </is>
      </c>
      <c r="E1509" t="inlineStr">
        <is>
          <t>SOLLEFTEÅ</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27943-2022</t>
        </is>
      </c>
      <c r="B1510" s="1" t="n">
        <v>44743</v>
      </c>
      <c r="C1510" s="1" t="n">
        <v>45852</v>
      </c>
      <c r="D1510" t="inlineStr">
        <is>
          <t>VÄSTERNORRLANDS LÄN</t>
        </is>
      </c>
      <c r="E1510" t="inlineStr">
        <is>
          <t>SOLLEFTEÅ</t>
        </is>
      </c>
      <c r="F1510" t="inlineStr">
        <is>
          <t>SCA</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28293-2022</t>
        </is>
      </c>
      <c r="B1511" s="1" t="n">
        <v>44747</v>
      </c>
      <c r="C1511" s="1" t="n">
        <v>45852</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28700-2022</t>
        </is>
      </c>
      <c r="B1512" s="1" t="n">
        <v>44748</v>
      </c>
      <c r="C1512" s="1" t="n">
        <v>45852</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28729-2022</t>
        </is>
      </c>
      <c r="B1513" s="1" t="n">
        <v>44748</v>
      </c>
      <c r="C1513" s="1" t="n">
        <v>45852</v>
      </c>
      <c r="D1513" t="inlineStr">
        <is>
          <t>VÄSTERNORRLANDS LÄN</t>
        </is>
      </c>
      <c r="E1513" t="inlineStr">
        <is>
          <t>SOLLEFTEÅ</t>
        </is>
      </c>
      <c r="F1513" t="inlineStr">
        <is>
          <t>SCA</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28730-2022</t>
        </is>
      </c>
      <c r="B1514" s="1" t="n">
        <v>44748</v>
      </c>
      <c r="C1514" s="1" t="n">
        <v>45852</v>
      </c>
      <c r="D1514" t="inlineStr">
        <is>
          <t>VÄSTERNORRLANDS LÄN</t>
        </is>
      </c>
      <c r="E1514" t="inlineStr">
        <is>
          <t>SOLLEFTEÅ</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28828-2022</t>
        </is>
      </c>
      <c r="B1515" s="1" t="n">
        <v>44749</v>
      </c>
      <c r="C1515" s="1" t="n">
        <v>45852</v>
      </c>
      <c r="D1515" t="inlineStr">
        <is>
          <t>VÄSTERNORRLANDS LÄN</t>
        </is>
      </c>
      <c r="E1515" t="inlineStr">
        <is>
          <t>SOLLEFTEÅ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28893-2022</t>
        </is>
      </c>
      <c r="B1516" s="1" t="n">
        <v>44749</v>
      </c>
      <c r="C1516" s="1" t="n">
        <v>45852</v>
      </c>
      <c r="D1516" t="inlineStr">
        <is>
          <t>VÄSTERNORRLANDS LÄN</t>
        </is>
      </c>
      <c r="E1516" t="inlineStr">
        <is>
          <t>SOLLEFTEÅ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28909-2022</t>
        </is>
      </c>
      <c r="B1517" s="1" t="n">
        <v>44749</v>
      </c>
      <c r="C1517" s="1" t="n">
        <v>45852</v>
      </c>
      <c r="D1517" t="inlineStr">
        <is>
          <t>VÄSTERNORRLANDS LÄN</t>
        </is>
      </c>
      <c r="E1517" t="inlineStr">
        <is>
          <t>SOLLEFTEÅ</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28896-2022</t>
        </is>
      </c>
      <c r="B1518" s="1" t="n">
        <v>44749</v>
      </c>
      <c r="C1518" s="1" t="n">
        <v>45852</v>
      </c>
      <c r="D1518" t="inlineStr">
        <is>
          <t>VÄSTERNORRLANDS LÄN</t>
        </is>
      </c>
      <c r="E1518" t="inlineStr">
        <is>
          <t>SOLLEFTEÅ</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28903-2022</t>
        </is>
      </c>
      <c r="B1519" s="1" t="n">
        <v>44749</v>
      </c>
      <c r="C1519" s="1" t="n">
        <v>45852</v>
      </c>
      <c r="D1519" t="inlineStr">
        <is>
          <t>VÄSTERNORRLANDS LÄN</t>
        </is>
      </c>
      <c r="E1519" t="inlineStr">
        <is>
          <t>SOLLEFTEÅ</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28973-2022</t>
        </is>
      </c>
      <c r="B1520" s="1" t="n">
        <v>44749</v>
      </c>
      <c r="C1520" s="1" t="n">
        <v>45852</v>
      </c>
      <c r="D1520" t="inlineStr">
        <is>
          <t>VÄSTERNORRLANDS LÄN</t>
        </is>
      </c>
      <c r="E1520" t="inlineStr">
        <is>
          <t>SOLLEFTEÅ</t>
        </is>
      </c>
      <c r="F1520" t="inlineStr">
        <is>
          <t>Holmen skog AB</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29290-2022</t>
        </is>
      </c>
      <c r="B1521" s="1" t="n">
        <v>44750</v>
      </c>
      <c r="C1521" s="1" t="n">
        <v>45852</v>
      </c>
      <c r="D1521" t="inlineStr">
        <is>
          <t>VÄSTERNORRLANDS LÄN</t>
        </is>
      </c>
      <c r="E1521" t="inlineStr">
        <is>
          <t>SOLLEFTEÅ</t>
        </is>
      </c>
      <c r="F1521" t="inlineStr">
        <is>
          <t>SCA</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29294-2022</t>
        </is>
      </c>
      <c r="B1522" s="1" t="n">
        <v>44751</v>
      </c>
      <c r="C1522" s="1" t="n">
        <v>45852</v>
      </c>
      <c r="D1522" t="inlineStr">
        <is>
          <t>VÄSTERNORRLANDS LÄN</t>
        </is>
      </c>
      <c r="E1522" t="inlineStr">
        <is>
          <t>SOLLEFTEÅ</t>
        </is>
      </c>
      <c r="F1522" t="inlineStr">
        <is>
          <t>SCA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29300-2022</t>
        </is>
      </c>
      <c r="B1523" s="1" t="n">
        <v>44750</v>
      </c>
      <c r="C1523" s="1" t="n">
        <v>45852</v>
      </c>
      <c r="D1523" t="inlineStr">
        <is>
          <t>VÄSTERNORRLANDS LÄN</t>
        </is>
      </c>
      <c r="E1523" t="inlineStr">
        <is>
          <t>SOLLEFTEÅ</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29292-2022</t>
        </is>
      </c>
      <c r="B1524" s="1" t="n">
        <v>44750</v>
      </c>
      <c r="C1524" s="1" t="n">
        <v>45852</v>
      </c>
      <c r="D1524" t="inlineStr">
        <is>
          <t>VÄSTERNORRLANDS LÄN</t>
        </is>
      </c>
      <c r="E1524" t="inlineStr">
        <is>
          <t>SOLLEFTEÅ</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29538-2022</t>
        </is>
      </c>
      <c r="B1525" s="1" t="n">
        <v>44754</v>
      </c>
      <c r="C1525" s="1" t="n">
        <v>45852</v>
      </c>
      <c r="D1525" t="inlineStr">
        <is>
          <t>VÄSTERNORRLANDS LÄN</t>
        </is>
      </c>
      <c r="E1525" t="inlineStr">
        <is>
          <t>SOLLEFTEÅ</t>
        </is>
      </c>
      <c r="F1525" t="inlineStr">
        <is>
          <t>SCA</t>
        </is>
      </c>
      <c r="G1525" t="n">
        <v>20.2</v>
      </c>
      <c r="H1525" t="n">
        <v>0</v>
      </c>
      <c r="I1525" t="n">
        <v>0</v>
      </c>
      <c r="J1525" t="n">
        <v>0</v>
      </c>
      <c r="K1525" t="n">
        <v>0</v>
      </c>
      <c r="L1525" t="n">
        <v>0</v>
      </c>
      <c r="M1525" t="n">
        <v>0</v>
      </c>
      <c r="N1525" t="n">
        <v>0</v>
      </c>
      <c r="O1525" t="n">
        <v>0</v>
      </c>
      <c r="P1525" t="n">
        <v>0</v>
      </c>
      <c r="Q1525" t="n">
        <v>0</v>
      </c>
      <c r="R1525" s="2" t="inlineStr"/>
    </row>
    <row r="1526" ht="15" customHeight="1">
      <c r="A1526" t="inlineStr">
        <is>
          <t>A 29842-2022</t>
        </is>
      </c>
      <c r="B1526" s="1" t="n">
        <v>44756</v>
      </c>
      <c r="C1526" s="1" t="n">
        <v>45852</v>
      </c>
      <c r="D1526" t="inlineStr">
        <is>
          <t>VÄSTERNORRLANDS LÄN</t>
        </is>
      </c>
      <c r="E1526" t="inlineStr">
        <is>
          <t>SOLLEFTEÅ</t>
        </is>
      </c>
      <c r="F1526" t="inlineStr">
        <is>
          <t>Holmen skog AB</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30032-2022</t>
        </is>
      </c>
      <c r="B1527" s="1" t="n">
        <v>44756</v>
      </c>
      <c r="C1527" s="1" t="n">
        <v>45852</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30041-2022</t>
        </is>
      </c>
      <c r="B1528" s="1" t="n">
        <v>44756</v>
      </c>
      <c r="C1528" s="1" t="n">
        <v>45852</v>
      </c>
      <c r="D1528" t="inlineStr">
        <is>
          <t>VÄSTERNORRLANDS LÄN</t>
        </is>
      </c>
      <c r="E1528" t="inlineStr">
        <is>
          <t>SOLLEFTEÅ</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30045-2022</t>
        </is>
      </c>
      <c r="B1529" s="1" t="n">
        <v>44756</v>
      </c>
      <c r="C1529" s="1" t="n">
        <v>45852</v>
      </c>
      <c r="D1529" t="inlineStr">
        <is>
          <t>VÄSTERNORRLANDS LÄN</t>
        </is>
      </c>
      <c r="E1529" t="inlineStr">
        <is>
          <t>SOLLEFTEÅ</t>
        </is>
      </c>
      <c r="F1529" t="inlineStr">
        <is>
          <t>SCA</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30013-2022</t>
        </is>
      </c>
      <c r="B1530" s="1" t="n">
        <v>44756</v>
      </c>
      <c r="C1530" s="1" t="n">
        <v>45852</v>
      </c>
      <c r="D1530" t="inlineStr">
        <is>
          <t>VÄSTERNORRLANDS LÄN</t>
        </is>
      </c>
      <c r="E1530" t="inlineStr">
        <is>
          <t>SOLLEFTEÅ</t>
        </is>
      </c>
      <c r="F1530" t="inlineStr">
        <is>
          <t>SCA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30033-2022</t>
        </is>
      </c>
      <c r="B1531" s="1" t="n">
        <v>44756</v>
      </c>
      <c r="C1531" s="1" t="n">
        <v>45852</v>
      </c>
      <c r="D1531" t="inlineStr">
        <is>
          <t>VÄSTERNORRLANDS LÄN</t>
        </is>
      </c>
      <c r="E1531" t="inlineStr">
        <is>
          <t>SOLLEFTEÅ</t>
        </is>
      </c>
      <c r="F1531" t="inlineStr">
        <is>
          <t>SCA</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30040-2022</t>
        </is>
      </c>
      <c r="B1532" s="1" t="n">
        <v>44757</v>
      </c>
      <c r="C1532" s="1" t="n">
        <v>45852</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30034-2022</t>
        </is>
      </c>
      <c r="B1533" s="1" t="n">
        <v>44757</v>
      </c>
      <c r="C1533" s="1" t="n">
        <v>45852</v>
      </c>
      <c r="D1533" t="inlineStr">
        <is>
          <t>VÄSTERNORRLANDS LÄN</t>
        </is>
      </c>
      <c r="E1533" t="inlineStr">
        <is>
          <t>SOLLEFTEÅ</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30039-2022</t>
        </is>
      </c>
      <c r="B1534" s="1" t="n">
        <v>44757</v>
      </c>
      <c r="C1534" s="1" t="n">
        <v>45852</v>
      </c>
      <c r="D1534" t="inlineStr">
        <is>
          <t>VÄSTERNORRLANDS LÄN</t>
        </is>
      </c>
      <c r="E1534" t="inlineStr">
        <is>
          <t>SOLLEFTEÅ</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30043-2022</t>
        </is>
      </c>
      <c r="B1535" s="1" t="n">
        <v>44756</v>
      </c>
      <c r="C1535" s="1" t="n">
        <v>45852</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30238-2022</t>
        </is>
      </c>
      <c r="B1536" s="1" t="n">
        <v>44757</v>
      </c>
      <c r="C1536" s="1" t="n">
        <v>45852</v>
      </c>
      <c r="D1536" t="inlineStr">
        <is>
          <t>VÄSTERNORRLANDS LÄN</t>
        </is>
      </c>
      <c r="E1536" t="inlineStr">
        <is>
          <t>SOLLEFTEÅ</t>
        </is>
      </c>
      <c r="F1536" t="inlineStr">
        <is>
          <t>SCA</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30239-2022</t>
        </is>
      </c>
      <c r="B1537" s="1" t="n">
        <v>44758</v>
      </c>
      <c r="C1537" s="1" t="n">
        <v>45852</v>
      </c>
      <c r="D1537" t="inlineStr">
        <is>
          <t>VÄSTERNORRLANDS LÄN</t>
        </is>
      </c>
      <c r="E1537" t="inlineStr">
        <is>
          <t>SOLLEFTEÅ</t>
        </is>
      </c>
      <c r="F1537" t="inlineStr">
        <is>
          <t>SCA</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30237-2022</t>
        </is>
      </c>
      <c r="B1538" s="1" t="n">
        <v>44758</v>
      </c>
      <c r="C1538" s="1" t="n">
        <v>45852</v>
      </c>
      <c r="D1538" t="inlineStr">
        <is>
          <t>VÄSTERNORRLANDS LÄN</t>
        </is>
      </c>
      <c r="E1538" t="inlineStr">
        <is>
          <t>SOLLEFTEÅ</t>
        </is>
      </c>
      <c r="F1538" t="inlineStr">
        <is>
          <t>SCA</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30236-2022</t>
        </is>
      </c>
      <c r="B1539" s="1" t="n">
        <v>44757</v>
      </c>
      <c r="C1539" s="1" t="n">
        <v>45852</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30240-2022</t>
        </is>
      </c>
      <c r="B1540" s="1" t="n">
        <v>44757</v>
      </c>
      <c r="C1540" s="1" t="n">
        <v>45852</v>
      </c>
      <c r="D1540" t="inlineStr">
        <is>
          <t>VÄSTERNORRLANDS LÄN</t>
        </is>
      </c>
      <c r="E1540" t="inlineStr">
        <is>
          <t>SOLLEFTEÅ</t>
        </is>
      </c>
      <c r="F1540" t="inlineStr">
        <is>
          <t>SCA</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30606-2022</t>
        </is>
      </c>
      <c r="B1541" s="1" t="n">
        <v>44763</v>
      </c>
      <c r="C1541" s="1" t="n">
        <v>45852</v>
      </c>
      <c r="D1541" t="inlineStr">
        <is>
          <t>VÄSTERNORRLANDS LÄN</t>
        </is>
      </c>
      <c r="E1541" t="inlineStr">
        <is>
          <t>SOLLEFTEÅ</t>
        </is>
      </c>
      <c r="F1541" t="inlineStr">
        <is>
          <t>SCA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30805-2022</t>
        </is>
      </c>
      <c r="B1542" s="1" t="n">
        <v>44765</v>
      </c>
      <c r="C1542" s="1" t="n">
        <v>45852</v>
      </c>
      <c r="D1542" t="inlineStr">
        <is>
          <t>VÄSTERNORRLANDS LÄN</t>
        </is>
      </c>
      <c r="E1542" t="inlineStr">
        <is>
          <t>SOLLEFTEÅ</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30936-2022</t>
        </is>
      </c>
      <c r="B1543" s="1" t="n">
        <v>44768</v>
      </c>
      <c r="C1543" s="1" t="n">
        <v>45852</v>
      </c>
      <c r="D1543" t="inlineStr">
        <is>
          <t>VÄSTERNORRLANDS LÄN</t>
        </is>
      </c>
      <c r="E1543" t="inlineStr">
        <is>
          <t>SOLLEFTEÅ</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30937-2022</t>
        </is>
      </c>
      <c r="B1544" s="1" t="n">
        <v>44768</v>
      </c>
      <c r="C1544" s="1" t="n">
        <v>45852</v>
      </c>
      <c r="D1544" t="inlineStr">
        <is>
          <t>VÄSTERNORRLANDS LÄN</t>
        </is>
      </c>
      <c r="E1544" t="inlineStr">
        <is>
          <t>SOLLEFTEÅ</t>
        </is>
      </c>
      <c r="F1544" t="inlineStr">
        <is>
          <t>SCA</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31005-2022</t>
        </is>
      </c>
      <c r="B1545" s="1" t="n">
        <v>44768</v>
      </c>
      <c r="C1545" s="1" t="n">
        <v>45852</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31444-2022</t>
        </is>
      </c>
      <c r="B1546" s="1" t="n">
        <v>44774</v>
      </c>
      <c r="C1546" s="1" t="n">
        <v>45852</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31453-2022</t>
        </is>
      </c>
      <c r="B1547" s="1" t="n">
        <v>44775</v>
      </c>
      <c r="C1547" s="1" t="n">
        <v>45852</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31474-2022</t>
        </is>
      </c>
      <c r="B1548" s="1" t="n">
        <v>44775</v>
      </c>
      <c r="C1548" s="1" t="n">
        <v>45852</v>
      </c>
      <c r="D1548" t="inlineStr">
        <is>
          <t>VÄSTERNORRLANDS LÄN</t>
        </is>
      </c>
      <c r="E1548" t="inlineStr">
        <is>
          <t>SOLLEFTEÅ</t>
        </is>
      </c>
      <c r="F1548" t="inlineStr">
        <is>
          <t>SCA</t>
        </is>
      </c>
      <c r="G1548" t="n">
        <v>28.3</v>
      </c>
      <c r="H1548" t="n">
        <v>0</v>
      </c>
      <c r="I1548" t="n">
        <v>0</v>
      </c>
      <c r="J1548" t="n">
        <v>0</v>
      </c>
      <c r="K1548" t="n">
        <v>0</v>
      </c>
      <c r="L1548" t="n">
        <v>0</v>
      </c>
      <c r="M1548" t="n">
        <v>0</v>
      </c>
      <c r="N1548" t="n">
        <v>0</v>
      </c>
      <c r="O1548" t="n">
        <v>0</v>
      </c>
      <c r="P1548" t="n">
        <v>0</v>
      </c>
      <c r="Q1548" t="n">
        <v>0</v>
      </c>
      <c r="R1548" s="2" t="inlineStr"/>
    </row>
    <row r="1549" ht="15" customHeight="1">
      <c r="A1549" t="inlineStr">
        <is>
          <t>A 31440-2022</t>
        </is>
      </c>
      <c r="B1549" s="1" t="n">
        <v>44775</v>
      </c>
      <c r="C1549" s="1" t="n">
        <v>45852</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31464-2022</t>
        </is>
      </c>
      <c r="B1550" s="1" t="n">
        <v>44774</v>
      </c>
      <c r="C1550" s="1" t="n">
        <v>45852</v>
      </c>
      <c r="D1550" t="inlineStr">
        <is>
          <t>VÄSTERNORRLANDS LÄN</t>
        </is>
      </c>
      <c r="E1550" t="inlineStr">
        <is>
          <t>SOLLEFTEÅ</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31452-2022</t>
        </is>
      </c>
      <c r="B1551" s="1" t="n">
        <v>44775</v>
      </c>
      <c r="C1551" s="1" t="n">
        <v>45852</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31490-2022</t>
        </is>
      </c>
      <c r="B1552" s="1" t="n">
        <v>44775</v>
      </c>
      <c r="C1552" s="1" t="n">
        <v>45852</v>
      </c>
      <c r="D1552" t="inlineStr">
        <is>
          <t>VÄSTERNORRLANDS LÄN</t>
        </is>
      </c>
      <c r="E1552" t="inlineStr">
        <is>
          <t>SOLLEFTEÅ</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31451-2022</t>
        </is>
      </c>
      <c r="B1553" s="1" t="n">
        <v>44775</v>
      </c>
      <c r="C1553" s="1" t="n">
        <v>45852</v>
      </c>
      <c r="D1553" t="inlineStr">
        <is>
          <t>VÄSTERNORRLANDS LÄN</t>
        </is>
      </c>
      <c r="E1553" t="inlineStr">
        <is>
          <t>SOLLEFTEÅ</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31482-2022</t>
        </is>
      </c>
      <c r="B1554" s="1" t="n">
        <v>44775</v>
      </c>
      <c r="C1554" s="1" t="n">
        <v>45852</v>
      </c>
      <c r="D1554" t="inlineStr">
        <is>
          <t>VÄSTERNORRLANDS LÄN</t>
        </is>
      </c>
      <c r="E1554" t="inlineStr">
        <is>
          <t>SOLLEFTEÅ</t>
        </is>
      </c>
      <c r="F1554" t="inlineStr">
        <is>
          <t>SCA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31588-2022</t>
        </is>
      </c>
      <c r="B1555" s="1" t="n">
        <v>44775</v>
      </c>
      <c r="C1555" s="1" t="n">
        <v>45852</v>
      </c>
      <c r="D1555" t="inlineStr">
        <is>
          <t>VÄSTERNORRLANDS LÄN</t>
        </is>
      </c>
      <c r="E1555" t="inlineStr">
        <is>
          <t>SOLLEFTEÅ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31646-2022</t>
        </is>
      </c>
      <c r="B1556" s="1" t="n">
        <v>44776</v>
      </c>
      <c r="C1556" s="1" t="n">
        <v>45852</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31672-2022</t>
        </is>
      </c>
      <c r="B1557" s="1" t="n">
        <v>44776</v>
      </c>
      <c r="C1557" s="1" t="n">
        <v>45852</v>
      </c>
      <c r="D1557" t="inlineStr">
        <is>
          <t>VÄSTERNORRLANDS LÄN</t>
        </is>
      </c>
      <c r="E1557" t="inlineStr">
        <is>
          <t>SOLLEFTEÅ</t>
        </is>
      </c>
      <c r="G1557" t="n">
        <v>16.3</v>
      </c>
      <c r="H1557" t="n">
        <v>0</v>
      </c>
      <c r="I1557" t="n">
        <v>0</v>
      </c>
      <c r="J1557" t="n">
        <v>0</v>
      </c>
      <c r="K1557" t="n">
        <v>0</v>
      </c>
      <c r="L1557" t="n">
        <v>0</v>
      </c>
      <c r="M1557" t="n">
        <v>0</v>
      </c>
      <c r="N1557" t="n">
        <v>0</v>
      </c>
      <c r="O1557" t="n">
        <v>0</v>
      </c>
      <c r="P1557" t="n">
        <v>0</v>
      </c>
      <c r="Q1557" t="n">
        <v>0</v>
      </c>
      <c r="R1557" s="2" t="inlineStr"/>
    </row>
    <row r="1558" ht="15" customHeight="1">
      <c r="A1558" t="inlineStr">
        <is>
          <t>A 31856-2022</t>
        </is>
      </c>
      <c r="B1558" s="1" t="n">
        <v>44776</v>
      </c>
      <c r="C1558" s="1" t="n">
        <v>45852</v>
      </c>
      <c r="D1558" t="inlineStr">
        <is>
          <t>VÄSTERNORRLANDS LÄN</t>
        </is>
      </c>
      <c r="E1558" t="inlineStr">
        <is>
          <t>SOLLEFTEÅ</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31968-2022</t>
        </is>
      </c>
      <c r="B1559" s="1" t="n">
        <v>44778</v>
      </c>
      <c r="C1559" s="1" t="n">
        <v>45852</v>
      </c>
      <c r="D1559" t="inlineStr">
        <is>
          <t>VÄSTERNORRLANDS LÄN</t>
        </is>
      </c>
      <c r="E1559" t="inlineStr">
        <is>
          <t>SOLLEFTEÅ</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31967-2022</t>
        </is>
      </c>
      <c r="B1560" s="1" t="n">
        <v>44778</v>
      </c>
      <c r="C1560" s="1" t="n">
        <v>45852</v>
      </c>
      <c r="D1560" t="inlineStr">
        <is>
          <t>VÄSTERNORRLANDS LÄN</t>
        </is>
      </c>
      <c r="E1560" t="inlineStr">
        <is>
          <t>SOLLEFTEÅ</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31965-2022</t>
        </is>
      </c>
      <c r="B1561" s="1" t="n">
        <v>44778</v>
      </c>
      <c r="C1561" s="1" t="n">
        <v>45852</v>
      </c>
      <c r="D1561" t="inlineStr">
        <is>
          <t>VÄSTERNORRLANDS LÄN</t>
        </is>
      </c>
      <c r="E1561" t="inlineStr">
        <is>
          <t>SOLLEFTEÅ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31966-2022</t>
        </is>
      </c>
      <c r="B1562" s="1" t="n">
        <v>44778</v>
      </c>
      <c r="C1562" s="1" t="n">
        <v>45852</v>
      </c>
      <c r="D1562" t="inlineStr">
        <is>
          <t>VÄSTERNORRLANDS LÄN</t>
        </is>
      </c>
      <c r="E1562" t="inlineStr">
        <is>
          <t>SOLLEFTEÅ</t>
        </is>
      </c>
      <c r="F1562" t="inlineStr">
        <is>
          <t>SCA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32127-2022</t>
        </is>
      </c>
      <c r="B1563" s="1" t="n">
        <v>44779</v>
      </c>
      <c r="C1563" s="1" t="n">
        <v>45852</v>
      </c>
      <c r="D1563" t="inlineStr">
        <is>
          <t>VÄSTERNORRLANDS LÄN</t>
        </is>
      </c>
      <c r="E1563" t="inlineStr">
        <is>
          <t>SOLLEFTEÅ</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32129-2022</t>
        </is>
      </c>
      <c r="B1564" s="1" t="n">
        <v>44779</v>
      </c>
      <c r="C1564" s="1" t="n">
        <v>45852</v>
      </c>
      <c r="D1564" t="inlineStr">
        <is>
          <t>VÄSTERNORRLANDS LÄN</t>
        </is>
      </c>
      <c r="E1564" t="inlineStr">
        <is>
          <t>SOLLEFTEÅ</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32126-2022</t>
        </is>
      </c>
      <c r="B1565" s="1" t="n">
        <v>44778</v>
      </c>
      <c r="C1565" s="1" t="n">
        <v>45852</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32130-2022</t>
        </is>
      </c>
      <c r="B1566" s="1" t="n">
        <v>44779</v>
      </c>
      <c r="C1566" s="1" t="n">
        <v>45852</v>
      </c>
      <c r="D1566" t="inlineStr">
        <is>
          <t>VÄSTERNORRLANDS LÄN</t>
        </is>
      </c>
      <c r="E1566" t="inlineStr">
        <is>
          <t>SOLLEFTEÅ</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32453-2022</t>
        </is>
      </c>
      <c r="B1567" s="1" t="n">
        <v>44782</v>
      </c>
      <c r="C1567" s="1" t="n">
        <v>45852</v>
      </c>
      <c r="D1567" t="inlineStr">
        <is>
          <t>VÄSTERNORRLANDS LÄN</t>
        </is>
      </c>
      <c r="E1567" t="inlineStr">
        <is>
          <t>SOLLEFTEÅ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32531-2022</t>
        </is>
      </c>
      <c r="B1568" s="1" t="n">
        <v>44783</v>
      </c>
      <c r="C1568" s="1" t="n">
        <v>45852</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32779-2022</t>
        </is>
      </c>
      <c r="B1569" s="1" t="n">
        <v>44784</v>
      </c>
      <c r="C1569" s="1" t="n">
        <v>45852</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32969-2022</t>
        </is>
      </c>
      <c r="B1570" s="1" t="n">
        <v>44785</v>
      </c>
      <c r="C1570" s="1" t="n">
        <v>45852</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33056-2022</t>
        </is>
      </c>
      <c r="B1571" s="1" t="n">
        <v>44785</v>
      </c>
      <c r="C1571" s="1" t="n">
        <v>45852</v>
      </c>
      <c r="D1571" t="inlineStr">
        <is>
          <t>VÄSTERNORRLANDS LÄN</t>
        </is>
      </c>
      <c r="E1571" t="inlineStr">
        <is>
          <t>SOLLEFTEÅ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33083-2022</t>
        </is>
      </c>
      <c r="B1572" s="1" t="n">
        <v>44785</v>
      </c>
      <c r="C1572" s="1" t="n">
        <v>45852</v>
      </c>
      <c r="D1572" t="inlineStr">
        <is>
          <t>VÄSTERNORRLANDS LÄN</t>
        </is>
      </c>
      <c r="E1572" t="inlineStr">
        <is>
          <t>SOLLEFTEÅ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33077-2022</t>
        </is>
      </c>
      <c r="B1573" s="1" t="n">
        <v>44785</v>
      </c>
      <c r="C1573" s="1" t="n">
        <v>45852</v>
      </c>
      <c r="D1573" t="inlineStr">
        <is>
          <t>VÄSTERNORRLANDS LÄN</t>
        </is>
      </c>
      <c r="E1573" t="inlineStr">
        <is>
          <t>SOLLEFTEÅ</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33226-2022</t>
        </is>
      </c>
      <c r="B1574" s="1" t="n">
        <v>44786</v>
      </c>
      <c r="C1574" s="1" t="n">
        <v>45852</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33505-2022</t>
        </is>
      </c>
      <c r="B1575" s="1" t="n">
        <v>44789</v>
      </c>
      <c r="C1575" s="1" t="n">
        <v>45852</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33519-2022</t>
        </is>
      </c>
      <c r="B1576" s="1" t="n">
        <v>44789</v>
      </c>
      <c r="C1576" s="1" t="n">
        <v>45852</v>
      </c>
      <c r="D1576" t="inlineStr">
        <is>
          <t>VÄSTERNORRLANDS LÄN</t>
        </is>
      </c>
      <c r="E1576" t="inlineStr">
        <is>
          <t>SOLLEFTEÅ</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33528-2022</t>
        </is>
      </c>
      <c r="B1577" s="1" t="n">
        <v>44788</v>
      </c>
      <c r="C1577" s="1" t="n">
        <v>45852</v>
      </c>
      <c r="D1577" t="inlineStr">
        <is>
          <t>VÄSTERNORRLANDS LÄN</t>
        </is>
      </c>
      <c r="E1577" t="inlineStr">
        <is>
          <t>SOLLEFTEÅ</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33734-2022</t>
        </is>
      </c>
      <c r="B1578" s="1" t="n">
        <v>44790</v>
      </c>
      <c r="C1578" s="1" t="n">
        <v>45852</v>
      </c>
      <c r="D1578" t="inlineStr">
        <is>
          <t>VÄSTERNORRLANDS LÄN</t>
        </is>
      </c>
      <c r="E1578" t="inlineStr">
        <is>
          <t>SOLLEFTEÅ</t>
        </is>
      </c>
      <c r="F1578" t="inlineStr">
        <is>
          <t>SCA</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33990-2022</t>
        </is>
      </c>
      <c r="B1579" s="1" t="n">
        <v>44790</v>
      </c>
      <c r="C1579" s="1" t="n">
        <v>45852</v>
      </c>
      <c r="D1579" t="inlineStr">
        <is>
          <t>VÄSTERNORRLANDS LÄN</t>
        </is>
      </c>
      <c r="E1579" t="inlineStr">
        <is>
          <t>SOLLEFTEÅ</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33995-2022</t>
        </is>
      </c>
      <c r="B1580" s="1" t="n">
        <v>44791</v>
      </c>
      <c r="C1580" s="1" t="n">
        <v>45852</v>
      </c>
      <c r="D1580" t="inlineStr">
        <is>
          <t>VÄSTERNORRLANDS LÄN</t>
        </is>
      </c>
      <c r="E1580" t="inlineStr">
        <is>
          <t>SOLLEFTEÅ</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33994-2022</t>
        </is>
      </c>
      <c r="B1581" s="1" t="n">
        <v>44791</v>
      </c>
      <c r="C1581" s="1" t="n">
        <v>45852</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34242-2022</t>
        </is>
      </c>
      <c r="B1582" s="1" t="n">
        <v>44792</v>
      </c>
      <c r="C1582" s="1" t="n">
        <v>45852</v>
      </c>
      <c r="D1582" t="inlineStr">
        <is>
          <t>VÄSTERNORRLANDS LÄN</t>
        </is>
      </c>
      <c r="E1582" t="inlineStr">
        <is>
          <t>SOLLEFTEÅ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34252-2022</t>
        </is>
      </c>
      <c r="B1583" s="1" t="n">
        <v>44792</v>
      </c>
      <c r="C1583" s="1" t="n">
        <v>45852</v>
      </c>
      <c r="D1583" t="inlineStr">
        <is>
          <t>VÄSTERNORRLANDS LÄN</t>
        </is>
      </c>
      <c r="E1583" t="inlineStr">
        <is>
          <t>SOLLEFTEÅ</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34267-2022</t>
        </is>
      </c>
      <c r="B1584" s="1" t="n">
        <v>44792</v>
      </c>
      <c r="C1584" s="1" t="n">
        <v>45852</v>
      </c>
      <c r="D1584" t="inlineStr">
        <is>
          <t>VÄSTERNORRLANDS LÄN</t>
        </is>
      </c>
      <c r="E1584" t="inlineStr">
        <is>
          <t>SOLLEFTEÅ</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34281-2022</t>
        </is>
      </c>
      <c r="B1585" s="1" t="n">
        <v>44791</v>
      </c>
      <c r="C1585" s="1" t="n">
        <v>45852</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34518-2022</t>
        </is>
      </c>
      <c r="B1586" s="1" t="n">
        <v>44793</v>
      </c>
      <c r="C1586" s="1" t="n">
        <v>45852</v>
      </c>
      <c r="D1586" t="inlineStr">
        <is>
          <t>VÄSTERNORRLANDS LÄN</t>
        </is>
      </c>
      <c r="E1586" t="inlineStr">
        <is>
          <t>SOLLEFTEÅ</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34517-2022</t>
        </is>
      </c>
      <c r="B1587" s="1" t="n">
        <v>44793</v>
      </c>
      <c r="C1587" s="1" t="n">
        <v>45852</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34527-2022</t>
        </is>
      </c>
      <c r="B1588" s="1" t="n">
        <v>44793</v>
      </c>
      <c r="C1588" s="1" t="n">
        <v>45852</v>
      </c>
      <c r="D1588" t="inlineStr">
        <is>
          <t>VÄSTERNORRLANDS LÄN</t>
        </is>
      </c>
      <c r="E1588" t="inlineStr">
        <is>
          <t>SOLLEFTEÅ</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34534-2022</t>
        </is>
      </c>
      <c r="B1589" s="1" t="n">
        <v>44793</v>
      </c>
      <c r="C1589" s="1" t="n">
        <v>45852</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34516-2022</t>
        </is>
      </c>
      <c r="B1590" s="1" t="n">
        <v>44792</v>
      </c>
      <c r="C1590" s="1" t="n">
        <v>45852</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34648-2022</t>
        </is>
      </c>
      <c r="B1591" s="1" t="n">
        <v>44792</v>
      </c>
      <c r="C1591" s="1" t="n">
        <v>45852</v>
      </c>
      <c r="D1591" t="inlineStr">
        <is>
          <t>VÄSTERNORRLANDS LÄN</t>
        </is>
      </c>
      <c r="E1591" t="inlineStr">
        <is>
          <t>SOLLEFTEÅ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34549-2022</t>
        </is>
      </c>
      <c r="B1592" s="1" t="n">
        <v>44793</v>
      </c>
      <c r="C1592" s="1" t="n">
        <v>45852</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34542-2022</t>
        </is>
      </c>
      <c r="B1593" s="1" t="n">
        <v>44793</v>
      </c>
      <c r="C1593" s="1" t="n">
        <v>45852</v>
      </c>
      <c r="D1593" t="inlineStr">
        <is>
          <t>VÄSTERNORRLANDS LÄN</t>
        </is>
      </c>
      <c r="E1593" t="inlineStr">
        <is>
          <t>SOLLEFTEÅ</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34543-2022</t>
        </is>
      </c>
      <c r="B1594" s="1" t="n">
        <v>44793</v>
      </c>
      <c r="C1594" s="1" t="n">
        <v>45852</v>
      </c>
      <c r="D1594" t="inlineStr">
        <is>
          <t>VÄSTERNORRLANDS LÄN</t>
        </is>
      </c>
      <c r="E1594" t="inlineStr">
        <is>
          <t>SOLLEFTEÅ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34552-2022</t>
        </is>
      </c>
      <c r="B1595" s="1" t="n">
        <v>44794</v>
      </c>
      <c r="C1595" s="1" t="n">
        <v>45852</v>
      </c>
      <c r="D1595" t="inlineStr">
        <is>
          <t>VÄSTERNORRLANDS LÄN</t>
        </is>
      </c>
      <c r="E1595" t="inlineStr">
        <is>
          <t>SOLLEFTEÅ</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34804-2022</t>
        </is>
      </c>
      <c r="B1596" s="1" t="n">
        <v>44796</v>
      </c>
      <c r="C1596" s="1" t="n">
        <v>45852</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35019-2022</t>
        </is>
      </c>
      <c r="B1597" s="1" t="n">
        <v>44797</v>
      </c>
      <c r="C1597" s="1" t="n">
        <v>45852</v>
      </c>
      <c r="D1597" t="inlineStr">
        <is>
          <t>VÄSTERNORRLANDS LÄN</t>
        </is>
      </c>
      <c r="E1597" t="inlineStr">
        <is>
          <t>SOLLEFTEÅ</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35229-2022</t>
        </is>
      </c>
      <c r="B1598" s="1" t="n">
        <v>44798</v>
      </c>
      <c r="C1598" s="1" t="n">
        <v>45852</v>
      </c>
      <c r="D1598" t="inlineStr">
        <is>
          <t>VÄSTERNORRLANDS LÄN</t>
        </is>
      </c>
      <c r="E1598" t="inlineStr">
        <is>
          <t>SOLLEFTEÅ</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35747-2022</t>
        </is>
      </c>
      <c r="B1599" s="1" t="n">
        <v>44799</v>
      </c>
      <c r="C1599" s="1" t="n">
        <v>45852</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35797-2022</t>
        </is>
      </c>
      <c r="B1600" s="1" t="n">
        <v>44802</v>
      </c>
      <c r="C1600" s="1" t="n">
        <v>45852</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36080-2022</t>
        </is>
      </c>
      <c r="B1601" s="1" t="n">
        <v>44803</v>
      </c>
      <c r="C1601" s="1" t="n">
        <v>45852</v>
      </c>
      <c r="D1601" t="inlineStr">
        <is>
          <t>VÄSTERNORRLANDS LÄN</t>
        </is>
      </c>
      <c r="E1601" t="inlineStr">
        <is>
          <t>SOLLEFTEÅ</t>
        </is>
      </c>
      <c r="F1601" t="inlineStr">
        <is>
          <t>SCA</t>
        </is>
      </c>
      <c r="G1601" t="n">
        <v>78.2</v>
      </c>
      <c r="H1601" t="n">
        <v>0</v>
      </c>
      <c r="I1601" t="n">
        <v>0</v>
      </c>
      <c r="J1601" t="n">
        <v>0</v>
      </c>
      <c r="K1601" t="n">
        <v>0</v>
      </c>
      <c r="L1601" t="n">
        <v>0</v>
      </c>
      <c r="M1601" t="n">
        <v>0</v>
      </c>
      <c r="N1601" t="n">
        <v>0</v>
      </c>
      <c r="O1601" t="n">
        <v>0</v>
      </c>
      <c r="P1601" t="n">
        <v>0</v>
      </c>
      <c r="Q1601" t="n">
        <v>0</v>
      </c>
      <c r="R1601" s="2" t="inlineStr"/>
    </row>
    <row r="1602" ht="15" customHeight="1">
      <c r="A1602" t="inlineStr">
        <is>
          <t>A 36078-2022</t>
        </is>
      </c>
      <c r="B1602" s="1" t="n">
        <v>44803</v>
      </c>
      <c r="C1602" s="1" t="n">
        <v>45852</v>
      </c>
      <c r="D1602" t="inlineStr">
        <is>
          <t>VÄSTERNORRLANDS LÄN</t>
        </is>
      </c>
      <c r="E1602" t="inlineStr">
        <is>
          <t>SOLLEFTEÅ</t>
        </is>
      </c>
      <c r="F1602" t="inlineStr">
        <is>
          <t>SCA</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36368-2022</t>
        </is>
      </c>
      <c r="B1603" s="1" t="n">
        <v>44804</v>
      </c>
      <c r="C1603" s="1" t="n">
        <v>45852</v>
      </c>
      <c r="D1603" t="inlineStr">
        <is>
          <t>VÄSTERNORRLANDS LÄN</t>
        </is>
      </c>
      <c r="E1603" t="inlineStr">
        <is>
          <t>SOLLEFTEÅ</t>
        </is>
      </c>
      <c r="F1603" t="inlineStr">
        <is>
          <t>SCA</t>
        </is>
      </c>
      <c r="G1603" t="n">
        <v>10.4</v>
      </c>
      <c r="H1603" t="n">
        <v>0</v>
      </c>
      <c r="I1603" t="n">
        <v>0</v>
      </c>
      <c r="J1603" t="n">
        <v>0</v>
      </c>
      <c r="K1603" t="n">
        <v>0</v>
      </c>
      <c r="L1603" t="n">
        <v>0</v>
      </c>
      <c r="M1603" t="n">
        <v>0</v>
      </c>
      <c r="N1603" t="n">
        <v>0</v>
      </c>
      <c r="O1603" t="n">
        <v>0</v>
      </c>
      <c r="P1603" t="n">
        <v>0</v>
      </c>
      <c r="Q1603" t="n">
        <v>0</v>
      </c>
      <c r="R1603" s="2" t="inlineStr"/>
    </row>
    <row r="1604" ht="15" customHeight="1">
      <c r="A1604" t="inlineStr">
        <is>
          <t>A 36367-2022</t>
        </is>
      </c>
      <c r="B1604" s="1" t="n">
        <v>44804</v>
      </c>
      <c r="C1604" s="1" t="n">
        <v>45852</v>
      </c>
      <c r="D1604" t="inlineStr">
        <is>
          <t>VÄSTERNORRLANDS LÄN</t>
        </is>
      </c>
      <c r="E1604" t="inlineStr">
        <is>
          <t>SOLLEFTEÅ</t>
        </is>
      </c>
      <c r="F1604" t="inlineStr">
        <is>
          <t>SCA</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36688-2022</t>
        </is>
      </c>
      <c r="B1605" s="1" t="n">
        <v>44804</v>
      </c>
      <c r="C1605" s="1" t="n">
        <v>45852</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36681-2022</t>
        </is>
      </c>
      <c r="B1606" s="1" t="n">
        <v>44804</v>
      </c>
      <c r="C1606" s="1" t="n">
        <v>45852</v>
      </c>
      <c r="D1606" t="inlineStr">
        <is>
          <t>VÄSTERNORRLANDS LÄN</t>
        </is>
      </c>
      <c r="E1606" t="inlineStr">
        <is>
          <t>SOLLEFTEÅ</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36926-2022</t>
        </is>
      </c>
      <c r="B1607" s="1" t="n">
        <v>44806</v>
      </c>
      <c r="C1607" s="1" t="n">
        <v>45852</v>
      </c>
      <c r="D1607" t="inlineStr">
        <is>
          <t>VÄSTERNORRLANDS LÄN</t>
        </is>
      </c>
      <c r="E1607" t="inlineStr">
        <is>
          <t>SOLLEFTEÅ</t>
        </is>
      </c>
      <c r="F1607" t="inlineStr">
        <is>
          <t>SCA</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37242-2022</t>
        </is>
      </c>
      <c r="B1608" s="1" t="n">
        <v>44807</v>
      </c>
      <c r="C1608" s="1" t="n">
        <v>45852</v>
      </c>
      <c r="D1608" t="inlineStr">
        <is>
          <t>VÄSTERNORRLANDS LÄN</t>
        </is>
      </c>
      <c r="E1608" t="inlineStr">
        <is>
          <t>SOLLEFTEÅ</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37596-2022</t>
        </is>
      </c>
      <c r="B1609" s="1" t="n">
        <v>44810</v>
      </c>
      <c r="C1609" s="1" t="n">
        <v>45852</v>
      </c>
      <c r="D1609" t="inlineStr">
        <is>
          <t>VÄSTERNORRLANDS LÄN</t>
        </is>
      </c>
      <c r="E1609" t="inlineStr">
        <is>
          <t>SOLLEFTEÅ</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37597-2022</t>
        </is>
      </c>
      <c r="B1610" s="1" t="n">
        <v>44810</v>
      </c>
      <c r="C1610" s="1" t="n">
        <v>45852</v>
      </c>
      <c r="D1610" t="inlineStr">
        <is>
          <t>VÄSTERNORRLANDS LÄN</t>
        </is>
      </c>
      <c r="E1610" t="inlineStr">
        <is>
          <t>SOLLEFTEÅ</t>
        </is>
      </c>
      <c r="F1610" t="inlineStr">
        <is>
          <t>Holmen skog AB</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37835-2022</t>
        </is>
      </c>
      <c r="B1611" s="1" t="n">
        <v>44810</v>
      </c>
      <c r="C1611" s="1" t="n">
        <v>45852</v>
      </c>
      <c r="D1611" t="inlineStr">
        <is>
          <t>VÄSTERNORRLANDS LÄN</t>
        </is>
      </c>
      <c r="E1611" t="inlineStr">
        <is>
          <t>SOLLEFTEÅ</t>
        </is>
      </c>
      <c r="F1611" t="inlineStr">
        <is>
          <t>SCA</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37826-2022</t>
        </is>
      </c>
      <c r="B1612" s="1" t="n">
        <v>44811</v>
      </c>
      <c r="C1612" s="1" t="n">
        <v>45852</v>
      </c>
      <c r="D1612" t="inlineStr">
        <is>
          <t>VÄSTERNORRLANDS LÄN</t>
        </is>
      </c>
      <c r="E1612" t="inlineStr">
        <is>
          <t>SOLLEFTEÅ</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37840-2022</t>
        </is>
      </c>
      <c r="B1613" s="1" t="n">
        <v>44810</v>
      </c>
      <c r="C1613" s="1" t="n">
        <v>45852</v>
      </c>
      <c r="D1613" t="inlineStr">
        <is>
          <t>VÄSTERNORRLANDS LÄN</t>
        </is>
      </c>
      <c r="E1613" t="inlineStr">
        <is>
          <t>SOLLEFTEÅ</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38096-2022</t>
        </is>
      </c>
      <c r="B1614" s="1" t="n">
        <v>44812</v>
      </c>
      <c r="C1614" s="1" t="n">
        <v>45852</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38095-2022</t>
        </is>
      </c>
      <c r="B1615" s="1" t="n">
        <v>44811</v>
      </c>
      <c r="C1615" s="1" t="n">
        <v>45852</v>
      </c>
      <c r="D1615" t="inlineStr">
        <is>
          <t>VÄSTERNORRLANDS LÄN</t>
        </is>
      </c>
      <c r="E1615" t="inlineStr">
        <is>
          <t>SOLLEFTEÅ</t>
        </is>
      </c>
      <c r="F1615" t="inlineStr">
        <is>
          <t>SCA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37977-2022</t>
        </is>
      </c>
      <c r="B1616" s="1" t="n">
        <v>44811</v>
      </c>
      <c r="C1616" s="1" t="n">
        <v>45852</v>
      </c>
      <c r="D1616" t="inlineStr">
        <is>
          <t>VÄSTERNORRLANDS LÄN</t>
        </is>
      </c>
      <c r="E1616" t="inlineStr">
        <is>
          <t>SOLLEFTEÅ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38102-2022</t>
        </is>
      </c>
      <c r="B1617" s="1" t="n">
        <v>44811</v>
      </c>
      <c r="C1617" s="1" t="n">
        <v>45852</v>
      </c>
      <c r="D1617" t="inlineStr">
        <is>
          <t>VÄSTERNORRLANDS LÄN</t>
        </is>
      </c>
      <c r="E1617" t="inlineStr">
        <is>
          <t>SOLLEFTEÅ</t>
        </is>
      </c>
      <c r="F1617" t="inlineStr">
        <is>
          <t>SCA</t>
        </is>
      </c>
      <c r="G1617" t="n">
        <v>4.9</v>
      </c>
      <c r="H1617" t="n">
        <v>0</v>
      </c>
      <c r="I1617" t="n">
        <v>0</v>
      </c>
      <c r="J1617" t="n">
        <v>0</v>
      </c>
      <c r="K1617" t="n">
        <v>0</v>
      </c>
      <c r="L1617" t="n">
        <v>0</v>
      </c>
      <c r="M1617" t="n">
        <v>0</v>
      </c>
      <c r="N1617" t="n">
        <v>0</v>
      </c>
      <c r="O1617" t="n">
        <v>0</v>
      </c>
      <c r="P1617" t="n">
        <v>0</v>
      </c>
      <c r="Q1617" t="n">
        <v>0</v>
      </c>
      <c r="R1617" s="2" t="inlineStr"/>
      <c r="U1617">
        <f>HYPERLINK("https://klasma.github.io/Logging_2283/knärot/A 38102-2022 karta knärot.png", "A 38102-2022")</f>
        <v/>
      </c>
      <c r="V1617">
        <f>HYPERLINK("https://klasma.github.io/Logging_2283/klagomål/A 38102-2022 FSC-klagomål.docx", "A 38102-2022")</f>
        <v/>
      </c>
      <c r="W1617">
        <f>HYPERLINK("https://klasma.github.io/Logging_2283/klagomålsmail/A 38102-2022 FSC-klagomål mail.docx", "A 38102-2022")</f>
        <v/>
      </c>
      <c r="X1617">
        <f>HYPERLINK("https://klasma.github.io/Logging_2283/tillsyn/A 38102-2022 tillsynsbegäran.docx", "A 38102-2022")</f>
        <v/>
      </c>
      <c r="Y1617">
        <f>HYPERLINK("https://klasma.github.io/Logging_2283/tillsynsmail/A 38102-2022 tillsynsbegäran mail.docx", "A 38102-2022")</f>
        <v/>
      </c>
    </row>
    <row r="1618" ht="15" customHeight="1">
      <c r="A1618" t="inlineStr">
        <is>
          <t>A 38230-2022</t>
        </is>
      </c>
      <c r="B1618" s="1" t="n">
        <v>44812</v>
      </c>
      <c r="C1618" s="1" t="n">
        <v>45852</v>
      </c>
      <c r="D1618" t="inlineStr">
        <is>
          <t>VÄSTERNORRLANDS LÄN</t>
        </is>
      </c>
      <c r="E1618" t="inlineStr">
        <is>
          <t>SOLLEFTEÅ</t>
        </is>
      </c>
      <c r="F1618" t="inlineStr">
        <is>
          <t>Kommuner</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38430-2022</t>
        </is>
      </c>
      <c r="B1619" s="1" t="n">
        <v>44812</v>
      </c>
      <c r="C1619" s="1" t="n">
        <v>45852</v>
      </c>
      <c r="D1619" t="inlineStr">
        <is>
          <t>VÄSTERNORRLANDS LÄN</t>
        </is>
      </c>
      <c r="E1619" t="inlineStr">
        <is>
          <t>SOLLEFTEÅ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38433-2022</t>
        </is>
      </c>
      <c r="B1620" s="1" t="n">
        <v>44812</v>
      </c>
      <c r="C1620" s="1" t="n">
        <v>45852</v>
      </c>
      <c r="D1620" t="inlineStr">
        <is>
          <t>VÄSTERNORRLANDS LÄN</t>
        </is>
      </c>
      <c r="E1620" t="inlineStr">
        <is>
          <t>SOLLEFTEÅ</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38312-2022</t>
        </is>
      </c>
      <c r="B1621" s="1" t="n">
        <v>44812</v>
      </c>
      <c r="C1621" s="1" t="n">
        <v>45852</v>
      </c>
      <c r="D1621" t="inlineStr">
        <is>
          <t>VÄSTERNORRLANDS LÄN</t>
        </is>
      </c>
      <c r="E1621" t="inlineStr">
        <is>
          <t>SOLLEFTEÅ</t>
        </is>
      </c>
      <c r="F1621" t="inlineStr">
        <is>
          <t>Holmen skog AB</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38428-2022</t>
        </is>
      </c>
      <c r="B1622" s="1" t="n">
        <v>44812</v>
      </c>
      <c r="C1622" s="1" t="n">
        <v>45852</v>
      </c>
      <c r="D1622" t="inlineStr">
        <is>
          <t>VÄSTERNORRLANDS LÄN</t>
        </is>
      </c>
      <c r="E1622" t="inlineStr">
        <is>
          <t>SOLLEFTEÅ</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38432-2022</t>
        </is>
      </c>
      <c r="B1623" s="1" t="n">
        <v>44812</v>
      </c>
      <c r="C1623" s="1" t="n">
        <v>45852</v>
      </c>
      <c r="D1623" t="inlineStr">
        <is>
          <t>VÄSTERNORRLANDS LÄN</t>
        </is>
      </c>
      <c r="E1623" t="inlineStr">
        <is>
          <t>SOLLEFTEÅ</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38663-2022</t>
        </is>
      </c>
      <c r="B1624" s="1" t="n">
        <v>44814</v>
      </c>
      <c r="C1624" s="1" t="n">
        <v>45852</v>
      </c>
      <c r="D1624" t="inlineStr">
        <is>
          <t>VÄSTERNORRLANDS LÄN</t>
        </is>
      </c>
      <c r="E1624" t="inlineStr">
        <is>
          <t>SOLLEFTEÅ</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39006-2022</t>
        </is>
      </c>
      <c r="B1625" s="1" t="n">
        <v>44817</v>
      </c>
      <c r="C1625" s="1" t="n">
        <v>45852</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39012-2022</t>
        </is>
      </c>
      <c r="B1626" s="1" t="n">
        <v>44816</v>
      </c>
      <c r="C1626" s="1" t="n">
        <v>45852</v>
      </c>
      <c r="D1626" t="inlineStr">
        <is>
          <t>VÄSTERNORRLANDS LÄN</t>
        </is>
      </c>
      <c r="E1626" t="inlineStr">
        <is>
          <t>SOLLEFTEÅ</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39384-2022</t>
        </is>
      </c>
      <c r="B1627" s="1" t="n">
        <v>44818</v>
      </c>
      <c r="C1627" s="1" t="n">
        <v>45852</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39372-2022</t>
        </is>
      </c>
      <c r="B1628" s="1" t="n">
        <v>44818</v>
      </c>
      <c r="C1628" s="1" t="n">
        <v>45852</v>
      </c>
      <c r="D1628" t="inlineStr">
        <is>
          <t>VÄSTERNORRLANDS LÄN</t>
        </is>
      </c>
      <c r="E1628" t="inlineStr">
        <is>
          <t>SOLLEFTEÅ</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39371-2022</t>
        </is>
      </c>
      <c r="B1629" s="1" t="n">
        <v>44818</v>
      </c>
      <c r="C1629" s="1" t="n">
        <v>45852</v>
      </c>
      <c r="D1629" t="inlineStr">
        <is>
          <t>VÄSTERNORRLANDS LÄN</t>
        </is>
      </c>
      <c r="E1629" t="inlineStr">
        <is>
          <t>SOLLEFTEÅ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39688-2022</t>
        </is>
      </c>
      <c r="B1630" s="1" t="n">
        <v>44818</v>
      </c>
      <c r="C1630" s="1" t="n">
        <v>45852</v>
      </c>
      <c r="D1630" t="inlineStr">
        <is>
          <t>VÄSTERNORRLANDS LÄN</t>
        </is>
      </c>
      <c r="E1630" t="inlineStr">
        <is>
          <t>SOLLEFTEÅ</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39699-2022</t>
        </is>
      </c>
      <c r="B1631" s="1" t="n">
        <v>44819</v>
      </c>
      <c r="C1631" s="1" t="n">
        <v>45852</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39944-2022</t>
        </is>
      </c>
      <c r="B1632" s="1" t="n">
        <v>44819</v>
      </c>
      <c r="C1632" s="1" t="n">
        <v>45852</v>
      </c>
      <c r="D1632" t="inlineStr">
        <is>
          <t>VÄSTERNORRLANDS LÄN</t>
        </is>
      </c>
      <c r="E1632" t="inlineStr">
        <is>
          <t>SOLLEFTEÅ</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39942-2022</t>
        </is>
      </c>
      <c r="B1633" s="1" t="n">
        <v>44820</v>
      </c>
      <c r="C1633" s="1" t="n">
        <v>45852</v>
      </c>
      <c r="D1633" t="inlineStr">
        <is>
          <t>VÄSTERNORRLANDS LÄN</t>
        </is>
      </c>
      <c r="E1633" t="inlineStr">
        <is>
          <t>SOLLEFTEÅ</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39947-2022</t>
        </is>
      </c>
      <c r="B1634" s="1" t="n">
        <v>44819</v>
      </c>
      <c r="C1634" s="1" t="n">
        <v>45852</v>
      </c>
      <c r="D1634" t="inlineStr">
        <is>
          <t>VÄSTERNORRLANDS LÄN</t>
        </is>
      </c>
      <c r="E1634" t="inlineStr">
        <is>
          <t>SOLLEFTEÅ</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39943-2022</t>
        </is>
      </c>
      <c r="B1635" s="1" t="n">
        <v>44820</v>
      </c>
      <c r="C1635" s="1" t="n">
        <v>45852</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39951-2022</t>
        </is>
      </c>
      <c r="B1636" s="1" t="n">
        <v>44820</v>
      </c>
      <c r="C1636" s="1" t="n">
        <v>45852</v>
      </c>
      <c r="D1636" t="inlineStr">
        <is>
          <t>VÄSTERNORRLANDS LÄN</t>
        </is>
      </c>
      <c r="E1636" t="inlineStr">
        <is>
          <t>SOLLEFTEÅ</t>
        </is>
      </c>
      <c r="F1636" t="inlineStr">
        <is>
          <t>SCA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39934-2022</t>
        </is>
      </c>
      <c r="B1637" s="1" t="n">
        <v>44820</v>
      </c>
      <c r="C1637" s="1" t="n">
        <v>45852</v>
      </c>
      <c r="D1637" t="inlineStr">
        <is>
          <t>VÄSTERNORRLANDS LÄN</t>
        </is>
      </c>
      <c r="E1637" t="inlineStr">
        <is>
          <t>SOLLEFTEÅ</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39946-2022</t>
        </is>
      </c>
      <c r="B1638" s="1" t="n">
        <v>44819</v>
      </c>
      <c r="C1638" s="1" t="n">
        <v>45852</v>
      </c>
      <c r="D1638" t="inlineStr">
        <is>
          <t>VÄSTERNORRLANDS LÄN</t>
        </is>
      </c>
      <c r="E1638" t="inlineStr">
        <is>
          <t>SOLLEFTEÅ</t>
        </is>
      </c>
      <c r="F1638" t="inlineStr">
        <is>
          <t>SCA</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40608-2022</t>
        </is>
      </c>
      <c r="B1639" s="1" t="n">
        <v>44824</v>
      </c>
      <c r="C1639" s="1" t="n">
        <v>45852</v>
      </c>
      <c r="D1639" t="inlineStr">
        <is>
          <t>VÄSTERNORRLANDS LÄN</t>
        </is>
      </c>
      <c r="E1639" t="inlineStr">
        <is>
          <t>SOLLEFTEÅ</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40609-2022</t>
        </is>
      </c>
      <c r="B1640" s="1" t="n">
        <v>44824</v>
      </c>
      <c r="C1640" s="1" t="n">
        <v>45852</v>
      </c>
      <c r="D1640" t="inlineStr">
        <is>
          <t>VÄSTERNORRLANDS LÄN</t>
        </is>
      </c>
      <c r="E1640" t="inlineStr">
        <is>
          <t>SOLLEFTEÅ</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40610-2022</t>
        </is>
      </c>
      <c r="B1641" s="1" t="n">
        <v>44824</v>
      </c>
      <c r="C1641" s="1" t="n">
        <v>45852</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40599-2022</t>
        </is>
      </c>
      <c r="B1642" s="1" t="n">
        <v>44824</v>
      </c>
      <c r="C1642" s="1" t="n">
        <v>45852</v>
      </c>
      <c r="D1642" t="inlineStr">
        <is>
          <t>VÄSTERNORRLANDS LÄN</t>
        </is>
      </c>
      <c r="E1642" t="inlineStr">
        <is>
          <t>SOLLEFTEÅ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40611-2022</t>
        </is>
      </c>
      <c r="B1643" s="1" t="n">
        <v>44824</v>
      </c>
      <c r="C1643" s="1" t="n">
        <v>45852</v>
      </c>
      <c r="D1643" t="inlineStr">
        <is>
          <t>VÄSTERNORRLANDS LÄN</t>
        </is>
      </c>
      <c r="E1643" t="inlineStr">
        <is>
          <t>SOLLEFTEÅ</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40832-2022</t>
        </is>
      </c>
      <c r="B1644" s="1" t="n">
        <v>44825</v>
      </c>
      <c r="C1644" s="1" t="n">
        <v>45852</v>
      </c>
      <c r="D1644" t="inlineStr">
        <is>
          <t>VÄSTERNORRLANDS LÄN</t>
        </is>
      </c>
      <c r="E1644" t="inlineStr">
        <is>
          <t>SOLLEFTEÅ</t>
        </is>
      </c>
      <c r="F1644" t="inlineStr">
        <is>
          <t>SCA</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41187-2022</t>
        </is>
      </c>
      <c r="B1645" s="1" t="n">
        <v>44826</v>
      </c>
      <c r="C1645" s="1" t="n">
        <v>45852</v>
      </c>
      <c r="D1645" t="inlineStr">
        <is>
          <t>VÄSTERNORRLANDS LÄN</t>
        </is>
      </c>
      <c r="E1645" t="inlineStr">
        <is>
          <t>SOLLEFTEÅ</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41192-2022</t>
        </is>
      </c>
      <c r="B1646" s="1" t="n">
        <v>44826</v>
      </c>
      <c r="C1646" s="1" t="n">
        <v>45852</v>
      </c>
      <c r="D1646" t="inlineStr">
        <is>
          <t>VÄSTERNORRLANDS LÄN</t>
        </is>
      </c>
      <c r="E1646" t="inlineStr">
        <is>
          <t>SOLLEFTEÅ</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41168-2022</t>
        </is>
      </c>
      <c r="B1647" s="1" t="n">
        <v>44826</v>
      </c>
      <c r="C1647" s="1" t="n">
        <v>45852</v>
      </c>
      <c r="D1647" t="inlineStr">
        <is>
          <t>VÄSTERNORRLANDS LÄN</t>
        </is>
      </c>
      <c r="E1647" t="inlineStr">
        <is>
          <t>SOLLEFTEÅ</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41172-2022</t>
        </is>
      </c>
      <c r="B1648" s="1" t="n">
        <v>44826</v>
      </c>
      <c r="C1648" s="1" t="n">
        <v>45852</v>
      </c>
      <c r="D1648" t="inlineStr">
        <is>
          <t>VÄSTERNORRLANDS LÄN</t>
        </is>
      </c>
      <c r="E1648" t="inlineStr">
        <is>
          <t>SOLLEFTEÅ</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41176-2022</t>
        </is>
      </c>
      <c r="B1649" s="1" t="n">
        <v>44826</v>
      </c>
      <c r="C1649" s="1" t="n">
        <v>45852</v>
      </c>
      <c r="D1649" t="inlineStr">
        <is>
          <t>VÄSTERNORRLANDS LÄN</t>
        </is>
      </c>
      <c r="E1649" t="inlineStr">
        <is>
          <t>SOLLEFTEÅ</t>
        </is>
      </c>
      <c r="F1649" t="inlineStr">
        <is>
          <t>SCA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41189-2022</t>
        </is>
      </c>
      <c r="B1650" s="1" t="n">
        <v>44826</v>
      </c>
      <c r="C1650" s="1" t="n">
        <v>45852</v>
      </c>
      <c r="D1650" t="inlineStr">
        <is>
          <t>VÄSTERNORRLANDS LÄN</t>
        </is>
      </c>
      <c r="E1650" t="inlineStr">
        <is>
          <t>SOLLEFTEÅ</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41196-2022</t>
        </is>
      </c>
      <c r="B1651" s="1" t="n">
        <v>44826</v>
      </c>
      <c r="C1651" s="1" t="n">
        <v>45852</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41195-2022</t>
        </is>
      </c>
      <c r="B1652" s="1" t="n">
        <v>44826</v>
      </c>
      <c r="C1652" s="1" t="n">
        <v>45852</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41456-2022</t>
        </is>
      </c>
      <c r="B1653" s="1" t="n">
        <v>44826</v>
      </c>
      <c r="C1653" s="1" t="n">
        <v>45852</v>
      </c>
      <c r="D1653" t="inlineStr">
        <is>
          <t>VÄSTERNORRLANDS LÄN</t>
        </is>
      </c>
      <c r="E1653" t="inlineStr">
        <is>
          <t>SOLLEFTEÅ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41463-2022</t>
        </is>
      </c>
      <c r="B1654" s="1" t="n">
        <v>44827</v>
      </c>
      <c r="C1654" s="1" t="n">
        <v>45852</v>
      </c>
      <c r="D1654" t="inlineStr">
        <is>
          <t>VÄSTERNORRLANDS LÄN</t>
        </is>
      </c>
      <c r="E1654" t="inlineStr">
        <is>
          <t>SOLLEFTEÅ</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41475-2022</t>
        </is>
      </c>
      <c r="B1655" s="1" t="n">
        <v>44826</v>
      </c>
      <c r="C1655" s="1" t="n">
        <v>45852</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41481-2022</t>
        </is>
      </c>
      <c r="B1656" s="1" t="n">
        <v>44827</v>
      </c>
      <c r="C1656" s="1" t="n">
        <v>45852</v>
      </c>
      <c r="D1656" t="inlineStr">
        <is>
          <t>VÄSTERNORRLANDS LÄN</t>
        </is>
      </c>
      <c r="E1656" t="inlineStr">
        <is>
          <t>SOLLEFTEÅ</t>
        </is>
      </c>
      <c r="F1656" t="inlineStr">
        <is>
          <t>SCA</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41478-2022</t>
        </is>
      </c>
      <c r="B1657" s="1" t="n">
        <v>44827</v>
      </c>
      <c r="C1657" s="1" t="n">
        <v>45852</v>
      </c>
      <c r="D1657" t="inlineStr">
        <is>
          <t>VÄSTERNORRLANDS LÄN</t>
        </is>
      </c>
      <c r="E1657" t="inlineStr">
        <is>
          <t>SOLLEFTEÅ</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41486-2022</t>
        </is>
      </c>
      <c r="B1658" s="1" t="n">
        <v>44827</v>
      </c>
      <c r="C1658" s="1" t="n">
        <v>45852</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41455-2022</t>
        </is>
      </c>
      <c r="B1659" s="1" t="n">
        <v>44826</v>
      </c>
      <c r="C1659" s="1" t="n">
        <v>45852</v>
      </c>
      <c r="D1659" t="inlineStr">
        <is>
          <t>VÄSTERNORRLANDS LÄN</t>
        </is>
      </c>
      <c r="E1659" t="inlineStr">
        <is>
          <t>SOLLEFTEÅ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41474-2022</t>
        </is>
      </c>
      <c r="B1660" s="1" t="n">
        <v>44827</v>
      </c>
      <c r="C1660" s="1" t="n">
        <v>45852</v>
      </c>
      <c r="D1660" t="inlineStr">
        <is>
          <t>VÄSTERNORRLANDS LÄN</t>
        </is>
      </c>
      <c r="E1660" t="inlineStr">
        <is>
          <t>SOLLEFTEÅ</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41480-2022</t>
        </is>
      </c>
      <c r="B1661" s="1" t="n">
        <v>44827</v>
      </c>
      <c r="C1661" s="1" t="n">
        <v>45852</v>
      </c>
      <c r="D1661" t="inlineStr">
        <is>
          <t>VÄSTERNORRLANDS LÄN</t>
        </is>
      </c>
      <c r="E1661" t="inlineStr">
        <is>
          <t>SOLLEFTEÅ</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41488-2022</t>
        </is>
      </c>
      <c r="B1662" s="1" t="n">
        <v>44826</v>
      </c>
      <c r="C1662" s="1" t="n">
        <v>45852</v>
      </c>
      <c r="D1662" t="inlineStr">
        <is>
          <t>VÄSTERNORRLANDS LÄN</t>
        </is>
      </c>
      <c r="E1662" t="inlineStr">
        <is>
          <t>SOLLEFTEÅ</t>
        </is>
      </c>
      <c r="F1662" t="inlineStr">
        <is>
          <t>SCA</t>
        </is>
      </c>
      <c r="G1662" t="n">
        <v>14.7</v>
      </c>
      <c r="H1662" t="n">
        <v>0</v>
      </c>
      <c r="I1662" t="n">
        <v>0</v>
      </c>
      <c r="J1662" t="n">
        <v>0</v>
      </c>
      <c r="K1662" t="n">
        <v>0</v>
      </c>
      <c r="L1662" t="n">
        <v>0</v>
      </c>
      <c r="M1662" t="n">
        <v>0</v>
      </c>
      <c r="N1662" t="n">
        <v>0</v>
      </c>
      <c r="O1662" t="n">
        <v>0</v>
      </c>
      <c r="P1662" t="n">
        <v>0</v>
      </c>
      <c r="Q1662" t="n">
        <v>0</v>
      </c>
      <c r="R1662" s="2" t="inlineStr"/>
    </row>
    <row r="1663" ht="15" customHeight="1">
      <c r="A1663" t="inlineStr">
        <is>
          <t>A 41487-2022</t>
        </is>
      </c>
      <c r="B1663" s="1" t="n">
        <v>44827</v>
      </c>
      <c r="C1663" s="1" t="n">
        <v>45852</v>
      </c>
      <c r="D1663" t="inlineStr">
        <is>
          <t>VÄSTERNORRLANDS LÄN</t>
        </is>
      </c>
      <c r="E1663" t="inlineStr">
        <is>
          <t>SOLLEFTEÅ</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41479-2022</t>
        </is>
      </c>
      <c r="B1664" s="1" t="n">
        <v>44827</v>
      </c>
      <c r="C1664" s="1" t="n">
        <v>45852</v>
      </c>
      <c r="D1664" t="inlineStr">
        <is>
          <t>VÄSTERNORRLANDS LÄN</t>
        </is>
      </c>
      <c r="E1664" t="inlineStr">
        <is>
          <t>SOLLEFTEÅ</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41813-2022</t>
        </is>
      </c>
      <c r="B1665" s="1" t="n">
        <v>44828</v>
      </c>
      <c r="C1665" s="1" t="n">
        <v>45852</v>
      </c>
      <c r="D1665" t="inlineStr">
        <is>
          <t>VÄSTERNORRLANDS LÄN</t>
        </is>
      </c>
      <c r="E1665" t="inlineStr">
        <is>
          <t>SOLLEFTEÅ</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42272-2022</t>
        </is>
      </c>
      <c r="B1666" s="1" t="n">
        <v>44831</v>
      </c>
      <c r="C1666" s="1" t="n">
        <v>45852</v>
      </c>
      <c r="D1666" t="inlineStr">
        <is>
          <t>VÄSTERNORRLANDS LÄN</t>
        </is>
      </c>
      <c r="E1666" t="inlineStr">
        <is>
          <t>SOLLEFTEÅ</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42299-2022</t>
        </is>
      </c>
      <c r="B1667" s="1" t="n">
        <v>44830</v>
      </c>
      <c r="C1667" s="1" t="n">
        <v>45852</v>
      </c>
      <c r="D1667" t="inlineStr">
        <is>
          <t>VÄSTERNORRLANDS LÄN</t>
        </is>
      </c>
      <c r="E1667" t="inlineStr">
        <is>
          <t>SOLLEFTEÅ</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42303-2022</t>
        </is>
      </c>
      <c r="B1668" s="1" t="n">
        <v>44831</v>
      </c>
      <c r="C1668" s="1" t="n">
        <v>45852</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42275-2022</t>
        </is>
      </c>
      <c r="B1669" s="1" t="n">
        <v>44830</v>
      </c>
      <c r="C1669" s="1" t="n">
        <v>45852</v>
      </c>
      <c r="D1669" t="inlineStr">
        <is>
          <t>VÄSTERNORRLANDS LÄN</t>
        </is>
      </c>
      <c r="E1669" t="inlineStr">
        <is>
          <t>SOLLEFTEÅ</t>
        </is>
      </c>
      <c r="F1669" t="inlineStr">
        <is>
          <t>SCA</t>
        </is>
      </c>
      <c r="G1669" t="n">
        <v>26.9</v>
      </c>
      <c r="H1669" t="n">
        <v>0</v>
      </c>
      <c r="I1669" t="n">
        <v>0</v>
      </c>
      <c r="J1669" t="n">
        <v>0</v>
      </c>
      <c r="K1669" t="n">
        <v>0</v>
      </c>
      <c r="L1669" t="n">
        <v>0</v>
      </c>
      <c r="M1669" t="n">
        <v>0</v>
      </c>
      <c r="N1669" t="n">
        <v>0</v>
      </c>
      <c r="O1669" t="n">
        <v>0</v>
      </c>
      <c r="P1669" t="n">
        <v>0</v>
      </c>
      <c r="Q1669" t="n">
        <v>0</v>
      </c>
      <c r="R1669" s="2" t="inlineStr"/>
    </row>
    <row r="1670" ht="15" customHeight="1">
      <c r="A1670" t="inlineStr">
        <is>
          <t>A 42300-2022</t>
        </is>
      </c>
      <c r="B1670" s="1" t="n">
        <v>44831</v>
      </c>
      <c r="C1670" s="1" t="n">
        <v>45852</v>
      </c>
      <c r="D1670" t="inlineStr">
        <is>
          <t>VÄSTERNORRLANDS LÄN</t>
        </is>
      </c>
      <c r="E1670" t="inlineStr">
        <is>
          <t>SOLLEFTEÅ</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42302-2022</t>
        </is>
      </c>
      <c r="B1671" s="1" t="n">
        <v>44830</v>
      </c>
      <c r="C1671" s="1" t="n">
        <v>45852</v>
      </c>
      <c r="D1671" t="inlineStr">
        <is>
          <t>VÄSTERNORRLANDS LÄN</t>
        </is>
      </c>
      <c r="E1671" t="inlineStr">
        <is>
          <t>SOLLEFTEÅ</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42482-2022</t>
        </is>
      </c>
      <c r="B1672" s="1" t="n">
        <v>44831</v>
      </c>
      <c r="C1672" s="1" t="n">
        <v>45852</v>
      </c>
      <c r="D1672" t="inlineStr">
        <is>
          <t>VÄSTERNORRLANDS LÄN</t>
        </is>
      </c>
      <c r="E1672" t="inlineStr">
        <is>
          <t>SOLLEFTEÅ</t>
        </is>
      </c>
      <c r="F1672" t="inlineStr">
        <is>
          <t>Holmen skog AB</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42430-2022</t>
        </is>
      </c>
      <c r="B1673" s="1" t="n">
        <v>44831</v>
      </c>
      <c r="C1673" s="1" t="n">
        <v>45852</v>
      </c>
      <c r="D1673" t="inlineStr">
        <is>
          <t>VÄSTERNORRLANDS LÄN</t>
        </is>
      </c>
      <c r="E1673" t="inlineStr">
        <is>
          <t>SOLLEFTEÅ</t>
        </is>
      </c>
      <c r="F1673" t="inlineStr">
        <is>
          <t>Holmen skog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42634-2022</t>
        </is>
      </c>
      <c r="B1674" s="1" t="n">
        <v>44832</v>
      </c>
      <c r="C1674" s="1" t="n">
        <v>45852</v>
      </c>
      <c r="D1674" t="inlineStr">
        <is>
          <t>VÄSTERNORRLANDS LÄN</t>
        </is>
      </c>
      <c r="E1674" t="inlineStr">
        <is>
          <t>SOLLEFTEÅ</t>
        </is>
      </c>
      <c r="F1674" t="inlineStr">
        <is>
          <t>SCA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42663-2022</t>
        </is>
      </c>
      <c r="B1675" s="1" t="n">
        <v>44831</v>
      </c>
      <c r="C1675" s="1" t="n">
        <v>45852</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42664-2022</t>
        </is>
      </c>
      <c r="B1676" s="1" t="n">
        <v>44831</v>
      </c>
      <c r="C1676" s="1" t="n">
        <v>45852</v>
      </c>
      <c r="D1676" t="inlineStr">
        <is>
          <t>VÄSTERNORRLANDS LÄN</t>
        </is>
      </c>
      <c r="E1676" t="inlineStr">
        <is>
          <t>SOLLEFTEÅ</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42654-2022</t>
        </is>
      </c>
      <c r="B1677" s="1" t="n">
        <v>44832</v>
      </c>
      <c r="C1677" s="1" t="n">
        <v>45852</v>
      </c>
      <c r="D1677" t="inlineStr">
        <is>
          <t>VÄSTERNORRLANDS LÄN</t>
        </is>
      </c>
      <c r="E1677" t="inlineStr">
        <is>
          <t>SOLLEFTEÅ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42771-2022</t>
        </is>
      </c>
      <c r="B1678" s="1" t="n">
        <v>44832</v>
      </c>
      <c r="C1678" s="1" t="n">
        <v>45852</v>
      </c>
      <c r="D1678" t="inlineStr">
        <is>
          <t>VÄSTERNORRLANDS LÄN</t>
        </is>
      </c>
      <c r="E1678" t="inlineStr">
        <is>
          <t>SOLLEFTEÅ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42755-2022</t>
        </is>
      </c>
      <c r="B1679" s="1" t="n">
        <v>44832</v>
      </c>
      <c r="C1679" s="1" t="n">
        <v>45852</v>
      </c>
      <c r="D1679" t="inlineStr">
        <is>
          <t>VÄSTERNORRLANDS LÄN</t>
        </is>
      </c>
      <c r="E1679" t="inlineStr">
        <is>
          <t>SOLLEFTEÅ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42885-2022</t>
        </is>
      </c>
      <c r="B1680" s="1" t="n">
        <v>44833</v>
      </c>
      <c r="C1680" s="1" t="n">
        <v>45852</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42891-2022</t>
        </is>
      </c>
      <c r="B1681" s="1" t="n">
        <v>44833</v>
      </c>
      <c r="C1681" s="1" t="n">
        <v>45852</v>
      </c>
      <c r="D1681" t="inlineStr">
        <is>
          <t>VÄSTERNORRLANDS LÄN</t>
        </is>
      </c>
      <c r="E1681" t="inlineStr">
        <is>
          <t>SOLLEFTEÅ</t>
        </is>
      </c>
      <c r="F1681" t="inlineStr">
        <is>
          <t>SCA</t>
        </is>
      </c>
      <c r="G1681" t="n">
        <v>10.1</v>
      </c>
      <c r="H1681" t="n">
        <v>0</v>
      </c>
      <c r="I1681" t="n">
        <v>0</v>
      </c>
      <c r="J1681" t="n">
        <v>0</v>
      </c>
      <c r="K1681" t="n">
        <v>0</v>
      </c>
      <c r="L1681" t="n">
        <v>0</v>
      </c>
      <c r="M1681" t="n">
        <v>0</v>
      </c>
      <c r="N1681" t="n">
        <v>0</v>
      </c>
      <c r="O1681" t="n">
        <v>0</v>
      </c>
      <c r="P1681" t="n">
        <v>0</v>
      </c>
      <c r="Q1681" t="n">
        <v>0</v>
      </c>
      <c r="R1681" s="2" t="inlineStr"/>
    </row>
    <row r="1682" ht="15" customHeight="1">
      <c r="A1682" t="inlineStr">
        <is>
          <t>A 43035-2022</t>
        </is>
      </c>
      <c r="B1682" s="1" t="n">
        <v>44833</v>
      </c>
      <c r="C1682" s="1" t="n">
        <v>45852</v>
      </c>
      <c r="D1682" t="inlineStr">
        <is>
          <t>VÄSTERNORRLANDS LÄN</t>
        </is>
      </c>
      <c r="E1682" t="inlineStr">
        <is>
          <t>SOLLEFTEÅ</t>
        </is>
      </c>
      <c r="F1682" t="inlineStr">
        <is>
          <t>Kommuner</t>
        </is>
      </c>
      <c r="G1682" t="n">
        <v>19.8</v>
      </c>
      <c r="H1682" t="n">
        <v>0</v>
      </c>
      <c r="I1682" t="n">
        <v>0</v>
      </c>
      <c r="J1682" t="n">
        <v>0</v>
      </c>
      <c r="K1682" t="n">
        <v>0</v>
      </c>
      <c r="L1682" t="n">
        <v>0</v>
      </c>
      <c r="M1682" t="n">
        <v>0</v>
      </c>
      <c r="N1682" t="n">
        <v>0</v>
      </c>
      <c r="O1682" t="n">
        <v>0</v>
      </c>
      <c r="P1682" t="n">
        <v>0</v>
      </c>
      <c r="Q1682" t="n">
        <v>0</v>
      </c>
      <c r="R1682" s="2" t="inlineStr"/>
    </row>
    <row r="1683" ht="15" customHeight="1">
      <c r="A1683" t="inlineStr">
        <is>
          <t>A 43130-2022</t>
        </is>
      </c>
      <c r="B1683" s="1" t="n">
        <v>44833</v>
      </c>
      <c r="C1683" s="1" t="n">
        <v>45852</v>
      </c>
      <c r="D1683" t="inlineStr">
        <is>
          <t>VÄSTERNORRLANDS LÄN</t>
        </is>
      </c>
      <c r="E1683" t="inlineStr">
        <is>
          <t>SOLLEFTEÅ</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43137-2022</t>
        </is>
      </c>
      <c r="B1684" s="1" t="n">
        <v>44834</v>
      </c>
      <c r="C1684" s="1" t="n">
        <v>45852</v>
      </c>
      <c r="D1684" t="inlineStr">
        <is>
          <t>VÄSTERNORRLANDS LÄN</t>
        </is>
      </c>
      <c r="E1684" t="inlineStr">
        <is>
          <t>SOLLEFTEÅ</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43124-2022</t>
        </is>
      </c>
      <c r="B1685" s="1" t="n">
        <v>44834</v>
      </c>
      <c r="C1685" s="1" t="n">
        <v>45852</v>
      </c>
      <c r="D1685" t="inlineStr">
        <is>
          <t>VÄSTERNORRLANDS LÄN</t>
        </is>
      </c>
      <c r="E1685" t="inlineStr">
        <is>
          <t>SOLLEFTEÅ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43122-2022</t>
        </is>
      </c>
      <c r="B1686" s="1" t="n">
        <v>44834</v>
      </c>
      <c r="C1686" s="1" t="n">
        <v>45852</v>
      </c>
      <c r="D1686" t="inlineStr">
        <is>
          <t>VÄSTERNORRLANDS LÄN</t>
        </is>
      </c>
      <c r="E1686" t="inlineStr">
        <is>
          <t>SOLLEFTEÅ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43148-2022</t>
        </is>
      </c>
      <c r="B1687" s="1" t="n">
        <v>44834</v>
      </c>
      <c r="C1687" s="1" t="n">
        <v>45852</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43149-2022</t>
        </is>
      </c>
      <c r="B1688" s="1" t="n">
        <v>44834</v>
      </c>
      <c r="C1688" s="1" t="n">
        <v>45852</v>
      </c>
      <c r="D1688" t="inlineStr">
        <is>
          <t>VÄSTERNORRLANDS LÄN</t>
        </is>
      </c>
      <c r="E1688" t="inlineStr">
        <is>
          <t>SOLLEFTEÅ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43442-2022</t>
        </is>
      </c>
      <c r="B1689" s="1" t="n">
        <v>44834</v>
      </c>
      <c r="C1689" s="1" t="n">
        <v>45852</v>
      </c>
      <c r="D1689" t="inlineStr">
        <is>
          <t>VÄSTERNORRLANDS LÄN</t>
        </is>
      </c>
      <c r="E1689" t="inlineStr">
        <is>
          <t>SOLLEFTEÅ</t>
        </is>
      </c>
      <c r="F1689" t="inlineStr">
        <is>
          <t>Kyrkan</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43469-2022</t>
        </is>
      </c>
      <c r="B1690" s="1" t="n">
        <v>44836</v>
      </c>
      <c r="C1690" s="1" t="n">
        <v>45852</v>
      </c>
      <c r="D1690" t="inlineStr">
        <is>
          <t>VÄSTERNORRLANDS LÄN</t>
        </is>
      </c>
      <c r="E1690" t="inlineStr">
        <is>
          <t>SOLLEFTEÅ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43774-2022</t>
        </is>
      </c>
      <c r="B1691" s="1" t="n">
        <v>44837</v>
      </c>
      <c r="C1691" s="1" t="n">
        <v>45852</v>
      </c>
      <c r="D1691" t="inlineStr">
        <is>
          <t>VÄSTERNORRLANDS LÄN</t>
        </is>
      </c>
      <c r="E1691" t="inlineStr">
        <is>
          <t>SOLLEFTEÅ</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43772-2022</t>
        </is>
      </c>
      <c r="B1692" s="1" t="n">
        <v>44837</v>
      </c>
      <c r="C1692" s="1" t="n">
        <v>45852</v>
      </c>
      <c r="D1692" t="inlineStr">
        <is>
          <t>VÄSTERNORRLANDS LÄN</t>
        </is>
      </c>
      <c r="E1692" t="inlineStr">
        <is>
          <t>SOLLEFTEÅ</t>
        </is>
      </c>
      <c r="F1692" t="inlineStr">
        <is>
          <t>Kyrkan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43762-2022</t>
        </is>
      </c>
      <c r="B1693" s="1" t="n">
        <v>44838</v>
      </c>
      <c r="C1693" s="1" t="n">
        <v>45852</v>
      </c>
      <c r="D1693" t="inlineStr">
        <is>
          <t>VÄSTERNORRLANDS LÄN</t>
        </is>
      </c>
      <c r="E1693" t="inlineStr">
        <is>
          <t>SOLLEFTEÅ</t>
        </is>
      </c>
      <c r="F1693" t="inlineStr">
        <is>
          <t>Kyrkan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43766-2022</t>
        </is>
      </c>
      <c r="B1694" s="1" t="n">
        <v>44838</v>
      </c>
      <c r="C1694" s="1" t="n">
        <v>45852</v>
      </c>
      <c r="D1694" t="inlineStr">
        <is>
          <t>VÄSTERNORRLANDS LÄN</t>
        </is>
      </c>
      <c r="E1694" t="inlineStr">
        <is>
          <t>SOLLEFTEÅ</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43782-2022</t>
        </is>
      </c>
      <c r="B1695" s="1" t="n">
        <v>44838</v>
      </c>
      <c r="C1695" s="1" t="n">
        <v>45852</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43786-2022</t>
        </is>
      </c>
      <c r="B1696" s="1" t="n">
        <v>44837</v>
      </c>
      <c r="C1696" s="1" t="n">
        <v>45852</v>
      </c>
      <c r="D1696" t="inlineStr">
        <is>
          <t>VÄSTERNORRLANDS LÄN</t>
        </is>
      </c>
      <c r="E1696" t="inlineStr">
        <is>
          <t>SOLLEFTEÅ</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44042-2022</t>
        </is>
      </c>
      <c r="B1697" s="1" t="n">
        <v>44839</v>
      </c>
      <c r="C1697" s="1" t="n">
        <v>45852</v>
      </c>
      <c r="D1697" t="inlineStr">
        <is>
          <t>VÄSTERNORRLANDS LÄN</t>
        </is>
      </c>
      <c r="E1697" t="inlineStr">
        <is>
          <t>SOLLEFTEÅ</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44285-2022</t>
        </is>
      </c>
      <c r="B1698" s="1" t="n">
        <v>44839</v>
      </c>
      <c r="C1698" s="1" t="n">
        <v>45852</v>
      </c>
      <c r="D1698" t="inlineStr">
        <is>
          <t>VÄSTERNORRLANDS LÄN</t>
        </is>
      </c>
      <c r="E1698" t="inlineStr">
        <is>
          <t>SOLLEFTEÅ</t>
        </is>
      </c>
      <c r="F1698" t="inlineStr">
        <is>
          <t>Holmen skog AB</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44438-2022</t>
        </is>
      </c>
      <c r="B1699" s="1" t="n">
        <v>44840</v>
      </c>
      <c r="C1699" s="1" t="n">
        <v>45852</v>
      </c>
      <c r="D1699" t="inlineStr">
        <is>
          <t>VÄSTERNORRLANDS LÄN</t>
        </is>
      </c>
      <c r="E1699" t="inlineStr">
        <is>
          <t>SOLLEFTEÅ</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44454-2022</t>
        </is>
      </c>
      <c r="B1700" s="1" t="n">
        <v>44840</v>
      </c>
      <c r="C1700" s="1" t="n">
        <v>45852</v>
      </c>
      <c r="D1700" t="inlineStr">
        <is>
          <t>VÄSTERNORRLANDS LÄN</t>
        </is>
      </c>
      <c r="E1700" t="inlineStr">
        <is>
          <t>SOLLEFTEÅ</t>
        </is>
      </c>
      <c r="F1700" t="inlineStr">
        <is>
          <t>SCA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44208-2022</t>
        </is>
      </c>
      <c r="B1701" s="1" t="n">
        <v>44839</v>
      </c>
      <c r="C1701" s="1" t="n">
        <v>45852</v>
      </c>
      <c r="D1701" t="inlineStr">
        <is>
          <t>VÄSTERNORRLANDS LÄN</t>
        </is>
      </c>
      <c r="E1701" t="inlineStr">
        <is>
          <t>SOLLEFTEÅ</t>
        </is>
      </c>
      <c r="F1701" t="inlineStr">
        <is>
          <t>Holmen skog AB</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44755-2022</t>
        </is>
      </c>
      <c r="B1702" s="1" t="n">
        <v>44841</v>
      </c>
      <c r="C1702" s="1" t="n">
        <v>45852</v>
      </c>
      <c r="D1702" t="inlineStr">
        <is>
          <t>VÄSTERNORRLANDS LÄN</t>
        </is>
      </c>
      <c r="E1702" t="inlineStr">
        <is>
          <t>SOLLEFTEÅ</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44762-2022</t>
        </is>
      </c>
      <c r="B1703" s="1" t="n">
        <v>44840</v>
      </c>
      <c r="C1703" s="1" t="n">
        <v>45852</v>
      </c>
      <c r="D1703" t="inlineStr">
        <is>
          <t>VÄSTERNORRLANDS LÄN</t>
        </is>
      </c>
      <c r="E1703" t="inlineStr">
        <is>
          <t>SOLLEFTEÅ</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44761-2022</t>
        </is>
      </c>
      <c r="B1704" s="1" t="n">
        <v>44840</v>
      </c>
      <c r="C1704" s="1" t="n">
        <v>45852</v>
      </c>
      <c r="D1704" t="inlineStr">
        <is>
          <t>VÄSTERNORRLANDS LÄN</t>
        </is>
      </c>
      <c r="E1704" t="inlineStr">
        <is>
          <t>SOLLEFTEÅ</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44805-2022</t>
        </is>
      </c>
      <c r="B1705" s="1" t="n">
        <v>44841</v>
      </c>
      <c r="C1705" s="1" t="n">
        <v>45852</v>
      </c>
      <c r="D1705" t="inlineStr">
        <is>
          <t>VÄSTERNORRLANDS LÄN</t>
        </is>
      </c>
      <c r="E1705" t="inlineStr">
        <is>
          <t>SOLLEFTEÅ</t>
        </is>
      </c>
      <c r="F1705" t="inlineStr">
        <is>
          <t>Holmen skog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45119-2022</t>
        </is>
      </c>
      <c r="B1706" s="1" t="n">
        <v>44843</v>
      </c>
      <c r="C1706" s="1" t="n">
        <v>45852</v>
      </c>
      <c r="D1706" t="inlineStr">
        <is>
          <t>VÄSTERNORRLANDS LÄN</t>
        </is>
      </c>
      <c r="E1706" t="inlineStr">
        <is>
          <t>SOLLEFTEÅ</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45117-2022</t>
        </is>
      </c>
      <c r="B1707" s="1" t="n">
        <v>44844</v>
      </c>
      <c r="C1707" s="1" t="n">
        <v>45852</v>
      </c>
      <c r="D1707" t="inlineStr">
        <is>
          <t>VÄSTERNORRLANDS LÄN</t>
        </is>
      </c>
      <c r="E1707" t="inlineStr">
        <is>
          <t>SOLLEFTEÅ</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45121-2022</t>
        </is>
      </c>
      <c r="B1708" s="1" t="n">
        <v>44844</v>
      </c>
      <c r="C1708" s="1" t="n">
        <v>45852</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45120-2022</t>
        </is>
      </c>
      <c r="B1709" s="1" t="n">
        <v>44843</v>
      </c>
      <c r="C1709" s="1" t="n">
        <v>45852</v>
      </c>
      <c r="D1709" t="inlineStr">
        <is>
          <t>VÄSTERNORRLANDS LÄN</t>
        </is>
      </c>
      <c r="E1709" t="inlineStr">
        <is>
          <t>SOLLEFTEÅ</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45118-2022</t>
        </is>
      </c>
      <c r="B1710" s="1" t="n">
        <v>44843</v>
      </c>
      <c r="C1710" s="1" t="n">
        <v>45852</v>
      </c>
      <c r="D1710" t="inlineStr">
        <is>
          <t>VÄSTERNORRLANDS LÄN</t>
        </is>
      </c>
      <c r="E1710" t="inlineStr">
        <is>
          <t>SOLLEFTEÅ</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45419-2022</t>
        </is>
      </c>
      <c r="B1711" s="1" t="n">
        <v>44844</v>
      </c>
      <c r="C1711" s="1" t="n">
        <v>45852</v>
      </c>
      <c r="D1711" t="inlineStr">
        <is>
          <t>VÄSTERNORRLANDS LÄN</t>
        </is>
      </c>
      <c r="E1711" t="inlineStr">
        <is>
          <t>SOLLEFTEÅ</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45423-2022</t>
        </is>
      </c>
      <c r="B1712" s="1" t="n">
        <v>44845</v>
      </c>
      <c r="C1712" s="1" t="n">
        <v>45852</v>
      </c>
      <c r="D1712" t="inlineStr">
        <is>
          <t>VÄSTERNORRLANDS LÄN</t>
        </is>
      </c>
      <c r="E1712" t="inlineStr">
        <is>
          <t>SOLLEFTEÅ</t>
        </is>
      </c>
      <c r="F1712" t="inlineStr">
        <is>
          <t>SCA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46130-2022</t>
        </is>
      </c>
      <c r="B1713" s="1" t="n">
        <v>44844</v>
      </c>
      <c r="C1713" s="1" t="n">
        <v>45852</v>
      </c>
      <c r="D1713" t="inlineStr">
        <is>
          <t>VÄSTERNORRLANDS LÄN</t>
        </is>
      </c>
      <c r="E1713" t="inlineStr">
        <is>
          <t>SOLLEFTEÅ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45719-2022</t>
        </is>
      </c>
      <c r="B1714" s="1" t="n">
        <v>44846</v>
      </c>
      <c r="C1714" s="1" t="n">
        <v>45852</v>
      </c>
      <c r="D1714" t="inlineStr">
        <is>
          <t>VÄSTERNORRLANDS LÄN</t>
        </is>
      </c>
      <c r="E1714" t="inlineStr">
        <is>
          <t>SOLLEFTEÅ</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46039-2022</t>
        </is>
      </c>
      <c r="B1715" s="1" t="n">
        <v>44847</v>
      </c>
      <c r="C1715" s="1" t="n">
        <v>45852</v>
      </c>
      <c r="D1715" t="inlineStr">
        <is>
          <t>VÄSTERNORRLANDS LÄN</t>
        </is>
      </c>
      <c r="E1715" t="inlineStr">
        <is>
          <t>SOLLEFTEÅ</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46032-2022</t>
        </is>
      </c>
      <c r="B1716" s="1" t="n">
        <v>44846</v>
      </c>
      <c r="C1716" s="1" t="n">
        <v>45852</v>
      </c>
      <c r="D1716" t="inlineStr">
        <is>
          <t>VÄSTERNORRLANDS LÄN</t>
        </is>
      </c>
      <c r="E1716" t="inlineStr">
        <is>
          <t>SOLLEFTEÅ</t>
        </is>
      </c>
      <c r="F1716" t="inlineStr">
        <is>
          <t>SCA</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46036-2022</t>
        </is>
      </c>
      <c r="B1717" s="1" t="n">
        <v>44846</v>
      </c>
      <c r="C1717" s="1" t="n">
        <v>45852</v>
      </c>
      <c r="D1717" t="inlineStr">
        <is>
          <t>VÄSTERNORRLANDS LÄN</t>
        </is>
      </c>
      <c r="E1717" t="inlineStr">
        <is>
          <t>SOLLEFTEÅ</t>
        </is>
      </c>
      <c r="F1717" t="inlineStr">
        <is>
          <t>SCA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46052-2022</t>
        </is>
      </c>
      <c r="B1718" s="1" t="n">
        <v>44846</v>
      </c>
      <c r="C1718" s="1" t="n">
        <v>45852</v>
      </c>
      <c r="D1718" t="inlineStr">
        <is>
          <t>VÄSTERNORRLANDS LÄN</t>
        </is>
      </c>
      <c r="E1718" t="inlineStr">
        <is>
          <t>SOLLEFTEÅ</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46053-2022</t>
        </is>
      </c>
      <c r="B1719" s="1" t="n">
        <v>44846</v>
      </c>
      <c r="C1719" s="1" t="n">
        <v>45852</v>
      </c>
      <c r="D1719" t="inlineStr">
        <is>
          <t>VÄSTERNORRLANDS LÄN</t>
        </is>
      </c>
      <c r="E1719" t="inlineStr">
        <is>
          <t>SOLLEFTEÅ</t>
        </is>
      </c>
      <c r="F1719" t="inlineStr">
        <is>
          <t>SCA</t>
        </is>
      </c>
      <c r="G1719" t="n">
        <v>9.5</v>
      </c>
      <c r="H1719" t="n">
        <v>0</v>
      </c>
      <c r="I1719" t="n">
        <v>0</v>
      </c>
      <c r="J1719" t="n">
        <v>0</v>
      </c>
      <c r="K1719" t="n">
        <v>0</v>
      </c>
      <c r="L1719" t="n">
        <v>0</v>
      </c>
      <c r="M1719" t="n">
        <v>0</v>
      </c>
      <c r="N1719" t="n">
        <v>0</v>
      </c>
      <c r="O1719" t="n">
        <v>0</v>
      </c>
      <c r="P1719" t="n">
        <v>0</v>
      </c>
      <c r="Q1719" t="n">
        <v>0</v>
      </c>
      <c r="R1719" s="2" t="inlineStr"/>
    </row>
    <row r="1720" ht="15" customHeight="1">
      <c r="A1720" t="inlineStr">
        <is>
          <t>A 46324-2022</t>
        </is>
      </c>
      <c r="B1720" s="1" t="n">
        <v>44847</v>
      </c>
      <c r="C1720" s="1" t="n">
        <v>45852</v>
      </c>
      <c r="D1720" t="inlineStr">
        <is>
          <t>VÄSTERNORRLANDS LÄN</t>
        </is>
      </c>
      <c r="E1720" t="inlineStr">
        <is>
          <t>SOLLEFTEÅ</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46626-2022</t>
        </is>
      </c>
      <c r="B1721" s="1" t="n">
        <v>44848</v>
      </c>
      <c r="C1721" s="1" t="n">
        <v>45852</v>
      </c>
      <c r="D1721" t="inlineStr">
        <is>
          <t>VÄSTERNORRLANDS LÄN</t>
        </is>
      </c>
      <c r="E1721" t="inlineStr">
        <is>
          <t>SOLLEFTEÅ</t>
        </is>
      </c>
      <c r="F1721" t="inlineStr">
        <is>
          <t>SCA</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46616-2022</t>
        </is>
      </c>
      <c r="B1722" s="1" t="n">
        <v>44848</v>
      </c>
      <c r="C1722" s="1" t="n">
        <v>45852</v>
      </c>
      <c r="D1722" t="inlineStr">
        <is>
          <t>VÄSTERNORRLANDS LÄN</t>
        </is>
      </c>
      <c r="E1722" t="inlineStr">
        <is>
          <t>SOLLEFTEÅ</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46664-2022</t>
        </is>
      </c>
      <c r="B1723" s="1" t="n">
        <v>44851</v>
      </c>
      <c r="C1723" s="1" t="n">
        <v>45852</v>
      </c>
      <c r="D1723" t="inlineStr">
        <is>
          <t>VÄSTERNORRLANDS LÄN</t>
        </is>
      </c>
      <c r="E1723" t="inlineStr">
        <is>
          <t>SOLLEFTEÅ</t>
        </is>
      </c>
      <c r="F1723" t="inlineStr">
        <is>
          <t>SCA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46871-2022</t>
        </is>
      </c>
      <c r="B1724" s="1" t="n">
        <v>44851</v>
      </c>
      <c r="C1724" s="1" t="n">
        <v>45852</v>
      </c>
      <c r="D1724" t="inlineStr">
        <is>
          <t>VÄSTERNORRLANDS LÄN</t>
        </is>
      </c>
      <c r="E1724" t="inlineStr">
        <is>
          <t>SOLLEFTEÅ</t>
        </is>
      </c>
      <c r="F1724" t="inlineStr">
        <is>
          <t>Kyrkan</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46880-2022</t>
        </is>
      </c>
      <c r="B1725" s="1" t="n">
        <v>44851</v>
      </c>
      <c r="C1725" s="1" t="n">
        <v>45852</v>
      </c>
      <c r="D1725" t="inlineStr">
        <is>
          <t>VÄSTERNORRLANDS LÄN</t>
        </is>
      </c>
      <c r="E1725" t="inlineStr">
        <is>
          <t>SOLLEFTEÅ</t>
        </is>
      </c>
      <c r="F1725" t="inlineStr">
        <is>
          <t>Kyrkan</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46986-2022</t>
        </is>
      </c>
      <c r="B1726" s="1" t="n">
        <v>44851</v>
      </c>
      <c r="C1726" s="1" t="n">
        <v>45852</v>
      </c>
      <c r="D1726" t="inlineStr">
        <is>
          <t>VÄSTERNORRLANDS LÄN</t>
        </is>
      </c>
      <c r="E1726" t="inlineStr">
        <is>
          <t>SOLLEFTEÅ</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46985-2022</t>
        </is>
      </c>
      <c r="B1727" s="1" t="n">
        <v>44851</v>
      </c>
      <c r="C1727" s="1" t="n">
        <v>45852</v>
      </c>
      <c r="D1727" t="inlineStr">
        <is>
          <t>VÄSTERNORRLANDS LÄN</t>
        </is>
      </c>
      <c r="E1727" t="inlineStr">
        <is>
          <t>SOLLEFTEÅ</t>
        </is>
      </c>
      <c r="F1727" t="inlineStr">
        <is>
          <t>Kyrkan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47250-2022</t>
        </is>
      </c>
      <c r="B1728" s="1" t="n">
        <v>44852</v>
      </c>
      <c r="C1728" s="1" t="n">
        <v>45852</v>
      </c>
      <c r="D1728" t="inlineStr">
        <is>
          <t>VÄSTERNORRLANDS LÄN</t>
        </is>
      </c>
      <c r="E1728" t="inlineStr">
        <is>
          <t>SOLLEFTEÅ</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47268-2022</t>
        </is>
      </c>
      <c r="B1729" s="1" t="n">
        <v>44853</v>
      </c>
      <c r="C1729" s="1" t="n">
        <v>45852</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47269-2022</t>
        </is>
      </c>
      <c r="B1730" s="1" t="n">
        <v>44853</v>
      </c>
      <c r="C1730" s="1" t="n">
        <v>45852</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47272-2022</t>
        </is>
      </c>
      <c r="B1731" s="1" t="n">
        <v>44853</v>
      </c>
      <c r="C1731" s="1" t="n">
        <v>45852</v>
      </c>
      <c r="D1731" t="inlineStr">
        <is>
          <t>VÄSTERNORRLANDS LÄN</t>
        </is>
      </c>
      <c r="E1731" t="inlineStr">
        <is>
          <t>SOLLEFTEÅ</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47564-2022</t>
        </is>
      </c>
      <c r="B1732" s="1" t="n">
        <v>44854</v>
      </c>
      <c r="C1732" s="1" t="n">
        <v>45852</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47580-2022</t>
        </is>
      </c>
      <c r="B1733" s="1" t="n">
        <v>44854</v>
      </c>
      <c r="C1733" s="1" t="n">
        <v>45852</v>
      </c>
      <c r="D1733" t="inlineStr">
        <is>
          <t>VÄSTERNORRLANDS LÄN</t>
        </is>
      </c>
      <c r="E1733" t="inlineStr">
        <is>
          <t>SOLLEFTEÅ</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47787-2022</t>
        </is>
      </c>
      <c r="B1734" s="1" t="n">
        <v>44855</v>
      </c>
      <c r="C1734" s="1" t="n">
        <v>45852</v>
      </c>
      <c r="D1734" t="inlineStr">
        <is>
          <t>VÄSTERNORRLANDS LÄN</t>
        </is>
      </c>
      <c r="E1734" t="inlineStr">
        <is>
          <t>SOLLEFTEÅ</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47814-2022</t>
        </is>
      </c>
      <c r="B1735" s="1" t="n">
        <v>44855</v>
      </c>
      <c r="C1735" s="1" t="n">
        <v>45852</v>
      </c>
      <c r="D1735" t="inlineStr">
        <is>
          <t>VÄSTERNORRLANDS LÄN</t>
        </is>
      </c>
      <c r="E1735" t="inlineStr">
        <is>
          <t>SOLLEFTEÅ</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47812-2022</t>
        </is>
      </c>
      <c r="B1736" s="1" t="n">
        <v>44855</v>
      </c>
      <c r="C1736" s="1" t="n">
        <v>45852</v>
      </c>
      <c r="D1736" t="inlineStr">
        <is>
          <t>VÄSTERNORRLANDS LÄN</t>
        </is>
      </c>
      <c r="E1736" t="inlineStr">
        <is>
          <t>SOLLEFTEÅ</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47875-2022</t>
        </is>
      </c>
      <c r="B1737" s="1" t="n">
        <v>44855</v>
      </c>
      <c r="C1737" s="1" t="n">
        <v>45852</v>
      </c>
      <c r="D1737" t="inlineStr">
        <is>
          <t>VÄSTERNORRLANDS LÄN</t>
        </is>
      </c>
      <c r="E1737" t="inlineStr">
        <is>
          <t>SOLLEFTEÅ</t>
        </is>
      </c>
      <c r="F1737" t="inlineStr">
        <is>
          <t>Holmen skog AB</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48056-2022</t>
        </is>
      </c>
      <c r="B1738" s="1" t="n">
        <v>44856</v>
      </c>
      <c r="C1738" s="1" t="n">
        <v>45852</v>
      </c>
      <c r="D1738" t="inlineStr">
        <is>
          <t>VÄSTERNORRLANDS LÄN</t>
        </is>
      </c>
      <c r="E1738" t="inlineStr">
        <is>
          <t>SOLLEFTEÅ</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48064-2022</t>
        </is>
      </c>
      <c r="B1739" s="1" t="n">
        <v>44856</v>
      </c>
      <c r="C1739" s="1" t="n">
        <v>45852</v>
      </c>
      <c r="D1739" t="inlineStr">
        <is>
          <t>VÄSTERNORRLANDS LÄN</t>
        </is>
      </c>
      <c r="E1739" t="inlineStr">
        <is>
          <t>SOLLEFTEÅ</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48067-2022</t>
        </is>
      </c>
      <c r="B1740" s="1" t="n">
        <v>44855</v>
      </c>
      <c r="C1740" s="1" t="n">
        <v>45852</v>
      </c>
      <c r="D1740" t="inlineStr">
        <is>
          <t>VÄSTERNORRLANDS LÄN</t>
        </is>
      </c>
      <c r="E1740" t="inlineStr">
        <is>
          <t>SOLLEFTEÅ</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48062-2022</t>
        </is>
      </c>
      <c r="B1741" s="1" t="n">
        <v>44856</v>
      </c>
      <c r="C1741" s="1" t="n">
        <v>45852</v>
      </c>
      <c r="D1741" t="inlineStr">
        <is>
          <t>VÄSTERNORRLANDS LÄN</t>
        </is>
      </c>
      <c r="E1741" t="inlineStr">
        <is>
          <t>SOLLEFTEÅ</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47826-2022</t>
        </is>
      </c>
      <c r="B1742" s="1" t="n">
        <v>44855</v>
      </c>
      <c r="C1742" s="1" t="n">
        <v>45852</v>
      </c>
      <c r="D1742" t="inlineStr">
        <is>
          <t>VÄSTERNORRLANDS LÄN</t>
        </is>
      </c>
      <c r="E1742" t="inlineStr">
        <is>
          <t>SOLLEFTEÅ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48057-2022</t>
        </is>
      </c>
      <c r="B1743" s="1" t="n">
        <v>44856</v>
      </c>
      <c r="C1743" s="1" t="n">
        <v>45852</v>
      </c>
      <c r="D1743" t="inlineStr">
        <is>
          <t>VÄSTERNORRLANDS LÄN</t>
        </is>
      </c>
      <c r="E1743" t="inlineStr">
        <is>
          <t>SOLLEFTEÅ</t>
        </is>
      </c>
      <c r="F1743" t="inlineStr">
        <is>
          <t>SCA</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48065-2022</t>
        </is>
      </c>
      <c r="B1744" s="1" t="n">
        <v>44856</v>
      </c>
      <c r="C1744" s="1" t="n">
        <v>45852</v>
      </c>
      <c r="D1744" t="inlineStr">
        <is>
          <t>VÄSTERNORRLANDS LÄN</t>
        </is>
      </c>
      <c r="E1744" t="inlineStr">
        <is>
          <t>SOLLEFTEÅ</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48738-2022</t>
        </is>
      </c>
      <c r="B1745" s="1" t="n">
        <v>44855</v>
      </c>
      <c r="C1745" s="1" t="n">
        <v>45852</v>
      </c>
      <c r="D1745" t="inlineStr">
        <is>
          <t>VÄSTERNORRLANDS LÄN</t>
        </is>
      </c>
      <c r="E1745" t="inlineStr">
        <is>
          <t>SOLLEFTEÅ</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48240-2022</t>
        </is>
      </c>
      <c r="B1746" s="1" t="n">
        <v>44858</v>
      </c>
      <c r="C1746" s="1" t="n">
        <v>45852</v>
      </c>
      <c r="D1746" t="inlineStr">
        <is>
          <t>VÄSTERNORRLANDS LÄN</t>
        </is>
      </c>
      <c r="E1746" t="inlineStr">
        <is>
          <t>SOLLEFTEÅ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48511-2022</t>
        </is>
      </c>
      <c r="B1747" s="1" t="n">
        <v>44859</v>
      </c>
      <c r="C1747" s="1" t="n">
        <v>45852</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48512-2022</t>
        </is>
      </c>
      <c r="B1748" s="1" t="n">
        <v>44859</v>
      </c>
      <c r="C1748" s="1" t="n">
        <v>45852</v>
      </c>
      <c r="D1748" t="inlineStr">
        <is>
          <t>VÄSTERNORRLANDS LÄN</t>
        </is>
      </c>
      <c r="E1748" t="inlineStr">
        <is>
          <t>SOLLEFTEÅ</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48519-2022</t>
        </is>
      </c>
      <c r="B1749" s="1" t="n">
        <v>44858</v>
      </c>
      <c r="C1749" s="1" t="n">
        <v>45852</v>
      </c>
      <c r="D1749" t="inlineStr">
        <is>
          <t>VÄSTERNORRLANDS LÄN</t>
        </is>
      </c>
      <c r="E1749" t="inlineStr">
        <is>
          <t>SOLLEFTEÅ</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48296-2022</t>
        </is>
      </c>
      <c r="B1750" s="1" t="n">
        <v>44858</v>
      </c>
      <c r="C1750" s="1" t="n">
        <v>45852</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48510-2022</t>
        </is>
      </c>
      <c r="B1751" s="1" t="n">
        <v>44858</v>
      </c>
      <c r="C1751" s="1" t="n">
        <v>45852</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48535-2022</t>
        </is>
      </c>
      <c r="B1752" s="1" t="n">
        <v>44859</v>
      </c>
      <c r="C1752" s="1" t="n">
        <v>45852</v>
      </c>
      <c r="D1752" t="inlineStr">
        <is>
          <t>VÄSTERNORRLANDS LÄN</t>
        </is>
      </c>
      <c r="E1752" t="inlineStr">
        <is>
          <t>SOLLEFTEÅ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48513-2022</t>
        </is>
      </c>
      <c r="B1753" s="1" t="n">
        <v>44859</v>
      </c>
      <c r="C1753" s="1" t="n">
        <v>45852</v>
      </c>
      <c r="D1753" t="inlineStr">
        <is>
          <t>VÄSTERNORRLANDS LÄN</t>
        </is>
      </c>
      <c r="E1753" t="inlineStr">
        <is>
          <t>SOLLEFTEÅ</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48905-2022</t>
        </is>
      </c>
      <c r="B1754" s="1" t="n">
        <v>44859</v>
      </c>
      <c r="C1754" s="1" t="n">
        <v>45852</v>
      </c>
      <c r="D1754" t="inlineStr">
        <is>
          <t>VÄSTERNORRLANDS LÄN</t>
        </is>
      </c>
      <c r="E1754" t="inlineStr">
        <is>
          <t>SOLLEFTEÅ</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48915-2022</t>
        </is>
      </c>
      <c r="B1755" s="1" t="n">
        <v>44860</v>
      </c>
      <c r="C1755" s="1" t="n">
        <v>45852</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48919-2022</t>
        </is>
      </c>
      <c r="B1756" s="1" t="n">
        <v>44859</v>
      </c>
      <c r="C1756" s="1" t="n">
        <v>45852</v>
      </c>
      <c r="D1756" t="inlineStr">
        <is>
          <t>VÄSTERNORRLANDS LÄN</t>
        </is>
      </c>
      <c r="E1756" t="inlineStr">
        <is>
          <t>SOLLEFTEÅ</t>
        </is>
      </c>
      <c r="F1756" t="inlineStr">
        <is>
          <t>SCA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48901-2022</t>
        </is>
      </c>
      <c r="B1757" s="1" t="n">
        <v>44860</v>
      </c>
      <c r="C1757" s="1" t="n">
        <v>45852</v>
      </c>
      <c r="D1757" t="inlineStr">
        <is>
          <t>VÄSTERNORRLANDS LÄN</t>
        </is>
      </c>
      <c r="E1757" t="inlineStr">
        <is>
          <t>SOLLEFTEÅ</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48913-2022</t>
        </is>
      </c>
      <c r="B1758" s="1" t="n">
        <v>44860</v>
      </c>
      <c r="C1758" s="1" t="n">
        <v>45852</v>
      </c>
      <c r="D1758" t="inlineStr">
        <is>
          <t>VÄSTERNORRLANDS LÄN</t>
        </is>
      </c>
      <c r="E1758" t="inlineStr">
        <is>
          <t>SOLLEFTEÅ</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48923-2022</t>
        </is>
      </c>
      <c r="B1759" s="1" t="n">
        <v>44860</v>
      </c>
      <c r="C1759" s="1" t="n">
        <v>45852</v>
      </c>
      <c r="D1759" t="inlineStr">
        <is>
          <t>VÄSTERNORRLANDS LÄN</t>
        </is>
      </c>
      <c r="E1759" t="inlineStr">
        <is>
          <t>SOLLEFTEÅ</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48902-2022</t>
        </is>
      </c>
      <c r="B1760" s="1" t="n">
        <v>44859</v>
      </c>
      <c r="C1760" s="1" t="n">
        <v>45852</v>
      </c>
      <c r="D1760" t="inlineStr">
        <is>
          <t>VÄSTERNORRLANDS LÄN</t>
        </is>
      </c>
      <c r="E1760" t="inlineStr">
        <is>
          <t>SOLLEFTEÅ</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48914-2022</t>
        </is>
      </c>
      <c r="B1761" s="1" t="n">
        <v>44860</v>
      </c>
      <c r="C1761" s="1" t="n">
        <v>45852</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49694-2022</t>
        </is>
      </c>
      <c r="B1762" s="1" t="n">
        <v>44859</v>
      </c>
      <c r="C1762" s="1" t="n">
        <v>45852</v>
      </c>
      <c r="D1762" t="inlineStr">
        <is>
          <t>VÄSTERNORRLANDS LÄN</t>
        </is>
      </c>
      <c r="E1762" t="inlineStr">
        <is>
          <t>SOLLEFTEÅ</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49708-2022</t>
        </is>
      </c>
      <c r="B1763" s="1" t="n">
        <v>44859</v>
      </c>
      <c r="C1763" s="1" t="n">
        <v>45852</v>
      </c>
      <c r="D1763" t="inlineStr">
        <is>
          <t>VÄSTERNORRLANDS LÄN</t>
        </is>
      </c>
      <c r="E1763" t="inlineStr">
        <is>
          <t>SOLLEFTEÅ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49176-2022</t>
        </is>
      </c>
      <c r="B1764" s="1" t="n">
        <v>44861</v>
      </c>
      <c r="C1764" s="1" t="n">
        <v>45852</v>
      </c>
      <c r="D1764" t="inlineStr">
        <is>
          <t>VÄSTERNORRLANDS LÄN</t>
        </is>
      </c>
      <c r="E1764" t="inlineStr">
        <is>
          <t>SOLLEFTEÅ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49181-2022</t>
        </is>
      </c>
      <c r="B1765" s="1" t="n">
        <v>44861</v>
      </c>
      <c r="C1765" s="1" t="n">
        <v>45852</v>
      </c>
      <c r="D1765" t="inlineStr">
        <is>
          <t>VÄSTERNORRLANDS LÄN</t>
        </is>
      </c>
      <c r="E1765" t="inlineStr">
        <is>
          <t>SOLLEFTEÅ</t>
        </is>
      </c>
      <c r="F1765" t="inlineStr">
        <is>
          <t>SCA</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49170-2022</t>
        </is>
      </c>
      <c r="B1766" s="1" t="n">
        <v>44861</v>
      </c>
      <c r="C1766" s="1" t="n">
        <v>45852</v>
      </c>
      <c r="D1766" t="inlineStr">
        <is>
          <t>VÄSTERNORRLANDS LÄN</t>
        </is>
      </c>
      <c r="E1766" t="inlineStr">
        <is>
          <t>SOLLEFTEÅ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49198-2022</t>
        </is>
      </c>
      <c r="B1767" s="1" t="n">
        <v>44860</v>
      </c>
      <c r="C1767" s="1" t="n">
        <v>45852</v>
      </c>
      <c r="D1767" t="inlineStr">
        <is>
          <t>VÄSTERNORRLANDS LÄN</t>
        </is>
      </c>
      <c r="E1767" t="inlineStr">
        <is>
          <t>SOLLEFTEÅ</t>
        </is>
      </c>
      <c r="F1767" t="inlineStr">
        <is>
          <t>SCA</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49177-2022</t>
        </is>
      </c>
      <c r="B1768" s="1" t="n">
        <v>44861</v>
      </c>
      <c r="C1768" s="1" t="n">
        <v>45852</v>
      </c>
      <c r="D1768" t="inlineStr">
        <is>
          <t>VÄSTERNORRLANDS LÄN</t>
        </is>
      </c>
      <c r="E1768" t="inlineStr">
        <is>
          <t>SOLLEFTEÅ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49171-2022</t>
        </is>
      </c>
      <c r="B1769" s="1" t="n">
        <v>44861</v>
      </c>
      <c r="C1769" s="1" t="n">
        <v>45852</v>
      </c>
      <c r="D1769" t="inlineStr">
        <is>
          <t>VÄSTERNORRLANDS LÄN</t>
        </is>
      </c>
      <c r="E1769" t="inlineStr">
        <is>
          <t>SOLLEFTEÅ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49175-2022</t>
        </is>
      </c>
      <c r="B1770" s="1" t="n">
        <v>44861</v>
      </c>
      <c r="C1770" s="1" t="n">
        <v>45852</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49200-2022</t>
        </is>
      </c>
      <c r="B1771" s="1" t="n">
        <v>44861</v>
      </c>
      <c r="C1771" s="1" t="n">
        <v>45852</v>
      </c>
      <c r="D1771" t="inlineStr">
        <is>
          <t>VÄSTERNORRLANDS LÄN</t>
        </is>
      </c>
      <c r="E1771" t="inlineStr">
        <is>
          <t>SOLLEFTEÅ</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49520-2022</t>
        </is>
      </c>
      <c r="B1772" s="1" t="n">
        <v>44862</v>
      </c>
      <c r="C1772" s="1" t="n">
        <v>45852</v>
      </c>
      <c r="D1772" t="inlineStr">
        <is>
          <t>VÄSTERNORRLANDS LÄN</t>
        </is>
      </c>
      <c r="E1772" t="inlineStr">
        <is>
          <t>SOLLEFTEÅ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49513-2022</t>
        </is>
      </c>
      <c r="B1773" s="1" t="n">
        <v>44862</v>
      </c>
      <c r="C1773" s="1" t="n">
        <v>45852</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49512-2022</t>
        </is>
      </c>
      <c r="B1774" s="1" t="n">
        <v>44861</v>
      </c>
      <c r="C1774" s="1" t="n">
        <v>45852</v>
      </c>
      <c r="D1774" t="inlineStr">
        <is>
          <t>VÄSTERNORRLANDS LÄN</t>
        </is>
      </c>
      <c r="E1774" t="inlineStr">
        <is>
          <t>SOLLEFTEÅ</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49521-2022</t>
        </is>
      </c>
      <c r="B1775" s="1" t="n">
        <v>44861</v>
      </c>
      <c r="C1775" s="1" t="n">
        <v>45852</v>
      </c>
      <c r="D1775" t="inlineStr">
        <is>
          <t>VÄSTERNORRLANDS LÄN</t>
        </is>
      </c>
      <c r="E1775" t="inlineStr">
        <is>
          <t>SOLLEFTEÅ</t>
        </is>
      </c>
      <c r="F1775" t="inlineStr">
        <is>
          <t>SCA</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49538-2022</t>
        </is>
      </c>
      <c r="B1776" s="1" t="n">
        <v>44861</v>
      </c>
      <c r="C1776" s="1" t="n">
        <v>45852</v>
      </c>
      <c r="D1776" t="inlineStr">
        <is>
          <t>VÄSTERNORRLANDS LÄN</t>
        </is>
      </c>
      <c r="E1776" t="inlineStr">
        <is>
          <t>SOLLEFTEÅ</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49665-2022</t>
        </is>
      </c>
      <c r="B1777" s="1" t="n">
        <v>44862</v>
      </c>
      <c r="C1777" s="1" t="n">
        <v>45852</v>
      </c>
      <c r="D1777" t="inlineStr">
        <is>
          <t>VÄSTERNORRLANDS LÄN</t>
        </is>
      </c>
      <c r="E1777" t="inlineStr">
        <is>
          <t>SOLLEFTEÅ</t>
        </is>
      </c>
      <c r="F1777" t="inlineStr">
        <is>
          <t>Holmen skog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49860-2022</t>
        </is>
      </c>
      <c r="B1778" s="1" t="n">
        <v>44862</v>
      </c>
      <c r="C1778" s="1" t="n">
        <v>45852</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49866-2022</t>
        </is>
      </c>
      <c r="B1779" s="1" t="n">
        <v>44863</v>
      </c>
      <c r="C1779" s="1" t="n">
        <v>45852</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50813-2022</t>
        </is>
      </c>
      <c r="B1780" s="1" t="n">
        <v>44862</v>
      </c>
      <c r="C1780" s="1" t="n">
        <v>45852</v>
      </c>
      <c r="D1780" t="inlineStr">
        <is>
          <t>VÄSTERNORRLANDS LÄN</t>
        </is>
      </c>
      <c r="E1780" t="inlineStr">
        <is>
          <t>SOLLEFTEÅ</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50825-2022</t>
        </is>
      </c>
      <c r="B1781" s="1" t="n">
        <v>44862</v>
      </c>
      <c r="C1781" s="1" t="n">
        <v>45852</v>
      </c>
      <c r="D1781" t="inlineStr">
        <is>
          <t>VÄSTERNORRLANDS LÄN</t>
        </is>
      </c>
      <c r="E1781" t="inlineStr">
        <is>
          <t>SOLLEFTEÅ</t>
        </is>
      </c>
      <c r="F1781" t="inlineStr">
        <is>
          <t>Övriga statliga verk och myndigheter</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49911-2022</t>
        </is>
      </c>
      <c r="B1782" s="1" t="n">
        <v>44865</v>
      </c>
      <c r="C1782" s="1" t="n">
        <v>45852</v>
      </c>
      <c r="D1782" t="inlineStr">
        <is>
          <t>VÄSTERNORRLANDS LÄN</t>
        </is>
      </c>
      <c r="E1782" t="inlineStr">
        <is>
          <t>SOLLEFTEÅ</t>
        </is>
      </c>
      <c r="F1782" t="inlineStr">
        <is>
          <t>Holmen skog AB</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50318-2022</t>
        </is>
      </c>
      <c r="B1783" s="1" t="n">
        <v>44865</v>
      </c>
      <c r="C1783" s="1" t="n">
        <v>45852</v>
      </c>
      <c r="D1783" t="inlineStr">
        <is>
          <t>VÄSTERNORRLANDS LÄN</t>
        </is>
      </c>
      <c r="E1783" t="inlineStr">
        <is>
          <t>SOLLEFTEÅ</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51080-2022</t>
        </is>
      </c>
      <c r="B1784" s="1" t="n">
        <v>44865</v>
      </c>
      <c r="C1784" s="1" t="n">
        <v>45852</v>
      </c>
      <c r="D1784" t="inlineStr">
        <is>
          <t>VÄSTERNORRLANDS LÄN</t>
        </is>
      </c>
      <c r="E1784" t="inlineStr">
        <is>
          <t>SOLLEFTEÅ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50641-2022</t>
        </is>
      </c>
      <c r="B1785" s="1" t="n">
        <v>44866</v>
      </c>
      <c r="C1785" s="1" t="n">
        <v>45852</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50642-2022</t>
        </is>
      </c>
      <c r="B1786" s="1" t="n">
        <v>44866</v>
      </c>
      <c r="C1786" s="1" t="n">
        <v>45852</v>
      </c>
      <c r="D1786" t="inlineStr">
        <is>
          <t>VÄSTERNORRLANDS LÄN</t>
        </is>
      </c>
      <c r="E1786" t="inlineStr">
        <is>
          <t>SOLLEFTEÅ</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50655-2022</t>
        </is>
      </c>
      <c r="B1787" s="1" t="n">
        <v>44866</v>
      </c>
      <c r="C1787" s="1" t="n">
        <v>45852</v>
      </c>
      <c r="D1787" t="inlineStr">
        <is>
          <t>VÄSTERNORRLANDS LÄN</t>
        </is>
      </c>
      <c r="E1787" t="inlineStr">
        <is>
          <t>SOLLEFTEÅ</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50656-2022</t>
        </is>
      </c>
      <c r="B1788" s="1" t="n">
        <v>44866</v>
      </c>
      <c r="C1788" s="1" t="n">
        <v>45852</v>
      </c>
      <c r="D1788" t="inlineStr">
        <is>
          <t>VÄSTERNORRLANDS LÄN</t>
        </is>
      </c>
      <c r="E1788" t="inlineStr">
        <is>
          <t>SOLLEFTEÅ</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50662-2022</t>
        </is>
      </c>
      <c r="B1789" s="1" t="n">
        <v>44866</v>
      </c>
      <c r="C1789" s="1" t="n">
        <v>45852</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51249-2022</t>
        </is>
      </c>
      <c r="B1790" s="1" t="n">
        <v>44866</v>
      </c>
      <c r="C1790" s="1" t="n">
        <v>45852</v>
      </c>
      <c r="D1790" t="inlineStr">
        <is>
          <t>VÄSTERNORRLANDS LÄN</t>
        </is>
      </c>
      <c r="E1790" t="inlineStr">
        <is>
          <t>SOLLEFTEÅ</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51006-2022</t>
        </is>
      </c>
      <c r="B1791" s="1" t="n">
        <v>44867</v>
      </c>
      <c r="C1791" s="1" t="n">
        <v>45852</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51317-2022</t>
        </is>
      </c>
      <c r="B1792" s="1" t="n">
        <v>44868</v>
      </c>
      <c r="C1792" s="1" t="n">
        <v>45852</v>
      </c>
      <c r="D1792" t="inlineStr">
        <is>
          <t>VÄSTERNORRLANDS LÄN</t>
        </is>
      </c>
      <c r="E1792" t="inlineStr">
        <is>
          <t>SOLLEFTEÅ</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51314-2022</t>
        </is>
      </c>
      <c r="B1793" s="1" t="n">
        <v>44868</v>
      </c>
      <c r="C1793" s="1" t="n">
        <v>45852</v>
      </c>
      <c r="D1793" t="inlineStr">
        <is>
          <t>VÄSTERNORRLANDS LÄN</t>
        </is>
      </c>
      <c r="E1793" t="inlineStr">
        <is>
          <t>SOLLEFTEÅ</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51544-2022</t>
        </is>
      </c>
      <c r="B1794" s="1" t="n">
        <v>44869</v>
      </c>
      <c r="C1794" s="1" t="n">
        <v>45852</v>
      </c>
      <c r="D1794" t="inlineStr">
        <is>
          <t>VÄSTERNORRLANDS LÄN</t>
        </is>
      </c>
      <c r="E1794" t="inlineStr">
        <is>
          <t>SOLLEFTEÅ</t>
        </is>
      </c>
      <c r="F1794" t="inlineStr">
        <is>
          <t>SCA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51541-2022</t>
        </is>
      </c>
      <c r="B1795" s="1" t="n">
        <v>44869</v>
      </c>
      <c r="C1795" s="1" t="n">
        <v>45852</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51543-2022</t>
        </is>
      </c>
      <c r="B1796" s="1" t="n">
        <v>44869</v>
      </c>
      <c r="C1796" s="1" t="n">
        <v>45852</v>
      </c>
      <c r="D1796" t="inlineStr">
        <is>
          <t>VÄSTERNORRLANDS LÄN</t>
        </is>
      </c>
      <c r="E1796" t="inlineStr">
        <is>
          <t>SOLLEFTEÅ</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51739-2022</t>
        </is>
      </c>
      <c r="B1797" s="1" t="n">
        <v>44872</v>
      </c>
      <c r="C1797" s="1" t="n">
        <v>45852</v>
      </c>
      <c r="D1797" t="inlineStr">
        <is>
          <t>VÄSTERNORRLANDS LÄN</t>
        </is>
      </c>
      <c r="E1797" t="inlineStr">
        <is>
          <t>SOLLEFTEÅ</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52013-2022</t>
        </is>
      </c>
      <c r="B1798" s="1" t="n">
        <v>44872</v>
      </c>
      <c r="C1798" s="1" t="n">
        <v>45852</v>
      </c>
      <c r="D1798" t="inlineStr">
        <is>
          <t>VÄSTERNORRLANDS LÄN</t>
        </is>
      </c>
      <c r="E1798" t="inlineStr">
        <is>
          <t>SOLLEFTEÅ</t>
        </is>
      </c>
      <c r="F1798" t="inlineStr">
        <is>
          <t>SCA</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52034-2022</t>
        </is>
      </c>
      <c r="B1799" s="1" t="n">
        <v>44872</v>
      </c>
      <c r="C1799" s="1" t="n">
        <v>45852</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52040-2022</t>
        </is>
      </c>
      <c r="B1800" s="1" t="n">
        <v>44872</v>
      </c>
      <c r="C1800" s="1" t="n">
        <v>45852</v>
      </c>
      <c r="D1800" t="inlineStr">
        <is>
          <t>VÄSTERNORRLANDS LÄN</t>
        </is>
      </c>
      <c r="E1800" t="inlineStr">
        <is>
          <t>SOLLEFTEÅ</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52035-2022</t>
        </is>
      </c>
      <c r="B1801" s="1" t="n">
        <v>44872</v>
      </c>
      <c r="C1801" s="1" t="n">
        <v>45852</v>
      </c>
      <c r="D1801" t="inlineStr">
        <is>
          <t>VÄSTERNORRLANDS LÄN</t>
        </is>
      </c>
      <c r="E1801" t="inlineStr">
        <is>
          <t>SOLLEFTEÅ</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52039-2022</t>
        </is>
      </c>
      <c r="B1802" s="1" t="n">
        <v>44872</v>
      </c>
      <c r="C1802" s="1" t="n">
        <v>45852</v>
      </c>
      <c r="D1802" t="inlineStr">
        <is>
          <t>VÄSTERNORRLANDS LÄN</t>
        </is>
      </c>
      <c r="E1802" t="inlineStr">
        <is>
          <t>SOLLEFTEÅ</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53128-2022</t>
        </is>
      </c>
      <c r="B1803" s="1" t="n">
        <v>44873</v>
      </c>
      <c r="C1803" s="1" t="n">
        <v>45852</v>
      </c>
      <c r="D1803" t="inlineStr">
        <is>
          <t>VÄSTERNORRLANDS LÄN</t>
        </is>
      </c>
      <c r="E1803" t="inlineStr">
        <is>
          <t>SOLLEFTEÅ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53123-2022</t>
        </is>
      </c>
      <c r="B1804" s="1" t="n">
        <v>44873</v>
      </c>
      <c r="C1804" s="1" t="n">
        <v>45852</v>
      </c>
      <c r="D1804" t="inlineStr">
        <is>
          <t>VÄSTERNORRLANDS LÄN</t>
        </is>
      </c>
      <c r="E1804" t="inlineStr">
        <is>
          <t>SOLLEFTEÅ</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52549-2022</t>
        </is>
      </c>
      <c r="B1805" s="1" t="n">
        <v>44874</v>
      </c>
      <c r="C1805" s="1" t="n">
        <v>45852</v>
      </c>
      <c r="D1805" t="inlineStr">
        <is>
          <t>VÄSTERNORRLANDS LÄN</t>
        </is>
      </c>
      <c r="E1805" t="inlineStr">
        <is>
          <t>SOLLEFTEÅ</t>
        </is>
      </c>
      <c r="F1805" t="inlineStr">
        <is>
          <t>Holmen skog AB</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52735-2022</t>
        </is>
      </c>
      <c r="B1806" s="1" t="n">
        <v>44874</v>
      </c>
      <c r="C1806" s="1" t="n">
        <v>45852</v>
      </c>
      <c r="D1806" t="inlineStr">
        <is>
          <t>VÄSTERNORRLANDS LÄN</t>
        </is>
      </c>
      <c r="E1806" t="inlineStr">
        <is>
          <t>SOLLEFTEÅ</t>
        </is>
      </c>
      <c r="F1806" t="inlineStr">
        <is>
          <t>SCA</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52595-2022</t>
        </is>
      </c>
      <c r="B1807" s="1" t="n">
        <v>44874</v>
      </c>
      <c r="C1807" s="1" t="n">
        <v>45852</v>
      </c>
      <c r="D1807" t="inlineStr">
        <is>
          <t>VÄSTERNORRLANDS LÄN</t>
        </is>
      </c>
      <c r="E1807" t="inlineStr">
        <is>
          <t>SOLLEFTEÅ</t>
        </is>
      </c>
      <c r="F1807" t="inlineStr">
        <is>
          <t>Holmen skog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52717-2022</t>
        </is>
      </c>
      <c r="B1808" s="1" t="n">
        <v>44874</v>
      </c>
      <c r="C1808" s="1" t="n">
        <v>45852</v>
      </c>
      <c r="D1808" t="inlineStr">
        <is>
          <t>VÄSTERNORRLANDS LÄN</t>
        </is>
      </c>
      <c r="E1808" t="inlineStr">
        <is>
          <t>SOLLEFTEÅ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52718-2022</t>
        </is>
      </c>
      <c r="B1809" s="1" t="n">
        <v>44874</v>
      </c>
      <c r="C1809" s="1" t="n">
        <v>45852</v>
      </c>
      <c r="D1809" t="inlineStr">
        <is>
          <t>VÄSTERNORRLANDS LÄN</t>
        </is>
      </c>
      <c r="E1809" t="inlineStr">
        <is>
          <t>SOLLEFTEÅ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53012-2022</t>
        </is>
      </c>
      <c r="B1810" s="1" t="n">
        <v>44875</v>
      </c>
      <c r="C1810" s="1" t="n">
        <v>45852</v>
      </c>
      <c r="D1810" t="inlineStr">
        <is>
          <t>VÄSTERNORRLANDS LÄN</t>
        </is>
      </c>
      <c r="E1810" t="inlineStr">
        <is>
          <t>SOLLEFTEÅ</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52777-2022</t>
        </is>
      </c>
      <c r="B1811" s="1" t="n">
        <v>44875</v>
      </c>
      <c r="C1811" s="1" t="n">
        <v>45852</v>
      </c>
      <c r="D1811" t="inlineStr">
        <is>
          <t>VÄSTERNORRLANDS LÄN</t>
        </is>
      </c>
      <c r="E1811" t="inlineStr">
        <is>
          <t>SOLLEFTEÅ</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53000-2022</t>
        </is>
      </c>
      <c r="B1812" s="1" t="n">
        <v>44875</v>
      </c>
      <c r="C1812" s="1" t="n">
        <v>45852</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53011-2022</t>
        </is>
      </c>
      <c r="B1813" s="1" t="n">
        <v>44875</v>
      </c>
      <c r="C1813" s="1" t="n">
        <v>45852</v>
      </c>
      <c r="D1813" t="inlineStr">
        <is>
          <t>VÄSTERNORRLANDS LÄN</t>
        </is>
      </c>
      <c r="E1813" t="inlineStr">
        <is>
          <t>SOLLEFTEÅ</t>
        </is>
      </c>
      <c r="F1813" t="inlineStr">
        <is>
          <t>SCA</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53669-2022</t>
        </is>
      </c>
      <c r="B1814" s="1" t="n">
        <v>44879</v>
      </c>
      <c r="C1814" s="1" t="n">
        <v>45852</v>
      </c>
      <c r="D1814" t="inlineStr">
        <is>
          <t>VÄSTERNORRLANDS LÄN</t>
        </is>
      </c>
      <c r="E1814" t="inlineStr">
        <is>
          <t>SOLLEFTEÅ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53933-2022</t>
        </is>
      </c>
      <c r="B1815" s="1" t="n">
        <v>44880</v>
      </c>
      <c r="C1815" s="1" t="n">
        <v>45852</v>
      </c>
      <c r="D1815" t="inlineStr">
        <is>
          <t>VÄSTERNORRLANDS LÄN</t>
        </is>
      </c>
      <c r="E1815" t="inlineStr">
        <is>
          <t>SOLLEFTEÅ</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53929-2022</t>
        </is>
      </c>
      <c r="B1816" s="1" t="n">
        <v>44880</v>
      </c>
      <c r="C1816" s="1" t="n">
        <v>45852</v>
      </c>
      <c r="D1816" t="inlineStr">
        <is>
          <t>VÄSTERNORRLANDS LÄN</t>
        </is>
      </c>
      <c r="E1816" t="inlineStr">
        <is>
          <t>SOLLEFTEÅ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53944-2022</t>
        </is>
      </c>
      <c r="B1817" s="1" t="n">
        <v>44880</v>
      </c>
      <c r="C1817" s="1" t="n">
        <v>45852</v>
      </c>
      <c r="D1817" t="inlineStr">
        <is>
          <t>VÄSTERNORRLANDS LÄN</t>
        </is>
      </c>
      <c r="E1817" t="inlineStr">
        <is>
          <t>SOLLEFTEÅ</t>
        </is>
      </c>
      <c r="F1817" t="inlineStr">
        <is>
          <t>SCA</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53947-2022</t>
        </is>
      </c>
      <c r="B1818" s="1" t="n">
        <v>44880</v>
      </c>
      <c r="C1818" s="1" t="n">
        <v>45852</v>
      </c>
      <c r="D1818" t="inlineStr">
        <is>
          <t>VÄSTERNORRLANDS LÄN</t>
        </is>
      </c>
      <c r="E1818" t="inlineStr">
        <is>
          <t>SOLLEFTEÅ</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53985-2022</t>
        </is>
      </c>
      <c r="B1819" s="1" t="n">
        <v>44881</v>
      </c>
      <c r="C1819" s="1" t="n">
        <v>45852</v>
      </c>
      <c r="D1819" t="inlineStr">
        <is>
          <t>VÄSTERNORRLANDS LÄN</t>
        </is>
      </c>
      <c r="E1819" t="inlineStr">
        <is>
          <t>SOLLEFTEÅ</t>
        </is>
      </c>
      <c r="F1819" t="inlineStr">
        <is>
          <t>Holmen skog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54256-2022</t>
        </is>
      </c>
      <c r="B1820" s="1" t="n">
        <v>44881</v>
      </c>
      <c r="C1820" s="1" t="n">
        <v>45852</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54242-2022</t>
        </is>
      </c>
      <c r="B1821" s="1" t="n">
        <v>44881</v>
      </c>
      <c r="C1821" s="1" t="n">
        <v>45852</v>
      </c>
      <c r="D1821" t="inlineStr">
        <is>
          <t>VÄSTERNORRLANDS LÄN</t>
        </is>
      </c>
      <c r="E1821" t="inlineStr">
        <is>
          <t>SOLLEFTEÅ</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54249-2022</t>
        </is>
      </c>
      <c r="B1822" s="1" t="n">
        <v>44881</v>
      </c>
      <c r="C1822" s="1" t="n">
        <v>45852</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54255-2022</t>
        </is>
      </c>
      <c r="B1823" s="1" t="n">
        <v>44881</v>
      </c>
      <c r="C1823" s="1" t="n">
        <v>45852</v>
      </c>
      <c r="D1823" t="inlineStr">
        <is>
          <t>VÄSTERNORRLANDS LÄN</t>
        </is>
      </c>
      <c r="E1823" t="inlineStr">
        <is>
          <t>SOLLEFTEÅ</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54280-2022</t>
        </is>
      </c>
      <c r="B1824" s="1" t="n">
        <v>44882</v>
      </c>
      <c r="C1824" s="1" t="n">
        <v>45852</v>
      </c>
      <c r="D1824" t="inlineStr">
        <is>
          <t>VÄSTERNORRLANDS LÄN</t>
        </is>
      </c>
      <c r="E1824" t="inlineStr">
        <is>
          <t>SOLLEFTEÅ</t>
        </is>
      </c>
      <c r="F1824" t="inlineStr">
        <is>
          <t>Holmen skog AB</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54538-2022</t>
        </is>
      </c>
      <c r="B1825" s="1" t="n">
        <v>44882</v>
      </c>
      <c r="C1825" s="1" t="n">
        <v>45852</v>
      </c>
      <c r="D1825" t="inlineStr">
        <is>
          <t>VÄSTERNORRLANDS LÄN</t>
        </is>
      </c>
      <c r="E1825" t="inlineStr">
        <is>
          <t>SOLLEFTEÅ</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54559-2022</t>
        </is>
      </c>
      <c r="B1826" s="1" t="n">
        <v>44882</v>
      </c>
      <c r="C1826" s="1" t="n">
        <v>45852</v>
      </c>
      <c r="D1826" t="inlineStr">
        <is>
          <t>VÄSTERNORRLANDS LÄN</t>
        </is>
      </c>
      <c r="E1826" t="inlineStr">
        <is>
          <t>SOLLEFTEÅ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54573-2022</t>
        </is>
      </c>
      <c r="B1827" s="1" t="n">
        <v>44882</v>
      </c>
      <c r="C1827" s="1" t="n">
        <v>45852</v>
      </c>
      <c r="D1827" t="inlineStr">
        <is>
          <t>VÄSTERNORRLANDS LÄN</t>
        </is>
      </c>
      <c r="E1827" t="inlineStr">
        <is>
          <t>SOLLEFTEÅ</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54569-2022</t>
        </is>
      </c>
      <c r="B1828" s="1" t="n">
        <v>44882</v>
      </c>
      <c r="C1828" s="1" t="n">
        <v>45852</v>
      </c>
      <c r="D1828" t="inlineStr">
        <is>
          <t>VÄSTERNORRLANDS LÄN</t>
        </is>
      </c>
      <c r="E1828" t="inlineStr">
        <is>
          <t>SOLLEFTEÅ</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55209-2022</t>
        </is>
      </c>
      <c r="B1829" s="1" t="n">
        <v>44887</v>
      </c>
      <c r="C1829" s="1" t="n">
        <v>45852</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55692-2022</t>
        </is>
      </c>
      <c r="B1830" s="1" t="n">
        <v>44888</v>
      </c>
      <c r="C1830" s="1" t="n">
        <v>45852</v>
      </c>
      <c r="D1830" t="inlineStr">
        <is>
          <t>VÄSTERNORRLANDS LÄN</t>
        </is>
      </c>
      <c r="E1830" t="inlineStr">
        <is>
          <t>SOLLEFTEÅ</t>
        </is>
      </c>
      <c r="F1830" t="inlineStr">
        <is>
          <t>Holmen skog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55898-2022</t>
        </is>
      </c>
      <c r="B1831" s="1" t="n">
        <v>44888</v>
      </c>
      <c r="C1831" s="1" t="n">
        <v>45852</v>
      </c>
      <c r="D1831" t="inlineStr">
        <is>
          <t>VÄSTERNORRLANDS LÄN</t>
        </is>
      </c>
      <c r="E1831" t="inlineStr">
        <is>
          <t>SOLLEFTEÅ</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56176-2022</t>
        </is>
      </c>
      <c r="B1832" s="1" t="n">
        <v>44889</v>
      </c>
      <c r="C1832" s="1" t="n">
        <v>45852</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56175-2022</t>
        </is>
      </c>
      <c r="B1833" s="1" t="n">
        <v>44889</v>
      </c>
      <c r="C1833" s="1" t="n">
        <v>45852</v>
      </c>
      <c r="D1833" t="inlineStr">
        <is>
          <t>VÄSTERNORRLANDS LÄN</t>
        </is>
      </c>
      <c r="E1833" t="inlineStr">
        <is>
          <t>SOLLEFTEÅ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56184-2022</t>
        </is>
      </c>
      <c r="B1834" s="1" t="n">
        <v>44889</v>
      </c>
      <c r="C1834" s="1" t="n">
        <v>45852</v>
      </c>
      <c r="D1834" t="inlineStr">
        <is>
          <t>VÄSTERNORRLANDS LÄN</t>
        </is>
      </c>
      <c r="E1834" t="inlineStr">
        <is>
          <t>SOLLEFTEÅ</t>
        </is>
      </c>
      <c r="F1834" t="inlineStr">
        <is>
          <t>SCA</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56544-2022</t>
        </is>
      </c>
      <c r="B1835" s="1" t="n">
        <v>44893</v>
      </c>
      <c r="C1835" s="1" t="n">
        <v>45852</v>
      </c>
      <c r="D1835" t="inlineStr">
        <is>
          <t>VÄSTERNORRLANDS LÄN</t>
        </is>
      </c>
      <c r="E1835" t="inlineStr">
        <is>
          <t>SOLLEFTEÅ</t>
        </is>
      </c>
      <c r="F1835" t="inlineStr">
        <is>
          <t>Holmen skog AB</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57019-2022</t>
        </is>
      </c>
      <c r="B1836" s="1" t="n">
        <v>44895</v>
      </c>
      <c r="C1836" s="1" t="n">
        <v>45852</v>
      </c>
      <c r="D1836" t="inlineStr">
        <is>
          <t>VÄSTERNORRLANDS LÄN</t>
        </is>
      </c>
      <c r="E1836" t="inlineStr">
        <is>
          <t>SOLLEFTEÅ</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57020-2022</t>
        </is>
      </c>
      <c r="B1837" s="1" t="n">
        <v>44895</v>
      </c>
      <c r="C1837" s="1" t="n">
        <v>45852</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57282-2022</t>
        </is>
      </c>
      <c r="B1838" s="1" t="n">
        <v>44895</v>
      </c>
      <c r="C1838" s="1" t="n">
        <v>45852</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57273-2022</t>
        </is>
      </c>
      <c r="B1839" s="1" t="n">
        <v>44895</v>
      </c>
      <c r="C1839" s="1" t="n">
        <v>45852</v>
      </c>
      <c r="D1839" t="inlineStr">
        <is>
          <t>VÄSTERNORRLANDS LÄN</t>
        </is>
      </c>
      <c r="E1839" t="inlineStr">
        <is>
          <t>SOLLEFTEÅ</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58643-2022</t>
        </is>
      </c>
      <c r="B1840" s="1" t="n">
        <v>44895</v>
      </c>
      <c r="C1840" s="1" t="n">
        <v>45852</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58636-2022</t>
        </is>
      </c>
      <c r="B1841" s="1" t="n">
        <v>44895</v>
      </c>
      <c r="C1841" s="1" t="n">
        <v>45852</v>
      </c>
      <c r="D1841" t="inlineStr">
        <is>
          <t>VÄSTERNORRLANDS LÄN</t>
        </is>
      </c>
      <c r="E1841" t="inlineStr">
        <is>
          <t>SOLLEFTEÅ</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58646-2022</t>
        </is>
      </c>
      <c r="B1842" s="1" t="n">
        <v>44895</v>
      </c>
      <c r="C1842" s="1" t="n">
        <v>45852</v>
      </c>
      <c r="D1842" t="inlineStr">
        <is>
          <t>VÄSTERNORRLANDS LÄN</t>
        </is>
      </c>
      <c r="E1842" t="inlineStr">
        <is>
          <t>SOLLEFTEÅ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57991-2022</t>
        </is>
      </c>
      <c r="B1843" s="1" t="n">
        <v>44900</v>
      </c>
      <c r="C1843" s="1" t="n">
        <v>45852</v>
      </c>
      <c r="D1843" t="inlineStr">
        <is>
          <t>VÄSTERNORRLANDS LÄN</t>
        </is>
      </c>
      <c r="E1843" t="inlineStr">
        <is>
          <t>SOLLEFTEÅ</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58173-2022</t>
        </is>
      </c>
      <c r="B1844" s="1" t="n">
        <v>44900</v>
      </c>
      <c r="C1844" s="1" t="n">
        <v>45852</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58172-2022</t>
        </is>
      </c>
      <c r="B1845" s="1" t="n">
        <v>44900</v>
      </c>
      <c r="C1845" s="1" t="n">
        <v>45852</v>
      </c>
      <c r="D1845" t="inlineStr">
        <is>
          <t>VÄSTERNORRLANDS LÄN</t>
        </is>
      </c>
      <c r="E1845" t="inlineStr">
        <is>
          <t>SOLLEFTEÅ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58171-2022</t>
        </is>
      </c>
      <c r="B1846" s="1" t="n">
        <v>44900</v>
      </c>
      <c r="C1846" s="1" t="n">
        <v>45852</v>
      </c>
      <c r="D1846" t="inlineStr">
        <is>
          <t>VÄSTERNORRLANDS LÄN</t>
        </is>
      </c>
      <c r="E1846" t="inlineStr">
        <is>
          <t>SOLLEFTEÅ</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58401-2022</t>
        </is>
      </c>
      <c r="B1847" s="1" t="n">
        <v>44901</v>
      </c>
      <c r="C1847" s="1" t="n">
        <v>45852</v>
      </c>
      <c r="D1847" t="inlineStr">
        <is>
          <t>VÄSTERNORRLANDS LÄN</t>
        </is>
      </c>
      <c r="E1847" t="inlineStr">
        <is>
          <t>SOLLEFTEÅ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58765-2022</t>
        </is>
      </c>
      <c r="B1848" s="1" t="n">
        <v>44903</v>
      </c>
      <c r="C1848" s="1" t="n">
        <v>45852</v>
      </c>
      <c r="D1848" t="inlineStr">
        <is>
          <t>VÄSTERNORRLANDS LÄN</t>
        </is>
      </c>
      <c r="E1848" t="inlineStr">
        <is>
          <t>SOLLEFTEÅ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59036-2022</t>
        </is>
      </c>
      <c r="B1849" s="1" t="n">
        <v>44903</v>
      </c>
      <c r="C1849" s="1" t="n">
        <v>45852</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59038-2022</t>
        </is>
      </c>
      <c r="B1850" s="1" t="n">
        <v>44903</v>
      </c>
      <c r="C1850" s="1" t="n">
        <v>45852</v>
      </c>
      <c r="D1850" t="inlineStr">
        <is>
          <t>VÄSTERNORRLANDS LÄN</t>
        </is>
      </c>
      <c r="E1850" t="inlineStr">
        <is>
          <t>SOLLEFTEÅ</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59037-2022</t>
        </is>
      </c>
      <c r="B1851" s="1" t="n">
        <v>44903</v>
      </c>
      <c r="C1851" s="1" t="n">
        <v>45852</v>
      </c>
      <c r="D1851" t="inlineStr">
        <is>
          <t>VÄSTERNORRLANDS LÄN</t>
        </is>
      </c>
      <c r="E1851" t="inlineStr">
        <is>
          <t>SOLLEFTEÅ</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59371-2022</t>
        </is>
      </c>
      <c r="B1852" s="1" t="n">
        <v>44904</v>
      </c>
      <c r="C1852" s="1" t="n">
        <v>45852</v>
      </c>
      <c r="D1852" t="inlineStr">
        <is>
          <t>VÄSTERNORRLANDS LÄN</t>
        </is>
      </c>
      <c r="E1852" t="inlineStr">
        <is>
          <t>SOLLEFTEÅ</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60482-2022</t>
        </is>
      </c>
      <c r="B1853" s="1" t="n">
        <v>44904</v>
      </c>
      <c r="C1853" s="1" t="n">
        <v>45852</v>
      </c>
      <c r="D1853" t="inlineStr">
        <is>
          <t>VÄSTERNORRLANDS LÄN</t>
        </is>
      </c>
      <c r="E1853" t="inlineStr">
        <is>
          <t>SOLLEFTEÅ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60856-2022</t>
        </is>
      </c>
      <c r="B1854" s="1" t="n">
        <v>44907</v>
      </c>
      <c r="C1854" s="1" t="n">
        <v>45852</v>
      </c>
      <c r="D1854" t="inlineStr">
        <is>
          <t>VÄSTERNORRLANDS LÄN</t>
        </is>
      </c>
      <c r="E1854" t="inlineStr">
        <is>
          <t>SOLLEFTEÅ</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59647-2022</t>
        </is>
      </c>
      <c r="B1855" s="1" t="n">
        <v>44908</v>
      </c>
      <c r="C1855" s="1" t="n">
        <v>45852</v>
      </c>
      <c r="D1855" t="inlineStr">
        <is>
          <t>VÄSTERNORRLANDS LÄN</t>
        </is>
      </c>
      <c r="E1855" t="inlineStr">
        <is>
          <t>SOLLEFTEÅ</t>
        </is>
      </c>
      <c r="F1855" t="inlineStr">
        <is>
          <t>SCA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59908-2022</t>
        </is>
      </c>
      <c r="B1856" s="1" t="n">
        <v>44908</v>
      </c>
      <c r="C1856" s="1" t="n">
        <v>45852</v>
      </c>
      <c r="D1856" t="inlineStr">
        <is>
          <t>VÄSTERNORRLANDS LÄN</t>
        </is>
      </c>
      <c r="E1856" t="inlineStr">
        <is>
          <t>SOLLEFTEÅ</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59854-2022</t>
        </is>
      </c>
      <c r="B1857" s="1" t="n">
        <v>44908</v>
      </c>
      <c r="C1857" s="1" t="n">
        <v>45852</v>
      </c>
      <c r="D1857" t="inlineStr">
        <is>
          <t>VÄSTERNORRLANDS LÄN</t>
        </is>
      </c>
      <c r="E1857" t="inlineStr">
        <is>
          <t>SOLLEFTEÅ</t>
        </is>
      </c>
      <c r="F1857" t="inlineStr">
        <is>
          <t>Holmen skog AB</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60170-2022</t>
        </is>
      </c>
      <c r="B1858" s="1" t="n">
        <v>44909</v>
      </c>
      <c r="C1858" s="1" t="n">
        <v>45852</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60169-2022</t>
        </is>
      </c>
      <c r="B1859" s="1" t="n">
        <v>44909</v>
      </c>
      <c r="C1859" s="1" t="n">
        <v>45852</v>
      </c>
      <c r="D1859" t="inlineStr">
        <is>
          <t>VÄSTERNORRLANDS LÄN</t>
        </is>
      </c>
      <c r="E1859" t="inlineStr">
        <is>
          <t>SOLLEFTEÅ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60171-2022</t>
        </is>
      </c>
      <c r="B1860" s="1" t="n">
        <v>44909</v>
      </c>
      <c r="C1860" s="1" t="n">
        <v>45852</v>
      </c>
      <c r="D1860" t="inlineStr">
        <is>
          <t>VÄSTERNORRLANDS LÄN</t>
        </is>
      </c>
      <c r="E1860" t="inlineStr">
        <is>
          <t>SOLLEFTEÅ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60168-2022</t>
        </is>
      </c>
      <c r="B1861" s="1" t="n">
        <v>44909</v>
      </c>
      <c r="C1861" s="1" t="n">
        <v>45852</v>
      </c>
      <c r="D1861" t="inlineStr">
        <is>
          <t>VÄSTERNORRLANDS LÄN</t>
        </is>
      </c>
      <c r="E1861" t="inlineStr">
        <is>
          <t>SOLLEFTEÅ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60338-2022</t>
        </is>
      </c>
      <c r="B1862" s="1" t="n">
        <v>44910</v>
      </c>
      <c r="C1862" s="1" t="n">
        <v>45852</v>
      </c>
      <c r="D1862" t="inlineStr">
        <is>
          <t>VÄSTERNORRLANDS LÄN</t>
        </is>
      </c>
      <c r="E1862" t="inlineStr">
        <is>
          <t>SOLLEFTEÅ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60420-2022</t>
        </is>
      </c>
      <c r="B1863" s="1" t="n">
        <v>44910</v>
      </c>
      <c r="C1863" s="1" t="n">
        <v>45852</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61473-2022</t>
        </is>
      </c>
      <c r="B1864" s="1" t="n">
        <v>44910</v>
      </c>
      <c r="C1864" s="1" t="n">
        <v>45852</v>
      </c>
      <c r="D1864" t="inlineStr">
        <is>
          <t>VÄSTERNORRLANDS LÄN</t>
        </is>
      </c>
      <c r="E1864" t="inlineStr">
        <is>
          <t>SOLLEFTEÅ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61459-2022</t>
        </is>
      </c>
      <c r="B1865" s="1" t="n">
        <v>44910</v>
      </c>
      <c r="C1865" s="1" t="n">
        <v>45852</v>
      </c>
      <c r="D1865" t="inlineStr">
        <is>
          <t>VÄSTERNORRLANDS LÄN</t>
        </is>
      </c>
      <c r="E1865" t="inlineStr">
        <is>
          <t>SOLLEFTEÅ</t>
        </is>
      </c>
      <c r="G1865" t="n">
        <v>20.6</v>
      </c>
      <c r="H1865" t="n">
        <v>0</v>
      </c>
      <c r="I1865" t="n">
        <v>0</v>
      </c>
      <c r="J1865" t="n">
        <v>0</v>
      </c>
      <c r="K1865" t="n">
        <v>0</v>
      </c>
      <c r="L1865" t="n">
        <v>0</v>
      </c>
      <c r="M1865" t="n">
        <v>0</v>
      </c>
      <c r="N1865" t="n">
        <v>0</v>
      </c>
      <c r="O1865" t="n">
        <v>0</v>
      </c>
      <c r="P1865" t="n">
        <v>0</v>
      </c>
      <c r="Q1865" t="n">
        <v>0</v>
      </c>
      <c r="R1865" s="2" t="inlineStr"/>
    </row>
    <row r="1866" ht="15" customHeight="1">
      <c r="A1866" t="inlineStr">
        <is>
          <t>A 60665-2022</t>
        </is>
      </c>
      <c r="B1866" s="1" t="n">
        <v>44911</v>
      </c>
      <c r="C1866" s="1" t="n">
        <v>45852</v>
      </c>
      <c r="D1866" t="inlineStr">
        <is>
          <t>VÄSTERNORRLANDS LÄN</t>
        </is>
      </c>
      <c r="E1866" t="inlineStr">
        <is>
          <t>SOLLEFTEÅ</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60664-2022</t>
        </is>
      </c>
      <c r="B1867" s="1" t="n">
        <v>44911</v>
      </c>
      <c r="C1867" s="1" t="n">
        <v>45852</v>
      </c>
      <c r="D1867" t="inlineStr">
        <is>
          <t>VÄSTERNORRLANDS LÄN</t>
        </is>
      </c>
      <c r="E1867" t="inlineStr">
        <is>
          <t>SOLLEFTEÅ</t>
        </is>
      </c>
      <c r="F1867" t="inlineStr">
        <is>
          <t>SCA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60666-2022</t>
        </is>
      </c>
      <c r="B1868" s="1" t="n">
        <v>44911</v>
      </c>
      <c r="C1868" s="1" t="n">
        <v>45852</v>
      </c>
      <c r="D1868" t="inlineStr">
        <is>
          <t>VÄSTERNORRLANDS LÄN</t>
        </is>
      </c>
      <c r="E1868" t="inlineStr">
        <is>
          <t>SOLLEFTEÅ</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61384-2022</t>
        </is>
      </c>
      <c r="B1869" s="1" t="n">
        <v>44915</v>
      </c>
      <c r="C1869" s="1" t="n">
        <v>45852</v>
      </c>
      <c r="D1869" t="inlineStr">
        <is>
          <t>VÄSTERNORRLANDS LÄN</t>
        </is>
      </c>
      <c r="E1869" t="inlineStr">
        <is>
          <t>SOLLEFTEÅ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61345-2022</t>
        </is>
      </c>
      <c r="B1870" s="1" t="n">
        <v>44915</v>
      </c>
      <c r="C1870" s="1" t="n">
        <v>45852</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61341-2022</t>
        </is>
      </c>
      <c r="B1871" s="1" t="n">
        <v>44915</v>
      </c>
      <c r="C1871" s="1" t="n">
        <v>45852</v>
      </c>
      <c r="D1871" t="inlineStr">
        <is>
          <t>VÄSTERNORRLANDS LÄN</t>
        </is>
      </c>
      <c r="E1871" t="inlineStr">
        <is>
          <t>SOLLEFTEÅ</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61376-2022</t>
        </is>
      </c>
      <c r="B1872" s="1" t="n">
        <v>44915</v>
      </c>
      <c r="C1872" s="1" t="n">
        <v>45852</v>
      </c>
      <c r="D1872" t="inlineStr">
        <is>
          <t>VÄSTERNORRLANDS LÄN</t>
        </is>
      </c>
      <c r="E1872" t="inlineStr">
        <is>
          <t>SOLLEFTEÅ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61391-2022</t>
        </is>
      </c>
      <c r="B1873" s="1" t="n">
        <v>44915</v>
      </c>
      <c r="C1873" s="1" t="n">
        <v>45852</v>
      </c>
      <c r="D1873" t="inlineStr">
        <is>
          <t>VÄSTERNORRLANDS LÄN</t>
        </is>
      </c>
      <c r="E1873" t="inlineStr">
        <is>
          <t>SOLLEFTEÅ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61383-2022</t>
        </is>
      </c>
      <c r="B1874" s="1" t="n">
        <v>44915</v>
      </c>
      <c r="C1874" s="1" t="n">
        <v>45852</v>
      </c>
      <c r="D1874" t="inlineStr">
        <is>
          <t>VÄSTERNORRLANDS LÄN</t>
        </is>
      </c>
      <c r="E1874" t="inlineStr">
        <is>
          <t>SOLLEFTEÅ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62217-2022</t>
        </is>
      </c>
      <c r="B1875" s="1" t="n">
        <v>44916</v>
      </c>
      <c r="C1875" s="1" t="n">
        <v>45852</v>
      </c>
      <c r="D1875" t="inlineStr">
        <is>
          <t>VÄSTERNORRLANDS LÄN</t>
        </is>
      </c>
      <c r="E1875" t="inlineStr">
        <is>
          <t>SOLLEFTEÅ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61920-2022</t>
        </is>
      </c>
      <c r="B1876" s="1" t="n">
        <v>44917</v>
      </c>
      <c r="C1876" s="1" t="n">
        <v>45852</v>
      </c>
      <c r="D1876" t="inlineStr">
        <is>
          <t>VÄSTERNORRLANDS LÄN</t>
        </is>
      </c>
      <c r="E1876" t="inlineStr">
        <is>
          <t>SOLLEFTEÅ</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61936-2022</t>
        </is>
      </c>
      <c r="B1877" s="1" t="n">
        <v>44917</v>
      </c>
      <c r="C1877" s="1" t="n">
        <v>45852</v>
      </c>
      <c r="D1877" t="inlineStr">
        <is>
          <t>VÄSTERNORRLANDS LÄN</t>
        </is>
      </c>
      <c r="E1877" t="inlineStr">
        <is>
          <t>SOLLEFTEÅ</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62662-2022</t>
        </is>
      </c>
      <c r="B1878" s="1" t="n">
        <v>44917</v>
      </c>
      <c r="C1878" s="1" t="n">
        <v>45852</v>
      </c>
      <c r="D1878" t="inlineStr">
        <is>
          <t>VÄSTERNORRLANDS LÄN</t>
        </is>
      </c>
      <c r="E1878" t="inlineStr">
        <is>
          <t>SOLLEFTEÅ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28-2023</t>
        </is>
      </c>
      <c r="B1879" s="1" t="n">
        <v>44918</v>
      </c>
      <c r="C1879" s="1" t="n">
        <v>45852</v>
      </c>
      <c r="D1879" t="inlineStr">
        <is>
          <t>VÄSTERNORRLANDS LÄN</t>
        </is>
      </c>
      <c r="E1879" t="inlineStr">
        <is>
          <t>SOLLEFTEÅ</t>
        </is>
      </c>
      <c r="G1879" t="n">
        <v>23.8</v>
      </c>
      <c r="H1879" t="n">
        <v>0</v>
      </c>
      <c r="I1879" t="n">
        <v>0</v>
      </c>
      <c r="J1879" t="n">
        <v>0</v>
      </c>
      <c r="K1879" t="n">
        <v>0</v>
      </c>
      <c r="L1879" t="n">
        <v>0</v>
      </c>
      <c r="M1879" t="n">
        <v>0</v>
      </c>
      <c r="N1879" t="n">
        <v>0</v>
      </c>
      <c r="O1879" t="n">
        <v>0</v>
      </c>
      <c r="P1879" t="n">
        <v>0</v>
      </c>
      <c r="Q1879" t="n">
        <v>0</v>
      </c>
      <c r="R1879" s="2" t="inlineStr"/>
    </row>
    <row r="1880" ht="15" customHeight="1">
      <c r="A1880" t="inlineStr">
        <is>
          <t>A 62262-2022</t>
        </is>
      </c>
      <c r="B1880" s="1" t="n">
        <v>44922</v>
      </c>
      <c r="C1880" s="1" t="n">
        <v>45852</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62260-2022</t>
        </is>
      </c>
      <c r="B1881" s="1" t="n">
        <v>44922</v>
      </c>
      <c r="C1881" s="1" t="n">
        <v>45852</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192-2023</t>
        </is>
      </c>
      <c r="B1882" s="1" t="n">
        <v>44922</v>
      </c>
      <c r="C1882" s="1" t="n">
        <v>45852</v>
      </c>
      <c r="D1882" t="inlineStr">
        <is>
          <t>VÄSTERNORRLANDS LÄN</t>
        </is>
      </c>
      <c r="E1882" t="inlineStr">
        <is>
          <t>SOLLEFTEÅ</t>
        </is>
      </c>
      <c r="G1882" t="n">
        <v>20.9</v>
      </c>
      <c r="H1882" t="n">
        <v>0</v>
      </c>
      <c r="I1882" t="n">
        <v>0</v>
      </c>
      <c r="J1882" t="n">
        <v>0</v>
      </c>
      <c r="K1882" t="n">
        <v>0</v>
      </c>
      <c r="L1882" t="n">
        <v>0</v>
      </c>
      <c r="M1882" t="n">
        <v>0</v>
      </c>
      <c r="N1882" t="n">
        <v>0</v>
      </c>
      <c r="O1882" t="n">
        <v>0</v>
      </c>
      <c r="P1882" t="n">
        <v>0</v>
      </c>
      <c r="Q1882" t="n">
        <v>0</v>
      </c>
      <c r="R1882" s="2" t="inlineStr"/>
    </row>
    <row r="1883" ht="15" customHeight="1">
      <c r="A1883" t="inlineStr">
        <is>
          <t>A 62406-2022</t>
        </is>
      </c>
      <c r="B1883" s="1" t="n">
        <v>44923</v>
      </c>
      <c r="C1883" s="1" t="n">
        <v>45852</v>
      </c>
      <c r="D1883" t="inlineStr">
        <is>
          <t>VÄSTERNORRLANDS LÄN</t>
        </is>
      </c>
      <c r="E1883" t="inlineStr">
        <is>
          <t>SOLLEFTEÅ</t>
        </is>
      </c>
      <c r="F1883" t="inlineStr">
        <is>
          <t>SCA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62507-2022</t>
        </is>
      </c>
      <c r="B1884" s="1" t="n">
        <v>44924</v>
      </c>
      <c r="C1884" s="1" t="n">
        <v>45852</v>
      </c>
      <c r="D1884" t="inlineStr">
        <is>
          <t>VÄSTERNORRLANDS LÄN</t>
        </is>
      </c>
      <c r="E1884" t="inlineStr">
        <is>
          <t>SOLLEFTEÅ</t>
        </is>
      </c>
      <c r="F1884" t="inlineStr">
        <is>
          <t>Holmen skog AB</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62745-2022</t>
        </is>
      </c>
      <c r="B1885" s="1" t="n">
        <v>44925</v>
      </c>
      <c r="C1885" s="1" t="n">
        <v>45852</v>
      </c>
      <c r="D1885" t="inlineStr">
        <is>
          <t>VÄSTERNORRLANDS LÄN</t>
        </is>
      </c>
      <c r="E1885" t="inlineStr">
        <is>
          <t>SOLLEFTEÅ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62750-2022</t>
        </is>
      </c>
      <c r="B1886" s="1" t="n">
        <v>44925</v>
      </c>
      <c r="C1886" s="1" t="n">
        <v>45852</v>
      </c>
      <c r="D1886" t="inlineStr">
        <is>
          <t>VÄSTERNORRLANDS LÄN</t>
        </is>
      </c>
      <c r="E1886" t="inlineStr">
        <is>
          <t>SOLLEFTEÅ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62710-2022</t>
        </is>
      </c>
      <c r="B1887" s="1" t="n">
        <v>44925</v>
      </c>
      <c r="C1887" s="1" t="n">
        <v>45852</v>
      </c>
      <c r="D1887" t="inlineStr">
        <is>
          <t>VÄSTERNORRLANDS LÄN</t>
        </is>
      </c>
      <c r="E1887" t="inlineStr">
        <is>
          <t>SOLLEFTEÅ</t>
        </is>
      </c>
      <c r="F1887" t="inlineStr">
        <is>
          <t>Holmen skog AB</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279-2023</t>
        </is>
      </c>
      <c r="B1888" s="1" t="n">
        <v>44928</v>
      </c>
      <c r="C1888" s="1" t="n">
        <v>45852</v>
      </c>
      <c r="D1888" t="inlineStr">
        <is>
          <t>VÄSTERNORRLANDS LÄN</t>
        </is>
      </c>
      <c r="E1888" t="inlineStr">
        <is>
          <t>SOLLEFTEÅ</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282-2023</t>
        </is>
      </c>
      <c r="B1889" s="1" t="n">
        <v>44928</v>
      </c>
      <c r="C1889" s="1" t="n">
        <v>45852</v>
      </c>
      <c r="D1889" t="inlineStr">
        <is>
          <t>VÄSTERNORRLANDS LÄN</t>
        </is>
      </c>
      <c r="E1889" t="inlineStr">
        <is>
          <t>SOLLEFTEÅ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714-2023</t>
        </is>
      </c>
      <c r="B1890" s="1" t="n">
        <v>44930</v>
      </c>
      <c r="C1890" s="1" t="n">
        <v>45852</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918-2023</t>
        </is>
      </c>
      <c r="B1891" s="1" t="n">
        <v>44931</v>
      </c>
      <c r="C1891" s="1" t="n">
        <v>45852</v>
      </c>
      <c r="D1891" t="inlineStr">
        <is>
          <t>VÄSTERNORRLANDS LÄN</t>
        </is>
      </c>
      <c r="E1891" t="inlineStr">
        <is>
          <t>SOLLEFTEÅ</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965-2023</t>
        </is>
      </c>
      <c r="B1892" s="1" t="n">
        <v>44934</v>
      </c>
      <c r="C1892" s="1" t="n">
        <v>45852</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964-2023</t>
        </is>
      </c>
      <c r="B1893" s="1" t="n">
        <v>44934</v>
      </c>
      <c r="C1893" s="1" t="n">
        <v>45852</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1275-2023</t>
        </is>
      </c>
      <c r="B1894" s="1" t="n">
        <v>44936</v>
      </c>
      <c r="C1894" s="1" t="n">
        <v>45852</v>
      </c>
      <c r="D1894" t="inlineStr">
        <is>
          <t>VÄSTERNORRLANDS LÄN</t>
        </is>
      </c>
      <c r="E1894" t="inlineStr">
        <is>
          <t>SOLLEFTEÅ</t>
        </is>
      </c>
      <c r="G1894" t="n">
        <v>14.4</v>
      </c>
      <c r="H1894" t="n">
        <v>0</v>
      </c>
      <c r="I1894" t="n">
        <v>0</v>
      </c>
      <c r="J1894" t="n">
        <v>0</v>
      </c>
      <c r="K1894" t="n">
        <v>0</v>
      </c>
      <c r="L1894" t="n">
        <v>0</v>
      </c>
      <c r="M1894" t="n">
        <v>0</v>
      </c>
      <c r="N1894" t="n">
        <v>0</v>
      </c>
      <c r="O1894" t="n">
        <v>0</v>
      </c>
      <c r="P1894" t="n">
        <v>0</v>
      </c>
      <c r="Q1894" t="n">
        <v>0</v>
      </c>
      <c r="R1894" s="2" t="inlineStr"/>
    </row>
    <row r="1895" ht="15" customHeight="1">
      <c r="A1895" t="inlineStr">
        <is>
          <t>A 1803-2023</t>
        </is>
      </c>
      <c r="B1895" s="1" t="n">
        <v>44937</v>
      </c>
      <c r="C1895" s="1" t="n">
        <v>45852</v>
      </c>
      <c r="D1895" t="inlineStr">
        <is>
          <t>VÄSTERNORRLANDS LÄN</t>
        </is>
      </c>
      <c r="E1895" t="inlineStr">
        <is>
          <t>SOLLEFTEÅ</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1868-2023</t>
        </is>
      </c>
      <c r="B1896" s="1" t="n">
        <v>44938</v>
      </c>
      <c r="C1896" s="1" t="n">
        <v>45852</v>
      </c>
      <c r="D1896" t="inlineStr">
        <is>
          <t>VÄSTERNORRLANDS LÄN</t>
        </is>
      </c>
      <c r="E1896" t="inlineStr">
        <is>
          <t>SOLLEFTEÅ</t>
        </is>
      </c>
      <c r="F1896" t="inlineStr">
        <is>
          <t>SCA</t>
        </is>
      </c>
      <c r="G1896" t="n">
        <v>19.3</v>
      </c>
      <c r="H1896" t="n">
        <v>0</v>
      </c>
      <c r="I1896" t="n">
        <v>0</v>
      </c>
      <c r="J1896" t="n">
        <v>0</v>
      </c>
      <c r="K1896" t="n">
        <v>0</v>
      </c>
      <c r="L1896" t="n">
        <v>0</v>
      </c>
      <c r="M1896" t="n">
        <v>0</v>
      </c>
      <c r="N1896" t="n">
        <v>0</v>
      </c>
      <c r="O1896" t="n">
        <v>0</v>
      </c>
      <c r="P1896" t="n">
        <v>0</v>
      </c>
      <c r="Q1896" t="n">
        <v>0</v>
      </c>
      <c r="R1896" s="2" t="inlineStr"/>
    </row>
    <row r="1897" ht="15" customHeight="1">
      <c r="A1897" t="inlineStr">
        <is>
          <t>A 1874-2023</t>
        </is>
      </c>
      <c r="B1897" s="1" t="n">
        <v>44938</v>
      </c>
      <c r="C1897" s="1" t="n">
        <v>45852</v>
      </c>
      <c r="D1897" t="inlineStr">
        <is>
          <t>VÄSTERNORRLANDS LÄN</t>
        </is>
      </c>
      <c r="E1897" t="inlineStr">
        <is>
          <t>SOLLEFTEÅ</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2058-2023</t>
        </is>
      </c>
      <c r="B1898" s="1" t="n">
        <v>44938</v>
      </c>
      <c r="C1898" s="1" t="n">
        <v>45852</v>
      </c>
      <c r="D1898" t="inlineStr">
        <is>
          <t>VÄSTERNORRLANDS LÄN</t>
        </is>
      </c>
      <c r="E1898" t="inlineStr">
        <is>
          <t>SOLLEFTEÅ</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2121-2023</t>
        </is>
      </c>
      <c r="B1899" s="1" t="n">
        <v>44939</v>
      </c>
      <c r="C1899" s="1" t="n">
        <v>45852</v>
      </c>
      <c r="D1899" t="inlineStr">
        <is>
          <t>VÄSTERNORRLANDS LÄN</t>
        </is>
      </c>
      <c r="E1899" t="inlineStr">
        <is>
          <t>SOLLEFTEÅ</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2119-2023</t>
        </is>
      </c>
      <c r="B1900" s="1" t="n">
        <v>44939</v>
      </c>
      <c r="C1900" s="1" t="n">
        <v>45852</v>
      </c>
      <c r="D1900" t="inlineStr">
        <is>
          <t>VÄSTERNORRLANDS LÄN</t>
        </is>
      </c>
      <c r="E1900" t="inlineStr">
        <is>
          <t>SOLLEFTEÅ</t>
        </is>
      </c>
      <c r="F1900" t="inlineStr">
        <is>
          <t>SCA</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2132-2023</t>
        </is>
      </c>
      <c r="B1901" s="1" t="n">
        <v>44939</v>
      </c>
      <c r="C1901" s="1" t="n">
        <v>45852</v>
      </c>
      <c r="D1901" t="inlineStr">
        <is>
          <t>VÄSTERNORRLANDS LÄN</t>
        </is>
      </c>
      <c r="E1901" t="inlineStr">
        <is>
          <t>SOLLEFTEÅ</t>
        </is>
      </c>
      <c r="F1901" t="inlineStr">
        <is>
          <t>SCA</t>
        </is>
      </c>
      <c r="G1901" t="n">
        <v>19.4</v>
      </c>
      <c r="H1901" t="n">
        <v>0</v>
      </c>
      <c r="I1901" t="n">
        <v>0</v>
      </c>
      <c r="J1901" t="n">
        <v>0</v>
      </c>
      <c r="K1901" t="n">
        <v>0</v>
      </c>
      <c r="L1901" t="n">
        <v>0</v>
      </c>
      <c r="M1901" t="n">
        <v>0</v>
      </c>
      <c r="N1901" t="n">
        <v>0</v>
      </c>
      <c r="O1901" t="n">
        <v>0</v>
      </c>
      <c r="P1901" t="n">
        <v>0</v>
      </c>
      <c r="Q1901" t="n">
        <v>0</v>
      </c>
      <c r="R1901" s="2" t="inlineStr"/>
    </row>
    <row r="1902" ht="15" customHeight="1">
      <c r="A1902" t="inlineStr">
        <is>
          <t>A 2120-2023</t>
        </is>
      </c>
      <c r="B1902" s="1" t="n">
        <v>44939</v>
      </c>
      <c r="C1902" s="1" t="n">
        <v>45852</v>
      </c>
      <c r="D1902" t="inlineStr">
        <is>
          <t>VÄSTERNORRLANDS LÄN</t>
        </is>
      </c>
      <c r="E1902" t="inlineStr">
        <is>
          <t>SOLLEFTEÅ</t>
        </is>
      </c>
      <c r="F1902" t="inlineStr">
        <is>
          <t>SCA</t>
        </is>
      </c>
      <c r="G1902" t="n">
        <v>126.9</v>
      </c>
      <c r="H1902" t="n">
        <v>0</v>
      </c>
      <c r="I1902" t="n">
        <v>0</v>
      </c>
      <c r="J1902" t="n">
        <v>0</v>
      </c>
      <c r="K1902" t="n">
        <v>0</v>
      </c>
      <c r="L1902" t="n">
        <v>0</v>
      </c>
      <c r="M1902" t="n">
        <v>0</v>
      </c>
      <c r="N1902" t="n">
        <v>0</v>
      </c>
      <c r="O1902" t="n">
        <v>0</v>
      </c>
      <c r="P1902" t="n">
        <v>0</v>
      </c>
      <c r="Q1902" t="n">
        <v>0</v>
      </c>
      <c r="R1902" s="2" t="inlineStr"/>
    </row>
    <row r="1903" ht="15" customHeight="1">
      <c r="A1903" t="inlineStr">
        <is>
          <t>A 2114-2023</t>
        </is>
      </c>
      <c r="B1903" s="1" t="n">
        <v>44939</v>
      </c>
      <c r="C1903" s="1" t="n">
        <v>45852</v>
      </c>
      <c r="D1903" t="inlineStr">
        <is>
          <t>VÄSTERNORRLANDS LÄN</t>
        </is>
      </c>
      <c r="E1903" t="inlineStr">
        <is>
          <t>SOLLEFTEÅ</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2118-2023</t>
        </is>
      </c>
      <c r="B1904" s="1" t="n">
        <v>44939</v>
      </c>
      <c r="C1904" s="1" t="n">
        <v>45852</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2139-2023</t>
        </is>
      </c>
      <c r="B1905" s="1" t="n">
        <v>44940</v>
      </c>
      <c r="C1905" s="1" t="n">
        <v>45852</v>
      </c>
      <c r="D1905" t="inlineStr">
        <is>
          <t>VÄSTERNORRLANDS LÄN</t>
        </is>
      </c>
      <c r="E1905" t="inlineStr">
        <is>
          <t>SOLLEFTEÅ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2183-2023</t>
        </is>
      </c>
      <c r="B1906" s="1" t="n">
        <v>44942</v>
      </c>
      <c r="C1906" s="1" t="n">
        <v>45852</v>
      </c>
      <c r="D1906" t="inlineStr">
        <is>
          <t>VÄSTERNORRLANDS LÄN</t>
        </is>
      </c>
      <c r="E1906" t="inlineStr">
        <is>
          <t>SOLLEFTEÅ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2408-2023</t>
        </is>
      </c>
      <c r="B1907" s="1" t="n">
        <v>44942</v>
      </c>
      <c r="C1907" s="1" t="n">
        <v>45852</v>
      </c>
      <c r="D1907" t="inlineStr">
        <is>
          <t>VÄSTERNORRLANDS LÄN</t>
        </is>
      </c>
      <c r="E1907" t="inlineStr">
        <is>
          <t>SOLLEFTEÅ</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2412-2023</t>
        </is>
      </c>
      <c r="B1908" s="1" t="n">
        <v>44942</v>
      </c>
      <c r="C1908" s="1" t="n">
        <v>45852</v>
      </c>
      <c r="D1908" t="inlineStr">
        <is>
          <t>VÄSTERNORRLANDS LÄN</t>
        </is>
      </c>
      <c r="E1908" t="inlineStr">
        <is>
          <t>SOLLEFTEÅ</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2597-2023</t>
        </is>
      </c>
      <c r="B1909" s="1" t="n">
        <v>44943</v>
      </c>
      <c r="C1909" s="1" t="n">
        <v>45852</v>
      </c>
      <c r="D1909" t="inlineStr">
        <is>
          <t>VÄSTERNORRLANDS LÄN</t>
        </is>
      </c>
      <c r="E1909" t="inlineStr">
        <is>
          <t>SOLLEFTEÅ</t>
        </is>
      </c>
      <c r="F1909" t="inlineStr">
        <is>
          <t>SCA</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2756-2023</t>
        </is>
      </c>
      <c r="B1910" s="1" t="n">
        <v>44943</v>
      </c>
      <c r="C1910" s="1" t="n">
        <v>45852</v>
      </c>
      <c r="D1910" t="inlineStr">
        <is>
          <t>VÄSTERNORRLANDS LÄN</t>
        </is>
      </c>
      <c r="E1910" t="inlineStr">
        <is>
          <t>SOLLEFTEÅ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2598-2023</t>
        </is>
      </c>
      <c r="B1911" s="1" t="n">
        <v>44943</v>
      </c>
      <c r="C1911" s="1" t="n">
        <v>45852</v>
      </c>
      <c r="D1911" t="inlineStr">
        <is>
          <t>VÄSTERNORRLANDS LÄN</t>
        </is>
      </c>
      <c r="E1911" t="inlineStr">
        <is>
          <t>SOLLEFTEÅ</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2927-2023</t>
        </is>
      </c>
      <c r="B1912" s="1" t="n">
        <v>44945</v>
      </c>
      <c r="C1912" s="1" t="n">
        <v>45852</v>
      </c>
      <c r="D1912" t="inlineStr">
        <is>
          <t>VÄSTERNORRLANDS LÄN</t>
        </is>
      </c>
      <c r="E1912" t="inlineStr">
        <is>
          <t>SOLLEFTEÅ</t>
        </is>
      </c>
      <c r="G1912" t="n">
        <v>10.6</v>
      </c>
      <c r="H1912" t="n">
        <v>0</v>
      </c>
      <c r="I1912" t="n">
        <v>0</v>
      </c>
      <c r="J1912" t="n">
        <v>0</v>
      </c>
      <c r="K1912" t="n">
        <v>0</v>
      </c>
      <c r="L1912" t="n">
        <v>0</v>
      </c>
      <c r="M1912" t="n">
        <v>0</v>
      </c>
      <c r="N1912" t="n">
        <v>0</v>
      </c>
      <c r="O1912" t="n">
        <v>0</v>
      </c>
      <c r="P1912" t="n">
        <v>0</v>
      </c>
      <c r="Q1912" t="n">
        <v>0</v>
      </c>
      <c r="R1912" s="2" t="inlineStr"/>
    </row>
    <row r="1913" ht="15" customHeight="1">
      <c r="A1913" t="inlineStr">
        <is>
          <t>A 3019-2023</t>
        </is>
      </c>
      <c r="B1913" s="1" t="n">
        <v>44945</v>
      </c>
      <c r="C1913" s="1" t="n">
        <v>45852</v>
      </c>
      <c r="D1913" t="inlineStr">
        <is>
          <t>VÄSTERNORRLANDS LÄN</t>
        </is>
      </c>
      <c r="E1913" t="inlineStr">
        <is>
          <t>SOLLEFTEÅ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3319-2023</t>
        </is>
      </c>
      <c r="B1914" s="1" t="n">
        <v>44949</v>
      </c>
      <c r="C1914" s="1" t="n">
        <v>45852</v>
      </c>
      <c r="D1914" t="inlineStr">
        <is>
          <t>VÄSTERNORRLANDS LÄN</t>
        </is>
      </c>
      <c r="E1914" t="inlineStr">
        <is>
          <t>SOLLEFTEÅ</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3692-2023</t>
        </is>
      </c>
      <c r="B1915" s="1" t="n">
        <v>44950</v>
      </c>
      <c r="C1915" s="1" t="n">
        <v>45852</v>
      </c>
      <c r="D1915" t="inlineStr">
        <is>
          <t>VÄSTERNORRLANDS LÄN</t>
        </is>
      </c>
      <c r="E1915" t="inlineStr">
        <is>
          <t>SOLLEFTEÅ</t>
        </is>
      </c>
      <c r="F1915" t="inlineStr">
        <is>
          <t>SCA</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3691-2023</t>
        </is>
      </c>
      <c r="B1916" s="1" t="n">
        <v>44950</v>
      </c>
      <c r="C1916" s="1" t="n">
        <v>45852</v>
      </c>
      <c r="D1916" t="inlineStr">
        <is>
          <t>VÄSTERNORRLANDS LÄN</t>
        </is>
      </c>
      <c r="E1916" t="inlineStr">
        <is>
          <t>SOLLEFTEÅ</t>
        </is>
      </c>
      <c r="F1916" t="inlineStr">
        <is>
          <t>SCA</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3689-2023</t>
        </is>
      </c>
      <c r="B1917" s="1" t="n">
        <v>44950</v>
      </c>
      <c r="C1917" s="1" t="n">
        <v>45852</v>
      </c>
      <c r="D1917" t="inlineStr">
        <is>
          <t>VÄSTERNORRLANDS LÄN</t>
        </is>
      </c>
      <c r="E1917" t="inlineStr">
        <is>
          <t>SOLLEFTEÅ</t>
        </is>
      </c>
      <c r="F1917" t="inlineStr">
        <is>
          <t>SCA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4154-2023</t>
        </is>
      </c>
      <c r="B1918" s="1" t="n">
        <v>44950</v>
      </c>
      <c r="C1918" s="1" t="n">
        <v>45852</v>
      </c>
      <c r="D1918" t="inlineStr">
        <is>
          <t>VÄSTERNORRLANDS LÄN</t>
        </is>
      </c>
      <c r="E1918" t="inlineStr">
        <is>
          <t>SOLLEFTEÅ</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4406-2023</t>
        </is>
      </c>
      <c r="B1919" s="1" t="n">
        <v>44951</v>
      </c>
      <c r="C1919" s="1" t="n">
        <v>45852</v>
      </c>
      <c r="D1919" t="inlineStr">
        <is>
          <t>VÄSTERNORRLANDS LÄN</t>
        </is>
      </c>
      <c r="E1919" t="inlineStr">
        <is>
          <t>SOLLEFTEÅ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4132-2023</t>
        </is>
      </c>
      <c r="B1920" s="1" t="n">
        <v>44952</v>
      </c>
      <c r="C1920" s="1" t="n">
        <v>45852</v>
      </c>
      <c r="D1920" t="inlineStr">
        <is>
          <t>VÄSTERNORRLANDS LÄN</t>
        </is>
      </c>
      <c r="E1920" t="inlineStr">
        <is>
          <t>SOLLEFTEÅ</t>
        </is>
      </c>
      <c r="F1920" t="inlineStr">
        <is>
          <t>SCA</t>
        </is>
      </c>
      <c r="G1920" t="n">
        <v>50.4</v>
      </c>
      <c r="H1920" t="n">
        <v>0</v>
      </c>
      <c r="I1920" t="n">
        <v>0</v>
      </c>
      <c r="J1920" t="n">
        <v>0</v>
      </c>
      <c r="K1920" t="n">
        <v>0</v>
      </c>
      <c r="L1920" t="n">
        <v>0</v>
      </c>
      <c r="M1920" t="n">
        <v>0</v>
      </c>
      <c r="N1920" t="n">
        <v>0</v>
      </c>
      <c r="O1920" t="n">
        <v>0</v>
      </c>
      <c r="P1920" t="n">
        <v>0</v>
      </c>
      <c r="Q1920" t="n">
        <v>0</v>
      </c>
      <c r="R1920" s="2" t="inlineStr"/>
    </row>
    <row r="1921" ht="15" customHeight="1">
      <c r="A1921" t="inlineStr">
        <is>
          <t>A 4138-2023</t>
        </is>
      </c>
      <c r="B1921" s="1" t="n">
        <v>44952</v>
      </c>
      <c r="C1921" s="1" t="n">
        <v>45852</v>
      </c>
      <c r="D1921" t="inlineStr">
        <is>
          <t>VÄSTERNORRLANDS LÄN</t>
        </is>
      </c>
      <c r="E1921" t="inlineStr">
        <is>
          <t>SOLLEFTEÅ</t>
        </is>
      </c>
      <c r="F1921" t="inlineStr">
        <is>
          <t>SCA</t>
        </is>
      </c>
      <c r="G1921" t="n">
        <v>70</v>
      </c>
      <c r="H1921" t="n">
        <v>0</v>
      </c>
      <c r="I1921" t="n">
        <v>0</v>
      </c>
      <c r="J1921" t="n">
        <v>0</v>
      </c>
      <c r="K1921" t="n">
        <v>0</v>
      </c>
      <c r="L1921" t="n">
        <v>0</v>
      </c>
      <c r="M1921" t="n">
        <v>0</v>
      </c>
      <c r="N1921" t="n">
        <v>0</v>
      </c>
      <c r="O1921" t="n">
        <v>0</v>
      </c>
      <c r="P1921" t="n">
        <v>0</v>
      </c>
      <c r="Q1921" t="n">
        <v>0</v>
      </c>
      <c r="R1921" s="2" t="inlineStr"/>
    </row>
    <row r="1922" ht="15" customHeight="1">
      <c r="A1922" t="inlineStr">
        <is>
          <t>A 4501-2023</t>
        </is>
      </c>
      <c r="B1922" s="1" t="n">
        <v>44952</v>
      </c>
      <c r="C1922" s="1" t="n">
        <v>45852</v>
      </c>
      <c r="D1922" t="inlineStr">
        <is>
          <t>VÄSTERNORRLANDS LÄN</t>
        </is>
      </c>
      <c r="E1922" t="inlineStr">
        <is>
          <t>SOLLEFTEÅ</t>
        </is>
      </c>
      <c r="F1922" t="inlineStr">
        <is>
          <t>Övriga Aktiebolag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4613-2023</t>
        </is>
      </c>
      <c r="B1923" s="1" t="n">
        <v>44956</v>
      </c>
      <c r="C1923" s="1" t="n">
        <v>45852</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4611-2023</t>
        </is>
      </c>
      <c r="B1924" s="1" t="n">
        <v>44956</v>
      </c>
      <c r="C1924" s="1" t="n">
        <v>45852</v>
      </c>
      <c r="D1924" t="inlineStr">
        <is>
          <t>VÄSTERNORRLANDS LÄN</t>
        </is>
      </c>
      <c r="E1924" t="inlineStr">
        <is>
          <t>SOLLEFTEÅ</t>
        </is>
      </c>
      <c r="F1924" t="inlineStr">
        <is>
          <t>SCA</t>
        </is>
      </c>
      <c r="G1924" t="n">
        <v>19.2</v>
      </c>
      <c r="H1924" t="n">
        <v>0</v>
      </c>
      <c r="I1924" t="n">
        <v>0</v>
      </c>
      <c r="J1924" t="n">
        <v>0</v>
      </c>
      <c r="K1924" t="n">
        <v>0</v>
      </c>
      <c r="L1924" t="n">
        <v>0</v>
      </c>
      <c r="M1924" t="n">
        <v>0</v>
      </c>
      <c r="N1924" t="n">
        <v>0</v>
      </c>
      <c r="O1924" t="n">
        <v>0</v>
      </c>
      <c r="P1924" t="n">
        <v>0</v>
      </c>
      <c r="Q1924" t="n">
        <v>0</v>
      </c>
      <c r="R1924" s="2" t="inlineStr"/>
    </row>
    <row r="1925" ht="15" customHeight="1">
      <c r="A1925" t="inlineStr">
        <is>
          <t>A 4612-2023</t>
        </is>
      </c>
      <c r="B1925" s="1" t="n">
        <v>44956</v>
      </c>
      <c r="C1925" s="1" t="n">
        <v>45852</v>
      </c>
      <c r="D1925" t="inlineStr">
        <is>
          <t>VÄSTERNORRLANDS LÄN</t>
        </is>
      </c>
      <c r="E1925" t="inlineStr">
        <is>
          <t>SOLLEFTEÅ</t>
        </is>
      </c>
      <c r="F1925" t="inlineStr">
        <is>
          <t>SCA</t>
        </is>
      </c>
      <c r="G1925" t="n">
        <v>25.5</v>
      </c>
      <c r="H1925" t="n">
        <v>0</v>
      </c>
      <c r="I1925" t="n">
        <v>0</v>
      </c>
      <c r="J1925" t="n">
        <v>0</v>
      </c>
      <c r="K1925" t="n">
        <v>0</v>
      </c>
      <c r="L1925" t="n">
        <v>0</v>
      </c>
      <c r="M1925" t="n">
        <v>0</v>
      </c>
      <c r="N1925" t="n">
        <v>0</v>
      </c>
      <c r="O1925" t="n">
        <v>0</v>
      </c>
      <c r="P1925" t="n">
        <v>0</v>
      </c>
      <c r="Q1925" t="n">
        <v>0</v>
      </c>
      <c r="R1925" s="2" t="inlineStr"/>
    </row>
    <row r="1926" ht="15" customHeight="1">
      <c r="A1926" t="inlineStr">
        <is>
          <t>A 4623-2023</t>
        </is>
      </c>
      <c r="B1926" s="1" t="n">
        <v>44956</v>
      </c>
      <c r="C1926" s="1" t="n">
        <v>45852</v>
      </c>
      <c r="D1926" t="inlineStr">
        <is>
          <t>VÄSTERNORRLANDS LÄN</t>
        </is>
      </c>
      <c r="E1926" t="inlineStr">
        <is>
          <t>SOLLEFTEÅ</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5001-2023</t>
        </is>
      </c>
      <c r="B1927" s="1" t="n">
        <v>44956</v>
      </c>
      <c r="C1927" s="1" t="n">
        <v>45852</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5168-2023</t>
        </is>
      </c>
      <c r="B1928" s="1" t="n">
        <v>44958</v>
      </c>
      <c r="C1928" s="1" t="n">
        <v>45852</v>
      </c>
      <c r="D1928" t="inlineStr">
        <is>
          <t>VÄSTERNORRLANDS LÄN</t>
        </is>
      </c>
      <c r="E1928" t="inlineStr">
        <is>
          <t>SOLLEFTEÅ</t>
        </is>
      </c>
      <c r="F1928" t="inlineStr">
        <is>
          <t>SCA</t>
        </is>
      </c>
      <c r="G1928" t="n">
        <v>16.8</v>
      </c>
      <c r="H1928" t="n">
        <v>0</v>
      </c>
      <c r="I1928" t="n">
        <v>0</v>
      </c>
      <c r="J1928" t="n">
        <v>0</v>
      </c>
      <c r="K1928" t="n">
        <v>0</v>
      </c>
      <c r="L1928" t="n">
        <v>0</v>
      </c>
      <c r="M1928" t="n">
        <v>0</v>
      </c>
      <c r="N1928" t="n">
        <v>0</v>
      </c>
      <c r="O1928" t="n">
        <v>0</v>
      </c>
      <c r="P1928" t="n">
        <v>0</v>
      </c>
      <c r="Q1928" t="n">
        <v>0</v>
      </c>
      <c r="R1928" s="2" t="inlineStr"/>
    </row>
    <row r="1929" ht="15" customHeight="1">
      <c r="A1929" t="inlineStr">
        <is>
          <t>A 5149-2023</t>
        </is>
      </c>
      <c r="B1929" s="1" t="n">
        <v>44958</v>
      </c>
      <c r="C1929" s="1" t="n">
        <v>45852</v>
      </c>
      <c r="D1929" t="inlineStr">
        <is>
          <t>VÄSTERNORRLANDS LÄN</t>
        </is>
      </c>
      <c r="E1929" t="inlineStr">
        <is>
          <t>SOLLEFTEÅ</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5161-2023</t>
        </is>
      </c>
      <c r="B1930" s="1" t="n">
        <v>44958</v>
      </c>
      <c r="C1930" s="1" t="n">
        <v>45852</v>
      </c>
      <c r="D1930" t="inlineStr">
        <is>
          <t>VÄSTERNORRLANDS LÄN</t>
        </is>
      </c>
      <c r="E1930" t="inlineStr">
        <is>
          <t>SOLLEFTEÅ</t>
        </is>
      </c>
      <c r="F1930" t="inlineStr">
        <is>
          <t>SCA</t>
        </is>
      </c>
      <c r="G1930" t="n">
        <v>30.3</v>
      </c>
      <c r="H1930" t="n">
        <v>0</v>
      </c>
      <c r="I1930" t="n">
        <v>0</v>
      </c>
      <c r="J1930" t="n">
        <v>0</v>
      </c>
      <c r="K1930" t="n">
        <v>0</v>
      </c>
      <c r="L1930" t="n">
        <v>0</v>
      </c>
      <c r="M1930" t="n">
        <v>0</v>
      </c>
      <c r="N1930" t="n">
        <v>0</v>
      </c>
      <c r="O1930" t="n">
        <v>0</v>
      </c>
      <c r="P1930" t="n">
        <v>0</v>
      </c>
      <c r="Q1930" t="n">
        <v>0</v>
      </c>
      <c r="R1930" s="2" t="inlineStr"/>
    </row>
    <row r="1931" ht="15" customHeight="1">
      <c r="A1931" t="inlineStr">
        <is>
          <t>A 5166-2023</t>
        </is>
      </c>
      <c r="B1931" s="1" t="n">
        <v>44958</v>
      </c>
      <c r="C1931" s="1" t="n">
        <v>45852</v>
      </c>
      <c r="D1931" t="inlineStr">
        <is>
          <t>VÄSTERNORRLANDS LÄN</t>
        </is>
      </c>
      <c r="E1931" t="inlineStr">
        <is>
          <t>SOLLEFTEÅ</t>
        </is>
      </c>
      <c r="F1931" t="inlineStr">
        <is>
          <t>SCA</t>
        </is>
      </c>
      <c r="G1931" t="n">
        <v>29.3</v>
      </c>
      <c r="H1931" t="n">
        <v>0</v>
      </c>
      <c r="I1931" t="n">
        <v>0</v>
      </c>
      <c r="J1931" t="n">
        <v>0</v>
      </c>
      <c r="K1931" t="n">
        <v>0</v>
      </c>
      <c r="L1931" t="n">
        <v>0</v>
      </c>
      <c r="M1931" t="n">
        <v>0</v>
      </c>
      <c r="N1931" t="n">
        <v>0</v>
      </c>
      <c r="O1931" t="n">
        <v>0</v>
      </c>
      <c r="P1931" t="n">
        <v>0</v>
      </c>
      <c r="Q1931" t="n">
        <v>0</v>
      </c>
      <c r="R1931" s="2" t="inlineStr"/>
    </row>
    <row r="1932" ht="15" customHeight="1">
      <c r="A1932" t="inlineStr">
        <is>
          <t>A 5167-2023</t>
        </is>
      </c>
      <c r="B1932" s="1" t="n">
        <v>44958</v>
      </c>
      <c r="C1932" s="1" t="n">
        <v>45852</v>
      </c>
      <c r="D1932" t="inlineStr">
        <is>
          <t>VÄSTERNORRLANDS LÄN</t>
        </is>
      </c>
      <c r="E1932" t="inlineStr">
        <is>
          <t>SOLLEFTEÅ</t>
        </is>
      </c>
      <c r="F1932" t="inlineStr">
        <is>
          <t>SCA</t>
        </is>
      </c>
      <c r="G1932" t="n">
        <v>14.8</v>
      </c>
      <c r="H1932" t="n">
        <v>0</v>
      </c>
      <c r="I1932" t="n">
        <v>0</v>
      </c>
      <c r="J1932" t="n">
        <v>0</v>
      </c>
      <c r="K1932" t="n">
        <v>0</v>
      </c>
      <c r="L1932" t="n">
        <v>0</v>
      </c>
      <c r="M1932" t="n">
        <v>0</v>
      </c>
      <c r="N1932" t="n">
        <v>0</v>
      </c>
      <c r="O1932" t="n">
        <v>0</v>
      </c>
      <c r="P1932" t="n">
        <v>0</v>
      </c>
      <c r="Q1932" t="n">
        <v>0</v>
      </c>
      <c r="R1932" s="2" t="inlineStr"/>
    </row>
    <row r="1933" ht="15" customHeight="1">
      <c r="A1933" t="inlineStr">
        <is>
          <t>A 5448-2023</t>
        </is>
      </c>
      <c r="B1933" s="1" t="n">
        <v>44959</v>
      </c>
      <c r="C1933" s="1" t="n">
        <v>45852</v>
      </c>
      <c r="D1933" t="inlineStr">
        <is>
          <t>VÄSTERNORRLANDS LÄN</t>
        </is>
      </c>
      <c r="E1933" t="inlineStr">
        <is>
          <t>SOLLEFTEÅ</t>
        </is>
      </c>
      <c r="F1933" t="inlineStr">
        <is>
          <t>SCA</t>
        </is>
      </c>
      <c r="G1933" t="n">
        <v>138.3</v>
      </c>
      <c r="H1933" t="n">
        <v>0</v>
      </c>
      <c r="I1933" t="n">
        <v>0</v>
      </c>
      <c r="J1933" t="n">
        <v>0</v>
      </c>
      <c r="K1933" t="n">
        <v>0</v>
      </c>
      <c r="L1933" t="n">
        <v>0</v>
      </c>
      <c r="M1933" t="n">
        <v>0</v>
      </c>
      <c r="N1933" t="n">
        <v>0</v>
      </c>
      <c r="O1933" t="n">
        <v>0</v>
      </c>
      <c r="P1933" t="n">
        <v>0</v>
      </c>
      <c r="Q1933" t="n">
        <v>0</v>
      </c>
      <c r="R1933" s="2" t="inlineStr"/>
    </row>
    <row r="1934" ht="15" customHeight="1">
      <c r="A1934" t="inlineStr">
        <is>
          <t>A 5451-2023</t>
        </is>
      </c>
      <c r="B1934" s="1" t="n">
        <v>44959</v>
      </c>
      <c r="C1934" s="1" t="n">
        <v>45852</v>
      </c>
      <c r="D1934" t="inlineStr">
        <is>
          <t>VÄSTERNORRLANDS LÄN</t>
        </is>
      </c>
      <c r="E1934" t="inlineStr">
        <is>
          <t>SOLLEFTEÅ</t>
        </is>
      </c>
      <c r="F1934" t="inlineStr">
        <is>
          <t>SCA</t>
        </is>
      </c>
      <c r="G1934" t="n">
        <v>20.1</v>
      </c>
      <c r="H1934" t="n">
        <v>0</v>
      </c>
      <c r="I1934" t="n">
        <v>0</v>
      </c>
      <c r="J1934" t="n">
        <v>0</v>
      </c>
      <c r="K1934" t="n">
        <v>0</v>
      </c>
      <c r="L1934" t="n">
        <v>0</v>
      </c>
      <c r="M1934" t="n">
        <v>0</v>
      </c>
      <c r="N1934" t="n">
        <v>0</v>
      </c>
      <c r="O1934" t="n">
        <v>0</v>
      </c>
      <c r="P1934" t="n">
        <v>0</v>
      </c>
      <c r="Q1934" t="n">
        <v>0</v>
      </c>
      <c r="R1934" s="2" t="inlineStr"/>
    </row>
    <row r="1935" ht="15" customHeight="1">
      <c r="A1935" t="inlineStr">
        <is>
          <t>A 6271-2023</t>
        </is>
      </c>
      <c r="B1935" s="1" t="n">
        <v>44959</v>
      </c>
      <c r="C1935" s="1" t="n">
        <v>45852</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5519-2023</t>
        </is>
      </c>
      <c r="B1936" s="1" t="n">
        <v>44960</v>
      </c>
      <c r="C1936" s="1" t="n">
        <v>45852</v>
      </c>
      <c r="D1936" t="inlineStr">
        <is>
          <t>VÄSTERNORRLANDS LÄN</t>
        </is>
      </c>
      <c r="E1936" t="inlineStr">
        <is>
          <t>SOLLEFTEÅ</t>
        </is>
      </c>
      <c r="F1936" t="inlineStr">
        <is>
          <t>Holmen skog AB</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5529-2023</t>
        </is>
      </c>
      <c r="B1937" s="1" t="n">
        <v>44960</v>
      </c>
      <c r="C1937" s="1" t="n">
        <v>45852</v>
      </c>
      <c r="D1937" t="inlineStr">
        <is>
          <t>VÄSTERNORRLANDS LÄN</t>
        </is>
      </c>
      <c r="E1937" t="inlineStr">
        <is>
          <t>SOLLEFTEÅ</t>
        </is>
      </c>
      <c r="F1937" t="inlineStr">
        <is>
          <t>Holmen skog AB</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5952-2023</t>
        </is>
      </c>
      <c r="B1938" s="1" t="n">
        <v>44963</v>
      </c>
      <c r="C1938" s="1" t="n">
        <v>45852</v>
      </c>
      <c r="D1938" t="inlineStr">
        <is>
          <t>VÄSTERNORRLANDS LÄN</t>
        </is>
      </c>
      <c r="E1938" t="inlineStr">
        <is>
          <t>SOLLEFTEÅ</t>
        </is>
      </c>
      <c r="F1938" t="inlineStr">
        <is>
          <t>SCA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6236-2023</t>
        </is>
      </c>
      <c r="B1939" s="1" t="n">
        <v>44964</v>
      </c>
      <c r="C1939" s="1" t="n">
        <v>45852</v>
      </c>
      <c r="D1939" t="inlineStr">
        <is>
          <t>VÄSTERNORRLANDS LÄN</t>
        </is>
      </c>
      <c r="E1939" t="inlineStr">
        <is>
          <t>SOLLEFTEÅ</t>
        </is>
      </c>
      <c r="F1939" t="inlineStr">
        <is>
          <t>SCA</t>
        </is>
      </c>
      <c r="G1939" t="n">
        <v>0.1</v>
      </c>
      <c r="H1939" t="n">
        <v>0</v>
      </c>
      <c r="I1939" t="n">
        <v>0</v>
      </c>
      <c r="J1939" t="n">
        <v>0</v>
      </c>
      <c r="K1939" t="n">
        <v>0</v>
      </c>
      <c r="L1939" t="n">
        <v>0</v>
      </c>
      <c r="M1939" t="n">
        <v>0</v>
      </c>
      <c r="N1939" t="n">
        <v>0</v>
      </c>
      <c r="O1939" t="n">
        <v>0</v>
      </c>
      <c r="P1939" t="n">
        <v>0</v>
      </c>
      <c r="Q1939" t="n">
        <v>0</v>
      </c>
      <c r="R1939" s="2" t="inlineStr"/>
      <c r="U1939">
        <f>HYPERLINK("https://klasma.github.io/Logging_2283/knärot/A 6236-2023 karta knärot.png", "A 6236-2023")</f>
        <v/>
      </c>
      <c r="V1939">
        <f>HYPERLINK("https://klasma.github.io/Logging_2283/klagomål/A 6236-2023 FSC-klagomål.docx", "A 6236-2023")</f>
        <v/>
      </c>
      <c r="W1939">
        <f>HYPERLINK("https://klasma.github.io/Logging_2283/klagomålsmail/A 6236-2023 FSC-klagomål mail.docx", "A 6236-2023")</f>
        <v/>
      </c>
      <c r="X1939">
        <f>HYPERLINK("https://klasma.github.io/Logging_2283/tillsyn/A 6236-2023 tillsynsbegäran.docx", "A 6236-2023")</f>
        <v/>
      </c>
      <c r="Y1939">
        <f>HYPERLINK("https://klasma.github.io/Logging_2283/tillsynsmail/A 6236-2023 tillsynsbegäran mail.docx", "A 6236-2023")</f>
        <v/>
      </c>
    </row>
    <row r="1940" ht="15" customHeight="1">
      <c r="A1940" t="inlineStr">
        <is>
          <t>A 6474-2023</t>
        </is>
      </c>
      <c r="B1940" s="1" t="n">
        <v>44965</v>
      </c>
      <c r="C1940" s="1" t="n">
        <v>45852</v>
      </c>
      <c r="D1940" t="inlineStr">
        <is>
          <t>VÄSTERNORRLANDS LÄN</t>
        </is>
      </c>
      <c r="E1940" t="inlineStr">
        <is>
          <t>SOLLEFTEÅ</t>
        </is>
      </c>
      <c r="F1940" t="inlineStr">
        <is>
          <t>SCA</t>
        </is>
      </c>
      <c r="G1940" t="n">
        <v>47.3</v>
      </c>
      <c r="H1940" t="n">
        <v>0</v>
      </c>
      <c r="I1940" t="n">
        <v>0</v>
      </c>
      <c r="J1940" t="n">
        <v>0</v>
      </c>
      <c r="K1940" t="n">
        <v>0</v>
      </c>
      <c r="L1940" t="n">
        <v>0</v>
      </c>
      <c r="M1940" t="n">
        <v>0</v>
      </c>
      <c r="N1940" t="n">
        <v>0</v>
      </c>
      <c r="O1940" t="n">
        <v>0</v>
      </c>
      <c r="P1940" t="n">
        <v>0</v>
      </c>
      <c r="Q1940" t="n">
        <v>0</v>
      </c>
      <c r="R1940" s="2" t="inlineStr"/>
    </row>
    <row r="1941" ht="15" customHeight="1">
      <c r="A1941" t="inlineStr">
        <is>
          <t>A 7009-2023</t>
        </is>
      </c>
      <c r="B1941" s="1" t="n">
        <v>44967</v>
      </c>
      <c r="C1941" s="1" t="n">
        <v>45852</v>
      </c>
      <c r="D1941" t="inlineStr">
        <is>
          <t>VÄSTERNORRLANDS LÄN</t>
        </is>
      </c>
      <c r="E1941" t="inlineStr">
        <is>
          <t>SOLLEFTEÅ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7332-2023</t>
        </is>
      </c>
      <c r="B1942" s="1" t="n">
        <v>44970</v>
      </c>
      <c r="C1942" s="1" t="n">
        <v>45852</v>
      </c>
      <c r="D1942" t="inlineStr">
        <is>
          <t>VÄSTERNORRLANDS LÄN</t>
        </is>
      </c>
      <c r="E1942" t="inlineStr">
        <is>
          <t>SOLLEFTEÅ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7324-2023</t>
        </is>
      </c>
      <c r="B1943" s="1" t="n">
        <v>44970</v>
      </c>
      <c r="C1943" s="1" t="n">
        <v>45852</v>
      </c>
      <c r="D1943" t="inlineStr">
        <is>
          <t>VÄSTERNORRLANDS LÄN</t>
        </is>
      </c>
      <c r="E1943" t="inlineStr">
        <is>
          <t>SOLLEFTEÅ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7325-2023</t>
        </is>
      </c>
      <c r="B1944" s="1" t="n">
        <v>44970</v>
      </c>
      <c r="C1944" s="1" t="n">
        <v>45852</v>
      </c>
      <c r="D1944" t="inlineStr">
        <is>
          <t>VÄSTERNORRLANDS LÄN</t>
        </is>
      </c>
      <c r="E1944" t="inlineStr">
        <is>
          <t>SOLLEFTEÅ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7330-2023</t>
        </is>
      </c>
      <c r="B1945" s="1" t="n">
        <v>44971</v>
      </c>
      <c r="C1945" s="1" t="n">
        <v>45852</v>
      </c>
      <c r="D1945" t="inlineStr">
        <is>
          <t>VÄSTERNORRLANDS LÄN</t>
        </is>
      </c>
      <c r="E1945" t="inlineStr">
        <is>
          <t>SOLLEFTEÅ</t>
        </is>
      </c>
      <c r="F1945" t="inlineStr">
        <is>
          <t>SCA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7331-2023</t>
        </is>
      </c>
      <c r="B1946" s="1" t="n">
        <v>44970</v>
      </c>
      <c r="C1946" s="1" t="n">
        <v>45852</v>
      </c>
      <c r="D1946" t="inlineStr">
        <is>
          <t>VÄSTERNORRLANDS LÄN</t>
        </is>
      </c>
      <c r="E1946" t="inlineStr">
        <is>
          <t>SOLLEFTEÅ</t>
        </is>
      </c>
      <c r="F1946" t="inlineStr">
        <is>
          <t>SCA</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7333-2023</t>
        </is>
      </c>
      <c r="B1947" s="1" t="n">
        <v>44971</v>
      </c>
      <c r="C1947" s="1" t="n">
        <v>45852</v>
      </c>
      <c r="D1947" t="inlineStr">
        <is>
          <t>VÄSTERNORRLANDS LÄN</t>
        </is>
      </c>
      <c r="E1947" t="inlineStr">
        <is>
          <t>SOLLEFTEÅ</t>
        </is>
      </c>
      <c r="F1947" t="inlineStr">
        <is>
          <t>SCA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7713-2023</t>
        </is>
      </c>
      <c r="B1948" s="1" t="n">
        <v>44972</v>
      </c>
      <c r="C1948" s="1" t="n">
        <v>45852</v>
      </c>
      <c r="D1948" t="inlineStr">
        <is>
          <t>VÄSTERNORRLANDS LÄN</t>
        </is>
      </c>
      <c r="E1948" t="inlineStr">
        <is>
          <t>SOLLEFTEÅ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7721-2023</t>
        </is>
      </c>
      <c r="B1949" s="1" t="n">
        <v>44972</v>
      </c>
      <c r="C1949" s="1" t="n">
        <v>45852</v>
      </c>
      <c r="D1949" t="inlineStr">
        <is>
          <t>VÄSTERNORRLANDS LÄN</t>
        </is>
      </c>
      <c r="E1949" t="inlineStr">
        <is>
          <t>SOLLEFTEÅ</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8030-2023</t>
        </is>
      </c>
      <c r="B1950" s="1" t="n">
        <v>44973</v>
      </c>
      <c r="C1950" s="1" t="n">
        <v>45852</v>
      </c>
      <c r="D1950" t="inlineStr">
        <is>
          <t>VÄSTERNORRLANDS LÄN</t>
        </is>
      </c>
      <c r="E1950" t="inlineStr">
        <is>
          <t>SOLLEFTEÅ</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8959-2023</t>
        </is>
      </c>
      <c r="B1951" s="1" t="n">
        <v>44974</v>
      </c>
      <c r="C1951" s="1" t="n">
        <v>45852</v>
      </c>
      <c r="D1951" t="inlineStr">
        <is>
          <t>VÄSTERNORRLANDS LÄN</t>
        </is>
      </c>
      <c r="E1951" t="inlineStr">
        <is>
          <t>SOLLEFTEÅ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8640-2023</t>
        </is>
      </c>
      <c r="B1952" s="1" t="n">
        <v>44978</v>
      </c>
      <c r="C1952" s="1" t="n">
        <v>45852</v>
      </c>
      <c r="D1952" t="inlineStr">
        <is>
          <t>VÄSTERNORRLANDS LÄN</t>
        </is>
      </c>
      <c r="E1952" t="inlineStr">
        <is>
          <t>SOLLEFTEÅ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8658-2023</t>
        </is>
      </c>
      <c r="B1953" s="1" t="n">
        <v>44978</v>
      </c>
      <c r="C1953" s="1" t="n">
        <v>45852</v>
      </c>
      <c r="D1953" t="inlineStr">
        <is>
          <t>VÄSTERNORRLANDS LÄN</t>
        </is>
      </c>
      <c r="E1953" t="inlineStr">
        <is>
          <t>SOLLEFTEÅ</t>
        </is>
      </c>
      <c r="F1953" t="inlineStr">
        <is>
          <t>SCA</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8668-2023</t>
        </is>
      </c>
      <c r="B1954" s="1" t="n">
        <v>44978</v>
      </c>
      <c r="C1954" s="1" t="n">
        <v>45852</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8672-2023</t>
        </is>
      </c>
      <c r="B1955" s="1" t="n">
        <v>44977</v>
      </c>
      <c r="C1955" s="1" t="n">
        <v>45852</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8656-2023</t>
        </is>
      </c>
      <c r="B1956" s="1" t="n">
        <v>44978</v>
      </c>
      <c r="C1956" s="1" t="n">
        <v>45852</v>
      </c>
      <c r="D1956" t="inlineStr">
        <is>
          <t>VÄSTERNORRLANDS LÄN</t>
        </is>
      </c>
      <c r="E1956" t="inlineStr">
        <is>
          <t>SOLLEFTEÅ</t>
        </is>
      </c>
      <c r="F1956" t="inlineStr">
        <is>
          <t>SCA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8670-2023</t>
        </is>
      </c>
      <c r="B1957" s="1" t="n">
        <v>44977</v>
      </c>
      <c r="C1957" s="1" t="n">
        <v>45852</v>
      </c>
      <c r="D1957" t="inlineStr">
        <is>
          <t>VÄSTERNORRLANDS LÄN</t>
        </is>
      </c>
      <c r="E1957" t="inlineStr">
        <is>
          <t>SOLLEFTEÅ</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8667-2023</t>
        </is>
      </c>
      <c r="B1958" s="1" t="n">
        <v>44978</v>
      </c>
      <c r="C1958" s="1" t="n">
        <v>45852</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8671-2023</t>
        </is>
      </c>
      <c r="B1959" s="1" t="n">
        <v>44978</v>
      </c>
      <c r="C1959" s="1" t="n">
        <v>45852</v>
      </c>
      <c r="D1959" t="inlineStr">
        <is>
          <t>VÄSTERNORRLANDS LÄN</t>
        </is>
      </c>
      <c r="E1959" t="inlineStr">
        <is>
          <t>SOLLEFTEÅ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8875-2023</t>
        </is>
      </c>
      <c r="B1960" s="1" t="n">
        <v>44978</v>
      </c>
      <c r="C1960" s="1" t="n">
        <v>45852</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8880-2023</t>
        </is>
      </c>
      <c r="B1961" s="1" t="n">
        <v>44978</v>
      </c>
      <c r="C1961" s="1" t="n">
        <v>45852</v>
      </c>
      <c r="D1961" t="inlineStr">
        <is>
          <t>VÄSTERNORRLANDS LÄN</t>
        </is>
      </c>
      <c r="E1961" t="inlineStr">
        <is>
          <t>SOLLEFTEÅ</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9097-2023</t>
        </is>
      </c>
      <c r="B1962" s="1" t="n">
        <v>44979</v>
      </c>
      <c r="C1962" s="1" t="n">
        <v>45852</v>
      </c>
      <c r="D1962" t="inlineStr">
        <is>
          <t>VÄSTERNORRLANDS LÄN</t>
        </is>
      </c>
      <c r="E1962" t="inlineStr">
        <is>
          <t>SOLLEFTEÅ</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9095-2023</t>
        </is>
      </c>
      <c r="B1963" s="1" t="n">
        <v>44979</v>
      </c>
      <c r="C1963" s="1" t="n">
        <v>45852</v>
      </c>
      <c r="D1963" t="inlineStr">
        <is>
          <t>VÄSTERNORRLANDS LÄN</t>
        </is>
      </c>
      <c r="E1963" t="inlineStr">
        <is>
          <t>SOLLEFTEÅ</t>
        </is>
      </c>
      <c r="F1963" t="inlineStr">
        <is>
          <t>SCA</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9099-2023</t>
        </is>
      </c>
      <c r="B1964" s="1" t="n">
        <v>44979</v>
      </c>
      <c r="C1964" s="1" t="n">
        <v>45852</v>
      </c>
      <c r="D1964" t="inlineStr">
        <is>
          <t>VÄSTERNORRLANDS LÄN</t>
        </is>
      </c>
      <c r="E1964" t="inlineStr">
        <is>
          <t>SOLLEFTEÅ</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9096-2023</t>
        </is>
      </c>
      <c r="B1965" s="1" t="n">
        <v>44979</v>
      </c>
      <c r="C1965" s="1" t="n">
        <v>45852</v>
      </c>
      <c r="D1965" t="inlineStr">
        <is>
          <t>VÄSTERNORRLANDS LÄN</t>
        </is>
      </c>
      <c r="E1965" t="inlineStr">
        <is>
          <t>SOLLEFTEÅ</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9104-2023</t>
        </is>
      </c>
      <c r="B1966" s="1" t="n">
        <v>44979</v>
      </c>
      <c r="C1966" s="1" t="n">
        <v>45852</v>
      </c>
      <c r="D1966" t="inlineStr">
        <is>
          <t>VÄSTERNORRLANDS LÄN</t>
        </is>
      </c>
      <c r="E1966" t="inlineStr">
        <is>
          <t>SOLLEFTEÅ</t>
        </is>
      </c>
      <c r="F1966" t="inlineStr">
        <is>
          <t>SCA</t>
        </is>
      </c>
      <c r="G1966" t="n">
        <v>22.1</v>
      </c>
      <c r="H1966" t="n">
        <v>0</v>
      </c>
      <c r="I1966" t="n">
        <v>0</v>
      </c>
      <c r="J1966" t="n">
        <v>0</v>
      </c>
      <c r="K1966" t="n">
        <v>0</v>
      </c>
      <c r="L1966" t="n">
        <v>0</v>
      </c>
      <c r="M1966" t="n">
        <v>0</v>
      </c>
      <c r="N1966" t="n">
        <v>0</v>
      </c>
      <c r="O1966" t="n">
        <v>0</v>
      </c>
      <c r="P1966" t="n">
        <v>0</v>
      </c>
      <c r="Q1966" t="n">
        <v>0</v>
      </c>
      <c r="R1966" s="2" t="inlineStr"/>
    </row>
    <row r="1967" ht="15" customHeight="1">
      <c r="A1967" t="inlineStr">
        <is>
          <t>A 9098-2023</t>
        </is>
      </c>
      <c r="B1967" s="1" t="n">
        <v>44979</v>
      </c>
      <c r="C1967" s="1" t="n">
        <v>45852</v>
      </c>
      <c r="D1967" t="inlineStr">
        <is>
          <t>VÄSTERNORRLANDS LÄN</t>
        </is>
      </c>
      <c r="E1967" t="inlineStr">
        <is>
          <t>SOLLEFTEÅ</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9105-2023</t>
        </is>
      </c>
      <c r="B1968" s="1" t="n">
        <v>44979</v>
      </c>
      <c r="C1968" s="1" t="n">
        <v>45852</v>
      </c>
      <c r="D1968" t="inlineStr">
        <is>
          <t>VÄSTERNORRLANDS LÄN</t>
        </is>
      </c>
      <c r="E1968" t="inlineStr">
        <is>
          <t>SOLLEFTEÅ</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9358-2023</t>
        </is>
      </c>
      <c r="B1969" s="1" t="n">
        <v>44980</v>
      </c>
      <c r="C1969" s="1" t="n">
        <v>45852</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10256-2023</t>
        </is>
      </c>
      <c r="B1970" s="1" t="n">
        <v>44980</v>
      </c>
      <c r="C1970" s="1" t="n">
        <v>45852</v>
      </c>
      <c r="D1970" t="inlineStr">
        <is>
          <t>VÄSTERNORRLANDS LÄN</t>
        </is>
      </c>
      <c r="E1970" t="inlineStr">
        <is>
          <t>SOLLEFTEÅ</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9362-2023</t>
        </is>
      </c>
      <c r="B1971" s="1" t="n">
        <v>44980</v>
      </c>
      <c r="C1971" s="1" t="n">
        <v>45852</v>
      </c>
      <c r="D1971" t="inlineStr">
        <is>
          <t>VÄSTERNORRLANDS LÄN</t>
        </is>
      </c>
      <c r="E1971" t="inlineStr">
        <is>
          <t>SOLLEFTEÅ</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9549-2023</t>
        </is>
      </c>
      <c r="B1972" s="1" t="n">
        <v>44981</v>
      </c>
      <c r="C1972" s="1" t="n">
        <v>45852</v>
      </c>
      <c r="D1972" t="inlineStr">
        <is>
          <t>VÄSTERNORRLANDS LÄN</t>
        </is>
      </c>
      <c r="E1972" t="inlineStr">
        <is>
          <t>SOLLEFTEÅ</t>
        </is>
      </c>
      <c r="F1972" t="inlineStr">
        <is>
          <t>SCA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10428-2023</t>
        </is>
      </c>
      <c r="B1973" s="1" t="n">
        <v>44981</v>
      </c>
      <c r="C1973" s="1" t="n">
        <v>45852</v>
      </c>
      <c r="D1973" t="inlineStr">
        <is>
          <t>VÄSTERNORRLANDS LÄN</t>
        </is>
      </c>
      <c r="E1973" t="inlineStr">
        <is>
          <t>SOLLEFTEÅ</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9617-2023</t>
        </is>
      </c>
      <c r="B1974" s="1" t="n">
        <v>44983</v>
      </c>
      <c r="C1974" s="1" t="n">
        <v>45852</v>
      </c>
      <c r="D1974" t="inlineStr">
        <is>
          <t>VÄSTERNORRLANDS LÄN</t>
        </is>
      </c>
      <c r="E1974" t="inlineStr">
        <is>
          <t>SOLLEFTEÅ</t>
        </is>
      </c>
      <c r="F1974" t="inlineStr">
        <is>
          <t>SCA</t>
        </is>
      </c>
      <c r="G1974" t="n">
        <v>39.6</v>
      </c>
      <c r="H1974" t="n">
        <v>0</v>
      </c>
      <c r="I1974" t="n">
        <v>0</v>
      </c>
      <c r="J1974" t="n">
        <v>0</v>
      </c>
      <c r="K1974" t="n">
        <v>0</v>
      </c>
      <c r="L1974" t="n">
        <v>0</v>
      </c>
      <c r="M1974" t="n">
        <v>0</v>
      </c>
      <c r="N1974" t="n">
        <v>0</v>
      </c>
      <c r="O1974" t="n">
        <v>0</v>
      </c>
      <c r="P1974" t="n">
        <v>0</v>
      </c>
      <c r="Q1974" t="n">
        <v>0</v>
      </c>
      <c r="R1974" s="2" t="inlineStr"/>
    </row>
    <row r="1975" ht="15" customHeight="1">
      <c r="A1975" t="inlineStr">
        <is>
          <t>A 9616-2023</t>
        </is>
      </c>
      <c r="B1975" s="1" t="n">
        <v>44983</v>
      </c>
      <c r="C1975" s="1" t="n">
        <v>45852</v>
      </c>
      <c r="D1975" t="inlineStr">
        <is>
          <t>VÄSTERNORRLANDS LÄN</t>
        </is>
      </c>
      <c r="E1975" t="inlineStr">
        <is>
          <t>SOLLEFTEÅ</t>
        </is>
      </c>
      <c r="F1975" t="inlineStr">
        <is>
          <t>SCA</t>
        </is>
      </c>
      <c r="G1975" t="n">
        <v>45.9</v>
      </c>
      <c r="H1975" t="n">
        <v>0</v>
      </c>
      <c r="I1975" t="n">
        <v>0</v>
      </c>
      <c r="J1975" t="n">
        <v>0</v>
      </c>
      <c r="K1975" t="n">
        <v>0</v>
      </c>
      <c r="L1975" t="n">
        <v>0</v>
      </c>
      <c r="M1975" t="n">
        <v>0</v>
      </c>
      <c r="N1975" t="n">
        <v>0</v>
      </c>
      <c r="O1975" t="n">
        <v>0</v>
      </c>
      <c r="P1975" t="n">
        <v>0</v>
      </c>
      <c r="Q1975" t="n">
        <v>0</v>
      </c>
      <c r="R1975" s="2" t="inlineStr"/>
    </row>
    <row r="1976" ht="15" customHeight="1">
      <c r="A1976" t="inlineStr">
        <is>
          <t>A 9614-2023</t>
        </is>
      </c>
      <c r="B1976" s="1" t="n">
        <v>44983</v>
      </c>
      <c r="C1976" s="1" t="n">
        <v>45852</v>
      </c>
      <c r="D1976" t="inlineStr">
        <is>
          <t>VÄSTERNORRLANDS LÄN</t>
        </is>
      </c>
      <c r="E1976" t="inlineStr">
        <is>
          <t>SOLLEFTEÅ</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9741-2023</t>
        </is>
      </c>
      <c r="B1977" s="1" t="n">
        <v>44984</v>
      </c>
      <c r="C1977" s="1" t="n">
        <v>45852</v>
      </c>
      <c r="D1977" t="inlineStr">
        <is>
          <t>VÄSTERNORRLANDS LÄN</t>
        </is>
      </c>
      <c r="E1977" t="inlineStr">
        <is>
          <t>SOLLEFTEÅ</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9829-2023</t>
        </is>
      </c>
      <c r="B1978" s="1" t="n">
        <v>44984</v>
      </c>
      <c r="C1978" s="1" t="n">
        <v>45852</v>
      </c>
      <c r="D1978" t="inlineStr">
        <is>
          <t>VÄSTERNORRLANDS LÄN</t>
        </is>
      </c>
      <c r="E1978" t="inlineStr">
        <is>
          <t>SOLLEFTEÅ</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9858-2023</t>
        </is>
      </c>
      <c r="B1979" s="1" t="n">
        <v>44984</v>
      </c>
      <c r="C1979" s="1" t="n">
        <v>45852</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9879-2023</t>
        </is>
      </c>
      <c r="B1980" s="1" t="n">
        <v>44984</v>
      </c>
      <c r="C1980" s="1" t="n">
        <v>45852</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9871-2023</t>
        </is>
      </c>
      <c r="B1981" s="1" t="n">
        <v>44984</v>
      </c>
      <c r="C1981" s="1" t="n">
        <v>45852</v>
      </c>
      <c r="D1981" t="inlineStr">
        <is>
          <t>VÄSTERNORRLANDS LÄN</t>
        </is>
      </c>
      <c r="E1981" t="inlineStr">
        <is>
          <t>SOLLEFTEÅ</t>
        </is>
      </c>
      <c r="F1981" t="inlineStr">
        <is>
          <t>SCA</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10079-2023</t>
        </is>
      </c>
      <c r="B1982" s="1" t="n">
        <v>44985</v>
      </c>
      <c r="C1982" s="1" t="n">
        <v>45852</v>
      </c>
      <c r="D1982" t="inlineStr">
        <is>
          <t>VÄSTERNORRLANDS LÄN</t>
        </is>
      </c>
      <c r="E1982" t="inlineStr">
        <is>
          <t>SOLLEFTEÅ</t>
        </is>
      </c>
      <c r="F1982" t="inlineStr">
        <is>
          <t>SCA</t>
        </is>
      </c>
      <c r="G1982" t="n">
        <v>32.7</v>
      </c>
      <c r="H1982" t="n">
        <v>0</v>
      </c>
      <c r="I1982" t="n">
        <v>0</v>
      </c>
      <c r="J1982" t="n">
        <v>0</v>
      </c>
      <c r="K1982" t="n">
        <v>0</v>
      </c>
      <c r="L1982" t="n">
        <v>0</v>
      </c>
      <c r="M1982" t="n">
        <v>0</v>
      </c>
      <c r="N1982" t="n">
        <v>0</v>
      </c>
      <c r="O1982" t="n">
        <v>0</v>
      </c>
      <c r="P1982" t="n">
        <v>0</v>
      </c>
      <c r="Q1982" t="n">
        <v>0</v>
      </c>
      <c r="R1982" s="2" t="inlineStr"/>
    </row>
    <row r="1983" ht="15" customHeight="1">
      <c r="A1983" t="inlineStr">
        <is>
          <t>A 10094-2023</t>
        </is>
      </c>
      <c r="B1983" s="1" t="n">
        <v>44985</v>
      </c>
      <c r="C1983" s="1" t="n">
        <v>45852</v>
      </c>
      <c r="D1983" t="inlineStr">
        <is>
          <t>VÄSTERNORRLANDS LÄN</t>
        </is>
      </c>
      <c r="E1983" t="inlineStr">
        <is>
          <t>SOLLEFTEÅ</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10095-2023</t>
        </is>
      </c>
      <c r="B1984" s="1" t="n">
        <v>44985</v>
      </c>
      <c r="C1984" s="1" t="n">
        <v>45852</v>
      </c>
      <c r="D1984" t="inlineStr">
        <is>
          <t>VÄSTERNORRLANDS LÄN</t>
        </is>
      </c>
      <c r="E1984" t="inlineStr">
        <is>
          <t>SOLLEFTEÅ</t>
        </is>
      </c>
      <c r="F1984" t="inlineStr">
        <is>
          <t>SCA</t>
        </is>
      </c>
      <c r="G1984" t="n">
        <v>11.8</v>
      </c>
      <c r="H1984" t="n">
        <v>0</v>
      </c>
      <c r="I1984" t="n">
        <v>0</v>
      </c>
      <c r="J1984" t="n">
        <v>0</v>
      </c>
      <c r="K1984" t="n">
        <v>0</v>
      </c>
      <c r="L1984" t="n">
        <v>0</v>
      </c>
      <c r="M1984" t="n">
        <v>0</v>
      </c>
      <c r="N1984" t="n">
        <v>0</v>
      </c>
      <c r="O1984" t="n">
        <v>0</v>
      </c>
      <c r="P1984" t="n">
        <v>0</v>
      </c>
      <c r="Q1984" t="n">
        <v>0</v>
      </c>
      <c r="R1984" s="2" t="inlineStr"/>
    </row>
    <row r="1985" ht="15" customHeight="1">
      <c r="A1985" t="inlineStr">
        <is>
          <t>A 10077-2023</t>
        </is>
      </c>
      <c r="B1985" s="1" t="n">
        <v>44985</v>
      </c>
      <c r="C1985" s="1" t="n">
        <v>45852</v>
      </c>
      <c r="D1985" t="inlineStr">
        <is>
          <t>VÄSTERNORRLANDS LÄN</t>
        </is>
      </c>
      <c r="E1985" t="inlineStr">
        <is>
          <t>SOLLEFTEÅ</t>
        </is>
      </c>
      <c r="F1985" t="inlineStr">
        <is>
          <t>SCA</t>
        </is>
      </c>
      <c r="G1985" t="n">
        <v>10.8</v>
      </c>
      <c r="H1985" t="n">
        <v>0</v>
      </c>
      <c r="I1985" t="n">
        <v>0</v>
      </c>
      <c r="J1985" t="n">
        <v>0</v>
      </c>
      <c r="K1985" t="n">
        <v>0</v>
      </c>
      <c r="L1985" t="n">
        <v>0</v>
      </c>
      <c r="M1985" t="n">
        <v>0</v>
      </c>
      <c r="N1985" t="n">
        <v>0</v>
      </c>
      <c r="O1985" t="n">
        <v>0</v>
      </c>
      <c r="P1985" t="n">
        <v>0</v>
      </c>
      <c r="Q1985" t="n">
        <v>0</v>
      </c>
      <c r="R1985" s="2" t="inlineStr"/>
    </row>
    <row r="1986" ht="15" customHeight="1">
      <c r="A1986" t="inlineStr">
        <is>
          <t>A 10099-2023</t>
        </is>
      </c>
      <c r="B1986" s="1" t="n">
        <v>44985</v>
      </c>
      <c r="C1986" s="1" t="n">
        <v>45852</v>
      </c>
      <c r="D1986" t="inlineStr">
        <is>
          <t>VÄSTERNORRLANDS LÄN</t>
        </is>
      </c>
      <c r="E1986" t="inlineStr">
        <is>
          <t>SOLLEFTEÅ</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10078-2023</t>
        </is>
      </c>
      <c r="B1987" s="1" t="n">
        <v>44985</v>
      </c>
      <c r="C1987" s="1" t="n">
        <v>45852</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10093-2023</t>
        </is>
      </c>
      <c r="B1988" s="1" t="n">
        <v>44985</v>
      </c>
      <c r="C1988" s="1" t="n">
        <v>45852</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10294-2023</t>
        </is>
      </c>
      <c r="B1989" s="1" t="n">
        <v>44986</v>
      </c>
      <c r="C1989" s="1" t="n">
        <v>45852</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10311-2023</t>
        </is>
      </c>
      <c r="B1990" s="1" t="n">
        <v>44986</v>
      </c>
      <c r="C1990" s="1" t="n">
        <v>45852</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11094-2023</t>
        </is>
      </c>
      <c r="B1991" s="1" t="n">
        <v>44986</v>
      </c>
      <c r="C1991" s="1" t="n">
        <v>45852</v>
      </c>
      <c r="D1991" t="inlineStr">
        <is>
          <t>VÄSTERNORRLANDS LÄN</t>
        </is>
      </c>
      <c r="E1991" t="inlineStr">
        <is>
          <t>SOLLEFTEÅ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10526-2023</t>
        </is>
      </c>
      <c r="B1992" s="1" t="n">
        <v>44987</v>
      </c>
      <c r="C1992" s="1" t="n">
        <v>45852</v>
      </c>
      <c r="D1992" t="inlineStr">
        <is>
          <t>VÄSTERNORRLANDS LÄN</t>
        </is>
      </c>
      <c r="E1992" t="inlineStr">
        <is>
          <t>SOLLEFTEÅ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10541-2023</t>
        </is>
      </c>
      <c r="B1993" s="1" t="n">
        <v>44987</v>
      </c>
      <c r="C1993" s="1" t="n">
        <v>45852</v>
      </c>
      <c r="D1993" t="inlineStr">
        <is>
          <t>VÄSTERNORRLANDS LÄN</t>
        </is>
      </c>
      <c r="E1993" t="inlineStr">
        <is>
          <t>SOLLEFTEÅ</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10549-2023</t>
        </is>
      </c>
      <c r="B1994" s="1" t="n">
        <v>44987</v>
      </c>
      <c r="C1994" s="1" t="n">
        <v>45852</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10777-2023</t>
        </is>
      </c>
      <c r="B1995" s="1" t="n">
        <v>44988</v>
      </c>
      <c r="C1995" s="1" t="n">
        <v>45852</v>
      </c>
      <c r="D1995" t="inlineStr">
        <is>
          <t>VÄSTERNORRLANDS LÄN</t>
        </is>
      </c>
      <c r="E1995" t="inlineStr">
        <is>
          <t>SOLLEFTEÅ</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10771-2023</t>
        </is>
      </c>
      <c r="B1996" s="1" t="n">
        <v>44988</v>
      </c>
      <c r="C1996" s="1" t="n">
        <v>45852</v>
      </c>
      <c r="D1996" t="inlineStr">
        <is>
          <t>VÄSTERNORRLANDS LÄN</t>
        </is>
      </c>
      <c r="E1996" t="inlineStr">
        <is>
          <t>SOLLEFTEÅ</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10783-2023</t>
        </is>
      </c>
      <c r="B1997" s="1" t="n">
        <v>44988</v>
      </c>
      <c r="C1997" s="1" t="n">
        <v>45852</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10768-2023</t>
        </is>
      </c>
      <c r="B1998" s="1" t="n">
        <v>44988</v>
      </c>
      <c r="C1998" s="1" t="n">
        <v>45852</v>
      </c>
      <c r="D1998" t="inlineStr">
        <is>
          <t>VÄSTERNORRLANDS LÄN</t>
        </is>
      </c>
      <c r="E1998" t="inlineStr">
        <is>
          <t>SOLLEFTEÅ</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10785-2023</t>
        </is>
      </c>
      <c r="B1999" s="1" t="n">
        <v>44988</v>
      </c>
      <c r="C1999" s="1" t="n">
        <v>45852</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11038-2023</t>
        </is>
      </c>
      <c r="B2000" s="1" t="n">
        <v>44991</v>
      </c>
      <c r="C2000" s="1" t="n">
        <v>45852</v>
      </c>
      <c r="D2000" t="inlineStr">
        <is>
          <t>VÄSTERNORRLANDS LÄN</t>
        </is>
      </c>
      <c r="E2000" t="inlineStr">
        <is>
          <t>SOLLEFTEÅ</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11052-2023</t>
        </is>
      </c>
      <c r="B2001" s="1" t="n">
        <v>44991</v>
      </c>
      <c r="C2001" s="1" t="n">
        <v>45852</v>
      </c>
      <c r="D2001" t="inlineStr">
        <is>
          <t>VÄSTERNORRLANDS LÄN</t>
        </is>
      </c>
      <c r="E2001" t="inlineStr">
        <is>
          <t>SOLLEFTEÅ</t>
        </is>
      </c>
      <c r="F2001" t="inlineStr">
        <is>
          <t>SCA</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11039-2023</t>
        </is>
      </c>
      <c r="B2002" s="1" t="n">
        <v>44991</v>
      </c>
      <c r="C2002" s="1" t="n">
        <v>45852</v>
      </c>
      <c r="D2002" t="inlineStr">
        <is>
          <t>VÄSTERNORRLANDS LÄN</t>
        </is>
      </c>
      <c r="E2002" t="inlineStr">
        <is>
          <t>SOLLEFTEÅ</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11301-2023</t>
        </is>
      </c>
      <c r="B2003" s="1" t="n">
        <v>44993</v>
      </c>
      <c r="C2003" s="1" t="n">
        <v>45852</v>
      </c>
      <c r="D2003" t="inlineStr">
        <is>
          <t>VÄSTERNORRLANDS LÄN</t>
        </is>
      </c>
      <c r="E2003" t="inlineStr">
        <is>
          <t>SOLLEFTEÅ</t>
        </is>
      </c>
      <c r="F2003" t="inlineStr">
        <is>
          <t>SCA</t>
        </is>
      </c>
      <c r="G2003" t="n">
        <v>19.9</v>
      </c>
      <c r="H2003" t="n">
        <v>0</v>
      </c>
      <c r="I2003" t="n">
        <v>0</v>
      </c>
      <c r="J2003" t="n">
        <v>0</v>
      </c>
      <c r="K2003" t="n">
        <v>0</v>
      </c>
      <c r="L2003" t="n">
        <v>0</v>
      </c>
      <c r="M2003" t="n">
        <v>0</v>
      </c>
      <c r="N2003" t="n">
        <v>0</v>
      </c>
      <c r="O2003" t="n">
        <v>0</v>
      </c>
      <c r="P2003" t="n">
        <v>0</v>
      </c>
      <c r="Q2003" t="n">
        <v>0</v>
      </c>
      <c r="R2003" s="2" t="inlineStr"/>
    </row>
    <row r="2004" ht="15" customHeight="1">
      <c r="A2004" t="inlineStr">
        <is>
          <t>A 11306-2023</t>
        </is>
      </c>
      <c r="B2004" s="1" t="n">
        <v>44993</v>
      </c>
      <c r="C2004" s="1" t="n">
        <v>45852</v>
      </c>
      <c r="D2004" t="inlineStr">
        <is>
          <t>VÄSTERNORRLANDS LÄN</t>
        </is>
      </c>
      <c r="E2004" t="inlineStr">
        <is>
          <t>SOLLEFTEÅ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11551-2023</t>
        </is>
      </c>
      <c r="B2005" s="1" t="n">
        <v>44993</v>
      </c>
      <c r="C2005" s="1" t="n">
        <v>45852</v>
      </c>
      <c r="D2005" t="inlineStr">
        <is>
          <t>VÄSTERNORRLANDS LÄN</t>
        </is>
      </c>
      <c r="E2005" t="inlineStr">
        <is>
          <t>SOLLEFTEÅ</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11555-2023</t>
        </is>
      </c>
      <c r="B2006" s="1" t="n">
        <v>44993</v>
      </c>
      <c r="C2006" s="1" t="n">
        <v>45852</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11554-2023</t>
        </is>
      </c>
      <c r="B2007" s="1" t="n">
        <v>44993</v>
      </c>
      <c r="C2007" s="1" t="n">
        <v>45852</v>
      </c>
      <c r="D2007" t="inlineStr">
        <is>
          <t>VÄSTERNORRLANDS LÄN</t>
        </is>
      </c>
      <c r="E2007" t="inlineStr">
        <is>
          <t>SOLLEFTEÅ</t>
        </is>
      </c>
      <c r="F2007" t="inlineStr">
        <is>
          <t>SCA</t>
        </is>
      </c>
      <c r="G2007" t="n">
        <v>23.1</v>
      </c>
      <c r="H2007" t="n">
        <v>0</v>
      </c>
      <c r="I2007" t="n">
        <v>0</v>
      </c>
      <c r="J2007" t="n">
        <v>0</v>
      </c>
      <c r="K2007" t="n">
        <v>0</v>
      </c>
      <c r="L2007" t="n">
        <v>0</v>
      </c>
      <c r="M2007" t="n">
        <v>0</v>
      </c>
      <c r="N2007" t="n">
        <v>0</v>
      </c>
      <c r="O2007" t="n">
        <v>0</v>
      </c>
      <c r="P2007" t="n">
        <v>0</v>
      </c>
      <c r="Q2007" t="n">
        <v>0</v>
      </c>
      <c r="R2007" s="2" t="inlineStr"/>
    </row>
    <row r="2008" ht="15" customHeight="1">
      <c r="A2008" t="inlineStr">
        <is>
          <t>A 11831-2023</t>
        </is>
      </c>
      <c r="B2008" s="1" t="n">
        <v>44994</v>
      </c>
      <c r="C2008" s="1" t="n">
        <v>45852</v>
      </c>
      <c r="D2008" t="inlineStr">
        <is>
          <t>VÄSTERNORRLANDS LÄN</t>
        </is>
      </c>
      <c r="E2008" t="inlineStr">
        <is>
          <t>SOLLEFTEÅ</t>
        </is>
      </c>
      <c r="F2008" t="inlineStr">
        <is>
          <t>SCA</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12107-2023</t>
        </is>
      </c>
      <c r="B2009" s="1" t="n">
        <v>44995</v>
      </c>
      <c r="C2009" s="1" t="n">
        <v>45852</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12135-2023</t>
        </is>
      </c>
      <c r="B2010" s="1" t="n">
        <v>44995</v>
      </c>
      <c r="C2010" s="1" t="n">
        <v>45852</v>
      </c>
      <c r="D2010" t="inlineStr">
        <is>
          <t>VÄSTERNORRLANDS LÄN</t>
        </is>
      </c>
      <c r="E2010" t="inlineStr">
        <is>
          <t>SOLLEFTEÅ</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12038-2023</t>
        </is>
      </c>
      <c r="B2011" s="1" t="n">
        <v>44996</v>
      </c>
      <c r="C2011" s="1" t="n">
        <v>45852</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12053-2023</t>
        </is>
      </c>
      <c r="B2012" s="1" t="n">
        <v>44996</v>
      </c>
      <c r="C2012" s="1" t="n">
        <v>45852</v>
      </c>
      <c r="D2012" t="inlineStr">
        <is>
          <t>VÄSTERNORRLANDS LÄN</t>
        </is>
      </c>
      <c r="E2012" t="inlineStr">
        <is>
          <t>SOLLEFTEÅ</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12129-2023</t>
        </is>
      </c>
      <c r="B2013" s="1" t="n">
        <v>44995</v>
      </c>
      <c r="C2013" s="1" t="n">
        <v>45852</v>
      </c>
      <c r="D2013" t="inlineStr">
        <is>
          <t>VÄSTERNORRLANDS LÄN</t>
        </is>
      </c>
      <c r="E2013" t="inlineStr">
        <is>
          <t>SOLLEFTEÅ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12164-2023</t>
        </is>
      </c>
      <c r="B2014" s="1" t="n">
        <v>44995</v>
      </c>
      <c r="C2014" s="1" t="n">
        <v>45852</v>
      </c>
      <c r="D2014" t="inlineStr">
        <is>
          <t>VÄSTERNORRLANDS LÄN</t>
        </is>
      </c>
      <c r="E2014" t="inlineStr">
        <is>
          <t>SOLLEFTEÅ</t>
        </is>
      </c>
      <c r="G2014" t="n">
        <v>18.3</v>
      </c>
      <c r="H2014" t="n">
        <v>0</v>
      </c>
      <c r="I2014" t="n">
        <v>0</v>
      </c>
      <c r="J2014" t="n">
        <v>0</v>
      </c>
      <c r="K2014" t="n">
        <v>0</v>
      </c>
      <c r="L2014" t="n">
        <v>0</v>
      </c>
      <c r="M2014" t="n">
        <v>0</v>
      </c>
      <c r="N2014" t="n">
        <v>0</v>
      </c>
      <c r="O2014" t="n">
        <v>0</v>
      </c>
      <c r="P2014" t="n">
        <v>0</v>
      </c>
      <c r="Q2014" t="n">
        <v>0</v>
      </c>
      <c r="R2014" s="2" t="inlineStr"/>
    </row>
    <row r="2015" ht="15" customHeight="1">
      <c r="A2015" t="inlineStr">
        <is>
          <t>A 12311-2023</t>
        </is>
      </c>
      <c r="B2015" s="1" t="n">
        <v>44995</v>
      </c>
      <c r="C2015" s="1" t="n">
        <v>45852</v>
      </c>
      <c r="D2015" t="inlineStr">
        <is>
          <t>VÄSTERNORRLANDS LÄN</t>
        </is>
      </c>
      <c r="E2015" t="inlineStr">
        <is>
          <t>SOLLEFTEÅ</t>
        </is>
      </c>
      <c r="G2015" t="n">
        <v>16.8</v>
      </c>
      <c r="H2015" t="n">
        <v>0</v>
      </c>
      <c r="I2015" t="n">
        <v>0</v>
      </c>
      <c r="J2015" t="n">
        <v>0</v>
      </c>
      <c r="K2015" t="n">
        <v>0</v>
      </c>
      <c r="L2015" t="n">
        <v>0</v>
      </c>
      <c r="M2015" t="n">
        <v>0</v>
      </c>
      <c r="N2015" t="n">
        <v>0</v>
      </c>
      <c r="O2015" t="n">
        <v>0</v>
      </c>
      <c r="P2015" t="n">
        <v>0</v>
      </c>
      <c r="Q2015" t="n">
        <v>0</v>
      </c>
      <c r="R2015" s="2" t="inlineStr"/>
    </row>
    <row r="2016" ht="15" customHeight="1">
      <c r="A2016" t="inlineStr">
        <is>
          <t>A 12054-2023</t>
        </is>
      </c>
      <c r="B2016" s="1" t="n">
        <v>44996</v>
      </c>
      <c r="C2016" s="1" t="n">
        <v>45852</v>
      </c>
      <c r="D2016" t="inlineStr">
        <is>
          <t>VÄSTERNORRLANDS LÄN</t>
        </is>
      </c>
      <c r="E2016" t="inlineStr">
        <is>
          <t>SOLLEFTEÅ</t>
        </is>
      </c>
      <c r="F2016" t="inlineStr">
        <is>
          <t>SCA</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12045-2023</t>
        </is>
      </c>
      <c r="B2017" s="1" t="n">
        <v>44996</v>
      </c>
      <c r="C2017" s="1" t="n">
        <v>45852</v>
      </c>
      <c r="D2017" t="inlineStr">
        <is>
          <t>VÄSTERNORRLANDS LÄN</t>
        </is>
      </c>
      <c r="E2017" t="inlineStr">
        <is>
          <t>SOLLEFTEÅ</t>
        </is>
      </c>
      <c r="F2017" t="inlineStr">
        <is>
          <t>SCA</t>
        </is>
      </c>
      <c r="G2017" t="n">
        <v>16.4</v>
      </c>
      <c r="H2017" t="n">
        <v>0</v>
      </c>
      <c r="I2017" t="n">
        <v>0</v>
      </c>
      <c r="J2017" t="n">
        <v>0</v>
      </c>
      <c r="K2017" t="n">
        <v>0</v>
      </c>
      <c r="L2017" t="n">
        <v>0</v>
      </c>
      <c r="M2017" t="n">
        <v>0</v>
      </c>
      <c r="N2017" t="n">
        <v>0</v>
      </c>
      <c r="O2017" t="n">
        <v>0</v>
      </c>
      <c r="P2017" t="n">
        <v>0</v>
      </c>
      <c r="Q2017" t="n">
        <v>0</v>
      </c>
      <c r="R2017" s="2" t="inlineStr"/>
    </row>
    <row r="2018" ht="15" customHeight="1">
      <c r="A2018" t="inlineStr">
        <is>
          <t>A 12429-2023</t>
        </is>
      </c>
      <c r="B2018" s="1" t="n">
        <v>44998</v>
      </c>
      <c r="C2018" s="1" t="n">
        <v>45852</v>
      </c>
      <c r="D2018" t="inlineStr">
        <is>
          <t>VÄSTERNORRLANDS LÄN</t>
        </is>
      </c>
      <c r="E2018" t="inlineStr">
        <is>
          <t>SOLLEFTEÅ</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12515-2023</t>
        </is>
      </c>
      <c r="B2019" s="1" t="n">
        <v>45000</v>
      </c>
      <c r="C2019" s="1" t="n">
        <v>45852</v>
      </c>
      <c r="D2019" t="inlineStr">
        <is>
          <t>VÄSTERNORRLANDS LÄN</t>
        </is>
      </c>
      <c r="E2019" t="inlineStr">
        <is>
          <t>SOLLEFTEÅ</t>
        </is>
      </c>
      <c r="F2019" t="inlineStr">
        <is>
          <t>SCA</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12726-2023</t>
        </is>
      </c>
      <c r="B2020" s="1" t="n">
        <v>45000</v>
      </c>
      <c r="C2020" s="1" t="n">
        <v>45852</v>
      </c>
      <c r="D2020" t="inlineStr">
        <is>
          <t>VÄSTERNORRLANDS LÄN</t>
        </is>
      </c>
      <c r="E2020" t="inlineStr">
        <is>
          <t>SOLLEFTEÅ</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12512-2023</t>
        </is>
      </c>
      <c r="B2021" s="1" t="n">
        <v>45000</v>
      </c>
      <c r="C2021" s="1" t="n">
        <v>45852</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12536-2023</t>
        </is>
      </c>
      <c r="B2022" s="1" t="n">
        <v>45000</v>
      </c>
      <c r="C2022" s="1" t="n">
        <v>45852</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12540-2023</t>
        </is>
      </c>
      <c r="B2023" s="1" t="n">
        <v>45000</v>
      </c>
      <c r="C2023" s="1" t="n">
        <v>45852</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12730-2023</t>
        </is>
      </c>
      <c r="B2024" s="1" t="n">
        <v>45000</v>
      </c>
      <c r="C2024" s="1" t="n">
        <v>45852</v>
      </c>
      <c r="D2024" t="inlineStr">
        <is>
          <t>VÄSTERNORRLANDS LÄN</t>
        </is>
      </c>
      <c r="E2024" t="inlineStr">
        <is>
          <t>SOLLEFTEÅ</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12735-2023</t>
        </is>
      </c>
      <c r="B2025" s="1" t="n">
        <v>45000</v>
      </c>
      <c r="C2025" s="1" t="n">
        <v>45852</v>
      </c>
      <c r="D2025" t="inlineStr">
        <is>
          <t>VÄSTERNORRLANDS LÄN</t>
        </is>
      </c>
      <c r="E2025" t="inlineStr">
        <is>
          <t>SOLLEFTEÅ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12539-2023</t>
        </is>
      </c>
      <c r="B2026" s="1" t="n">
        <v>45000</v>
      </c>
      <c r="C2026" s="1" t="n">
        <v>45852</v>
      </c>
      <c r="D2026" t="inlineStr">
        <is>
          <t>VÄSTERNORRLANDS LÄN</t>
        </is>
      </c>
      <c r="E2026" t="inlineStr">
        <is>
          <t>SOLLEFTEÅ</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12727-2023</t>
        </is>
      </c>
      <c r="B2027" s="1" t="n">
        <v>45000</v>
      </c>
      <c r="C2027" s="1" t="n">
        <v>45852</v>
      </c>
      <c r="D2027" t="inlineStr">
        <is>
          <t>VÄSTERNORRLANDS LÄN</t>
        </is>
      </c>
      <c r="E2027" t="inlineStr">
        <is>
          <t>SOLLEFTEÅ</t>
        </is>
      </c>
      <c r="G2027" t="n">
        <v>15.7</v>
      </c>
      <c r="H2027" t="n">
        <v>0</v>
      </c>
      <c r="I2027" t="n">
        <v>0</v>
      </c>
      <c r="J2027" t="n">
        <v>0</v>
      </c>
      <c r="K2027" t="n">
        <v>0</v>
      </c>
      <c r="L2027" t="n">
        <v>0</v>
      </c>
      <c r="M2027" t="n">
        <v>0</v>
      </c>
      <c r="N2027" t="n">
        <v>0</v>
      </c>
      <c r="O2027" t="n">
        <v>0</v>
      </c>
      <c r="P2027" t="n">
        <v>0</v>
      </c>
      <c r="Q2027" t="n">
        <v>0</v>
      </c>
      <c r="R2027" s="2" t="inlineStr"/>
    </row>
    <row r="2028" ht="15" customHeight="1">
      <c r="A2028" t="inlineStr">
        <is>
          <t>A 12733-2023</t>
        </is>
      </c>
      <c r="B2028" s="1" t="n">
        <v>45000</v>
      </c>
      <c r="C2028" s="1" t="n">
        <v>45852</v>
      </c>
      <c r="D2028" t="inlineStr">
        <is>
          <t>VÄSTERNORRLANDS LÄN</t>
        </is>
      </c>
      <c r="E2028" t="inlineStr">
        <is>
          <t>SOLLEFTEÅ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12747-2023</t>
        </is>
      </c>
      <c r="B2029" s="1" t="n">
        <v>45000</v>
      </c>
      <c r="C2029" s="1" t="n">
        <v>45852</v>
      </c>
      <c r="D2029" t="inlineStr">
        <is>
          <t>VÄSTERNORRLANDS LÄN</t>
        </is>
      </c>
      <c r="E2029" t="inlineStr">
        <is>
          <t>SOLLEFTEÅ</t>
        </is>
      </c>
      <c r="F2029" t="inlineStr">
        <is>
          <t>SCA</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12734-2023</t>
        </is>
      </c>
      <c r="B2030" s="1" t="n">
        <v>45000</v>
      </c>
      <c r="C2030" s="1" t="n">
        <v>45852</v>
      </c>
      <c r="D2030" t="inlineStr">
        <is>
          <t>VÄSTERNORRLANDS LÄN</t>
        </is>
      </c>
      <c r="E2030" t="inlineStr">
        <is>
          <t>SOLLEFTEÅ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12752-2023</t>
        </is>
      </c>
      <c r="B2031" s="1" t="n">
        <v>45000</v>
      </c>
      <c r="C2031" s="1" t="n">
        <v>45852</v>
      </c>
      <c r="D2031" t="inlineStr">
        <is>
          <t>VÄSTERNORRLANDS LÄN</t>
        </is>
      </c>
      <c r="E2031" t="inlineStr">
        <is>
          <t>SOLLEFTEÅ</t>
        </is>
      </c>
      <c r="F2031" t="inlineStr">
        <is>
          <t>SCA</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12746-2023</t>
        </is>
      </c>
      <c r="B2032" s="1" t="n">
        <v>45000</v>
      </c>
      <c r="C2032" s="1" t="n">
        <v>45852</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12755-2023</t>
        </is>
      </c>
      <c r="B2033" s="1" t="n">
        <v>45000</v>
      </c>
      <c r="C2033" s="1" t="n">
        <v>45852</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12820-2023</t>
        </is>
      </c>
      <c r="B2034" s="1" t="n">
        <v>45000</v>
      </c>
      <c r="C2034" s="1" t="n">
        <v>45852</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12972-2023</t>
        </is>
      </c>
      <c r="B2035" s="1" t="n">
        <v>45001</v>
      </c>
      <c r="C2035" s="1" t="n">
        <v>45852</v>
      </c>
      <c r="D2035" t="inlineStr">
        <is>
          <t>VÄSTERNORRLANDS LÄN</t>
        </is>
      </c>
      <c r="E2035" t="inlineStr">
        <is>
          <t>SOLLEFTEÅ</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13066-2023</t>
        </is>
      </c>
      <c r="B2036" s="1" t="n">
        <v>45001</v>
      </c>
      <c r="C2036" s="1" t="n">
        <v>45852</v>
      </c>
      <c r="D2036" t="inlineStr">
        <is>
          <t>VÄSTERNORRLANDS LÄN</t>
        </is>
      </c>
      <c r="E2036" t="inlineStr">
        <is>
          <t>SOLLEFTEÅ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13050-2023</t>
        </is>
      </c>
      <c r="B2037" s="1" t="n">
        <v>45001</v>
      </c>
      <c r="C2037" s="1" t="n">
        <v>45852</v>
      </c>
      <c r="D2037" t="inlineStr">
        <is>
          <t>VÄSTERNORRLANDS LÄN</t>
        </is>
      </c>
      <c r="E2037" t="inlineStr">
        <is>
          <t>SOLLEFTEÅ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12996-2023</t>
        </is>
      </c>
      <c r="B2038" s="1" t="n">
        <v>45002</v>
      </c>
      <c r="C2038" s="1" t="n">
        <v>45852</v>
      </c>
      <c r="D2038" t="inlineStr">
        <is>
          <t>VÄSTERNORRLANDS LÄN</t>
        </is>
      </c>
      <c r="E2038" t="inlineStr">
        <is>
          <t>SOLLEFTEÅ</t>
        </is>
      </c>
      <c r="F2038" t="inlineStr">
        <is>
          <t>SCA</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13009-2023</t>
        </is>
      </c>
      <c r="B2039" s="1" t="n">
        <v>45002</v>
      </c>
      <c r="C2039" s="1" t="n">
        <v>45852</v>
      </c>
      <c r="D2039" t="inlineStr">
        <is>
          <t>VÄSTERNORRLANDS LÄN</t>
        </is>
      </c>
      <c r="E2039" t="inlineStr">
        <is>
          <t>SOLLEFTEÅ</t>
        </is>
      </c>
      <c r="F2039" t="inlineStr">
        <is>
          <t>SCA</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13006-2023</t>
        </is>
      </c>
      <c r="B2040" s="1" t="n">
        <v>45002</v>
      </c>
      <c r="C2040" s="1" t="n">
        <v>45852</v>
      </c>
      <c r="D2040" t="inlineStr">
        <is>
          <t>VÄSTERNORRLANDS LÄN</t>
        </is>
      </c>
      <c r="E2040" t="inlineStr">
        <is>
          <t>SOLLEFTEÅ</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12983-2023</t>
        </is>
      </c>
      <c r="B2041" s="1" t="n">
        <v>45002</v>
      </c>
      <c r="C2041" s="1" t="n">
        <v>45852</v>
      </c>
      <c r="D2041" t="inlineStr">
        <is>
          <t>VÄSTERNORRLANDS LÄN</t>
        </is>
      </c>
      <c r="E2041" t="inlineStr">
        <is>
          <t>SOLLEFTEÅ</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13008-2023</t>
        </is>
      </c>
      <c r="B2042" s="1" t="n">
        <v>45002</v>
      </c>
      <c r="C2042" s="1" t="n">
        <v>45852</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13007-2023</t>
        </is>
      </c>
      <c r="B2043" s="1" t="n">
        <v>45002</v>
      </c>
      <c r="C2043" s="1" t="n">
        <v>45852</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13252-2023</t>
        </is>
      </c>
      <c r="B2044" s="1" t="n">
        <v>45002</v>
      </c>
      <c r="C2044" s="1" t="n">
        <v>45852</v>
      </c>
      <c r="D2044" t="inlineStr">
        <is>
          <t>VÄSTERNORRLANDS LÄN</t>
        </is>
      </c>
      <c r="E2044" t="inlineStr">
        <is>
          <t>SOLLEFTEÅ</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13264-2023</t>
        </is>
      </c>
      <c r="B2045" s="1" t="n">
        <v>45002</v>
      </c>
      <c r="C2045" s="1" t="n">
        <v>45852</v>
      </c>
      <c r="D2045" t="inlineStr">
        <is>
          <t>VÄSTERNORRLANDS LÄN</t>
        </is>
      </c>
      <c r="E2045" t="inlineStr">
        <is>
          <t>SOLLEFTEÅ</t>
        </is>
      </c>
      <c r="F2045" t="inlineStr">
        <is>
          <t>SCA</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13292-2023</t>
        </is>
      </c>
      <c r="B2046" s="1" t="n">
        <v>45004</v>
      </c>
      <c r="C2046" s="1" t="n">
        <v>45852</v>
      </c>
      <c r="D2046" t="inlineStr">
        <is>
          <t>VÄSTERNORRLANDS LÄN</t>
        </is>
      </c>
      <c r="E2046" t="inlineStr">
        <is>
          <t>SOLLEFTEÅ</t>
        </is>
      </c>
      <c r="F2046" t="inlineStr">
        <is>
          <t>SCA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13489-2023</t>
        </is>
      </c>
      <c r="B2047" s="1" t="n">
        <v>45005</v>
      </c>
      <c r="C2047" s="1" t="n">
        <v>45852</v>
      </c>
      <c r="D2047" t="inlineStr">
        <is>
          <t>VÄSTERNORRLANDS LÄN</t>
        </is>
      </c>
      <c r="E2047" t="inlineStr">
        <is>
          <t>SOLLEFTEÅ</t>
        </is>
      </c>
      <c r="F2047" t="inlineStr">
        <is>
          <t>SCA</t>
        </is>
      </c>
      <c r="G2047" t="n">
        <v>26.3</v>
      </c>
      <c r="H2047" t="n">
        <v>0</v>
      </c>
      <c r="I2047" t="n">
        <v>0</v>
      </c>
      <c r="J2047" t="n">
        <v>0</v>
      </c>
      <c r="K2047" t="n">
        <v>0</v>
      </c>
      <c r="L2047" t="n">
        <v>0</v>
      </c>
      <c r="M2047" t="n">
        <v>0</v>
      </c>
      <c r="N2047" t="n">
        <v>0</v>
      </c>
      <c r="O2047" t="n">
        <v>0</v>
      </c>
      <c r="P2047" t="n">
        <v>0</v>
      </c>
      <c r="Q2047" t="n">
        <v>0</v>
      </c>
      <c r="R2047" s="2" t="inlineStr"/>
    </row>
    <row r="2048" ht="15" customHeight="1">
      <c r="A2048" t="inlineStr">
        <is>
          <t>A 13487-2023</t>
        </is>
      </c>
      <c r="B2048" s="1" t="n">
        <v>45005</v>
      </c>
      <c r="C2048" s="1" t="n">
        <v>45852</v>
      </c>
      <c r="D2048" t="inlineStr">
        <is>
          <t>VÄSTERNORRLANDS LÄN</t>
        </is>
      </c>
      <c r="E2048" t="inlineStr">
        <is>
          <t>SOLLEFTEÅ</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13521-2023</t>
        </is>
      </c>
      <c r="B2049" s="1" t="n">
        <v>45005</v>
      </c>
      <c r="C2049" s="1" t="n">
        <v>45852</v>
      </c>
      <c r="D2049" t="inlineStr">
        <is>
          <t>VÄSTERNORRLANDS LÄN</t>
        </is>
      </c>
      <c r="E2049" t="inlineStr">
        <is>
          <t>SOLLEFTEÅ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13567-2023</t>
        </is>
      </c>
      <c r="B2050" s="1" t="n">
        <v>45005</v>
      </c>
      <c r="C2050" s="1" t="n">
        <v>45852</v>
      </c>
      <c r="D2050" t="inlineStr">
        <is>
          <t>VÄSTERNORRLANDS LÄN</t>
        </is>
      </c>
      <c r="E2050" t="inlineStr">
        <is>
          <t>SOLLEFTEÅ</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13570-2023</t>
        </is>
      </c>
      <c r="B2051" s="1" t="n">
        <v>45005</v>
      </c>
      <c r="C2051" s="1" t="n">
        <v>45852</v>
      </c>
      <c r="D2051" t="inlineStr">
        <is>
          <t>VÄSTERNORRLANDS LÄN</t>
        </is>
      </c>
      <c r="E2051" t="inlineStr">
        <is>
          <t>SOLLEFTEÅ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13499-2023</t>
        </is>
      </c>
      <c r="B2052" s="1" t="n">
        <v>45005</v>
      </c>
      <c r="C2052" s="1" t="n">
        <v>45852</v>
      </c>
      <c r="D2052" t="inlineStr">
        <is>
          <t>VÄSTERNORRLANDS LÄN</t>
        </is>
      </c>
      <c r="E2052" t="inlineStr">
        <is>
          <t>SOLLEFTEÅ</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13565-2023</t>
        </is>
      </c>
      <c r="B2053" s="1" t="n">
        <v>45005</v>
      </c>
      <c r="C2053" s="1" t="n">
        <v>45852</v>
      </c>
      <c r="D2053" t="inlineStr">
        <is>
          <t>VÄSTERNORRLANDS LÄN</t>
        </is>
      </c>
      <c r="E2053" t="inlineStr">
        <is>
          <t>SOLLEFTEÅ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13689-2023</t>
        </is>
      </c>
      <c r="B2054" s="1" t="n">
        <v>45006</v>
      </c>
      <c r="C2054" s="1" t="n">
        <v>45852</v>
      </c>
      <c r="D2054" t="inlineStr">
        <is>
          <t>VÄSTERNORRLANDS LÄN</t>
        </is>
      </c>
      <c r="E2054" t="inlineStr">
        <is>
          <t>SOLLEFTEÅ</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13695-2023</t>
        </is>
      </c>
      <c r="B2055" s="1" t="n">
        <v>45006</v>
      </c>
      <c r="C2055" s="1" t="n">
        <v>45852</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13697-2023</t>
        </is>
      </c>
      <c r="B2056" s="1" t="n">
        <v>45006</v>
      </c>
      <c r="C2056" s="1" t="n">
        <v>45852</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14109-2023</t>
        </is>
      </c>
      <c r="B2057" s="1" t="n">
        <v>45008</v>
      </c>
      <c r="C2057" s="1" t="n">
        <v>45852</v>
      </c>
      <c r="D2057" t="inlineStr">
        <is>
          <t>VÄSTERNORRLANDS LÄN</t>
        </is>
      </c>
      <c r="E2057" t="inlineStr">
        <is>
          <t>SOLLEFTEÅ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14134-2023</t>
        </is>
      </c>
      <c r="B2058" s="1" t="n">
        <v>45008</v>
      </c>
      <c r="C2058" s="1" t="n">
        <v>45852</v>
      </c>
      <c r="D2058" t="inlineStr">
        <is>
          <t>VÄSTERNORRLANDS LÄN</t>
        </is>
      </c>
      <c r="E2058" t="inlineStr">
        <is>
          <t>SOLLEFTEÅ</t>
        </is>
      </c>
      <c r="F2058" t="inlineStr">
        <is>
          <t>Övriga Aktiebolag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14718-2023</t>
        </is>
      </c>
      <c r="B2059" s="1" t="n">
        <v>45012</v>
      </c>
      <c r="C2059" s="1" t="n">
        <v>45852</v>
      </c>
      <c r="D2059" t="inlineStr">
        <is>
          <t>VÄSTERNORRLANDS LÄN</t>
        </is>
      </c>
      <c r="E2059" t="inlineStr">
        <is>
          <t>SOLLEFTEÅ</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14675-2023</t>
        </is>
      </c>
      <c r="B2060" s="1" t="n">
        <v>45014</v>
      </c>
      <c r="C2060" s="1" t="n">
        <v>45852</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14668-2023</t>
        </is>
      </c>
      <c r="B2061" s="1" t="n">
        <v>45014</v>
      </c>
      <c r="C2061" s="1" t="n">
        <v>45852</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14937-2023</t>
        </is>
      </c>
      <c r="B2062" s="1" t="n">
        <v>45014</v>
      </c>
      <c r="C2062" s="1" t="n">
        <v>45852</v>
      </c>
      <c r="D2062" t="inlineStr">
        <is>
          <t>VÄSTERNORRLANDS LÄN</t>
        </is>
      </c>
      <c r="E2062" t="inlineStr">
        <is>
          <t>SOLLEFTEÅ</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14859-2023</t>
        </is>
      </c>
      <c r="B2063" s="1" t="n">
        <v>45015</v>
      </c>
      <c r="C2063" s="1" t="n">
        <v>45852</v>
      </c>
      <c r="D2063" t="inlineStr">
        <is>
          <t>VÄSTERNORRLANDS LÄN</t>
        </is>
      </c>
      <c r="E2063" t="inlineStr">
        <is>
          <t>SOLLEFTEÅ</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14875-2023</t>
        </is>
      </c>
      <c r="B2064" s="1" t="n">
        <v>45015</v>
      </c>
      <c r="C2064" s="1" t="n">
        <v>45852</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15080-2023</t>
        </is>
      </c>
      <c r="B2065" s="1" t="n">
        <v>45016</v>
      </c>
      <c r="C2065" s="1" t="n">
        <v>45852</v>
      </c>
      <c r="D2065" t="inlineStr">
        <is>
          <t>VÄSTERNORRLANDS LÄN</t>
        </is>
      </c>
      <c r="E2065" t="inlineStr">
        <is>
          <t>SOLLEFTEÅ</t>
        </is>
      </c>
      <c r="F2065" t="inlineStr">
        <is>
          <t>SCA</t>
        </is>
      </c>
      <c r="G2065" t="n">
        <v>33.6</v>
      </c>
      <c r="H2065" t="n">
        <v>0</v>
      </c>
      <c r="I2065" t="n">
        <v>0</v>
      </c>
      <c r="J2065" t="n">
        <v>0</v>
      </c>
      <c r="K2065" t="n">
        <v>0</v>
      </c>
      <c r="L2065" t="n">
        <v>0</v>
      </c>
      <c r="M2065" t="n">
        <v>0</v>
      </c>
      <c r="N2065" t="n">
        <v>0</v>
      </c>
      <c r="O2065" t="n">
        <v>0</v>
      </c>
      <c r="P2065" t="n">
        <v>0</v>
      </c>
      <c r="Q2065" t="n">
        <v>0</v>
      </c>
      <c r="R2065" s="2" t="inlineStr"/>
    </row>
    <row r="2066" ht="15" customHeight="1">
      <c r="A2066" t="inlineStr">
        <is>
          <t>A 15632-2023</t>
        </is>
      </c>
      <c r="B2066" s="1" t="n">
        <v>45019</v>
      </c>
      <c r="C2066" s="1" t="n">
        <v>45852</v>
      </c>
      <c r="D2066" t="inlineStr">
        <is>
          <t>VÄSTERNORRLANDS LÄN</t>
        </is>
      </c>
      <c r="E2066" t="inlineStr">
        <is>
          <t>SOLLEFTEÅ</t>
        </is>
      </c>
      <c r="G2066" t="n">
        <v>12.8</v>
      </c>
      <c r="H2066" t="n">
        <v>0</v>
      </c>
      <c r="I2066" t="n">
        <v>0</v>
      </c>
      <c r="J2066" t="n">
        <v>0</v>
      </c>
      <c r="K2066" t="n">
        <v>0</v>
      </c>
      <c r="L2066" t="n">
        <v>0</v>
      </c>
      <c r="M2066" t="n">
        <v>0</v>
      </c>
      <c r="N2066" t="n">
        <v>0</v>
      </c>
      <c r="O2066" t="n">
        <v>0</v>
      </c>
      <c r="P2066" t="n">
        <v>0</v>
      </c>
      <c r="Q2066" t="n">
        <v>0</v>
      </c>
      <c r="R2066" s="2" t="inlineStr"/>
    </row>
    <row r="2067" ht="15" customHeight="1">
      <c r="A2067" t="inlineStr">
        <is>
          <t>A 15723-2023</t>
        </is>
      </c>
      <c r="B2067" s="1" t="n">
        <v>45020</v>
      </c>
      <c r="C2067" s="1" t="n">
        <v>45852</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15978-2023</t>
        </is>
      </c>
      <c r="B2068" s="1" t="n">
        <v>45023</v>
      </c>
      <c r="C2068" s="1" t="n">
        <v>45852</v>
      </c>
      <c r="D2068" t="inlineStr">
        <is>
          <t>VÄSTERNORRLANDS LÄN</t>
        </is>
      </c>
      <c r="E2068" t="inlineStr">
        <is>
          <t>SOLLEFTEÅ</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15987-2023</t>
        </is>
      </c>
      <c r="B2069" s="1" t="n">
        <v>45023</v>
      </c>
      <c r="C2069" s="1" t="n">
        <v>45852</v>
      </c>
      <c r="D2069" t="inlineStr">
        <is>
          <t>VÄSTERNORRLANDS LÄN</t>
        </is>
      </c>
      <c r="E2069" t="inlineStr">
        <is>
          <t>SOLLEFTEÅ</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15998-2023</t>
        </is>
      </c>
      <c r="B2070" s="1" t="n">
        <v>45024</v>
      </c>
      <c r="C2070" s="1" t="n">
        <v>45852</v>
      </c>
      <c r="D2070" t="inlineStr">
        <is>
          <t>VÄSTERNORRLANDS LÄN</t>
        </is>
      </c>
      <c r="E2070" t="inlineStr">
        <is>
          <t>SOLLEFTEÅ</t>
        </is>
      </c>
      <c r="F2070" t="inlineStr">
        <is>
          <t>SCA</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16189-2023</t>
        </is>
      </c>
      <c r="B2071" s="1" t="n">
        <v>45028</v>
      </c>
      <c r="C2071" s="1" t="n">
        <v>45852</v>
      </c>
      <c r="D2071" t="inlineStr">
        <is>
          <t>VÄSTERNORRLANDS LÄN</t>
        </is>
      </c>
      <c r="E2071" t="inlineStr">
        <is>
          <t>SOLLEFTEÅ</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16190-2023</t>
        </is>
      </c>
      <c r="B2072" s="1" t="n">
        <v>45028</v>
      </c>
      <c r="C2072" s="1" t="n">
        <v>45852</v>
      </c>
      <c r="D2072" t="inlineStr">
        <is>
          <t>VÄSTERNORRLANDS LÄN</t>
        </is>
      </c>
      <c r="E2072" t="inlineStr">
        <is>
          <t>SOLLEFTEÅ</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16196-2023</t>
        </is>
      </c>
      <c r="B2073" s="1" t="n">
        <v>45028</v>
      </c>
      <c r="C2073" s="1" t="n">
        <v>45852</v>
      </c>
      <c r="D2073" t="inlineStr">
        <is>
          <t>VÄSTERNORRLANDS LÄN</t>
        </is>
      </c>
      <c r="E2073" t="inlineStr">
        <is>
          <t>SOLLEFTEÅ</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16370-2023</t>
        </is>
      </c>
      <c r="B2074" s="1" t="n">
        <v>45029</v>
      </c>
      <c r="C2074" s="1" t="n">
        <v>45852</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16376-2023</t>
        </is>
      </c>
      <c r="B2075" s="1" t="n">
        <v>45029</v>
      </c>
      <c r="C2075" s="1" t="n">
        <v>45852</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16562-2023</t>
        </is>
      </c>
      <c r="B2076" s="1" t="n">
        <v>45029</v>
      </c>
      <c r="C2076" s="1" t="n">
        <v>45852</v>
      </c>
      <c r="D2076" t="inlineStr">
        <is>
          <t>VÄSTERNORRLANDS LÄN</t>
        </is>
      </c>
      <c r="E2076" t="inlineStr">
        <is>
          <t>SOLLEFTEÅ</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16760-2023</t>
        </is>
      </c>
      <c r="B2077" s="1" t="n">
        <v>45030</v>
      </c>
      <c r="C2077" s="1" t="n">
        <v>45852</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17007-2023</t>
        </is>
      </c>
      <c r="B2078" s="1" t="n">
        <v>45034</v>
      </c>
      <c r="C2078" s="1" t="n">
        <v>45852</v>
      </c>
      <c r="D2078" t="inlineStr">
        <is>
          <t>VÄSTERNORRLANDS LÄN</t>
        </is>
      </c>
      <c r="E2078" t="inlineStr">
        <is>
          <t>SOLLEFTEÅ</t>
        </is>
      </c>
      <c r="F2078" t="inlineStr">
        <is>
          <t>SCA</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17064-2023</t>
        </is>
      </c>
      <c r="B2079" s="1" t="n">
        <v>45034</v>
      </c>
      <c r="C2079" s="1" t="n">
        <v>45852</v>
      </c>
      <c r="D2079" t="inlineStr">
        <is>
          <t>VÄSTERNORRLANDS LÄN</t>
        </is>
      </c>
      <c r="E2079" t="inlineStr">
        <is>
          <t>SOLLEFTEÅ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17218-2023</t>
        </is>
      </c>
      <c r="B2080" s="1" t="n">
        <v>45035</v>
      </c>
      <c r="C2080" s="1" t="n">
        <v>45852</v>
      </c>
      <c r="D2080" t="inlineStr">
        <is>
          <t>VÄSTERNORRLANDS LÄN</t>
        </is>
      </c>
      <c r="E2080" t="inlineStr">
        <is>
          <t>SOLLEFTEÅ</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17219-2023</t>
        </is>
      </c>
      <c r="B2081" s="1" t="n">
        <v>45034</v>
      </c>
      <c r="C2081" s="1" t="n">
        <v>45852</v>
      </c>
      <c r="D2081" t="inlineStr">
        <is>
          <t>VÄSTERNORRLANDS LÄN</t>
        </is>
      </c>
      <c r="E2081" t="inlineStr">
        <is>
          <t>SOLLEFTEÅ</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17416-2023</t>
        </is>
      </c>
      <c r="B2082" s="1" t="n">
        <v>45036</v>
      </c>
      <c r="C2082" s="1" t="n">
        <v>45852</v>
      </c>
      <c r="D2082" t="inlineStr">
        <is>
          <t>VÄSTERNORRLANDS LÄN</t>
        </is>
      </c>
      <c r="E2082" t="inlineStr">
        <is>
          <t>SOLLEFTEÅ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17683-2023</t>
        </is>
      </c>
      <c r="B2083" s="1" t="n">
        <v>45035</v>
      </c>
      <c r="C2083" s="1" t="n">
        <v>45852</v>
      </c>
      <c r="D2083" t="inlineStr">
        <is>
          <t>VÄSTERNORRLANDS LÄN</t>
        </is>
      </c>
      <c r="E2083" t="inlineStr">
        <is>
          <t>SOLLEFTEÅ</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17664-2023</t>
        </is>
      </c>
      <c r="B2084" s="1" t="n">
        <v>45037</v>
      </c>
      <c r="C2084" s="1" t="n">
        <v>45852</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18149-2023</t>
        </is>
      </c>
      <c r="B2085" s="1" t="n">
        <v>45040</v>
      </c>
      <c r="C2085" s="1" t="n">
        <v>45852</v>
      </c>
      <c r="D2085" t="inlineStr">
        <is>
          <t>VÄSTERNORRLANDS LÄN</t>
        </is>
      </c>
      <c r="E2085" t="inlineStr">
        <is>
          <t>SOLLEFTEÅ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18160-2023</t>
        </is>
      </c>
      <c r="B2086" s="1" t="n">
        <v>45040</v>
      </c>
      <c r="C2086" s="1" t="n">
        <v>45852</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18167-2023</t>
        </is>
      </c>
      <c r="B2087" s="1" t="n">
        <v>45040</v>
      </c>
      <c r="C2087" s="1" t="n">
        <v>45852</v>
      </c>
      <c r="D2087" t="inlineStr">
        <is>
          <t>VÄSTERNORRLANDS LÄN</t>
        </is>
      </c>
      <c r="E2087" t="inlineStr">
        <is>
          <t>SOLLEFTEÅ</t>
        </is>
      </c>
      <c r="F2087" t="inlineStr">
        <is>
          <t>SCA</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18459-2023</t>
        </is>
      </c>
      <c r="B2088" s="1" t="n">
        <v>45041</v>
      </c>
      <c r="C2088" s="1" t="n">
        <v>45852</v>
      </c>
      <c r="D2088" t="inlineStr">
        <is>
          <t>VÄSTERNORRLANDS LÄN</t>
        </is>
      </c>
      <c r="E2088" t="inlineStr">
        <is>
          <t>SOLLEFTEÅ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18378-2023</t>
        </is>
      </c>
      <c r="B2089" s="1" t="n">
        <v>45041</v>
      </c>
      <c r="C2089" s="1" t="n">
        <v>45852</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18456-2023</t>
        </is>
      </c>
      <c r="B2090" s="1" t="n">
        <v>45041</v>
      </c>
      <c r="C2090" s="1" t="n">
        <v>45852</v>
      </c>
      <c r="D2090" t="inlineStr">
        <is>
          <t>VÄSTERNORRLANDS LÄN</t>
        </is>
      </c>
      <c r="E2090" t="inlineStr">
        <is>
          <t>SOLLEFTEÅ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18861-2023</t>
        </is>
      </c>
      <c r="B2091" s="1" t="n">
        <v>45042</v>
      </c>
      <c r="C2091" s="1" t="n">
        <v>45852</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18762-2023</t>
        </is>
      </c>
      <c r="B2092" s="1" t="n">
        <v>45043</v>
      </c>
      <c r="C2092" s="1" t="n">
        <v>45852</v>
      </c>
      <c r="D2092" t="inlineStr">
        <is>
          <t>VÄSTERNORRLANDS LÄN</t>
        </is>
      </c>
      <c r="E2092" t="inlineStr">
        <is>
          <t>SOLLEFTEÅ</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18785-2023</t>
        </is>
      </c>
      <c r="B2093" s="1" t="n">
        <v>45043</v>
      </c>
      <c r="C2093" s="1" t="n">
        <v>45852</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18753-2023</t>
        </is>
      </c>
      <c r="B2094" s="1" t="n">
        <v>45044</v>
      </c>
      <c r="C2094" s="1" t="n">
        <v>45852</v>
      </c>
      <c r="D2094" t="inlineStr">
        <is>
          <t>VÄSTERNORRLANDS LÄN</t>
        </is>
      </c>
      <c r="E2094" t="inlineStr">
        <is>
          <t>SOLLEFTEÅ</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18761-2023</t>
        </is>
      </c>
      <c r="B2095" s="1" t="n">
        <v>45043</v>
      </c>
      <c r="C2095" s="1" t="n">
        <v>45852</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18782-2023</t>
        </is>
      </c>
      <c r="B2096" s="1" t="n">
        <v>45044</v>
      </c>
      <c r="C2096" s="1" t="n">
        <v>45852</v>
      </c>
      <c r="D2096" t="inlineStr">
        <is>
          <t>VÄSTERNORRLANDS LÄN</t>
        </is>
      </c>
      <c r="E2096" t="inlineStr">
        <is>
          <t>SOLLEFTEÅ</t>
        </is>
      </c>
      <c r="F2096" t="inlineStr">
        <is>
          <t>SCA</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18786-2023</t>
        </is>
      </c>
      <c r="B2097" s="1" t="n">
        <v>45043</v>
      </c>
      <c r="C2097" s="1" t="n">
        <v>45852</v>
      </c>
      <c r="D2097" t="inlineStr">
        <is>
          <t>VÄSTERNORRLANDS LÄN</t>
        </is>
      </c>
      <c r="E2097" t="inlineStr">
        <is>
          <t>SOLLEFTEÅ</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18755-2023</t>
        </is>
      </c>
      <c r="B2098" s="1" t="n">
        <v>45043</v>
      </c>
      <c r="C2098" s="1" t="n">
        <v>45852</v>
      </c>
      <c r="D2098" t="inlineStr">
        <is>
          <t>VÄSTERNORRLANDS LÄN</t>
        </is>
      </c>
      <c r="E2098" t="inlineStr">
        <is>
          <t>SOLLEFTEÅ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18780-2023</t>
        </is>
      </c>
      <c r="B2099" s="1" t="n">
        <v>45044</v>
      </c>
      <c r="C2099" s="1" t="n">
        <v>45852</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18784-2023</t>
        </is>
      </c>
      <c r="B2100" s="1" t="n">
        <v>45044</v>
      </c>
      <c r="C2100" s="1" t="n">
        <v>45852</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18980-2023</t>
        </is>
      </c>
      <c r="B2101" s="1" t="n">
        <v>45044</v>
      </c>
      <c r="C2101" s="1" t="n">
        <v>45852</v>
      </c>
      <c r="D2101" t="inlineStr">
        <is>
          <t>VÄSTERNORRLANDS LÄN</t>
        </is>
      </c>
      <c r="E2101" t="inlineStr">
        <is>
          <t>SOLLEFTEÅ</t>
        </is>
      </c>
      <c r="F2101" t="inlineStr">
        <is>
          <t>Övriga statliga verk och myndigheter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18989-2023</t>
        </is>
      </c>
      <c r="B2102" s="1" t="n">
        <v>45044</v>
      </c>
      <c r="C2102" s="1" t="n">
        <v>45852</v>
      </c>
      <c r="D2102" t="inlineStr">
        <is>
          <t>VÄSTERNORRLANDS LÄN</t>
        </is>
      </c>
      <c r="E2102" t="inlineStr">
        <is>
          <t>SOLLEFTEÅ</t>
        </is>
      </c>
      <c r="F2102" t="inlineStr">
        <is>
          <t>SCA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19154-2023</t>
        </is>
      </c>
      <c r="B2103" s="1" t="n">
        <v>45044</v>
      </c>
      <c r="C2103" s="1" t="n">
        <v>45852</v>
      </c>
      <c r="D2103" t="inlineStr">
        <is>
          <t>VÄSTERNORRLANDS LÄN</t>
        </is>
      </c>
      <c r="E2103" t="inlineStr">
        <is>
          <t>SOLLEFTEÅ</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19433-2023</t>
        </is>
      </c>
      <c r="B2104" s="1" t="n">
        <v>45049</v>
      </c>
      <c r="C2104" s="1" t="n">
        <v>45852</v>
      </c>
      <c r="D2104" t="inlineStr">
        <is>
          <t>VÄSTERNORRLANDS LÄN</t>
        </is>
      </c>
      <c r="E2104" t="inlineStr">
        <is>
          <t>SOLLEFTEÅ</t>
        </is>
      </c>
      <c r="F2104" t="inlineStr">
        <is>
          <t>SCA</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19434-2023</t>
        </is>
      </c>
      <c r="B2105" s="1" t="n">
        <v>45049</v>
      </c>
      <c r="C2105" s="1" t="n">
        <v>45852</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19609-2023</t>
        </is>
      </c>
      <c r="B2106" s="1" t="n">
        <v>45050</v>
      </c>
      <c r="C2106" s="1" t="n">
        <v>45852</v>
      </c>
      <c r="D2106" t="inlineStr">
        <is>
          <t>VÄSTERNORRLANDS LÄN</t>
        </is>
      </c>
      <c r="E2106" t="inlineStr">
        <is>
          <t>SOLLEFTEÅ</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19610-2023</t>
        </is>
      </c>
      <c r="B2107" s="1" t="n">
        <v>45050</v>
      </c>
      <c r="C2107" s="1" t="n">
        <v>45852</v>
      </c>
      <c r="D2107" t="inlineStr">
        <is>
          <t>VÄSTERNORRLANDS LÄN</t>
        </is>
      </c>
      <c r="E2107" t="inlineStr">
        <is>
          <t>SOLLEFTEÅ</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19615-2023</t>
        </is>
      </c>
      <c r="B2108" s="1" t="n">
        <v>45051</v>
      </c>
      <c r="C2108" s="1" t="n">
        <v>45852</v>
      </c>
      <c r="D2108" t="inlineStr">
        <is>
          <t>VÄSTERNORRLANDS LÄN</t>
        </is>
      </c>
      <c r="E2108" t="inlineStr">
        <is>
          <t>SOLLEFTEÅ</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19625-2023</t>
        </is>
      </c>
      <c r="B2109" s="1" t="n">
        <v>45050</v>
      </c>
      <c r="C2109" s="1" t="n">
        <v>45852</v>
      </c>
      <c r="D2109" t="inlineStr">
        <is>
          <t>VÄSTERNORRLANDS LÄN</t>
        </is>
      </c>
      <c r="E2109" t="inlineStr">
        <is>
          <t>SOLLEFTEÅ</t>
        </is>
      </c>
      <c r="F2109" t="inlineStr">
        <is>
          <t>SCA</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19614-2023</t>
        </is>
      </c>
      <c r="B2110" s="1" t="n">
        <v>45050</v>
      </c>
      <c r="C2110" s="1" t="n">
        <v>45852</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19816-2023</t>
        </is>
      </c>
      <c r="B2111" s="1" t="n">
        <v>45052</v>
      </c>
      <c r="C2111" s="1" t="n">
        <v>45852</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19829-2023</t>
        </is>
      </c>
      <c r="B2112" s="1" t="n">
        <v>45052</v>
      </c>
      <c r="C2112" s="1" t="n">
        <v>45852</v>
      </c>
      <c r="D2112" t="inlineStr">
        <is>
          <t>VÄSTERNORRLANDS LÄN</t>
        </is>
      </c>
      <c r="E2112" t="inlineStr">
        <is>
          <t>SOLLEFTEÅ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19830-2023</t>
        </is>
      </c>
      <c r="B2113" s="1" t="n">
        <v>45052</v>
      </c>
      <c r="C2113" s="1" t="n">
        <v>45852</v>
      </c>
      <c r="D2113" t="inlineStr">
        <is>
          <t>VÄSTERNORRLANDS LÄN</t>
        </is>
      </c>
      <c r="E2113" t="inlineStr">
        <is>
          <t>SOLLEFTEÅ</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20089-2023</t>
        </is>
      </c>
      <c r="B2114" s="1" t="n">
        <v>45055</v>
      </c>
      <c r="C2114" s="1" t="n">
        <v>45852</v>
      </c>
      <c r="D2114" t="inlineStr">
        <is>
          <t>VÄSTERNORRLANDS LÄN</t>
        </is>
      </c>
      <c r="E2114" t="inlineStr">
        <is>
          <t>SOLLEFTEÅ</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20269-2023</t>
        </is>
      </c>
      <c r="B2115" s="1" t="n">
        <v>45055</v>
      </c>
      <c r="C2115" s="1" t="n">
        <v>45852</v>
      </c>
      <c r="D2115" t="inlineStr">
        <is>
          <t>VÄSTERNORRLANDS LÄN</t>
        </is>
      </c>
      <c r="E2115" t="inlineStr">
        <is>
          <t>SOLLEFTEÅ</t>
        </is>
      </c>
      <c r="F2115" t="inlineStr">
        <is>
          <t>SCA</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20268-2023</t>
        </is>
      </c>
      <c r="B2116" s="1" t="n">
        <v>45055</v>
      </c>
      <c r="C2116" s="1" t="n">
        <v>45852</v>
      </c>
      <c r="D2116" t="inlineStr">
        <is>
          <t>VÄSTERNORRLANDS LÄN</t>
        </is>
      </c>
      <c r="E2116" t="inlineStr">
        <is>
          <t>SOLLEFTEÅ</t>
        </is>
      </c>
      <c r="F2116" t="inlineStr">
        <is>
          <t>SCA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20266-2023</t>
        </is>
      </c>
      <c r="B2117" s="1" t="n">
        <v>45055</v>
      </c>
      <c r="C2117" s="1" t="n">
        <v>45852</v>
      </c>
      <c r="D2117" t="inlineStr">
        <is>
          <t>VÄSTERNORRLANDS LÄN</t>
        </is>
      </c>
      <c r="E2117" t="inlineStr">
        <is>
          <t>SOLLEFTEÅ</t>
        </is>
      </c>
      <c r="F2117" t="inlineStr">
        <is>
          <t>SCA</t>
        </is>
      </c>
      <c r="G2117" t="n">
        <v>21.3</v>
      </c>
      <c r="H2117" t="n">
        <v>0</v>
      </c>
      <c r="I2117" t="n">
        <v>0</v>
      </c>
      <c r="J2117" t="n">
        <v>0</v>
      </c>
      <c r="K2117" t="n">
        <v>0</v>
      </c>
      <c r="L2117" t="n">
        <v>0</v>
      </c>
      <c r="M2117" t="n">
        <v>0</v>
      </c>
      <c r="N2117" t="n">
        <v>0</v>
      </c>
      <c r="O2117" t="n">
        <v>0</v>
      </c>
      <c r="P2117" t="n">
        <v>0</v>
      </c>
      <c r="Q2117" t="n">
        <v>0</v>
      </c>
      <c r="R2117" s="2" t="inlineStr"/>
    </row>
    <row r="2118" ht="15" customHeight="1">
      <c r="A2118" t="inlineStr">
        <is>
          <t>A 20271-2023</t>
        </is>
      </c>
      <c r="B2118" s="1" t="n">
        <v>45056</v>
      </c>
      <c r="C2118" s="1" t="n">
        <v>45852</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20461-2023</t>
        </is>
      </c>
      <c r="B2119" s="1" t="n">
        <v>45057</v>
      </c>
      <c r="C2119" s="1" t="n">
        <v>45852</v>
      </c>
      <c r="D2119" t="inlineStr">
        <is>
          <t>VÄSTERNORRLANDS LÄN</t>
        </is>
      </c>
      <c r="E2119" t="inlineStr">
        <is>
          <t>SOLLEFTEÅ</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20460-2023</t>
        </is>
      </c>
      <c r="B2120" s="1" t="n">
        <v>45057</v>
      </c>
      <c r="C2120" s="1" t="n">
        <v>45852</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20599-2023</t>
        </is>
      </c>
      <c r="B2121" s="1" t="n">
        <v>45058</v>
      </c>
      <c r="C2121" s="1" t="n">
        <v>45852</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20598-2023</t>
        </is>
      </c>
      <c r="B2122" s="1" t="n">
        <v>45058</v>
      </c>
      <c r="C2122" s="1" t="n">
        <v>45852</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21195-2023</t>
        </is>
      </c>
      <c r="B2123" s="1" t="n">
        <v>45057</v>
      </c>
      <c r="C2123" s="1" t="n">
        <v>45852</v>
      </c>
      <c r="D2123" t="inlineStr">
        <is>
          <t>VÄSTERNORRLANDS LÄN</t>
        </is>
      </c>
      <c r="E2123" t="inlineStr">
        <is>
          <t>SOLLEFTEÅ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20629-2023</t>
        </is>
      </c>
      <c r="B2124" s="1" t="n">
        <v>45058</v>
      </c>
      <c r="C2124" s="1" t="n">
        <v>45852</v>
      </c>
      <c r="D2124" t="inlineStr">
        <is>
          <t>VÄSTERNORRLANDS LÄN</t>
        </is>
      </c>
      <c r="E2124" t="inlineStr">
        <is>
          <t>SOLLEFTEÅ</t>
        </is>
      </c>
      <c r="F2124" t="inlineStr">
        <is>
          <t>SCA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20628-2023</t>
        </is>
      </c>
      <c r="B2125" s="1" t="n">
        <v>45058</v>
      </c>
      <c r="C2125" s="1" t="n">
        <v>45852</v>
      </c>
      <c r="D2125" t="inlineStr">
        <is>
          <t>VÄSTERNORRLANDS LÄN</t>
        </is>
      </c>
      <c r="E2125" t="inlineStr">
        <is>
          <t>SOLLEFTEÅ</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21230-2023</t>
        </is>
      </c>
      <c r="B2126" s="1" t="n">
        <v>45057</v>
      </c>
      <c r="C2126" s="1" t="n">
        <v>45852</v>
      </c>
      <c r="D2126" t="inlineStr">
        <is>
          <t>VÄSTERNORRLANDS LÄN</t>
        </is>
      </c>
      <c r="E2126" t="inlineStr">
        <is>
          <t>SOLLEFTEÅ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20754-2023</t>
        </is>
      </c>
      <c r="B2127" s="1" t="n">
        <v>45058</v>
      </c>
      <c r="C2127" s="1" t="n">
        <v>45852</v>
      </c>
      <c r="D2127" t="inlineStr">
        <is>
          <t>VÄSTERNORRLANDS LÄN</t>
        </is>
      </c>
      <c r="E2127" t="inlineStr">
        <is>
          <t>SOLLEFTEÅ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20859-2023</t>
        </is>
      </c>
      <c r="B2128" s="1" t="n">
        <v>45059</v>
      </c>
      <c r="C2128" s="1" t="n">
        <v>45852</v>
      </c>
      <c r="D2128" t="inlineStr">
        <is>
          <t>VÄSTERNORRLANDS LÄN</t>
        </is>
      </c>
      <c r="E2128" t="inlineStr">
        <is>
          <t>SOLLEFTEÅ</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20862-2023</t>
        </is>
      </c>
      <c r="B2129" s="1" t="n">
        <v>45059</v>
      </c>
      <c r="C2129" s="1" t="n">
        <v>45852</v>
      </c>
      <c r="D2129" t="inlineStr">
        <is>
          <t>VÄSTERNORRLANDS LÄN</t>
        </is>
      </c>
      <c r="E2129" t="inlineStr">
        <is>
          <t>SOLLEFTEÅ</t>
        </is>
      </c>
      <c r="F2129" t="inlineStr">
        <is>
          <t>SCA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20817-2023</t>
        </is>
      </c>
      <c r="B2130" s="1" t="n">
        <v>45058</v>
      </c>
      <c r="C2130" s="1" t="n">
        <v>45852</v>
      </c>
      <c r="D2130" t="inlineStr">
        <is>
          <t>VÄSTERNORRLANDS LÄN</t>
        </is>
      </c>
      <c r="E2130" t="inlineStr">
        <is>
          <t>SOLLEFTEÅ</t>
        </is>
      </c>
      <c r="G2130" t="n">
        <v>12.5</v>
      </c>
      <c r="H2130" t="n">
        <v>0</v>
      </c>
      <c r="I2130" t="n">
        <v>0</v>
      </c>
      <c r="J2130" t="n">
        <v>0</v>
      </c>
      <c r="K2130" t="n">
        <v>0</v>
      </c>
      <c r="L2130" t="n">
        <v>0</v>
      </c>
      <c r="M2130" t="n">
        <v>0</v>
      </c>
      <c r="N2130" t="n">
        <v>0</v>
      </c>
      <c r="O2130" t="n">
        <v>0</v>
      </c>
      <c r="P2130" t="n">
        <v>0</v>
      </c>
      <c r="Q2130" t="n">
        <v>0</v>
      </c>
      <c r="R2130" s="2" t="inlineStr"/>
    </row>
    <row r="2131" ht="15" customHeight="1">
      <c r="A2131" t="inlineStr">
        <is>
          <t>A 20873-2023</t>
        </is>
      </c>
      <c r="B2131" s="1" t="n">
        <v>45059</v>
      </c>
      <c r="C2131" s="1" t="n">
        <v>45852</v>
      </c>
      <c r="D2131" t="inlineStr">
        <is>
          <t>VÄSTERNORRLANDS LÄN</t>
        </is>
      </c>
      <c r="E2131" t="inlineStr">
        <is>
          <t>SOLLEFTEÅ</t>
        </is>
      </c>
      <c r="F2131" t="inlineStr">
        <is>
          <t>SCA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20878-2023</t>
        </is>
      </c>
      <c r="B2132" s="1" t="n">
        <v>45059</v>
      </c>
      <c r="C2132" s="1" t="n">
        <v>45852</v>
      </c>
      <c r="D2132" t="inlineStr">
        <is>
          <t>VÄSTERNORRLANDS LÄN</t>
        </is>
      </c>
      <c r="E2132" t="inlineStr">
        <is>
          <t>SOLLEFTEÅ</t>
        </is>
      </c>
      <c r="F2132" t="inlineStr">
        <is>
          <t>SCA</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20872-2023</t>
        </is>
      </c>
      <c r="B2133" s="1" t="n">
        <v>45058</v>
      </c>
      <c r="C2133" s="1" t="n">
        <v>45852</v>
      </c>
      <c r="D2133" t="inlineStr">
        <is>
          <t>VÄSTERNORRLANDS LÄN</t>
        </is>
      </c>
      <c r="E2133" t="inlineStr">
        <is>
          <t>SOLLEFTEÅ</t>
        </is>
      </c>
      <c r="F2133" t="inlineStr">
        <is>
          <t>SCA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21513-2023</t>
        </is>
      </c>
      <c r="B2134" s="1" t="n">
        <v>45061</v>
      </c>
      <c r="C2134" s="1" t="n">
        <v>45852</v>
      </c>
      <c r="D2134" t="inlineStr">
        <is>
          <t>VÄSTERNORRLANDS LÄN</t>
        </is>
      </c>
      <c r="E2134" t="inlineStr">
        <is>
          <t>SOLLEFTEÅ</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21349-2023</t>
        </is>
      </c>
      <c r="B2135" s="1" t="n">
        <v>45063</v>
      </c>
      <c r="C2135" s="1" t="n">
        <v>45852</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21346-2023</t>
        </is>
      </c>
      <c r="B2136" s="1" t="n">
        <v>45063</v>
      </c>
      <c r="C2136" s="1" t="n">
        <v>45852</v>
      </c>
      <c r="D2136" t="inlineStr">
        <is>
          <t>VÄSTERNORRLANDS LÄN</t>
        </is>
      </c>
      <c r="E2136" t="inlineStr">
        <is>
          <t>SOLLEFTEÅ</t>
        </is>
      </c>
      <c r="F2136" t="inlineStr">
        <is>
          <t>SCA</t>
        </is>
      </c>
      <c r="G2136" t="n">
        <v>15.5</v>
      </c>
      <c r="H2136" t="n">
        <v>0</v>
      </c>
      <c r="I2136" t="n">
        <v>0</v>
      </c>
      <c r="J2136" t="n">
        <v>0</v>
      </c>
      <c r="K2136" t="n">
        <v>0</v>
      </c>
      <c r="L2136" t="n">
        <v>0</v>
      </c>
      <c r="M2136" t="n">
        <v>0</v>
      </c>
      <c r="N2136" t="n">
        <v>0</v>
      </c>
      <c r="O2136" t="n">
        <v>0</v>
      </c>
      <c r="P2136" t="n">
        <v>0</v>
      </c>
      <c r="Q2136" t="n">
        <v>0</v>
      </c>
      <c r="R2136" s="2" t="inlineStr"/>
    </row>
    <row r="2137" ht="15" customHeight="1">
      <c r="A2137" t="inlineStr">
        <is>
          <t>A 21340-2023</t>
        </is>
      </c>
      <c r="B2137" s="1" t="n">
        <v>45062</v>
      </c>
      <c r="C2137" s="1" t="n">
        <v>45852</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21344-2023</t>
        </is>
      </c>
      <c r="B2138" s="1" t="n">
        <v>45062</v>
      </c>
      <c r="C2138" s="1" t="n">
        <v>45852</v>
      </c>
      <c r="D2138" t="inlineStr">
        <is>
          <t>VÄSTERNORRLANDS LÄN</t>
        </is>
      </c>
      <c r="E2138" t="inlineStr">
        <is>
          <t>SOLLEFTEÅ</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21361-2023</t>
        </is>
      </c>
      <c r="B2139" s="1" t="n">
        <v>45063</v>
      </c>
      <c r="C2139" s="1" t="n">
        <v>45852</v>
      </c>
      <c r="D2139" t="inlineStr">
        <is>
          <t>VÄSTERNORRLANDS LÄN</t>
        </is>
      </c>
      <c r="E2139" t="inlineStr">
        <is>
          <t>SOLLEFTEÅ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21690-2023</t>
        </is>
      </c>
      <c r="B2140" s="1" t="n">
        <v>45064</v>
      </c>
      <c r="C2140" s="1" t="n">
        <v>45852</v>
      </c>
      <c r="D2140" t="inlineStr">
        <is>
          <t>VÄSTERNORRLANDS LÄN</t>
        </is>
      </c>
      <c r="E2140" t="inlineStr">
        <is>
          <t>SOLLEFTEÅ</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21674-2023</t>
        </is>
      </c>
      <c r="B2141" s="1" t="n">
        <v>45064</v>
      </c>
      <c r="C2141" s="1" t="n">
        <v>45852</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22008-2023</t>
        </is>
      </c>
      <c r="B2142" s="1" t="n">
        <v>45068</v>
      </c>
      <c r="C2142" s="1" t="n">
        <v>45852</v>
      </c>
      <c r="D2142" t="inlineStr">
        <is>
          <t>VÄSTERNORRLANDS LÄN</t>
        </is>
      </c>
      <c r="E2142" t="inlineStr">
        <is>
          <t>SOLLEFTEÅ</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22220-2023</t>
        </is>
      </c>
      <c r="B2143" s="1" t="n">
        <v>45070</v>
      </c>
      <c r="C2143" s="1" t="n">
        <v>45852</v>
      </c>
      <c r="D2143" t="inlineStr">
        <is>
          <t>VÄSTERNORRLANDS LÄN</t>
        </is>
      </c>
      <c r="E2143" t="inlineStr">
        <is>
          <t>SOLLEFTEÅ</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22229-2023</t>
        </is>
      </c>
      <c r="B2144" s="1" t="n">
        <v>45070</v>
      </c>
      <c r="C2144" s="1" t="n">
        <v>45852</v>
      </c>
      <c r="D2144" t="inlineStr">
        <is>
          <t>VÄSTERNORRLANDS LÄN</t>
        </is>
      </c>
      <c r="E2144" t="inlineStr">
        <is>
          <t>SOLLEFTEÅ</t>
        </is>
      </c>
      <c r="F2144" t="inlineStr">
        <is>
          <t>SCA</t>
        </is>
      </c>
      <c r="G2144" t="n">
        <v>20.8</v>
      </c>
      <c r="H2144" t="n">
        <v>0</v>
      </c>
      <c r="I2144" t="n">
        <v>0</v>
      </c>
      <c r="J2144" t="n">
        <v>0</v>
      </c>
      <c r="K2144" t="n">
        <v>0</v>
      </c>
      <c r="L2144" t="n">
        <v>0</v>
      </c>
      <c r="M2144" t="n">
        <v>0</v>
      </c>
      <c r="N2144" t="n">
        <v>0</v>
      </c>
      <c r="O2144" t="n">
        <v>0</v>
      </c>
      <c r="P2144" t="n">
        <v>0</v>
      </c>
      <c r="Q2144" t="n">
        <v>0</v>
      </c>
      <c r="R2144" s="2" t="inlineStr"/>
    </row>
    <row r="2145" ht="15" customHeight="1">
      <c r="A2145" t="inlineStr">
        <is>
          <t>A 22750-2023</t>
        </is>
      </c>
      <c r="B2145" s="1" t="n">
        <v>45072</v>
      </c>
      <c r="C2145" s="1" t="n">
        <v>45852</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22994-2023</t>
        </is>
      </c>
      <c r="B2146" s="1" t="n">
        <v>45072</v>
      </c>
      <c r="C2146" s="1" t="n">
        <v>45852</v>
      </c>
      <c r="D2146" t="inlineStr">
        <is>
          <t>VÄSTERNORRLANDS LÄN</t>
        </is>
      </c>
      <c r="E2146" t="inlineStr">
        <is>
          <t>SOLLEFTEÅ</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22992-2023</t>
        </is>
      </c>
      <c r="B2147" s="1" t="n">
        <v>45072</v>
      </c>
      <c r="C2147" s="1" t="n">
        <v>45852</v>
      </c>
      <c r="D2147" t="inlineStr">
        <is>
          <t>VÄSTERNORRLANDS LÄN</t>
        </is>
      </c>
      <c r="E2147" t="inlineStr">
        <is>
          <t>SOLLEFTEÅ</t>
        </is>
      </c>
      <c r="F2147" t="inlineStr">
        <is>
          <t>SCA</t>
        </is>
      </c>
      <c r="G2147" t="n">
        <v>13.6</v>
      </c>
      <c r="H2147" t="n">
        <v>0</v>
      </c>
      <c r="I2147" t="n">
        <v>0</v>
      </c>
      <c r="J2147" t="n">
        <v>0</v>
      </c>
      <c r="K2147" t="n">
        <v>0</v>
      </c>
      <c r="L2147" t="n">
        <v>0</v>
      </c>
      <c r="M2147" t="n">
        <v>0</v>
      </c>
      <c r="N2147" t="n">
        <v>0</v>
      </c>
      <c r="O2147" t="n">
        <v>0</v>
      </c>
      <c r="P2147" t="n">
        <v>0</v>
      </c>
      <c r="Q2147" t="n">
        <v>0</v>
      </c>
      <c r="R2147" s="2" t="inlineStr"/>
    </row>
    <row r="2148" ht="15" customHeight="1">
      <c r="A2148" t="inlineStr">
        <is>
          <t>A 22995-2023</t>
        </is>
      </c>
      <c r="B2148" s="1" t="n">
        <v>45073</v>
      </c>
      <c r="C2148" s="1" t="n">
        <v>45852</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23488-2023</t>
        </is>
      </c>
      <c r="B2149" s="1" t="n">
        <v>45072</v>
      </c>
      <c r="C2149" s="1" t="n">
        <v>45852</v>
      </c>
      <c r="D2149" t="inlineStr">
        <is>
          <t>VÄSTERNORRLANDS LÄN</t>
        </is>
      </c>
      <c r="E2149" t="inlineStr">
        <is>
          <t>SOLLEFTEÅ</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23016-2023</t>
        </is>
      </c>
      <c r="B2150" s="1" t="n">
        <v>45073</v>
      </c>
      <c r="C2150" s="1" t="n">
        <v>45852</v>
      </c>
      <c r="D2150" t="inlineStr">
        <is>
          <t>VÄSTERNORRLANDS LÄN</t>
        </is>
      </c>
      <c r="E2150" t="inlineStr">
        <is>
          <t>SOLLEFTEÅ</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23286-2023</t>
        </is>
      </c>
      <c r="B2151" s="1" t="n">
        <v>45075</v>
      </c>
      <c r="C2151" s="1" t="n">
        <v>45852</v>
      </c>
      <c r="D2151" t="inlineStr">
        <is>
          <t>VÄSTERNORRLANDS LÄN</t>
        </is>
      </c>
      <c r="E2151" t="inlineStr">
        <is>
          <t>SOLLEFTEÅ</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23277-2023</t>
        </is>
      </c>
      <c r="B2152" s="1" t="n">
        <v>45075</v>
      </c>
      <c r="C2152" s="1" t="n">
        <v>45852</v>
      </c>
      <c r="D2152" t="inlineStr">
        <is>
          <t>VÄSTERNORRLANDS LÄN</t>
        </is>
      </c>
      <c r="E2152" t="inlineStr">
        <is>
          <t>SOLLEFTEÅ</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23285-2023</t>
        </is>
      </c>
      <c r="B2153" s="1" t="n">
        <v>45075</v>
      </c>
      <c r="C2153" s="1" t="n">
        <v>45852</v>
      </c>
      <c r="D2153" t="inlineStr">
        <is>
          <t>VÄSTERNORRLANDS LÄN</t>
        </is>
      </c>
      <c r="E2153" t="inlineStr">
        <is>
          <t>SOLLEFTEÅ</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23289-2023</t>
        </is>
      </c>
      <c r="B2154" s="1" t="n">
        <v>45075</v>
      </c>
      <c r="C2154" s="1" t="n">
        <v>45852</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23287-2023</t>
        </is>
      </c>
      <c r="B2155" s="1" t="n">
        <v>45075</v>
      </c>
      <c r="C2155" s="1" t="n">
        <v>45852</v>
      </c>
      <c r="D2155" t="inlineStr">
        <is>
          <t>VÄSTERNORRLANDS LÄN</t>
        </is>
      </c>
      <c r="E2155" t="inlineStr">
        <is>
          <t>SOLLEFTEÅ</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23288-2023</t>
        </is>
      </c>
      <c r="B2156" s="1" t="n">
        <v>45075</v>
      </c>
      <c r="C2156" s="1" t="n">
        <v>45852</v>
      </c>
      <c r="D2156" t="inlineStr">
        <is>
          <t>VÄSTERNORRLANDS LÄN</t>
        </is>
      </c>
      <c r="E2156" t="inlineStr">
        <is>
          <t>SOLLEFTEÅ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23523-2023</t>
        </is>
      </c>
      <c r="B2157" s="1" t="n">
        <v>45076</v>
      </c>
      <c r="C2157" s="1" t="n">
        <v>45852</v>
      </c>
      <c r="D2157" t="inlineStr">
        <is>
          <t>VÄSTERNORRLANDS LÄN</t>
        </is>
      </c>
      <c r="E2157" t="inlineStr">
        <is>
          <t>SOLLEFTEÅ</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23527-2023</t>
        </is>
      </c>
      <c r="B2158" s="1" t="n">
        <v>45076</v>
      </c>
      <c r="C2158" s="1" t="n">
        <v>45852</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24306-2023</t>
        </is>
      </c>
      <c r="B2159" s="1" t="n">
        <v>45080</v>
      </c>
      <c r="C2159" s="1" t="n">
        <v>45852</v>
      </c>
      <c r="D2159" t="inlineStr">
        <is>
          <t>VÄSTERNORRLANDS LÄN</t>
        </is>
      </c>
      <c r="E2159" t="inlineStr">
        <is>
          <t>SOLLEFTEÅ</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24314-2023</t>
        </is>
      </c>
      <c r="B2160" s="1" t="n">
        <v>45079</v>
      </c>
      <c r="C2160" s="1" t="n">
        <v>45852</v>
      </c>
      <c r="D2160" t="inlineStr">
        <is>
          <t>VÄSTERNORRLANDS LÄN</t>
        </is>
      </c>
      <c r="E2160" t="inlineStr">
        <is>
          <t>SOLLEFTEÅ</t>
        </is>
      </c>
      <c r="F2160" t="inlineStr">
        <is>
          <t>SCA</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25259-2023</t>
        </is>
      </c>
      <c r="B2161" s="1" t="n">
        <v>45079</v>
      </c>
      <c r="C2161" s="1" t="n">
        <v>45852</v>
      </c>
      <c r="D2161" t="inlineStr">
        <is>
          <t>VÄSTERNORRLANDS LÄN</t>
        </is>
      </c>
      <c r="E2161" t="inlineStr">
        <is>
          <t>SOLLEFTEÅ</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25267-2023</t>
        </is>
      </c>
      <c r="B2162" s="1" t="n">
        <v>45079</v>
      </c>
      <c r="C2162" s="1" t="n">
        <v>45852</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25550-2023</t>
        </is>
      </c>
      <c r="B2163" s="1" t="n">
        <v>45082</v>
      </c>
      <c r="C2163" s="1" t="n">
        <v>45852</v>
      </c>
      <c r="D2163" t="inlineStr">
        <is>
          <t>VÄSTERNORRLANDS LÄN</t>
        </is>
      </c>
      <c r="E2163" t="inlineStr">
        <is>
          <t>SOLLEFTEÅ</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24595-2023</t>
        </is>
      </c>
      <c r="B2164" s="1" t="n">
        <v>45084</v>
      </c>
      <c r="C2164" s="1" t="n">
        <v>45852</v>
      </c>
      <c r="D2164" t="inlineStr">
        <is>
          <t>VÄSTERNORRLANDS LÄN</t>
        </is>
      </c>
      <c r="E2164" t="inlineStr">
        <is>
          <t>SOLLEFTEÅ</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24597-2023</t>
        </is>
      </c>
      <c r="B2165" s="1" t="n">
        <v>45083</v>
      </c>
      <c r="C2165" s="1" t="n">
        <v>45852</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24596-2023</t>
        </is>
      </c>
      <c r="B2166" s="1" t="n">
        <v>45084</v>
      </c>
      <c r="C2166" s="1" t="n">
        <v>45852</v>
      </c>
      <c r="D2166" t="inlineStr">
        <is>
          <t>VÄSTERNORRLANDS LÄN</t>
        </is>
      </c>
      <c r="E2166" t="inlineStr">
        <is>
          <t>SOLLEFTEÅ</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25795-2023</t>
        </is>
      </c>
      <c r="B2167" s="1" t="n">
        <v>45085</v>
      </c>
      <c r="C2167" s="1" t="n">
        <v>45852</v>
      </c>
      <c r="D2167" t="inlineStr">
        <is>
          <t>VÄSTERNORRLANDS LÄN</t>
        </is>
      </c>
      <c r="E2167" t="inlineStr">
        <is>
          <t>SOLLEFTEÅ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25848-2023</t>
        </is>
      </c>
      <c r="B2168" s="1" t="n">
        <v>45085</v>
      </c>
      <c r="C2168" s="1" t="n">
        <v>45852</v>
      </c>
      <c r="D2168" t="inlineStr">
        <is>
          <t>VÄSTERNORRLANDS LÄN</t>
        </is>
      </c>
      <c r="E2168" t="inlineStr">
        <is>
          <t>SOLLEFTEÅ</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25079-2023</t>
        </is>
      </c>
      <c r="B2169" s="1" t="n">
        <v>45086</v>
      </c>
      <c r="C2169" s="1" t="n">
        <v>45852</v>
      </c>
      <c r="D2169" t="inlineStr">
        <is>
          <t>VÄSTERNORRLANDS LÄN</t>
        </is>
      </c>
      <c r="E2169" t="inlineStr">
        <is>
          <t>SOLLEFTEÅ</t>
        </is>
      </c>
      <c r="F2169" t="inlineStr">
        <is>
          <t>Kommuner</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25314-2023</t>
        </is>
      </c>
      <c r="B2170" s="1" t="n">
        <v>45086</v>
      </c>
      <c r="C2170" s="1" t="n">
        <v>45852</v>
      </c>
      <c r="D2170" t="inlineStr">
        <is>
          <t>VÄSTERNORRLANDS LÄN</t>
        </is>
      </c>
      <c r="E2170" t="inlineStr">
        <is>
          <t>SOLLEFTEÅ</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25392-2023</t>
        </is>
      </c>
      <c r="B2171" s="1" t="n">
        <v>45089</v>
      </c>
      <c r="C2171" s="1" t="n">
        <v>45852</v>
      </c>
      <c r="D2171" t="inlineStr">
        <is>
          <t>VÄSTERNORRLANDS LÄN</t>
        </is>
      </c>
      <c r="E2171" t="inlineStr">
        <is>
          <t>SOLLEFTEÅ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25987-2023</t>
        </is>
      </c>
      <c r="B2172" s="1" t="n">
        <v>45091</v>
      </c>
      <c r="C2172" s="1" t="n">
        <v>45852</v>
      </c>
      <c r="D2172" t="inlineStr">
        <is>
          <t>VÄSTERNORRLANDS LÄN</t>
        </is>
      </c>
      <c r="E2172" t="inlineStr">
        <is>
          <t>SOLLEFTEÅ</t>
        </is>
      </c>
      <c r="G2172" t="n">
        <v>10.2</v>
      </c>
      <c r="H2172" t="n">
        <v>0</v>
      </c>
      <c r="I2172" t="n">
        <v>0</v>
      </c>
      <c r="J2172" t="n">
        <v>0</v>
      </c>
      <c r="K2172" t="n">
        <v>0</v>
      </c>
      <c r="L2172" t="n">
        <v>0</v>
      </c>
      <c r="M2172" t="n">
        <v>0</v>
      </c>
      <c r="N2172" t="n">
        <v>0</v>
      </c>
      <c r="O2172" t="n">
        <v>0</v>
      </c>
      <c r="P2172" t="n">
        <v>0</v>
      </c>
      <c r="Q2172" t="n">
        <v>0</v>
      </c>
      <c r="R2172" s="2" t="inlineStr"/>
    </row>
    <row r="2173" ht="15" customHeight="1">
      <c r="A2173" t="inlineStr">
        <is>
          <t>A 26210-2023</t>
        </is>
      </c>
      <c r="B2173" s="1" t="n">
        <v>45090</v>
      </c>
      <c r="C2173" s="1" t="n">
        <v>45852</v>
      </c>
      <c r="D2173" t="inlineStr">
        <is>
          <t>VÄSTERNORRLANDS LÄN</t>
        </is>
      </c>
      <c r="E2173" t="inlineStr">
        <is>
          <t>SOLLEFTEÅ</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25986-2023</t>
        </is>
      </c>
      <c r="B2174" s="1" t="n">
        <v>45090</v>
      </c>
      <c r="C2174" s="1" t="n">
        <v>45852</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26373-2023</t>
        </is>
      </c>
      <c r="B2175" s="1" t="n">
        <v>45092</v>
      </c>
      <c r="C2175" s="1" t="n">
        <v>45852</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27544-2023</t>
        </is>
      </c>
      <c r="B2176" s="1" t="n">
        <v>45092</v>
      </c>
      <c r="C2176" s="1" t="n">
        <v>45852</v>
      </c>
      <c r="D2176" t="inlineStr">
        <is>
          <t>VÄSTERNORRLANDS LÄN</t>
        </is>
      </c>
      <c r="E2176" t="inlineStr">
        <is>
          <t>SOLLEFTEÅ</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27534-2023</t>
        </is>
      </c>
      <c r="B2177" s="1" t="n">
        <v>45092</v>
      </c>
      <c r="C2177" s="1" t="n">
        <v>45852</v>
      </c>
      <c r="D2177" t="inlineStr">
        <is>
          <t>VÄSTERNORRLANDS LÄN</t>
        </is>
      </c>
      <c r="E2177" t="inlineStr">
        <is>
          <t>SOLLEFTEÅ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27381-2023</t>
        </is>
      </c>
      <c r="B2178" s="1" t="n">
        <v>45097</v>
      </c>
      <c r="C2178" s="1" t="n">
        <v>45852</v>
      </c>
      <c r="D2178" t="inlineStr">
        <is>
          <t>VÄSTERNORRLANDS LÄN</t>
        </is>
      </c>
      <c r="E2178" t="inlineStr">
        <is>
          <t>SOLLEFTEÅ</t>
        </is>
      </c>
      <c r="F2178" t="inlineStr">
        <is>
          <t>SCA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27382-2023</t>
        </is>
      </c>
      <c r="B2179" s="1" t="n">
        <v>45097</v>
      </c>
      <c r="C2179" s="1" t="n">
        <v>45852</v>
      </c>
      <c r="D2179" t="inlineStr">
        <is>
          <t>VÄSTERNORRLANDS LÄN</t>
        </is>
      </c>
      <c r="E2179" t="inlineStr">
        <is>
          <t>SOLLEFTEÅ</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27384-2023</t>
        </is>
      </c>
      <c r="B2180" s="1" t="n">
        <v>45097</v>
      </c>
      <c r="C2180" s="1" t="n">
        <v>45852</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27392-2023</t>
        </is>
      </c>
      <c r="B2181" s="1" t="n">
        <v>45097</v>
      </c>
      <c r="C2181" s="1" t="n">
        <v>45852</v>
      </c>
      <c r="D2181" t="inlineStr">
        <is>
          <t>VÄSTERNORRLANDS LÄN</t>
        </is>
      </c>
      <c r="E2181" t="inlineStr">
        <is>
          <t>SOLLEFTEÅ</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28653-2023</t>
        </is>
      </c>
      <c r="B2182" s="1" t="n">
        <v>45096</v>
      </c>
      <c r="C2182" s="1" t="n">
        <v>45852</v>
      </c>
      <c r="D2182" t="inlineStr">
        <is>
          <t>VÄSTERNORRLANDS LÄN</t>
        </is>
      </c>
      <c r="E2182" t="inlineStr">
        <is>
          <t>SOLLEFTEÅ</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27383-2023</t>
        </is>
      </c>
      <c r="B2183" s="1" t="n">
        <v>45097</v>
      </c>
      <c r="C2183" s="1" t="n">
        <v>45852</v>
      </c>
      <c r="D2183" t="inlineStr">
        <is>
          <t>VÄSTERNORRLANDS LÄN</t>
        </is>
      </c>
      <c r="E2183" t="inlineStr">
        <is>
          <t>SOLLEFTEÅ</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27391-2023</t>
        </is>
      </c>
      <c r="B2184" s="1" t="n">
        <v>45097</v>
      </c>
      <c r="C2184" s="1" t="n">
        <v>45852</v>
      </c>
      <c r="D2184" t="inlineStr">
        <is>
          <t>VÄSTERNORRLANDS LÄN</t>
        </is>
      </c>
      <c r="E2184" t="inlineStr">
        <is>
          <t>SOLLEFTEÅ</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27674-2023</t>
        </is>
      </c>
      <c r="B2185" s="1" t="n">
        <v>45097</v>
      </c>
      <c r="C2185" s="1" t="n">
        <v>45852</v>
      </c>
      <c r="D2185" t="inlineStr">
        <is>
          <t>VÄSTERNORRLANDS LÄN</t>
        </is>
      </c>
      <c r="E2185" t="inlineStr">
        <is>
          <t>SOLLEFTEÅ</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29210-2023</t>
        </is>
      </c>
      <c r="B2186" s="1" t="n">
        <v>45097</v>
      </c>
      <c r="C2186" s="1" t="n">
        <v>45852</v>
      </c>
      <c r="D2186" t="inlineStr">
        <is>
          <t>VÄSTERNORRLANDS LÄN</t>
        </is>
      </c>
      <c r="E2186" t="inlineStr">
        <is>
          <t>SOLLEFTEÅ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29197-2023</t>
        </is>
      </c>
      <c r="B2187" s="1" t="n">
        <v>45097</v>
      </c>
      <c r="C2187" s="1" t="n">
        <v>45852</v>
      </c>
      <c r="D2187" t="inlineStr">
        <is>
          <t>VÄSTERNORRLANDS LÄN</t>
        </is>
      </c>
      <c r="E2187" t="inlineStr">
        <is>
          <t>SOLLEFTEÅ</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28384-2023</t>
        </is>
      </c>
      <c r="B2188" s="1" t="n">
        <v>45100</v>
      </c>
      <c r="C2188" s="1" t="n">
        <v>45852</v>
      </c>
      <c r="D2188" t="inlineStr">
        <is>
          <t>VÄSTERNORRLANDS LÄN</t>
        </is>
      </c>
      <c r="E2188" t="inlineStr">
        <is>
          <t>SOLLEFTEÅ</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28385-2023</t>
        </is>
      </c>
      <c r="B2189" s="1" t="n">
        <v>45099</v>
      </c>
      <c r="C2189" s="1" t="n">
        <v>45852</v>
      </c>
      <c r="D2189" t="inlineStr">
        <is>
          <t>VÄSTERNORRLANDS LÄN</t>
        </is>
      </c>
      <c r="E2189" t="inlineStr">
        <is>
          <t>SOLLEFTEÅ</t>
        </is>
      </c>
      <c r="F2189" t="inlineStr">
        <is>
          <t>SCA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28374-2023</t>
        </is>
      </c>
      <c r="B2190" s="1" t="n">
        <v>45099</v>
      </c>
      <c r="C2190" s="1" t="n">
        <v>45852</v>
      </c>
      <c r="D2190" t="inlineStr">
        <is>
          <t>VÄSTERNORRLANDS LÄN</t>
        </is>
      </c>
      <c r="E2190" t="inlineStr">
        <is>
          <t>SOLLEFTEÅ</t>
        </is>
      </c>
      <c r="F2190" t="inlineStr">
        <is>
          <t>SCA</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28366-2023</t>
        </is>
      </c>
      <c r="B2191" s="1" t="n">
        <v>45099</v>
      </c>
      <c r="C2191" s="1" t="n">
        <v>45852</v>
      </c>
      <c r="D2191" t="inlineStr">
        <is>
          <t>VÄSTERNORRLANDS LÄN</t>
        </is>
      </c>
      <c r="E2191" t="inlineStr">
        <is>
          <t>SOLLEFTEÅ</t>
        </is>
      </c>
      <c r="F2191" t="inlineStr">
        <is>
          <t>SCA</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28383-2023</t>
        </is>
      </c>
      <c r="B2192" s="1" t="n">
        <v>45099</v>
      </c>
      <c r="C2192" s="1" t="n">
        <v>45852</v>
      </c>
      <c r="D2192" t="inlineStr">
        <is>
          <t>VÄSTERNORRLANDS LÄN</t>
        </is>
      </c>
      <c r="E2192" t="inlineStr">
        <is>
          <t>SOLLEFTEÅ</t>
        </is>
      </c>
      <c r="F2192" t="inlineStr">
        <is>
          <t>SCA</t>
        </is>
      </c>
      <c r="G2192" t="n">
        <v>20.6</v>
      </c>
      <c r="H2192" t="n">
        <v>0</v>
      </c>
      <c r="I2192" t="n">
        <v>0</v>
      </c>
      <c r="J2192" t="n">
        <v>0</v>
      </c>
      <c r="K2192" t="n">
        <v>0</v>
      </c>
      <c r="L2192" t="n">
        <v>0</v>
      </c>
      <c r="M2192" t="n">
        <v>0</v>
      </c>
      <c r="N2192" t="n">
        <v>0</v>
      </c>
      <c r="O2192" t="n">
        <v>0</v>
      </c>
      <c r="P2192" t="n">
        <v>0</v>
      </c>
      <c r="Q2192" t="n">
        <v>0</v>
      </c>
      <c r="R2192" s="2" t="inlineStr"/>
    </row>
    <row r="2193" ht="15" customHeight="1">
      <c r="A2193" t="inlineStr">
        <is>
          <t>A 28375-2023</t>
        </is>
      </c>
      <c r="B2193" s="1" t="n">
        <v>45100</v>
      </c>
      <c r="C2193" s="1" t="n">
        <v>45852</v>
      </c>
      <c r="D2193" t="inlineStr">
        <is>
          <t>VÄSTERNORRLANDS LÄN</t>
        </is>
      </c>
      <c r="E2193" t="inlineStr">
        <is>
          <t>SOLLEFTEÅ</t>
        </is>
      </c>
      <c r="F2193" t="inlineStr">
        <is>
          <t>SCA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30163-2023</t>
        </is>
      </c>
      <c r="B2194" s="1" t="n">
        <v>45099</v>
      </c>
      <c r="C2194" s="1" t="n">
        <v>45852</v>
      </c>
      <c r="D2194" t="inlineStr">
        <is>
          <t>VÄSTERNORRLANDS LÄN</t>
        </is>
      </c>
      <c r="E2194" t="inlineStr">
        <is>
          <t>SOLLEFTEÅ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28736-2023</t>
        </is>
      </c>
      <c r="B2195" s="1" t="n">
        <v>45104</v>
      </c>
      <c r="C2195" s="1" t="n">
        <v>45852</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28749-2023</t>
        </is>
      </c>
      <c r="B2196" s="1" t="n">
        <v>45103</v>
      </c>
      <c r="C2196" s="1" t="n">
        <v>45852</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29065-2023</t>
        </is>
      </c>
      <c r="B2197" s="1" t="n">
        <v>45105</v>
      </c>
      <c r="C2197" s="1" t="n">
        <v>45852</v>
      </c>
      <c r="D2197" t="inlineStr">
        <is>
          <t>VÄSTERNORRLANDS LÄN</t>
        </is>
      </c>
      <c r="E2197" t="inlineStr">
        <is>
          <t>SOLLEFTEÅ</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29062-2023</t>
        </is>
      </c>
      <c r="B2198" s="1" t="n">
        <v>45104</v>
      </c>
      <c r="C2198" s="1" t="n">
        <v>45852</v>
      </c>
      <c r="D2198" t="inlineStr">
        <is>
          <t>VÄSTERNORRLANDS LÄN</t>
        </is>
      </c>
      <c r="E2198" t="inlineStr">
        <is>
          <t>SOLLEFTEÅ</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29064-2023</t>
        </is>
      </c>
      <c r="B2199" s="1" t="n">
        <v>45105</v>
      </c>
      <c r="C2199" s="1" t="n">
        <v>45852</v>
      </c>
      <c r="D2199" t="inlineStr">
        <is>
          <t>VÄSTERNORRLANDS LÄN</t>
        </is>
      </c>
      <c r="E2199" t="inlineStr">
        <is>
          <t>SOLLEFTEÅ</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29070-2023</t>
        </is>
      </c>
      <c r="B2200" s="1" t="n">
        <v>45105</v>
      </c>
      <c r="C2200" s="1" t="n">
        <v>45852</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29306-2023</t>
        </is>
      </c>
      <c r="B2201" s="1" t="n">
        <v>45106</v>
      </c>
      <c r="C2201" s="1" t="n">
        <v>45852</v>
      </c>
      <c r="D2201" t="inlineStr">
        <is>
          <t>VÄSTERNORRLANDS LÄN</t>
        </is>
      </c>
      <c r="E2201" t="inlineStr">
        <is>
          <t>SOLLEFTEÅ</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29337-2023</t>
        </is>
      </c>
      <c r="B2202" s="1" t="n">
        <v>45105</v>
      </c>
      <c r="C2202" s="1" t="n">
        <v>45852</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29336-2023</t>
        </is>
      </c>
      <c r="B2203" s="1" t="n">
        <v>45105</v>
      </c>
      <c r="C2203" s="1" t="n">
        <v>45852</v>
      </c>
      <c r="D2203" t="inlineStr">
        <is>
          <t>VÄSTERNORRLANDS LÄN</t>
        </is>
      </c>
      <c r="E2203" t="inlineStr">
        <is>
          <t>SOLLEFTEÅ</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29614-2023</t>
        </is>
      </c>
      <c r="B2204" s="1" t="n">
        <v>45107</v>
      </c>
      <c r="C2204" s="1" t="n">
        <v>45852</v>
      </c>
      <c r="D2204" t="inlineStr">
        <is>
          <t>VÄSTERNORRLANDS LÄN</t>
        </is>
      </c>
      <c r="E2204" t="inlineStr">
        <is>
          <t>SOLLEFTEÅ</t>
        </is>
      </c>
      <c r="F2204" t="inlineStr">
        <is>
          <t>SCA</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29446-2023</t>
        </is>
      </c>
      <c r="B2205" s="1" t="n">
        <v>45106</v>
      </c>
      <c r="C2205" s="1" t="n">
        <v>45852</v>
      </c>
      <c r="D2205" t="inlineStr">
        <is>
          <t>VÄSTERNORRLANDS LÄN</t>
        </is>
      </c>
      <c r="E2205" t="inlineStr">
        <is>
          <t>SOLLEFTEÅ</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29612-2023</t>
        </is>
      </c>
      <c r="B2206" s="1" t="n">
        <v>45106</v>
      </c>
      <c r="C2206" s="1" t="n">
        <v>45852</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29619-2023</t>
        </is>
      </c>
      <c r="B2207" s="1" t="n">
        <v>45106</v>
      </c>
      <c r="C2207" s="1" t="n">
        <v>45852</v>
      </c>
      <c r="D2207" t="inlineStr">
        <is>
          <t>VÄSTERNORRLANDS LÄN</t>
        </is>
      </c>
      <c r="E2207" t="inlineStr">
        <is>
          <t>SOLLEFTEÅ</t>
        </is>
      </c>
      <c r="F2207" t="inlineStr">
        <is>
          <t>SCA</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29611-2023</t>
        </is>
      </c>
      <c r="B2208" s="1" t="n">
        <v>45106</v>
      </c>
      <c r="C2208" s="1" t="n">
        <v>45852</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29832-2023</t>
        </is>
      </c>
      <c r="B2209" s="1" t="n">
        <v>45107</v>
      </c>
      <c r="C2209" s="1" t="n">
        <v>45852</v>
      </c>
      <c r="D2209" t="inlineStr">
        <is>
          <t>VÄSTERNORRLANDS LÄN</t>
        </is>
      </c>
      <c r="E2209" t="inlineStr">
        <is>
          <t>SOLLEFTEÅ</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29952-2023</t>
        </is>
      </c>
      <c r="B2210" s="1" t="n">
        <v>45107</v>
      </c>
      <c r="C2210" s="1" t="n">
        <v>45852</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29944-2023</t>
        </is>
      </c>
      <c r="B2211" s="1" t="n">
        <v>45108</v>
      </c>
      <c r="C2211" s="1" t="n">
        <v>45852</v>
      </c>
      <c r="D2211" t="inlineStr">
        <is>
          <t>VÄSTERNORRLANDS LÄN</t>
        </is>
      </c>
      <c r="E2211" t="inlineStr">
        <is>
          <t>SOLLEFTEÅ</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29956-2023</t>
        </is>
      </c>
      <c r="B2212" s="1" t="n">
        <v>45107</v>
      </c>
      <c r="C2212" s="1" t="n">
        <v>45852</v>
      </c>
      <c r="D2212" t="inlineStr">
        <is>
          <t>VÄSTERNORRLANDS LÄN</t>
        </is>
      </c>
      <c r="E2212" t="inlineStr">
        <is>
          <t>SOLLEFTEÅ</t>
        </is>
      </c>
      <c r="F2212" t="inlineStr">
        <is>
          <t>SCA</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29949-2023</t>
        </is>
      </c>
      <c r="B2213" s="1" t="n">
        <v>45107</v>
      </c>
      <c r="C2213" s="1" t="n">
        <v>45852</v>
      </c>
      <c r="D2213" t="inlineStr">
        <is>
          <t>VÄSTERNORRLANDS LÄN</t>
        </is>
      </c>
      <c r="E2213" t="inlineStr">
        <is>
          <t>SOLLEFTEÅ</t>
        </is>
      </c>
      <c r="F2213" t="inlineStr">
        <is>
          <t>SCA</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29957-2023</t>
        </is>
      </c>
      <c r="B2214" s="1" t="n">
        <v>45107</v>
      </c>
      <c r="C2214" s="1" t="n">
        <v>45852</v>
      </c>
      <c r="D2214" t="inlineStr">
        <is>
          <t>VÄSTERNORRLANDS LÄN</t>
        </is>
      </c>
      <c r="E2214" t="inlineStr">
        <is>
          <t>SOLLEFTEÅ</t>
        </is>
      </c>
      <c r="F2214" t="inlineStr">
        <is>
          <t>SCA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29946-2023</t>
        </is>
      </c>
      <c r="B2215" s="1" t="n">
        <v>45108</v>
      </c>
      <c r="C2215" s="1" t="n">
        <v>45852</v>
      </c>
      <c r="D2215" t="inlineStr">
        <is>
          <t>VÄSTERNORRLANDS LÄN</t>
        </is>
      </c>
      <c r="E2215" t="inlineStr">
        <is>
          <t>SOLLEFTEÅ</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29964-2023</t>
        </is>
      </c>
      <c r="B2216" s="1" t="n">
        <v>45108</v>
      </c>
      <c r="C2216" s="1" t="n">
        <v>45852</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30295-2023</t>
        </is>
      </c>
      <c r="B2217" s="1" t="n">
        <v>45110</v>
      </c>
      <c r="C2217" s="1" t="n">
        <v>45852</v>
      </c>
      <c r="D2217" t="inlineStr">
        <is>
          <t>VÄSTERNORRLANDS LÄN</t>
        </is>
      </c>
      <c r="E2217" t="inlineStr">
        <is>
          <t>SOLLEFTEÅ</t>
        </is>
      </c>
      <c r="F2217" t="inlineStr">
        <is>
          <t>SCA</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30567-2023</t>
        </is>
      </c>
      <c r="B2218" s="1" t="n">
        <v>45112</v>
      </c>
      <c r="C2218" s="1" t="n">
        <v>45852</v>
      </c>
      <c r="D2218" t="inlineStr">
        <is>
          <t>VÄSTERNORRLANDS LÄN</t>
        </is>
      </c>
      <c r="E2218" t="inlineStr">
        <is>
          <t>SOLLEFTEÅ</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30822-2023</t>
        </is>
      </c>
      <c r="B2219" s="1" t="n">
        <v>45113</v>
      </c>
      <c r="C2219" s="1" t="n">
        <v>45852</v>
      </c>
      <c r="D2219" t="inlineStr">
        <is>
          <t>VÄSTERNORRLANDS LÄN</t>
        </is>
      </c>
      <c r="E2219" t="inlineStr">
        <is>
          <t>SOLLEFTEÅ</t>
        </is>
      </c>
      <c r="F2219" t="inlineStr">
        <is>
          <t>SCA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30829-2023</t>
        </is>
      </c>
      <c r="B2220" s="1" t="n">
        <v>45113</v>
      </c>
      <c r="C2220" s="1" t="n">
        <v>45852</v>
      </c>
      <c r="D2220" t="inlineStr">
        <is>
          <t>VÄSTERNORRLANDS LÄN</t>
        </is>
      </c>
      <c r="E2220" t="inlineStr">
        <is>
          <t>SOLLEFTEÅ</t>
        </is>
      </c>
      <c r="F2220" t="inlineStr">
        <is>
          <t>SCA</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31177-2023</t>
        </is>
      </c>
      <c r="B2221" s="1" t="n">
        <v>45113</v>
      </c>
      <c r="C2221" s="1" t="n">
        <v>45852</v>
      </c>
      <c r="D2221" t="inlineStr">
        <is>
          <t>VÄSTERNORRLANDS LÄN</t>
        </is>
      </c>
      <c r="E2221" t="inlineStr">
        <is>
          <t>SOLLEFTEÅ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31179-2023</t>
        </is>
      </c>
      <c r="B2222" s="1" t="n">
        <v>45114</v>
      </c>
      <c r="C2222" s="1" t="n">
        <v>45852</v>
      </c>
      <c r="D2222" t="inlineStr">
        <is>
          <t>VÄSTERNORRLANDS LÄN</t>
        </is>
      </c>
      <c r="E2222" t="inlineStr">
        <is>
          <t>SOLLEFTEÅ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31178-2023</t>
        </is>
      </c>
      <c r="B2223" s="1" t="n">
        <v>45114</v>
      </c>
      <c r="C2223" s="1" t="n">
        <v>45852</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31387-2023</t>
        </is>
      </c>
      <c r="B2224" s="1" t="n">
        <v>45114</v>
      </c>
      <c r="C2224" s="1" t="n">
        <v>45852</v>
      </c>
      <c r="D2224" t="inlineStr">
        <is>
          <t>VÄSTERNORRLANDS LÄN</t>
        </is>
      </c>
      <c r="E2224" t="inlineStr">
        <is>
          <t>SOLLEFTEÅ</t>
        </is>
      </c>
      <c r="F2224" t="inlineStr">
        <is>
          <t>Övriga statliga verk och myndigheter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33203-2023</t>
        </is>
      </c>
      <c r="B2225" s="1" t="n">
        <v>45114</v>
      </c>
      <c r="C2225" s="1" t="n">
        <v>45852</v>
      </c>
      <c r="D2225" t="inlineStr">
        <is>
          <t>VÄSTERNORRLANDS LÄN</t>
        </is>
      </c>
      <c r="E2225" t="inlineStr">
        <is>
          <t>SOLLEFTEÅ</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31913-2023</t>
        </is>
      </c>
      <c r="B2226" s="1" t="n">
        <v>45118</v>
      </c>
      <c r="C2226" s="1" t="n">
        <v>45852</v>
      </c>
      <c r="D2226" t="inlineStr">
        <is>
          <t>VÄSTERNORRLANDS LÄN</t>
        </is>
      </c>
      <c r="E2226" t="inlineStr">
        <is>
          <t>SOLLEFTEÅ</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31917-2023</t>
        </is>
      </c>
      <c r="B2227" s="1" t="n">
        <v>45119</v>
      </c>
      <c r="C2227" s="1" t="n">
        <v>45852</v>
      </c>
      <c r="D2227" t="inlineStr">
        <is>
          <t>VÄSTERNORRLANDS LÄN</t>
        </is>
      </c>
      <c r="E2227" t="inlineStr">
        <is>
          <t>SOLLEFTEÅ</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31915-2023</t>
        </is>
      </c>
      <c r="B2228" s="1" t="n">
        <v>45119</v>
      </c>
      <c r="C2228" s="1" t="n">
        <v>45852</v>
      </c>
      <c r="D2228" t="inlineStr">
        <is>
          <t>VÄSTERNORRLANDS LÄN</t>
        </is>
      </c>
      <c r="E2228" t="inlineStr">
        <is>
          <t>SOLLEFTEÅ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31919-2023</t>
        </is>
      </c>
      <c r="B2229" s="1" t="n">
        <v>45118</v>
      </c>
      <c r="C2229" s="1" t="n">
        <v>45852</v>
      </c>
      <c r="D2229" t="inlineStr">
        <is>
          <t>VÄSTERNORRLANDS LÄN</t>
        </is>
      </c>
      <c r="E2229" t="inlineStr">
        <is>
          <t>SOLLEFTEÅ</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31923-2023</t>
        </is>
      </c>
      <c r="B2230" s="1" t="n">
        <v>45118</v>
      </c>
      <c r="C2230" s="1" t="n">
        <v>45852</v>
      </c>
      <c r="D2230" t="inlineStr">
        <is>
          <t>VÄSTERNORRLANDS LÄN</t>
        </is>
      </c>
      <c r="E2230" t="inlineStr">
        <is>
          <t>SOLLEFTEÅ</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31914-2023</t>
        </is>
      </c>
      <c r="B2231" s="1" t="n">
        <v>45118</v>
      </c>
      <c r="C2231" s="1" t="n">
        <v>45852</v>
      </c>
      <c r="D2231" t="inlineStr">
        <is>
          <t>VÄSTERNORRLANDS LÄN</t>
        </is>
      </c>
      <c r="E2231" t="inlineStr">
        <is>
          <t>SOLLEFTEÅ</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31918-2023</t>
        </is>
      </c>
      <c r="B2232" s="1" t="n">
        <v>45118</v>
      </c>
      <c r="C2232" s="1" t="n">
        <v>45852</v>
      </c>
      <c r="D2232" t="inlineStr">
        <is>
          <t>VÄSTERNORRLANDS LÄN</t>
        </is>
      </c>
      <c r="E2232" t="inlineStr">
        <is>
          <t>SOLLEFTEÅ</t>
        </is>
      </c>
      <c r="F2232" t="inlineStr">
        <is>
          <t>SCA</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31922-2023</t>
        </is>
      </c>
      <c r="B2233" s="1" t="n">
        <v>45119</v>
      </c>
      <c r="C2233" s="1" t="n">
        <v>45852</v>
      </c>
      <c r="D2233" t="inlineStr">
        <is>
          <t>VÄSTERNORRLANDS LÄN</t>
        </is>
      </c>
      <c r="E2233" t="inlineStr">
        <is>
          <t>SOLLEFTEÅ</t>
        </is>
      </c>
      <c r="F2233" t="inlineStr">
        <is>
          <t>SCA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31916-2023</t>
        </is>
      </c>
      <c r="B2234" s="1" t="n">
        <v>45119</v>
      </c>
      <c r="C2234" s="1" t="n">
        <v>45852</v>
      </c>
      <c r="D2234" t="inlineStr">
        <is>
          <t>VÄSTERNORRLANDS LÄN</t>
        </is>
      </c>
      <c r="E2234" t="inlineStr">
        <is>
          <t>SOLLEFTEÅ</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31924-2023</t>
        </is>
      </c>
      <c r="B2235" s="1" t="n">
        <v>45118</v>
      </c>
      <c r="C2235" s="1" t="n">
        <v>45852</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31921-2023</t>
        </is>
      </c>
      <c r="B2236" s="1" t="n">
        <v>45119</v>
      </c>
      <c r="C2236" s="1" t="n">
        <v>45852</v>
      </c>
      <c r="D2236" t="inlineStr">
        <is>
          <t>VÄSTERNORRLANDS LÄN</t>
        </is>
      </c>
      <c r="E2236" t="inlineStr">
        <is>
          <t>SOLLEFTEÅ</t>
        </is>
      </c>
      <c r="F2236" t="inlineStr">
        <is>
          <t>SCA</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31925-2023</t>
        </is>
      </c>
      <c r="B2237" s="1" t="n">
        <v>45118</v>
      </c>
      <c r="C2237" s="1" t="n">
        <v>45852</v>
      </c>
      <c r="D2237" t="inlineStr">
        <is>
          <t>VÄSTERNORRLANDS LÄN</t>
        </is>
      </c>
      <c r="E2237" t="inlineStr">
        <is>
          <t>SOLLEFTEÅ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33642-2023</t>
        </is>
      </c>
      <c r="B2238" s="1" t="n">
        <v>45119</v>
      </c>
      <c r="C2238" s="1" t="n">
        <v>45852</v>
      </c>
      <c r="D2238" t="inlineStr">
        <is>
          <t>VÄSTERNORRLANDS LÄN</t>
        </is>
      </c>
      <c r="E2238" t="inlineStr">
        <is>
          <t>SOLLEFTEÅ</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32466-2023</t>
        </is>
      </c>
      <c r="B2239" s="1" t="n">
        <v>45120</v>
      </c>
      <c r="C2239" s="1" t="n">
        <v>45852</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32726-2023</t>
        </is>
      </c>
      <c r="B2240" s="1" t="n">
        <v>45121</v>
      </c>
      <c r="C2240" s="1" t="n">
        <v>45852</v>
      </c>
      <c r="D2240" t="inlineStr">
        <is>
          <t>VÄSTERNORRLANDS LÄN</t>
        </is>
      </c>
      <c r="E2240" t="inlineStr">
        <is>
          <t>SOLLEFTEÅ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32728-2023</t>
        </is>
      </c>
      <c r="B2241" s="1" t="n">
        <v>45121</v>
      </c>
      <c r="C2241" s="1" t="n">
        <v>45852</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32733-2023</t>
        </is>
      </c>
      <c r="B2242" s="1" t="n">
        <v>45121</v>
      </c>
      <c r="C2242" s="1" t="n">
        <v>45852</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32727-2023</t>
        </is>
      </c>
      <c r="B2243" s="1" t="n">
        <v>45121</v>
      </c>
      <c r="C2243" s="1" t="n">
        <v>45852</v>
      </c>
      <c r="D2243" t="inlineStr">
        <is>
          <t>VÄSTERNORRLANDS LÄN</t>
        </is>
      </c>
      <c r="E2243" t="inlineStr">
        <is>
          <t>SOLLEFTEÅ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32735-2023</t>
        </is>
      </c>
      <c r="B2244" s="1" t="n">
        <v>45121</v>
      </c>
      <c r="C2244" s="1" t="n">
        <v>45852</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32780-2023</t>
        </is>
      </c>
      <c r="B2245" s="1" t="n">
        <v>45123</v>
      </c>
      <c r="C2245" s="1" t="n">
        <v>45852</v>
      </c>
      <c r="D2245" t="inlineStr">
        <is>
          <t>VÄSTERNORRLANDS LÄN</t>
        </is>
      </c>
      <c r="E2245" t="inlineStr">
        <is>
          <t>SOLLEFTEÅ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33037-2023</t>
        </is>
      </c>
      <c r="B2246" s="1" t="n">
        <v>45126</v>
      </c>
      <c r="C2246" s="1" t="n">
        <v>45852</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34100-2023</t>
        </is>
      </c>
      <c r="B2247" s="1" t="n">
        <v>45125</v>
      </c>
      <c r="C2247" s="1" t="n">
        <v>45852</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33175-2023</t>
        </is>
      </c>
      <c r="B2248" s="1" t="n">
        <v>45126</v>
      </c>
      <c r="C2248" s="1" t="n">
        <v>45852</v>
      </c>
      <c r="D2248" t="inlineStr">
        <is>
          <t>VÄSTERNORRLANDS LÄN</t>
        </is>
      </c>
      <c r="E2248" t="inlineStr">
        <is>
          <t>SOLLEFTEÅ</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33328-2023</t>
        </is>
      </c>
      <c r="B2249" s="1" t="n">
        <v>45127</v>
      </c>
      <c r="C2249" s="1" t="n">
        <v>45852</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34284-2023</t>
        </is>
      </c>
      <c r="B2250" s="1" t="n">
        <v>45128</v>
      </c>
      <c r="C2250" s="1" t="n">
        <v>45852</v>
      </c>
      <c r="D2250" t="inlineStr">
        <is>
          <t>VÄSTERNORRLANDS LÄN</t>
        </is>
      </c>
      <c r="E2250" t="inlineStr">
        <is>
          <t>SOLLEFTEÅ</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33591-2023</t>
        </is>
      </c>
      <c r="B2251" s="1" t="n">
        <v>45131</v>
      </c>
      <c r="C2251" s="1" t="n">
        <v>45852</v>
      </c>
      <c r="D2251" t="inlineStr">
        <is>
          <t>VÄSTERNORRLANDS LÄN</t>
        </is>
      </c>
      <c r="E2251" t="inlineStr">
        <is>
          <t>SOLLEFTEÅ</t>
        </is>
      </c>
      <c r="F2251" t="inlineStr">
        <is>
          <t>SCA</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33709-2023</t>
        </is>
      </c>
      <c r="B2252" s="1" t="n">
        <v>45133</v>
      </c>
      <c r="C2252" s="1" t="n">
        <v>45852</v>
      </c>
      <c r="D2252" t="inlineStr">
        <is>
          <t>VÄSTERNORRLANDS LÄN</t>
        </is>
      </c>
      <c r="E2252" t="inlineStr">
        <is>
          <t>SOLLEFTEÅ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33713-2023</t>
        </is>
      </c>
      <c r="B2253" s="1" t="n">
        <v>45133</v>
      </c>
      <c r="C2253" s="1" t="n">
        <v>45852</v>
      </c>
      <c r="D2253" t="inlineStr">
        <is>
          <t>VÄSTERNORRLANDS LÄN</t>
        </is>
      </c>
      <c r="E2253" t="inlineStr">
        <is>
          <t>SOLLEFTEÅ</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33999-2023</t>
        </is>
      </c>
      <c r="B2254" s="1" t="n">
        <v>45134</v>
      </c>
      <c r="C2254" s="1" t="n">
        <v>45852</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34309-2023</t>
        </is>
      </c>
      <c r="B2255" s="1" t="n">
        <v>45139</v>
      </c>
      <c r="C2255" s="1" t="n">
        <v>45852</v>
      </c>
      <c r="D2255" t="inlineStr">
        <is>
          <t>VÄSTERNORRLANDS LÄN</t>
        </is>
      </c>
      <c r="E2255" t="inlineStr">
        <is>
          <t>SOLLEFTEÅ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34306-2023</t>
        </is>
      </c>
      <c r="B2256" s="1" t="n">
        <v>45138</v>
      </c>
      <c r="C2256" s="1" t="n">
        <v>45852</v>
      </c>
      <c r="D2256" t="inlineStr">
        <is>
          <t>VÄSTERNORRLANDS LÄN</t>
        </is>
      </c>
      <c r="E2256" t="inlineStr">
        <is>
          <t>SOLLEFTEÅ</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34310-2023</t>
        </is>
      </c>
      <c r="B2257" s="1" t="n">
        <v>45139</v>
      </c>
      <c r="C2257" s="1" t="n">
        <v>45852</v>
      </c>
      <c r="D2257" t="inlineStr">
        <is>
          <t>VÄSTERNORRLANDS LÄN</t>
        </is>
      </c>
      <c r="E2257" t="inlineStr">
        <is>
          <t>SOLLEFTEÅ</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34308-2023</t>
        </is>
      </c>
      <c r="B2258" s="1" t="n">
        <v>45138</v>
      </c>
      <c r="C2258" s="1" t="n">
        <v>45852</v>
      </c>
      <c r="D2258" t="inlineStr">
        <is>
          <t>VÄSTERNORRLANDS LÄN</t>
        </is>
      </c>
      <c r="E2258" t="inlineStr">
        <is>
          <t>SOLLEFTEÅ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34329-2023</t>
        </is>
      </c>
      <c r="B2259" s="1" t="n">
        <v>45139</v>
      </c>
      <c r="C2259" s="1" t="n">
        <v>45852</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34330-2023</t>
        </is>
      </c>
      <c r="B2260" s="1" t="n">
        <v>45138</v>
      </c>
      <c r="C2260" s="1" t="n">
        <v>45852</v>
      </c>
      <c r="D2260" t="inlineStr">
        <is>
          <t>VÄSTERNORRLANDS LÄN</t>
        </is>
      </c>
      <c r="E2260" t="inlineStr">
        <is>
          <t>SOLLEFTEÅ</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34328-2023</t>
        </is>
      </c>
      <c r="B2261" s="1" t="n">
        <v>45139</v>
      </c>
      <c r="C2261" s="1" t="n">
        <v>45852</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34307-2023</t>
        </is>
      </c>
      <c r="B2262" s="1" t="n">
        <v>45138</v>
      </c>
      <c r="C2262" s="1" t="n">
        <v>45852</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34311-2023</t>
        </is>
      </c>
      <c r="B2263" s="1" t="n">
        <v>45139</v>
      </c>
      <c r="C2263" s="1" t="n">
        <v>45852</v>
      </c>
      <c r="D2263" t="inlineStr">
        <is>
          <t>VÄSTERNORRLANDS LÄN</t>
        </is>
      </c>
      <c r="E2263" t="inlineStr">
        <is>
          <t>SOLLEFTEÅ</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34327-2023</t>
        </is>
      </c>
      <c r="B2264" s="1" t="n">
        <v>45139</v>
      </c>
      <c r="C2264" s="1" t="n">
        <v>45852</v>
      </c>
      <c r="D2264" t="inlineStr">
        <is>
          <t>VÄSTERNORRLANDS LÄN</t>
        </is>
      </c>
      <c r="E2264" t="inlineStr">
        <is>
          <t>SOLLEFTEÅ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34487-2023</t>
        </is>
      </c>
      <c r="B2265" s="1" t="n">
        <v>45140</v>
      </c>
      <c r="C2265" s="1" t="n">
        <v>45852</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34741-2023</t>
        </is>
      </c>
      <c r="B2266" s="1" t="n">
        <v>45139</v>
      </c>
      <c r="C2266" s="1" t="n">
        <v>45852</v>
      </c>
      <c r="D2266" t="inlineStr">
        <is>
          <t>VÄSTERNORRLANDS LÄN</t>
        </is>
      </c>
      <c r="E2266" t="inlineStr">
        <is>
          <t>SOLLEFTEÅ</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34737-2023</t>
        </is>
      </c>
      <c r="B2267" s="1" t="n">
        <v>45139</v>
      </c>
      <c r="C2267" s="1" t="n">
        <v>45852</v>
      </c>
      <c r="D2267" t="inlineStr">
        <is>
          <t>VÄSTERNORRLANDS LÄN</t>
        </is>
      </c>
      <c r="E2267" t="inlineStr">
        <is>
          <t>SOLLEFTEÅ</t>
        </is>
      </c>
      <c r="F2267" t="inlineStr">
        <is>
          <t>SCA</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34687-2023</t>
        </is>
      </c>
      <c r="B2268" s="1" t="n">
        <v>45141</v>
      </c>
      <c r="C2268" s="1" t="n">
        <v>45852</v>
      </c>
      <c r="D2268" t="inlineStr">
        <is>
          <t>VÄSTERNORRLANDS LÄN</t>
        </is>
      </c>
      <c r="E2268" t="inlineStr">
        <is>
          <t>SOLLEFTEÅ</t>
        </is>
      </c>
      <c r="F2268" t="inlineStr">
        <is>
          <t>SCA</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34686-2023</t>
        </is>
      </c>
      <c r="B2269" s="1" t="n">
        <v>45141</v>
      </c>
      <c r="C2269" s="1" t="n">
        <v>45852</v>
      </c>
      <c r="D2269" t="inlineStr">
        <is>
          <t>VÄSTERNORRLANDS LÄN</t>
        </is>
      </c>
      <c r="E2269" t="inlineStr">
        <is>
          <t>SOLLEFTEÅ</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34696-2023</t>
        </is>
      </c>
      <c r="B2270" s="1" t="n">
        <v>45141</v>
      </c>
      <c r="C2270" s="1" t="n">
        <v>45852</v>
      </c>
      <c r="D2270" t="inlineStr">
        <is>
          <t>VÄSTERNORRLANDS LÄN</t>
        </is>
      </c>
      <c r="E2270" t="inlineStr">
        <is>
          <t>SOLLEFTEÅ</t>
        </is>
      </c>
      <c r="F2270" t="inlineStr">
        <is>
          <t>SCA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34983-2023</t>
        </is>
      </c>
      <c r="B2271" s="1" t="n">
        <v>45141</v>
      </c>
      <c r="C2271" s="1" t="n">
        <v>45852</v>
      </c>
      <c r="D2271" t="inlineStr">
        <is>
          <t>VÄSTERNORRLANDS LÄN</t>
        </is>
      </c>
      <c r="E2271" t="inlineStr">
        <is>
          <t>SOLLEFTEÅ</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34848-2023</t>
        </is>
      </c>
      <c r="B2272" s="1" t="n">
        <v>45142</v>
      </c>
      <c r="C2272" s="1" t="n">
        <v>45852</v>
      </c>
      <c r="D2272" t="inlineStr">
        <is>
          <t>VÄSTERNORRLANDS LÄN</t>
        </is>
      </c>
      <c r="E2272" t="inlineStr">
        <is>
          <t>SOLLEFTEÅ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35147-2023</t>
        </is>
      </c>
      <c r="B2273" s="1" t="n">
        <v>45142</v>
      </c>
      <c r="C2273" s="1" t="n">
        <v>45852</v>
      </c>
      <c r="D2273" t="inlineStr">
        <is>
          <t>VÄSTERNORRLANDS LÄN</t>
        </is>
      </c>
      <c r="E2273" t="inlineStr">
        <is>
          <t>SOLLEFTEÅ</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35276-2023</t>
        </is>
      </c>
      <c r="B2274" s="1" t="n">
        <v>45146</v>
      </c>
      <c r="C2274" s="1" t="n">
        <v>45852</v>
      </c>
      <c r="D2274" t="inlineStr">
        <is>
          <t>VÄSTERNORRLANDS LÄN</t>
        </is>
      </c>
      <c r="E2274" t="inlineStr">
        <is>
          <t>SOLLEFTEÅ</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35277-2023</t>
        </is>
      </c>
      <c r="B2275" s="1" t="n">
        <v>45145</v>
      </c>
      <c r="C2275" s="1" t="n">
        <v>45852</v>
      </c>
      <c r="D2275" t="inlineStr">
        <is>
          <t>VÄSTERNORRLANDS LÄN</t>
        </is>
      </c>
      <c r="E2275" t="inlineStr">
        <is>
          <t>SOLLEFTEÅ</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35352-2023</t>
        </is>
      </c>
      <c r="B2276" s="1" t="n">
        <v>45145</v>
      </c>
      <c r="C2276" s="1" t="n">
        <v>45852</v>
      </c>
      <c r="D2276" t="inlineStr">
        <is>
          <t>VÄSTERNORRLANDS LÄN</t>
        </is>
      </c>
      <c r="E2276" t="inlineStr">
        <is>
          <t>SOLLEFTEÅ</t>
        </is>
      </c>
      <c r="F2276" t="inlineStr">
        <is>
          <t>SCA</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35470-2023</t>
        </is>
      </c>
      <c r="B2277" s="1" t="n">
        <v>45146</v>
      </c>
      <c r="C2277" s="1" t="n">
        <v>45852</v>
      </c>
      <c r="D2277" t="inlineStr">
        <is>
          <t>VÄSTERNORRLANDS LÄN</t>
        </is>
      </c>
      <c r="E2277" t="inlineStr">
        <is>
          <t>SOLLEFTEÅ</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35511-2023</t>
        </is>
      </c>
      <c r="B2278" s="1" t="n">
        <v>45146</v>
      </c>
      <c r="C2278" s="1" t="n">
        <v>45852</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35509-2023</t>
        </is>
      </c>
      <c r="B2279" s="1" t="n">
        <v>45147</v>
      </c>
      <c r="C2279" s="1" t="n">
        <v>45852</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35569-2023</t>
        </is>
      </c>
      <c r="B2280" s="1" t="n">
        <v>45147</v>
      </c>
      <c r="C2280" s="1" t="n">
        <v>45852</v>
      </c>
      <c r="D2280" t="inlineStr">
        <is>
          <t>VÄSTERNORRLANDS LÄN</t>
        </is>
      </c>
      <c r="E2280" t="inlineStr">
        <is>
          <t>SOLLEFTEÅ</t>
        </is>
      </c>
      <c r="F2280" t="inlineStr">
        <is>
          <t>Holmen skog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35746-2023</t>
        </is>
      </c>
      <c r="B2281" s="1" t="n">
        <v>45148</v>
      </c>
      <c r="C2281" s="1" t="n">
        <v>45852</v>
      </c>
      <c r="D2281" t="inlineStr">
        <is>
          <t>VÄSTERNORRLANDS LÄN</t>
        </is>
      </c>
      <c r="E2281" t="inlineStr">
        <is>
          <t>SOLLEFTEÅ</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35556-2023</t>
        </is>
      </c>
      <c r="B2282" s="1" t="n">
        <v>45147</v>
      </c>
      <c r="C2282" s="1" t="n">
        <v>45852</v>
      </c>
      <c r="D2282" t="inlineStr">
        <is>
          <t>VÄSTERNORRLANDS LÄN</t>
        </is>
      </c>
      <c r="E2282" t="inlineStr">
        <is>
          <t>SOLLEFTEÅ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35764-2023</t>
        </is>
      </c>
      <c r="B2283" s="1" t="n">
        <v>45147</v>
      </c>
      <c r="C2283" s="1" t="n">
        <v>45852</v>
      </c>
      <c r="D2283" t="inlineStr">
        <is>
          <t>VÄSTERNORRLANDS LÄN</t>
        </is>
      </c>
      <c r="E2283" t="inlineStr">
        <is>
          <t>SOLLEFTEÅ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35745-2023</t>
        </is>
      </c>
      <c r="B2284" s="1" t="n">
        <v>45148</v>
      </c>
      <c r="C2284" s="1" t="n">
        <v>45852</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35761-2023</t>
        </is>
      </c>
      <c r="B2285" s="1" t="n">
        <v>45148</v>
      </c>
      <c r="C2285" s="1" t="n">
        <v>45852</v>
      </c>
      <c r="D2285" t="inlineStr">
        <is>
          <t>VÄSTERNORRLANDS LÄN</t>
        </is>
      </c>
      <c r="E2285" t="inlineStr">
        <is>
          <t>SOLLEFTEÅ</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35945-2023</t>
        </is>
      </c>
      <c r="B2286" s="1" t="n">
        <v>45148</v>
      </c>
      <c r="C2286" s="1" t="n">
        <v>45852</v>
      </c>
      <c r="D2286" t="inlineStr">
        <is>
          <t>VÄSTERNORRLANDS LÄN</t>
        </is>
      </c>
      <c r="E2286" t="inlineStr">
        <is>
          <t>SOLLEFTEÅ</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35980-2023</t>
        </is>
      </c>
      <c r="B2287" s="1" t="n">
        <v>45149</v>
      </c>
      <c r="C2287" s="1" t="n">
        <v>45852</v>
      </c>
      <c r="D2287" t="inlineStr">
        <is>
          <t>VÄSTERNORRLANDS LÄN</t>
        </is>
      </c>
      <c r="E2287" t="inlineStr">
        <is>
          <t>SOLLEFTEÅ</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35975-2023</t>
        </is>
      </c>
      <c r="B2288" s="1" t="n">
        <v>45148</v>
      </c>
      <c r="C2288" s="1" t="n">
        <v>45852</v>
      </c>
      <c r="D2288" t="inlineStr">
        <is>
          <t>VÄSTERNORRLANDS LÄN</t>
        </is>
      </c>
      <c r="E2288" t="inlineStr">
        <is>
          <t>SOLLEFTEÅ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35974-2023</t>
        </is>
      </c>
      <c r="B2289" s="1" t="n">
        <v>45148</v>
      </c>
      <c r="C2289" s="1" t="n">
        <v>45852</v>
      </c>
      <c r="D2289" t="inlineStr">
        <is>
          <t>VÄSTERNORRLANDS LÄN</t>
        </is>
      </c>
      <c r="E2289" t="inlineStr">
        <is>
          <t>SOLLEFTEÅ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35978-2023</t>
        </is>
      </c>
      <c r="B2290" s="1" t="n">
        <v>45148</v>
      </c>
      <c r="C2290" s="1" t="n">
        <v>45852</v>
      </c>
      <c r="D2290" t="inlineStr">
        <is>
          <t>VÄSTERNORRLANDS LÄN</t>
        </is>
      </c>
      <c r="E2290" t="inlineStr">
        <is>
          <t>SOLLEFTEÅ</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35977-2023</t>
        </is>
      </c>
      <c r="B2291" s="1" t="n">
        <v>45149</v>
      </c>
      <c r="C2291" s="1" t="n">
        <v>45852</v>
      </c>
      <c r="D2291" t="inlineStr">
        <is>
          <t>VÄSTERNORRLANDS LÄN</t>
        </is>
      </c>
      <c r="E2291" t="inlineStr">
        <is>
          <t>SOLLEFTEÅ</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36211-2023</t>
        </is>
      </c>
      <c r="B2292" s="1" t="n">
        <v>45150</v>
      </c>
      <c r="C2292" s="1" t="n">
        <v>45852</v>
      </c>
      <c r="D2292" t="inlineStr">
        <is>
          <t>VÄSTERNORRLANDS LÄN</t>
        </is>
      </c>
      <c r="E2292" t="inlineStr">
        <is>
          <t>SOLLEFTEÅ</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36222-2023</t>
        </is>
      </c>
      <c r="B2293" s="1" t="n">
        <v>45150</v>
      </c>
      <c r="C2293" s="1" t="n">
        <v>45852</v>
      </c>
      <c r="D2293" t="inlineStr">
        <is>
          <t>VÄSTERNORRLANDS LÄN</t>
        </is>
      </c>
      <c r="E2293" t="inlineStr">
        <is>
          <t>SOLLEFTEÅ</t>
        </is>
      </c>
      <c r="F2293" t="inlineStr">
        <is>
          <t>SCA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36511-2023</t>
        </is>
      </c>
      <c r="B2294" s="1" t="n">
        <v>45153</v>
      </c>
      <c r="C2294" s="1" t="n">
        <v>45852</v>
      </c>
      <c r="D2294" t="inlineStr">
        <is>
          <t>VÄSTERNORRLANDS LÄN</t>
        </is>
      </c>
      <c r="E2294" t="inlineStr">
        <is>
          <t>SOLLEFTEÅ</t>
        </is>
      </c>
      <c r="F2294" t="inlineStr">
        <is>
          <t>SCA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36514-2023</t>
        </is>
      </c>
      <c r="B2295" s="1" t="n">
        <v>45153</v>
      </c>
      <c r="C2295" s="1" t="n">
        <v>45852</v>
      </c>
      <c r="D2295" t="inlineStr">
        <is>
          <t>VÄSTERNORRLANDS LÄN</t>
        </is>
      </c>
      <c r="E2295" t="inlineStr">
        <is>
          <t>SOLLEFTEÅ</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36508-2023</t>
        </is>
      </c>
      <c r="B2296" s="1" t="n">
        <v>45153</v>
      </c>
      <c r="C2296" s="1" t="n">
        <v>45852</v>
      </c>
      <c r="D2296" t="inlineStr">
        <is>
          <t>VÄSTERNORRLANDS LÄN</t>
        </is>
      </c>
      <c r="E2296" t="inlineStr">
        <is>
          <t>SOLLEFTEÅ</t>
        </is>
      </c>
      <c r="F2296" t="inlineStr">
        <is>
          <t>SCA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36512-2023</t>
        </is>
      </c>
      <c r="B2297" s="1" t="n">
        <v>45152</v>
      </c>
      <c r="C2297" s="1" t="n">
        <v>45852</v>
      </c>
      <c r="D2297" t="inlineStr">
        <is>
          <t>VÄSTERNORRLANDS LÄN</t>
        </is>
      </c>
      <c r="E2297" t="inlineStr">
        <is>
          <t>SOLLEFTEÅ</t>
        </is>
      </c>
      <c r="F2297" t="inlineStr">
        <is>
          <t>SCA</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36513-2023</t>
        </is>
      </c>
      <c r="B2298" s="1" t="n">
        <v>45153</v>
      </c>
      <c r="C2298" s="1" t="n">
        <v>45852</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36770-2023</t>
        </is>
      </c>
      <c r="B2299" s="1" t="n">
        <v>45153</v>
      </c>
      <c r="C2299" s="1" t="n">
        <v>45852</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36771-2023</t>
        </is>
      </c>
      <c r="B2300" s="1" t="n">
        <v>45153</v>
      </c>
      <c r="C2300" s="1" t="n">
        <v>45852</v>
      </c>
      <c r="D2300" t="inlineStr">
        <is>
          <t>VÄSTERNORRLANDS LÄN</t>
        </is>
      </c>
      <c r="E2300" t="inlineStr">
        <is>
          <t>SOLLEFTEÅ</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36944-2023</t>
        </is>
      </c>
      <c r="B2301" s="1" t="n">
        <v>45154</v>
      </c>
      <c r="C2301" s="1" t="n">
        <v>45852</v>
      </c>
      <c r="D2301" t="inlineStr">
        <is>
          <t>VÄSTERNORRLANDS LÄN</t>
        </is>
      </c>
      <c r="E2301" t="inlineStr">
        <is>
          <t>SOLLEFTEÅ</t>
        </is>
      </c>
      <c r="F2301" t="inlineStr">
        <is>
          <t>Övriga Aktiebolag</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36976-2023</t>
        </is>
      </c>
      <c r="B2302" s="1" t="n">
        <v>45155</v>
      </c>
      <c r="C2302" s="1" t="n">
        <v>45852</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36977-2023</t>
        </is>
      </c>
      <c r="B2303" s="1" t="n">
        <v>45155</v>
      </c>
      <c r="C2303" s="1" t="n">
        <v>45852</v>
      </c>
      <c r="D2303" t="inlineStr">
        <is>
          <t>VÄSTERNORRLANDS LÄN</t>
        </is>
      </c>
      <c r="E2303" t="inlineStr">
        <is>
          <t>SOLLEFTEÅ</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36967-2023</t>
        </is>
      </c>
      <c r="B2304" s="1" t="n">
        <v>45155</v>
      </c>
      <c r="C2304" s="1" t="n">
        <v>45852</v>
      </c>
      <c r="D2304" t="inlineStr">
        <is>
          <t>VÄSTERNORRLANDS LÄN</t>
        </is>
      </c>
      <c r="E2304" t="inlineStr">
        <is>
          <t>SOLLEFTEÅ</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37269-2023</t>
        </is>
      </c>
      <c r="B2305" s="1" t="n">
        <v>45155</v>
      </c>
      <c r="C2305" s="1" t="n">
        <v>45852</v>
      </c>
      <c r="D2305" t="inlineStr">
        <is>
          <t>VÄSTERNORRLANDS LÄN</t>
        </is>
      </c>
      <c r="E2305" t="inlineStr">
        <is>
          <t>SOLLEFTEÅ</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37412-2023</t>
        </is>
      </c>
      <c r="B2306" s="1" t="n">
        <v>45155</v>
      </c>
      <c r="C2306" s="1" t="n">
        <v>45852</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37381-2023</t>
        </is>
      </c>
      <c r="B2307" s="1" t="n">
        <v>45155</v>
      </c>
      <c r="C2307" s="1" t="n">
        <v>45852</v>
      </c>
      <c r="D2307" t="inlineStr">
        <is>
          <t>VÄSTERNORRLANDS LÄN</t>
        </is>
      </c>
      <c r="E2307" t="inlineStr">
        <is>
          <t>SOLLEFTEÅ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37484-2023</t>
        </is>
      </c>
      <c r="B2308" s="1" t="n">
        <v>45156</v>
      </c>
      <c r="C2308" s="1" t="n">
        <v>45852</v>
      </c>
      <c r="D2308" t="inlineStr">
        <is>
          <t>VÄSTERNORRLANDS LÄN</t>
        </is>
      </c>
      <c r="E2308" t="inlineStr">
        <is>
          <t>SOLLEFTEÅ</t>
        </is>
      </c>
      <c r="F2308" t="inlineStr">
        <is>
          <t>SCA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37615-2023</t>
        </is>
      </c>
      <c r="B2309" s="1" t="n">
        <v>45156</v>
      </c>
      <c r="C2309" s="1" t="n">
        <v>45852</v>
      </c>
      <c r="D2309" t="inlineStr">
        <is>
          <t>VÄSTERNORRLANDS LÄN</t>
        </is>
      </c>
      <c r="E2309" t="inlineStr">
        <is>
          <t>SOLLEFTEÅ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37711-2023</t>
        </is>
      </c>
      <c r="B2310" s="1" t="n">
        <v>45156</v>
      </c>
      <c r="C2310" s="1" t="n">
        <v>45852</v>
      </c>
      <c r="D2310" t="inlineStr">
        <is>
          <t>VÄSTERNORRLANDS LÄN</t>
        </is>
      </c>
      <c r="E2310" t="inlineStr">
        <is>
          <t>SOLLEFTEÅ</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37735-2023</t>
        </is>
      </c>
      <c r="B2311" s="1" t="n">
        <v>45156</v>
      </c>
      <c r="C2311" s="1" t="n">
        <v>45852</v>
      </c>
      <c r="D2311" t="inlineStr">
        <is>
          <t>VÄSTERNORRLANDS LÄN</t>
        </is>
      </c>
      <c r="E2311" t="inlineStr">
        <is>
          <t>SOLLEFTEÅ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37486-2023</t>
        </is>
      </c>
      <c r="B2312" s="1" t="n">
        <v>45157</v>
      </c>
      <c r="C2312" s="1" t="n">
        <v>45852</v>
      </c>
      <c r="D2312" t="inlineStr">
        <is>
          <t>VÄSTERNORRLANDS LÄN</t>
        </is>
      </c>
      <c r="E2312" t="inlineStr">
        <is>
          <t>SOLLEFTEÅ</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37691-2023</t>
        </is>
      </c>
      <c r="B2313" s="1" t="n">
        <v>45156</v>
      </c>
      <c r="C2313" s="1" t="n">
        <v>45852</v>
      </c>
      <c r="D2313" t="inlineStr">
        <is>
          <t>VÄSTERNORRLANDS LÄN</t>
        </is>
      </c>
      <c r="E2313" t="inlineStr">
        <is>
          <t>SOLLEFTEÅ</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37722-2023</t>
        </is>
      </c>
      <c r="B2314" s="1" t="n">
        <v>45156</v>
      </c>
      <c r="C2314" s="1" t="n">
        <v>45852</v>
      </c>
      <c r="D2314" t="inlineStr">
        <is>
          <t>VÄSTERNORRLANDS LÄN</t>
        </is>
      </c>
      <c r="E2314" t="inlineStr">
        <is>
          <t>SOLLEFTEÅ</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37611-2023</t>
        </is>
      </c>
      <c r="B2315" s="1" t="n">
        <v>45156</v>
      </c>
      <c r="C2315" s="1" t="n">
        <v>45852</v>
      </c>
      <c r="D2315" t="inlineStr">
        <is>
          <t>VÄSTERNORRLANDS LÄN</t>
        </is>
      </c>
      <c r="E2315" t="inlineStr">
        <is>
          <t>SOLLEFTEÅ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37671-2023</t>
        </is>
      </c>
      <c r="B2316" s="1" t="n">
        <v>45156</v>
      </c>
      <c r="C2316" s="1" t="n">
        <v>45852</v>
      </c>
      <c r="D2316" t="inlineStr">
        <is>
          <t>VÄSTERNORRLANDS LÄN</t>
        </is>
      </c>
      <c r="E2316" t="inlineStr">
        <is>
          <t>SOLLEFTEÅ</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37696-2023</t>
        </is>
      </c>
      <c r="B2317" s="1" t="n">
        <v>45156</v>
      </c>
      <c r="C2317" s="1" t="n">
        <v>45852</v>
      </c>
      <c r="D2317" t="inlineStr">
        <is>
          <t>VÄSTERNORRLANDS LÄN</t>
        </is>
      </c>
      <c r="E2317" t="inlineStr">
        <is>
          <t>SOLLEFTEÅ</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37726-2023</t>
        </is>
      </c>
      <c r="B2318" s="1" t="n">
        <v>45156</v>
      </c>
      <c r="C2318" s="1" t="n">
        <v>45852</v>
      </c>
      <c r="D2318" t="inlineStr">
        <is>
          <t>VÄSTERNORRLANDS LÄN</t>
        </is>
      </c>
      <c r="E2318" t="inlineStr">
        <is>
          <t>SOLLEFTEÅ</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37483-2023</t>
        </is>
      </c>
      <c r="B2319" s="1" t="n">
        <v>45157</v>
      </c>
      <c r="C2319" s="1" t="n">
        <v>45852</v>
      </c>
      <c r="D2319" t="inlineStr">
        <is>
          <t>VÄSTERNORRLANDS LÄN</t>
        </is>
      </c>
      <c r="E2319" t="inlineStr">
        <is>
          <t>SOLLEFTEÅ</t>
        </is>
      </c>
      <c r="F2319" t="inlineStr">
        <is>
          <t>SCA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37487-2023</t>
        </is>
      </c>
      <c r="B2320" s="1" t="n">
        <v>45157</v>
      </c>
      <c r="C2320" s="1" t="n">
        <v>45852</v>
      </c>
      <c r="D2320" t="inlineStr">
        <is>
          <t>VÄSTERNORRLANDS LÄN</t>
        </is>
      </c>
      <c r="E2320" t="inlineStr">
        <is>
          <t>SOLLEFTEÅ</t>
        </is>
      </c>
      <c r="F2320" t="inlineStr">
        <is>
          <t>SCA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37699-2023</t>
        </is>
      </c>
      <c r="B2321" s="1" t="n">
        <v>45156</v>
      </c>
      <c r="C2321" s="1" t="n">
        <v>45852</v>
      </c>
      <c r="D2321" t="inlineStr">
        <is>
          <t>VÄSTERNORRLANDS LÄN</t>
        </is>
      </c>
      <c r="E2321" t="inlineStr">
        <is>
          <t>SOLLEFTEÅ</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37731-2023</t>
        </is>
      </c>
      <c r="B2322" s="1" t="n">
        <v>45156</v>
      </c>
      <c r="C2322" s="1" t="n">
        <v>45852</v>
      </c>
      <c r="D2322" t="inlineStr">
        <is>
          <t>VÄSTERNORRLANDS LÄN</t>
        </is>
      </c>
      <c r="E2322" t="inlineStr">
        <is>
          <t>SOLLEFTEÅ</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37807-2023</t>
        </is>
      </c>
      <c r="B2323" s="1" t="n">
        <v>45160</v>
      </c>
      <c r="C2323" s="1" t="n">
        <v>45852</v>
      </c>
      <c r="D2323" t="inlineStr">
        <is>
          <t>VÄSTERNORRLANDS LÄN</t>
        </is>
      </c>
      <c r="E2323" t="inlineStr">
        <is>
          <t>SOLLEFTEÅ</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38093-2023</t>
        </is>
      </c>
      <c r="B2324" s="1" t="n">
        <v>45160</v>
      </c>
      <c r="C2324" s="1" t="n">
        <v>45852</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38097-2023</t>
        </is>
      </c>
      <c r="B2325" s="1" t="n">
        <v>45160</v>
      </c>
      <c r="C2325" s="1" t="n">
        <v>45852</v>
      </c>
      <c r="D2325" t="inlineStr">
        <is>
          <t>VÄSTERNORRLANDS LÄN</t>
        </is>
      </c>
      <c r="E2325" t="inlineStr">
        <is>
          <t>SOLLEFTEÅ</t>
        </is>
      </c>
      <c r="F2325" t="inlineStr">
        <is>
          <t>SCA</t>
        </is>
      </c>
      <c r="G2325" t="n">
        <v>47.1</v>
      </c>
      <c r="H2325" t="n">
        <v>0</v>
      </c>
      <c r="I2325" t="n">
        <v>0</v>
      </c>
      <c r="J2325" t="n">
        <v>0</v>
      </c>
      <c r="K2325" t="n">
        <v>0</v>
      </c>
      <c r="L2325" t="n">
        <v>0</v>
      </c>
      <c r="M2325" t="n">
        <v>0</v>
      </c>
      <c r="N2325" t="n">
        <v>0</v>
      </c>
      <c r="O2325" t="n">
        <v>0</v>
      </c>
      <c r="P2325" t="n">
        <v>0</v>
      </c>
      <c r="Q2325" t="n">
        <v>0</v>
      </c>
      <c r="R2325" s="2" t="inlineStr"/>
    </row>
    <row r="2326" ht="15" customHeight="1">
      <c r="A2326" t="inlineStr">
        <is>
          <t>A 38092-2023</t>
        </is>
      </c>
      <c r="B2326" s="1" t="n">
        <v>45161</v>
      </c>
      <c r="C2326" s="1" t="n">
        <v>45852</v>
      </c>
      <c r="D2326" t="inlineStr">
        <is>
          <t>VÄSTERNORRLANDS LÄN</t>
        </is>
      </c>
      <c r="E2326" t="inlineStr">
        <is>
          <t>SOLLEFTEÅ</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38100-2023</t>
        </is>
      </c>
      <c r="B2327" s="1" t="n">
        <v>45161</v>
      </c>
      <c r="C2327" s="1" t="n">
        <v>45852</v>
      </c>
      <c r="D2327" t="inlineStr">
        <is>
          <t>VÄSTERNORRLANDS LÄN</t>
        </is>
      </c>
      <c r="E2327" t="inlineStr">
        <is>
          <t>SOLLEFTEÅ</t>
        </is>
      </c>
      <c r="F2327" t="inlineStr">
        <is>
          <t>SCA</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39077-2023</t>
        </is>
      </c>
      <c r="B2328" s="1" t="n">
        <v>45164</v>
      </c>
      <c r="C2328" s="1" t="n">
        <v>45852</v>
      </c>
      <c r="D2328" t="inlineStr">
        <is>
          <t>VÄSTERNORRLANDS LÄN</t>
        </is>
      </c>
      <c r="E2328" t="inlineStr">
        <is>
          <t>SOLLEFTEÅ</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39399-2023</t>
        </is>
      </c>
      <c r="B2329" s="1" t="n">
        <v>45163</v>
      </c>
      <c r="C2329" s="1" t="n">
        <v>45852</v>
      </c>
      <c r="D2329" t="inlineStr">
        <is>
          <t>VÄSTERNORRLANDS LÄN</t>
        </is>
      </c>
      <c r="E2329" t="inlineStr">
        <is>
          <t>SOLLEFTEÅ</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39058-2023</t>
        </is>
      </c>
      <c r="B2330" s="1" t="n">
        <v>45164</v>
      </c>
      <c r="C2330" s="1" t="n">
        <v>45852</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39379-2023</t>
        </is>
      </c>
      <c r="B2331" s="1" t="n">
        <v>45163</v>
      </c>
      <c r="C2331" s="1" t="n">
        <v>45852</v>
      </c>
      <c r="D2331" t="inlineStr">
        <is>
          <t>VÄSTERNORRLANDS LÄN</t>
        </is>
      </c>
      <c r="E2331" t="inlineStr">
        <is>
          <t>SOLLEFTEÅ</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39496-2023</t>
        </is>
      </c>
      <c r="B2332" s="1" t="n">
        <v>45167</v>
      </c>
      <c r="C2332" s="1" t="n">
        <v>45852</v>
      </c>
      <c r="D2332" t="inlineStr">
        <is>
          <t>VÄSTERNORRLANDS LÄN</t>
        </is>
      </c>
      <c r="E2332" t="inlineStr">
        <is>
          <t>SOLLEFTEÅ</t>
        </is>
      </c>
      <c r="F2332" t="inlineStr">
        <is>
          <t>SCA</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39497-2023</t>
        </is>
      </c>
      <c r="B2333" s="1" t="n">
        <v>45167</v>
      </c>
      <c r="C2333" s="1" t="n">
        <v>45852</v>
      </c>
      <c r="D2333" t="inlineStr">
        <is>
          <t>VÄSTERNORRLANDS LÄN</t>
        </is>
      </c>
      <c r="E2333" t="inlineStr">
        <is>
          <t>SOLLEFTEÅ</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39727-2023</t>
        </is>
      </c>
      <c r="B2334" s="1" t="n">
        <v>45166</v>
      </c>
      <c r="C2334" s="1" t="n">
        <v>45852</v>
      </c>
      <c r="D2334" t="inlineStr">
        <is>
          <t>VÄSTERNORRLANDS LÄN</t>
        </is>
      </c>
      <c r="E2334" t="inlineStr">
        <is>
          <t>SOLLEFTEÅ</t>
        </is>
      </c>
      <c r="F2334" t="inlineStr">
        <is>
          <t>SCA</t>
        </is>
      </c>
      <c r="G2334" t="n">
        <v>45.3</v>
      </c>
      <c r="H2334" t="n">
        <v>0</v>
      </c>
      <c r="I2334" t="n">
        <v>0</v>
      </c>
      <c r="J2334" t="n">
        <v>0</v>
      </c>
      <c r="K2334" t="n">
        <v>0</v>
      </c>
      <c r="L2334" t="n">
        <v>0</v>
      </c>
      <c r="M2334" t="n">
        <v>0</v>
      </c>
      <c r="N2334" t="n">
        <v>0</v>
      </c>
      <c r="O2334" t="n">
        <v>0</v>
      </c>
      <c r="P2334" t="n">
        <v>0</v>
      </c>
      <c r="Q2334" t="n">
        <v>0</v>
      </c>
      <c r="R2334" s="2" t="inlineStr"/>
    </row>
    <row r="2335" ht="15" customHeight="1">
      <c r="A2335" t="inlineStr">
        <is>
          <t>A 39495-2023</t>
        </is>
      </c>
      <c r="B2335" s="1" t="n">
        <v>45167</v>
      </c>
      <c r="C2335" s="1" t="n">
        <v>45852</v>
      </c>
      <c r="D2335" t="inlineStr">
        <is>
          <t>VÄSTERNORRLANDS LÄN</t>
        </is>
      </c>
      <c r="E2335" t="inlineStr">
        <is>
          <t>SOLLEFTEÅ</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40098-2023</t>
        </is>
      </c>
      <c r="B2336" s="1" t="n">
        <v>45169</v>
      </c>
      <c r="C2336" s="1" t="n">
        <v>45852</v>
      </c>
      <c r="D2336" t="inlineStr">
        <is>
          <t>VÄSTERNORRLANDS LÄN</t>
        </is>
      </c>
      <c r="E2336" t="inlineStr">
        <is>
          <t>SOLLEFTEÅ</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40099-2023</t>
        </is>
      </c>
      <c r="B2337" s="1" t="n">
        <v>45169</v>
      </c>
      <c r="C2337" s="1" t="n">
        <v>45852</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40115-2023</t>
        </is>
      </c>
      <c r="B2338" s="1" t="n">
        <v>45169</v>
      </c>
      <c r="C2338" s="1" t="n">
        <v>45852</v>
      </c>
      <c r="D2338" t="inlineStr">
        <is>
          <t>VÄSTERNORRLANDS LÄN</t>
        </is>
      </c>
      <c r="E2338" t="inlineStr">
        <is>
          <t>SOLLEFTEÅ</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40202-2023</t>
        </is>
      </c>
      <c r="B2339" s="1" t="n">
        <v>45169</v>
      </c>
      <c r="C2339" s="1" t="n">
        <v>45852</v>
      </c>
      <c r="D2339" t="inlineStr">
        <is>
          <t>VÄSTERNORRLANDS LÄN</t>
        </is>
      </c>
      <c r="E2339" t="inlineStr">
        <is>
          <t>SOLLEFTEÅ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40403-2023</t>
        </is>
      </c>
      <c r="B2340" s="1" t="n">
        <v>45170</v>
      </c>
      <c r="C2340" s="1" t="n">
        <v>45852</v>
      </c>
      <c r="D2340" t="inlineStr">
        <is>
          <t>VÄSTERNORRLANDS LÄN</t>
        </is>
      </c>
      <c r="E2340" t="inlineStr">
        <is>
          <t>SOLLEFTEÅ</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40404-2023</t>
        </is>
      </c>
      <c r="B2341" s="1" t="n">
        <v>45170</v>
      </c>
      <c r="C2341" s="1" t="n">
        <v>45852</v>
      </c>
      <c r="D2341" t="inlineStr">
        <is>
          <t>VÄSTERNORRLANDS LÄN</t>
        </is>
      </c>
      <c r="E2341" t="inlineStr">
        <is>
          <t>SOLLEFTEÅ</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40429-2023</t>
        </is>
      </c>
      <c r="B2342" s="1" t="n">
        <v>45169</v>
      </c>
      <c r="C2342" s="1" t="n">
        <v>45852</v>
      </c>
      <c r="D2342" t="inlineStr">
        <is>
          <t>VÄSTERNORRLANDS LÄN</t>
        </is>
      </c>
      <c r="E2342" t="inlineStr">
        <is>
          <t>SOLLEFTEÅ</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40421-2023</t>
        </is>
      </c>
      <c r="B2343" s="1" t="n">
        <v>45170</v>
      </c>
      <c r="C2343" s="1" t="n">
        <v>45852</v>
      </c>
      <c r="D2343" t="inlineStr">
        <is>
          <t>VÄSTERNORRLANDS LÄN</t>
        </is>
      </c>
      <c r="E2343" t="inlineStr">
        <is>
          <t>SOLLEFTEÅ</t>
        </is>
      </c>
      <c r="F2343" t="inlineStr">
        <is>
          <t>SCA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40766-2023</t>
        </is>
      </c>
      <c r="B2344" s="1" t="n">
        <v>45170</v>
      </c>
      <c r="C2344" s="1" t="n">
        <v>45852</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40764-2023</t>
        </is>
      </c>
      <c r="B2345" s="1" t="n">
        <v>45170</v>
      </c>
      <c r="C2345" s="1" t="n">
        <v>45852</v>
      </c>
      <c r="D2345" t="inlineStr">
        <is>
          <t>VÄSTERNORRLANDS LÄN</t>
        </is>
      </c>
      <c r="E2345" t="inlineStr">
        <is>
          <t>SOLLEFTEÅ</t>
        </is>
      </c>
      <c r="F2345" t="inlineStr">
        <is>
          <t>SCA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41145-2023</t>
        </is>
      </c>
      <c r="B2346" s="1" t="n">
        <v>45174</v>
      </c>
      <c r="C2346" s="1" t="n">
        <v>45852</v>
      </c>
      <c r="D2346" t="inlineStr">
        <is>
          <t>VÄSTERNORRLANDS LÄN</t>
        </is>
      </c>
      <c r="E2346" t="inlineStr">
        <is>
          <t>SOLLEFTEÅ</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41146-2023</t>
        </is>
      </c>
      <c r="B2347" s="1" t="n">
        <v>45174</v>
      </c>
      <c r="C2347" s="1" t="n">
        <v>45852</v>
      </c>
      <c r="D2347" t="inlineStr">
        <is>
          <t>VÄSTERNORRLANDS LÄN</t>
        </is>
      </c>
      <c r="E2347" t="inlineStr">
        <is>
          <t>SOLLEFTEÅ</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41143-2023</t>
        </is>
      </c>
      <c r="B2348" s="1" t="n">
        <v>45174</v>
      </c>
      <c r="C2348" s="1" t="n">
        <v>45852</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41257-2023</t>
        </is>
      </c>
      <c r="B2349" s="1" t="n">
        <v>45174</v>
      </c>
      <c r="C2349" s="1" t="n">
        <v>45852</v>
      </c>
      <c r="D2349" t="inlineStr">
        <is>
          <t>VÄSTERNORRLANDS LÄN</t>
        </is>
      </c>
      <c r="E2349" t="inlineStr">
        <is>
          <t>SOLLEFTEÅ</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41655-2023</t>
        </is>
      </c>
      <c r="B2350" s="1" t="n">
        <v>45176</v>
      </c>
      <c r="C2350" s="1" t="n">
        <v>45852</v>
      </c>
      <c r="D2350" t="inlineStr">
        <is>
          <t>VÄSTERNORRLANDS LÄN</t>
        </is>
      </c>
      <c r="E2350" t="inlineStr">
        <is>
          <t>SOLLEFTEÅ</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41933-2023</t>
        </is>
      </c>
      <c r="B2351" s="1" t="n">
        <v>45177</v>
      </c>
      <c r="C2351" s="1" t="n">
        <v>45852</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41924-2023</t>
        </is>
      </c>
      <c r="B2352" s="1" t="n">
        <v>45176</v>
      </c>
      <c r="C2352" s="1" t="n">
        <v>45852</v>
      </c>
      <c r="D2352" t="inlineStr">
        <is>
          <t>VÄSTERNORRLANDS LÄN</t>
        </is>
      </c>
      <c r="E2352" t="inlineStr">
        <is>
          <t>SOLLEFTEÅ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42150-2023</t>
        </is>
      </c>
      <c r="B2353" s="1" t="n">
        <v>45178</v>
      </c>
      <c r="C2353" s="1" t="n">
        <v>45852</v>
      </c>
      <c r="D2353" t="inlineStr">
        <is>
          <t>VÄSTERNORRLANDS LÄN</t>
        </is>
      </c>
      <c r="E2353" t="inlineStr">
        <is>
          <t>SOLLEFTEÅ</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42162-2023</t>
        </is>
      </c>
      <c r="B2354" s="1" t="n">
        <v>45178</v>
      </c>
      <c r="C2354" s="1" t="n">
        <v>45852</v>
      </c>
      <c r="D2354" t="inlineStr">
        <is>
          <t>VÄSTERNORRLANDS LÄN</t>
        </is>
      </c>
      <c r="E2354" t="inlineStr">
        <is>
          <t>SOLLEFTEÅ</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42140-2023</t>
        </is>
      </c>
      <c r="B2355" s="1" t="n">
        <v>45178</v>
      </c>
      <c r="C2355" s="1" t="n">
        <v>45852</v>
      </c>
      <c r="D2355" t="inlineStr">
        <is>
          <t>VÄSTERNORRLANDS LÄN</t>
        </is>
      </c>
      <c r="E2355" t="inlineStr">
        <is>
          <t>SOLLEFTEÅ</t>
        </is>
      </c>
      <c r="G2355" t="n">
        <v>13.3</v>
      </c>
      <c r="H2355" t="n">
        <v>0</v>
      </c>
      <c r="I2355" t="n">
        <v>0</v>
      </c>
      <c r="J2355" t="n">
        <v>0</v>
      </c>
      <c r="K2355" t="n">
        <v>0</v>
      </c>
      <c r="L2355" t="n">
        <v>0</v>
      </c>
      <c r="M2355" t="n">
        <v>0</v>
      </c>
      <c r="N2355" t="n">
        <v>0</v>
      </c>
      <c r="O2355" t="n">
        <v>0</v>
      </c>
      <c r="P2355" t="n">
        <v>0</v>
      </c>
      <c r="Q2355" t="n">
        <v>0</v>
      </c>
      <c r="R2355" s="2" t="inlineStr"/>
    </row>
    <row r="2356" ht="15" customHeight="1">
      <c r="A2356" t="inlineStr">
        <is>
          <t>A 42160-2023</t>
        </is>
      </c>
      <c r="B2356" s="1" t="n">
        <v>45177</v>
      </c>
      <c r="C2356" s="1" t="n">
        <v>45852</v>
      </c>
      <c r="D2356" t="inlineStr">
        <is>
          <t>VÄSTERNORRLANDS LÄN</t>
        </is>
      </c>
      <c r="E2356" t="inlineStr">
        <is>
          <t>SOLLEFTEÅ</t>
        </is>
      </c>
      <c r="F2356" t="inlineStr">
        <is>
          <t>SCA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42164-2023</t>
        </is>
      </c>
      <c r="B2357" s="1" t="n">
        <v>45178</v>
      </c>
      <c r="C2357" s="1" t="n">
        <v>45852</v>
      </c>
      <c r="D2357" t="inlineStr">
        <is>
          <t>VÄSTERNORRLANDS LÄN</t>
        </is>
      </c>
      <c r="E2357" t="inlineStr">
        <is>
          <t>SOLLEFTEÅ</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42147-2023</t>
        </is>
      </c>
      <c r="B2358" s="1" t="n">
        <v>45177</v>
      </c>
      <c r="C2358" s="1" t="n">
        <v>45852</v>
      </c>
      <c r="D2358" t="inlineStr">
        <is>
          <t>VÄSTERNORRLANDS LÄN</t>
        </is>
      </c>
      <c r="E2358" t="inlineStr">
        <is>
          <t>SOLLEFTEÅ</t>
        </is>
      </c>
      <c r="G2358" t="n">
        <v>24.4</v>
      </c>
      <c r="H2358" t="n">
        <v>0</v>
      </c>
      <c r="I2358" t="n">
        <v>0</v>
      </c>
      <c r="J2358" t="n">
        <v>0</v>
      </c>
      <c r="K2358" t="n">
        <v>0</v>
      </c>
      <c r="L2358" t="n">
        <v>0</v>
      </c>
      <c r="M2358" t="n">
        <v>0</v>
      </c>
      <c r="N2358" t="n">
        <v>0</v>
      </c>
      <c r="O2358" t="n">
        <v>0</v>
      </c>
      <c r="P2358" t="n">
        <v>0</v>
      </c>
      <c r="Q2358" t="n">
        <v>0</v>
      </c>
      <c r="R2358" s="2" t="inlineStr"/>
    </row>
    <row r="2359" ht="15" customHeight="1">
      <c r="A2359" t="inlineStr">
        <is>
          <t>A 42440-2023</t>
        </is>
      </c>
      <c r="B2359" s="1" t="n">
        <v>45180</v>
      </c>
      <c r="C2359" s="1" t="n">
        <v>45852</v>
      </c>
      <c r="D2359" t="inlineStr">
        <is>
          <t>VÄSTERNORRLANDS LÄN</t>
        </is>
      </c>
      <c r="E2359" t="inlineStr">
        <is>
          <t>SOLLEFTEÅ</t>
        </is>
      </c>
      <c r="F2359" t="inlineStr">
        <is>
          <t>Holmen skog AB</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42514-2023</t>
        </is>
      </c>
      <c r="B2360" s="1" t="n">
        <v>45181</v>
      </c>
      <c r="C2360" s="1" t="n">
        <v>45852</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42512-2023</t>
        </is>
      </c>
      <c r="B2361" s="1" t="n">
        <v>45181</v>
      </c>
      <c r="C2361" s="1" t="n">
        <v>45852</v>
      </c>
      <c r="D2361" t="inlineStr">
        <is>
          <t>VÄSTERNORRLANDS LÄN</t>
        </is>
      </c>
      <c r="E2361" t="inlineStr">
        <is>
          <t>SOLLEFTEÅ</t>
        </is>
      </c>
      <c r="F2361" t="inlineStr">
        <is>
          <t>SCA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43487-2023</t>
        </is>
      </c>
      <c r="B2362" s="1" t="n">
        <v>45181</v>
      </c>
      <c r="C2362" s="1" t="n">
        <v>45852</v>
      </c>
      <c r="D2362" t="inlineStr">
        <is>
          <t>VÄSTERNORRLANDS LÄN</t>
        </is>
      </c>
      <c r="E2362" t="inlineStr">
        <is>
          <t>SOLLEFTEÅ</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43177-2023</t>
        </is>
      </c>
      <c r="B2363" s="1" t="n">
        <v>45181</v>
      </c>
      <c r="C2363" s="1" t="n">
        <v>45852</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43512-2023</t>
        </is>
      </c>
      <c r="B2364" s="1" t="n">
        <v>45181</v>
      </c>
      <c r="C2364" s="1" t="n">
        <v>45852</v>
      </c>
      <c r="D2364" t="inlineStr">
        <is>
          <t>VÄSTERNORRLANDS LÄN</t>
        </is>
      </c>
      <c r="E2364" t="inlineStr">
        <is>
          <t>SOLLEFTEÅ</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44533-2023</t>
        </is>
      </c>
      <c r="B2365" s="1" t="n">
        <v>45183</v>
      </c>
      <c r="C2365" s="1" t="n">
        <v>45852</v>
      </c>
      <c r="D2365" t="inlineStr">
        <is>
          <t>VÄSTERNORRLANDS LÄN</t>
        </is>
      </c>
      <c r="E2365" t="inlineStr">
        <is>
          <t>SOLLEFTEÅ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43531-2023</t>
        </is>
      </c>
      <c r="B2366" s="1" t="n">
        <v>45184</v>
      </c>
      <c r="C2366" s="1" t="n">
        <v>45852</v>
      </c>
      <c r="D2366" t="inlineStr">
        <is>
          <t>VÄSTERNORRLANDS LÄN</t>
        </is>
      </c>
      <c r="E2366" t="inlineStr">
        <is>
          <t>SOLLEFTEÅ</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43504-2023</t>
        </is>
      </c>
      <c r="B2367" s="1" t="n">
        <v>45184</v>
      </c>
      <c r="C2367" s="1" t="n">
        <v>45852</v>
      </c>
      <c r="D2367" t="inlineStr">
        <is>
          <t>VÄSTERNORRLANDS LÄN</t>
        </is>
      </c>
      <c r="E2367" t="inlineStr">
        <is>
          <t>SOLLEFTEÅ</t>
        </is>
      </c>
      <c r="F2367" t="inlineStr">
        <is>
          <t>Holmen skog AB</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45193-2023</t>
        </is>
      </c>
      <c r="B2368" s="1" t="n">
        <v>45187</v>
      </c>
      <c r="C2368" s="1" t="n">
        <v>45852</v>
      </c>
      <c r="D2368" t="inlineStr">
        <is>
          <t>VÄSTERNORRLANDS LÄN</t>
        </is>
      </c>
      <c r="E2368" t="inlineStr">
        <is>
          <t>SOLLEFTEÅ</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44389-2023</t>
        </is>
      </c>
      <c r="B2369" s="1" t="n">
        <v>45189</v>
      </c>
      <c r="C2369" s="1" t="n">
        <v>45852</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44393-2023</t>
        </is>
      </c>
      <c r="B2370" s="1" t="n">
        <v>45189</v>
      </c>
      <c r="C2370" s="1" t="n">
        <v>45852</v>
      </c>
      <c r="D2370" t="inlineStr">
        <is>
          <t>VÄSTERNORRLANDS LÄN</t>
        </is>
      </c>
      <c r="E2370" t="inlineStr">
        <is>
          <t>SOLLEFTEÅ</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44388-2023</t>
        </is>
      </c>
      <c r="B2371" s="1" t="n">
        <v>45189</v>
      </c>
      <c r="C2371" s="1" t="n">
        <v>45852</v>
      </c>
      <c r="D2371" t="inlineStr">
        <is>
          <t>VÄSTERNORRLANDS LÄN</t>
        </is>
      </c>
      <c r="E2371" t="inlineStr">
        <is>
          <t>SOLLEFTEÅ</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44392-2023</t>
        </is>
      </c>
      <c r="B2372" s="1" t="n">
        <v>45189</v>
      </c>
      <c r="C2372" s="1" t="n">
        <v>45852</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44408-2023</t>
        </is>
      </c>
      <c r="B2373" s="1" t="n">
        <v>45189</v>
      </c>
      <c r="C2373" s="1" t="n">
        <v>45852</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44391-2023</t>
        </is>
      </c>
      <c r="B2374" s="1" t="n">
        <v>45189</v>
      </c>
      <c r="C2374" s="1" t="n">
        <v>45852</v>
      </c>
      <c r="D2374" t="inlineStr">
        <is>
          <t>VÄSTERNORRLANDS LÄN</t>
        </is>
      </c>
      <c r="E2374" t="inlineStr">
        <is>
          <t>SOLLEFTEÅ</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44407-2023</t>
        </is>
      </c>
      <c r="B2375" s="1" t="n">
        <v>45189</v>
      </c>
      <c r="C2375" s="1" t="n">
        <v>45852</v>
      </c>
      <c r="D2375" t="inlineStr">
        <is>
          <t>VÄSTERNORRLANDS LÄN</t>
        </is>
      </c>
      <c r="E2375" t="inlineStr">
        <is>
          <t>SOLLEFTEÅ</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45644-2023</t>
        </is>
      </c>
      <c r="B2376" s="1" t="n">
        <v>45188</v>
      </c>
      <c r="C2376" s="1" t="n">
        <v>45852</v>
      </c>
      <c r="D2376" t="inlineStr">
        <is>
          <t>VÄSTERNORRLANDS LÄN</t>
        </is>
      </c>
      <c r="E2376" t="inlineStr">
        <is>
          <t>SOLLEFTEÅ</t>
        </is>
      </c>
      <c r="F2376" t="inlineStr">
        <is>
          <t>SCA</t>
        </is>
      </c>
      <c r="G2376" t="n">
        <v>1</v>
      </c>
      <c r="H2376" t="n">
        <v>0</v>
      </c>
      <c r="I2376" t="n">
        <v>0</v>
      </c>
      <c r="J2376" t="n">
        <v>0</v>
      </c>
      <c r="K2376" t="n">
        <v>0</v>
      </c>
      <c r="L2376" t="n">
        <v>0</v>
      </c>
      <c r="M2376" t="n">
        <v>0</v>
      </c>
      <c r="N2376" t="n">
        <v>0</v>
      </c>
      <c r="O2376" t="n">
        <v>0</v>
      </c>
      <c r="P2376" t="n">
        <v>0</v>
      </c>
      <c r="Q2376" t="n">
        <v>0</v>
      </c>
      <c r="R2376" s="2" t="inlineStr"/>
      <c r="U2376">
        <f>HYPERLINK("https://klasma.github.io/Logging_2283/knärot/A 45644-2023 karta knärot.png", "A 45644-2023")</f>
        <v/>
      </c>
      <c r="V2376">
        <f>HYPERLINK("https://klasma.github.io/Logging_2283/klagomål/A 45644-2023 FSC-klagomål.docx", "A 45644-2023")</f>
        <v/>
      </c>
      <c r="W2376">
        <f>HYPERLINK("https://klasma.github.io/Logging_2283/klagomålsmail/A 45644-2023 FSC-klagomål mail.docx", "A 45644-2023")</f>
        <v/>
      </c>
      <c r="X2376">
        <f>HYPERLINK("https://klasma.github.io/Logging_2283/tillsyn/A 45644-2023 tillsynsbegäran.docx", "A 45644-2023")</f>
        <v/>
      </c>
      <c r="Y2376">
        <f>HYPERLINK("https://klasma.github.io/Logging_2283/tillsynsmail/A 45644-2023 tillsynsbegäran mail.docx", "A 45644-2023")</f>
        <v/>
      </c>
    </row>
    <row r="2377" ht="15" customHeight="1">
      <c r="A2377" t="inlineStr">
        <is>
          <t>A 44410-2023</t>
        </is>
      </c>
      <c r="B2377" s="1" t="n">
        <v>45189</v>
      </c>
      <c r="C2377" s="1" t="n">
        <v>45852</v>
      </c>
      <c r="D2377" t="inlineStr">
        <is>
          <t>VÄSTERNORRLANDS LÄN</t>
        </is>
      </c>
      <c r="E2377" t="inlineStr">
        <is>
          <t>SOLLEFTEÅ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44905-2023</t>
        </is>
      </c>
      <c r="B2378" s="1" t="n">
        <v>45189</v>
      </c>
      <c r="C2378" s="1" t="n">
        <v>45852</v>
      </c>
      <c r="D2378" t="inlineStr">
        <is>
          <t>VÄSTERNORRLANDS LÄN</t>
        </is>
      </c>
      <c r="E2378" t="inlineStr">
        <is>
          <t>SOLLEFTEÅ</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44781-2023</t>
        </is>
      </c>
      <c r="B2379" s="1" t="n">
        <v>45190</v>
      </c>
      <c r="C2379" s="1" t="n">
        <v>45852</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45015-2023</t>
        </is>
      </c>
      <c r="B2380" s="1" t="n">
        <v>45191</v>
      </c>
      <c r="C2380" s="1" t="n">
        <v>45852</v>
      </c>
      <c r="D2380" t="inlineStr">
        <is>
          <t>VÄSTERNORRLANDS LÄN</t>
        </is>
      </c>
      <c r="E2380" t="inlineStr">
        <is>
          <t>SOLLEFTEÅ</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44984-2023</t>
        </is>
      </c>
      <c r="B2381" s="1" t="n">
        <v>45191</v>
      </c>
      <c r="C2381" s="1" t="n">
        <v>45852</v>
      </c>
      <c r="D2381" t="inlineStr">
        <is>
          <t>VÄSTERNORRLANDS LÄN</t>
        </is>
      </c>
      <c r="E2381" t="inlineStr">
        <is>
          <t>SOLLEFTEÅ</t>
        </is>
      </c>
      <c r="F2381" t="inlineStr">
        <is>
          <t>SCA</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44986-2023</t>
        </is>
      </c>
      <c r="B2382" s="1" t="n">
        <v>45190</v>
      </c>
      <c r="C2382" s="1" t="n">
        <v>45852</v>
      </c>
      <c r="D2382" t="inlineStr">
        <is>
          <t>VÄSTERNORRLANDS LÄN</t>
        </is>
      </c>
      <c r="E2382" t="inlineStr">
        <is>
          <t>SOLLEFTEÅ</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44994-2023</t>
        </is>
      </c>
      <c r="B2383" s="1" t="n">
        <v>45190</v>
      </c>
      <c r="C2383" s="1" t="n">
        <v>45852</v>
      </c>
      <c r="D2383" t="inlineStr">
        <is>
          <t>VÄSTERNORRLANDS LÄN</t>
        </is>
      </c>
      <c r="E2383" t="inlineStr">
        <is>
          <t>SOLLEFTEÅ</t>
        </is>
      </c>
      <c r="F2383" t="inlineStr">
        <is>
          <t>SCA</t>
        </is>
      </c>
      <c r="G2383" t="n">
        <v>26.8</v>
      </c>
      <c r="H2383" t="n">
        <v>0</v>
      </c>
      <c r="I2383" t="n">
        <v>0</v>
      </c>
      <c r="J2383" t="n">
        <v>0</v>
      </c>
      <c r="K2383" t="n">
        <v>0</v>
      </c>
      <c r="L2383" t="n">
        <v>0</v>
      </c>
      <c r="M2383" t="n">
        <v>0</v>
      </c>
      <c r="N2383" t="n">
        <v>0</v>
      </c>
      <c r="O2383" t="n">
        <v>0</v>
      </c>
      <c r="P2383" t="n">
        <v>0</v>
      </c>
      <c r="Q2383" t="n">
        <v>0</v>
      </c>
      <c r="R2383" s="2" t="inlineStr"/>
    </row>
    <row r="2384" ht="15" customHeight="1">
      <c r="A2384" t="inlineStr">
        <is>
          <t>A 44998-2023</t>
        </is>
      </c>
      <c r="B2384" s="1" t="n">
        <v>45191</v>
      </c>
      <c r="C2384" s="1" t="n">
        <v>45852</v>
      </c>
      <c r="D2384" t="inlineStr">
        <is>
          <t>VÄSTERNORRLANDS LÄN</t>
        </is>
      </c>
      <c r="E2384" t="inlineStr">
        <is>
          <t>SOLLEFTEÅ</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45014-2023</t>
        </is>
      </c>
      <c r="B2385" s="1" t="n">
        <v>45191</v>
      </c>
      <c r="C2385" s="1" t="n">
        <v>45852</v>
      </c>
      <c r="D2385" t="inlineStr">
        <is>
          <t>VÄSTERNORRLANDS LÄN</t>
        </is>
      </c>
      <c r="E2385" t="inlineStr">
        <is>
          <t>SOLLEFTEÅ</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45017-2023</t>
        </is>
      </c>
      <c r="B2386" s="1" t="n">
        <v>45190</v>
      </c>
      <c r="C2386" s="1" t="n">
        <v>45852</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46212-2023</t>
        </is>
      </c>
      <c r="B2387" s="1" t="n">
        <v>45190</v>
      </c>
      <c r="C2387" s="1" t="n">
        <v>45852</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46207-2023</t>
        </is>
      </c>
      <c r="B2388" s="1" t="n">
        <v>45190</v>
      </c>
      <c r="C2388" s="1" t="n">
        <v>45852</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46357-2023</t>
        </is>
      </c>
      <c r="B2389" s="1" t="n">
        <v>45191</v>
      </c>
      <c r="C2389" s="1" t="n">
        <v>45852</v>
      </c>
      <c r="D2389" t="inlineStr">
        <is>
          <t>VÄSTERNORRLANDS LÄN</t>
        </is>
      </c>
      <c r="E2389" t="inlineStr">
        <is>
          <t>SOLLEFTEÅ</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46344-2023</t>
        </is>
      </c>
      <c r="B2390" s="1" t="n">
        <v>45191</v>
      </c>
      <c r="C2390" s="1" t="n">
        <v>45852</v>
      </c>
      <c r="D2390" t="inlineStr">
        <is>
          <t>VÄSTERNORRLANDS LÄN</t>
        </is>
      </c>
      <c r="E2390" t="inlineStr">
        <is>
          <t>SOLLEFTEÅ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45570-2023</t>
        </is>
      </c>
      <c r="B2391" s="1" t="n">
        <v>45194</v>
      </c>
      <c r="C2391" s="1" t="n">
        <v>45852</v>
      </c>
      <c r="D2391" t="inlineStr">
        <is>
          <t>VÄSTERNORRLANDS LÄN</t>
        </is>
      </c>
      <c r="E2391" t="inlineStr">
        <is>
          <t>SOLLEFTEÅ</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45958-2023</t>
        </is>
      </c>
      <c r="B2392" s="1" t="n">
        <v>45195</v>
      </c>
      <c r="C2392" s="1" t="n">
        <v>45852</v>
      </c>
      <c r="D2392" t="inlineStr">
        <is>
          <t>VÄSTERNORRLANDS LÄN</t>
        </is>
      </c>
      <c r="E2392" t="inlineStr">
        <is>
          <t>SOLLEFTEÅ</t>
        </is>
      </c>
      <c r="F2392" t="inlineStr">
        <is>
          <t>SCA</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45973-2023</t>
        </is>
      </c>
      <c r="B2393" s="1" t="n">
        <v>45195</v>
      </c>
      <c r="C2393" s="1" t="n">
        <v>45852</v>
      </c>
      <c r="D2393" t="inlineStr">
        <is>
          <t>VÄSTERNORRLANDS LÄN</t>
        </is>
      </c>
      <c r="E2393" t="inlineStr">
        <is>
          <t>SOLLEFTEÅ</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46256-2023</t>
        </is>
      </c>
      <c r="B2394" s="1" t="n">
        <v>45197</v>
      </c>
      <c r="C2394" s="1" t="n">
        <v>45852</v>
      </c>
      <c r="D2394" t="inlineStr">
        <is>
          <t>VÄSTERNORRLANDS LÄN</t>
        </is>
      </c>
      <c r="E2394" t="inlineStr">
        <is>
          <t>SOLLEFTEÅ</t>
        </is>
      </c>
      <c r="F2394" t="inlineStr">
        <is>
          <t>SCA</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47329-2023</t>
        </is>
      </c>
      <c r="B2395" s="1" t="n">
        <v>45196</v>
      </c>
      <c r="C2395" s="1" t="n">
        <v>45852</v>
      </c>
      <c r="D2395" t="inlineStr">
        <is>
          <t>VÄSTERNORRLANDS LÄN</t>
        </is>
      </c>
      <c r="E2395" t="inlineStr">
        <is>
          <t>SOLLEFTEÅ</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47327-2023</t>
        </is>
      </c>
      <c r="B2396" s="1" t="n">
        <v>45196</v>
      </c>
      <c r="C2396" s="1" t="n">
        <v>45852</v>
      </c>
      <c r="D2396" t="inlineStr">
        <is>
          <t>VÄSTERNORRLANDS LÄN</t>
        </is>
      </c>
      <c r="E2396" t="inlineStr">
        <is>
          <t>SOLLEFTEÅ</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46553-2023</t>
        </is>
      </c>
      <c r="B2397" s="1" t="n">
        <v>45198</v>
      </c>
      <c r="C2397" s="1" t="n">
        <v>45852</v>
      </c>
      <c r="D2397" t="inlineStr">
        <is>
          <t>VÄSTERNORRLANDS LÄN</t>
        </is>
      </c>
      <c r="E2397" t="inlineStr">
        <is>
          <t>SOLLEFTEÅ</t>
        </is>
      </c>
      <c r="F2397" t="inlineStr">
        <is>
          <t>SCA</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46550-2023</t>
        </is>
      </c>
      <c r="B2398" s="1" t="n">
        <v>45198</v>
      </c>
      <c r="C2398" s="1" t="n">
        <v>45852</v>
      </c>
      <c r="D2398" t="inlineStr">
        <is>
          <t>VÄSTERNORRLANDS LÄN</t>
        </is>
      </c>
      <c r="E2398" t="inlineStr">
        <is>
          <t>SOLLEFTEÅ</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46554-2023</t>
        </is>
      </c>
      <c r="B2399" s="1" t="n">
        <v>45198</v>
      </c>
      <c r="C2399" s="1" t="n">
        <v>45852</v>
      </c>
      <c r="D2399" t="inlineStr">
        <is>
          <t>VÄSTERNORRLANDS LÄN</t>
        </is>
      </c>
      <c r="E2399" t="inlineStr">
        <is>
          <t>SOLLEFTEÅ</t>
        </is>
      </c>
      <c r="F2399" t="inlineStr">
        <is>
          <t>SCA</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46555-2023</t>
        </is>
      </c>
      <c r="B2400" s="1" t="n">
        <v>45198</v>
      </c>
      <c r="C2400" s="1" t="n">
        <v>45852</v>
      </c>
      <c r="D2400" t="inlineStr">
        <is>
          <t>VÄSTERNORRLANDS LÄN</t>
        </is>
      </c>
      <c r="E2400" t="inlineStr">
        <is>
          <t>SOLLEFTEÅ</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46804-2023</t>
        </is>
      </c>
      <c r="B2401" s="1" t="n">
        <v>45198</v>
      </c>
      <c r="C2401" s="1" t="n">
        <v>45852</v>
      </c>
      <c r="D2401" t="inlineStr">
        <is>
          <t>VÄSTERNORRLANDS LÄN</t>
        </is>
      </c>
      <c r="E2401" t="inlineStr">
        <is>
          <t>SOLLEFTEÅ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47741-2023</t>
        </is>
      </c>
      <c r="B2402" s="1" t="n">
        <v>45198</v>
      </c>
      <c r="C2402" s="1" t="n">
        <v>45852</v>
      </c>
      <c r="D2402" t="inlineStr">
        <is>
          <t>VÄSTERNORRLANDS LÄN</t>
        </is>
      </c>
      <c r="E2402" t="inlineStr">
        <is>
          <t>SOLLEFTEÅ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47159-2023</t>
        </is>
      </c>
      <c r="B2403" s="1" t="n">
        <v>45201</v>
      </c>
      <c r="C2403" s="1" t="n">
        <v>45852</v>
      </c>
      <c r="D2403" t="inlineStr">
        <is>
          <t>VÄSTERNORRLANDS LÄN</t>
        </is>
      </c>
      <c r="E2403" t="inlineStr">
        <is>
          <t>SOLLEFTEÅ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47167-2023</t>
        </is>
      </c>
      <c r="B2404" s="1" t="n">
        <v>45202</v>
      </c>
      <c r="C2404" s="1" t="n">
        <v>45852</v>
      </c>
      <c r="D2404" t="inlineStr">
        <is>
          <t>VÄSTERNORRLANDS LÄN</t>
        </is>
      </c>
      <c r="E2404" t="inlineStr">
        <is>
          <t>SOLLEFTEÅ</t>
        </is>
      </c>
      <c r="F2404" t="inlineStr">
        <is>
          <t>SCA</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47175-2023</t>
        </is>
      </c>
      <c r="B2405" s="1" t="n">
        <v>45202</v>
      </c>
      <c r="C2405" s="1" t="n">
        <v>45852</v>
      </c>
      <c r="D2405" t="inlineStr">
        <is>
          <t>VÄSTERNORRLANDS LÄN</t>
        </is>
      </c>
      <c r="E2405" t="inlineStr">
        <is>
          <t>SOLLEFTEÅ</t>
        </is>
      </c>
      <c r="F2405" t="inlineStr">
        <is>
          <t>SCA</t>
        </is>
      </c>
      <c r="G2405" t="n">
        <v>14.7</v>
      </c>
      <c r="H2405" t="n">
        <v>0</v>
      </c>
      <c r="I2405" t="n">
        <v>0</v>
      </c>
      <c r="J2405" t="n">
        <v>0</v>
      </c>
      <c r="K2405" t="n">
        <v>0</v>
      </c>
      <c r="L2405" t="n">
        <v>0</v>
      </c>
      <c r="M2405" t="n">
        <v>0</v>
      </c>
      <c r="N2405" t="n">
        <v>0</v>
      </c>
      <c r="O2405" t="n">
        <v>0</v>
      </c>
      <c r="P2405" t="n">
        <v>0</v>
      </c>
      <c r="Q2405" t="n">
        <v>0</v>
      </c>
      <c r="R2405" s="2" t="inlineStr"/>
    </row>
    <row r="2406" ht="15" customHeight="1">
      <c r="A2406" t="inlineStr">
        <is>
          <t>A 47170-2023</t>
        </is>
      </c>
      <c r="B2406" s="1" t="n">
        <v>45202</v>
      </c>
      <c r="C2406" s="1" t="n">
        <v>45852</v>
      </c>
      <c r="D2406" t="inlineStr">
        <is>
          <t>VÄSTERNORRLANDS LÄN</t>
        </is>
      </c>
      <c r="E2406" t="inlineStr">
        <is>
          <t>SOLLEFTEÅ</t>
        </is>
      </c>
      <c r="F2406" t="inlineStr">
        <is>
          <t>SCA</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47174-2023</t>
        </is>
      </c>
      <c r="B2407" s="1" t="n">
        <v>45202</v>
      </c>
      <c r="C2407" s="1" t="n">
        <v>45852</v>
      </c>
      <c r="D2407" t="inlineStr">
        <is>
          <t>VÄSTERNORRLANDS LÄN</t>
        </is>
      </c>
      <c r="E2407" t="inlineStr">
        <is>
          <t>SOLLEFTEÅ</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47177-2023</t>
        </is>
      </c>
      <c r="B2408" s="1" t="n">
        <v>45201</v>
      </c>
      <c r="C2408" s="1" t="n">
        <v>45852</v>
      </c>
      <c r="D2408" t="inlineStr">
        <is>
          <t>VÄSTERNORRLANDS LÄN</t>
        </is>
      </c>
      <c r="E2408" t="inlineStr">
        <is>
          <t>SOLLEFTEÅ</t>
        </is>
      </c>
      <c r="F2408" t="inlineStr">
        <is>
          <t>SCA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47181-2023</t>
        </is>
      </c>
      <c r="B2409" s="1" t="n">
        <v>45202</v>
      </c>
      <c r="C2409" s="1" t="n">
        <v>45852</v>
      </c>
      <c r="D2409" t="inlineStr">
        <is>
          <t>VÄSTERNORRLANDS LÄN</t>
        </is>
      </c>
      <c r="E2409" t="inlineStr">
        <is>
          <t>SOLLEFTEÅ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47185-2023</t>
        </is>
      </c>
      <c r="B2410" s="1" t="n">
        <v>45201</v>
      </c>
      <c r="C2410" s="1" t="n">
        <v>45852</v>
      </c>
      <c r="D2410" t="inlineStr">
        <is>
          <t>VÄSTERNORRLANDS LÄN</t>
        </is>
      </c>
      <c r="E2410" t="inlineStr">
        <is>
          <t>SOLLEFTEÅ</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47490-2023</t>
        </is>
      </c>
      <c r="B2411" s="1" t="n">
        <v>45203</v>
      </c>
      <c r="C2411" s="1" t="n">
        <v>45852</v>
      </c>
      <c r="D2411" t="inlineStr">
        <is>
          <t>VÄSTERNORRLANDS LÄN</t>
        </is>
      </c>
      <c r="E2411" t="inlineStr">
        <is>
          <t>SOLLEFTEÅ</t>
        </is>
      </c>
      <c r="F2411" t="inlineStr">
        <is>
          <t>SCA</t>
        </is>
      </c>
      <c r="G2411" t="n">
        <v>12.6</v>
      </c>
      <c r="H2411" t="n">
        <v>0</v>
      </c>
      <c r="I2411" t="n">
        <v>0</v>
      </c>
      <c r="J2411" t="n">
        <v>0</v>
      </c>
      <c r="K2411" t="n">
        <v>0</v>
      </c>
      <c r="L2411" t="n">
        <v>0</v>
      </c>
      <c r="M2411" t="n">
        <v>0</v>
      </c>
      <c r="N2411" t="n">
        <v>0</v>
      </c>
      <c r="O2411" t="n">
        <v>0</v>
      </c>
      <c r="P2411" t="n">
        <v>0</v>
      </c>
      <c r="Q2411" t="n">
        <v>0</v>
      </c>
      <c r="R2411" s="2" t="inlineStr"/>
    </row>
    <row r="2412" ht="15" customHeight="1">
      <c r="A2412" t="inlineStr">
        <is>
          <t>A 47457-2023</t>
        </is>
      </c>
      <c r="B2412" s="1" t="n">
        <v>45202</v>
      </c>
      <c r="C2412" s="1" t="n">
        <v>45852</v>
      </c>
      <c r="D2412" t="inlineStr">
        <is>
          <t>VÄSTERNORRLANDS LÄN</t>
        </is>
      </c>
      <c r="E2412" t="inlineStr">
        <is>
          <t>SOLLEFTEÅ</t>
        </is>
      </c>
      <c r="F2412" t="inlineStr">
        <is>
          <t>Holmen skog AB</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47477-2023</t>
        </is>
      </c>
      <c r="B2413" s="1" t="n">
        <v>45203</v>
      </c>
      <c r="C2413" s="1" t="n">
        <v>45852</v>
      </c>
      <c r="D2413" t="inlineStr">
        <is>
          <t>VÄSTERNORRLANDS LÄN</t>
        </is>
      </c>
      <c r="E2413" t="inlineStr">
        <is>
          <t>SOLLEFTEÅ</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47794-2023</t>
        </is>
      </c>
      <c r="B2414" s="1" t="n">
        <v>45204</v>
      </c>
      <c r="C2414" s="1" t="n">
        <v>45852</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48077-2023</t>
        </is>
      </c>
      <c r="B2415" s="1" t="n">
        <v>45205</v>
      </c>
      <c r="C2415" s="1" t="n">
        <v>45852</v>
      </c>
      <c r="D2415" t="inlineStr">
        <is>
          <t>VÄSTERNORRLANDS LÄN</t>
        </is>
      </c>
      <c r="E2415" t="inlineStr">
        <is>
          <t>SOLLEFTEÅ</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48085-2023</t>
        </is>
      </c>
      <c r="B2416" s="1" t="n">
        <v>45205</v>
      </c>
      <c r="C2416" s="1" t="n">
        <v>45852</v>
      </c>
      <c r="D2416" t="inlineStr">
        <is>
          <t>VÄSTERNORRLANDS LÄN</t>
        </is>
      </c>
      <c r="E2416" t="inlineStr">
        <is>
          <t>SOLLEFTEÅ</t>
        </is>
      </c>
      <c r="F2416" t="inlineStr">
        <is>
          <t>SCA</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48089-2023</t>
        </is>
      </c>
      <c r="B2417" s="1" t="n">
        <v>45204</v>
      </c>
      <c r="C2417" s="1" t="n">
        <v>45852</v>
      </c>
      <c r="D2417" t="inlineStr">
        <is>
          <t>VÄSTERNORRLANDS LÄN</t>
        </is>
      </c>
      <c r="E2417" t="inlineStr">
        <is>
          <t>SOLLEFTEÅ</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48083-2023</t>
        </is>
      </c>
      <c r="B2418" s="1" t="n">
        <v>45204</v>
      </c>
      <c r="C2418" s="1" t="n">
        <v>45852</v>
      </c>
      <c r="D2418" t="inlineStr">
        <is>
          <t>VÄSTERNORRLANDS LÄN</t>
        </is>
      </c>
      <c r="E2418" t="inlineStr">
        <is>
          <t>SOLLEFTEÅ</t>
        </is>
      </c>
      <c r="F2418" t="inlineStr">
        <is>
          <t>SCA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48086-2023</t>
        </is>
      </c>
      <c r="B2419" s="1" t="n">
        <v>45205</v>
      </c>
      <c r="C2419" s="1" t="n">
        <v>45852</v>
      </c>
      <c r="D2419" t="inlineStr">
        <is>
          <t>VÄSTERNORRLANDS LÄN</t>
        </is>
      </c>
      <c r="E2419" t="inlineStr">
        <is>
          <t>SOLLEFTEÅ</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48090-2023</t>
        </is>
      </c>
      <c r="B2420" s="1" t="n">
        <v>45205</v>
      </c>
      <c r="C2420" s="1" t="n">
        <v>45852</v>
      </c>
      <c r="D2420" t="inlineStr">
        <is>
          <t>VÄSTERNORRLANDS LÄN</t>
        </is>
      </c>
      <c r="E2420" t="inlineStr">
        <is>
          <t>SOLLEFTEÅ</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48072-2023</t>
        </is>
      </c>
      <c r="B2421" s="1" t="n">
        <v>45205</v>
      </c>
      <c r="C2421" s="1" t="n">
        <v>45852</v>
      </c>
      <c r="D2421" t="inlineStr">
        <is>
          <t>VÄSTERNORRLANDS LÄN</t>
        </is>
      </c>
      <c r="E2421" t="inlineStr">
        <is>
          <t>SOLLEFTEÅ</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48088-2023</t>
        </is>
      </c>
      <c r="B2422" s="1" t="n">
        <v>45205</v>
      </c>
      <c r="C2422" s="1" t="n">
        <v>45852</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48964-2023</t>
        </is>
      </c>
      <c r="B2423" s="1" t="n">
        <v>45204</v>
      </c>
      <c r="C2423" s="1" t="n">
        <v>45852</v>
      </c>
      <c r="D2423" t="inlineStr">
        <is>
          <t>VÄSTERNORRLANDS LÄN</t>
        </is>
      </c>
      <c r="E2423" t="inlineStr">
        <is>
          <t>SOLLEFTEÅ</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49417-2023</t>
        </is>
      </c>
      <c r="B2424" s="1" t="n">
        <v>45205</v>
      </c>
      <c r="C2424" s="1" t="n">
        <v>45852</v>
      </c>
      <c r="D2424" t="inlineStr">
        <is>
          <t>VÄSTERNORRLANDS LÄN</t>
        </is>
      </c>
      <c r="E2424" t="inlineStr">
        <is>
          <t>SOLLEFTEÅ</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48767-2023</t>
        </is>
      </c>
      <c r="B2425" s="1" t="n">
        <v>45208</v>
      </c>
      <c r="C2425" s="1" t="n">
        <v>45852</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48528-2023</t>
        </is>
      </c>
      <c r="B2426" s="1" t="n">
        <v>45208</v>
      </c>
      <c r="C2426" s="1" t="n">
        <v>45852</v>
      </c>
      <c r="D2426" t="inlineStr">
        <is>
          <t>VÄSTERNORRLANDS LÄN</t>
        </is>
      </c>
      <c r="E2426" t="inlineStr">
        <is>
          <t>SOLLEFTEÅ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48570-2023</t>
        </is>
      </c>
      <c r="B2427" s="1" t="n">
        <v>45208</v>
      </c>
      <c r="C2427" s="1" t="n">
        <v>45852</v>
      </c>
      <c r="D2427" t="inlineStr">
        <is>
          <t>VÄSTERNORRLANDS LÄN</t>
        </is>
      </c>
      <c r="E2427" t="inlineStr">
        <is>
          <t>SOLLEFTEÅ</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48999-2023</t>
        </is>
      </c>
      <c r="B2428" s="1" t="n">
        <v>45209</v>
      </c>
      <c r="C2428" s="1" t="n">
        <v>45852</v>
      </c>
      <c r="D2428" t="inlineStr">
        <is>
          <t>VÄSTERNORRLANDS LÄN</t>
        </is>
      </c>
      <c r="E2428" t="inlineStr">
        <is>
          <t>SOLLEFTEÅ</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49036-2023</t>
        </is>
      </c>
      <c r="B2429" s="1" t="n">
        <v>45210</v>
      </c>
      <c r="C2429" s="1" t="n">
        <v>45852</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50313-2023</t>
        </is>
      </c>
      <c r="B2430" s="1" t="n">
        <v>45209</v>
      </c>
      <c r="C2430" s="1" t="n">
        <v>45852</v>
      </c>
      <c r="D2430" t="inlineStr">
        <is>
          <t>VÄSTERNORRLANDS LÄN</t>
        </is>
      </c>
      <c r="E2430" t="inlineStr">
        <is>
          <t>SOLLEFTEÅ</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49313-2023</t>
        </is>
      </c>
      <c r="B2431" s="1" t="n">
        <v>45211</v>
      </c>
      <c r="C2431" s="1" t="n">
        <v>45852</v>
      </c>
      <c r="D2431" t="inlineStr">
        <is>
          <t>VÄSTERNORRLANDS LÄN</t>
        </is>
      </c>
      <c r="E2431" t="inlineStr">
        <is>
          <t>SOLLEFTEÅ</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49317-2023</t>
        </is>
      </c>
      <c r="B2432" s="1" t="n">
        <v>45210</v>
      </c>
      <c r="C2432" s="1" t="n">
        <v>45852</v>
      </c>
      <c r="D2432" t="inlineStr">
        <is>
          <t>VÄSTERNORRLANDS LÄN</t>
        </is>
      </c>
      <c r="E2432" t="inlineStr">
        <is>
          <t>SOLLEFTEÅ</t>
        </is>
      </c>
      <c r="F2432" t="inlineStr">
        <is>
          <t>SCA</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49323-2023</t>
        </is>
      </c>
      <c r="B2433" s="1" t="n">
        <v>45211</v>
      </c>
      <c r="C2433" s="1" t="n">
        <v>45852</v>
      </c>
      <c r="D2433" t="inlineStr">
        <is>
          <t>VÄSTERNORRLANDS LÄN</t>
        </is>
      </c>
      <c r="E2433" t="inlineStr">
        <is>
          <t>SOLLEFTEÅ</t>
        </is>
      </c>
      <c r="F2433" t="inlineStr">
        <is>
          <t>SCA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49324-2023</t>
        </is>
      </c>
      <c r="B2434" s="1" t="n">
        <v>45210</v>
      </c>
      <c r="C2434" s="1" t="n">
        <v>45852</v>
      </c>
      <c r="D2434" t="inlineStr">
        <is>
          <t>VÄSTERNORRLANDS LÄN</t>
        </is>
      </c>
      <c r="E2434" t="inlineStr">
        <is>
          <t>SOLLEFTEÅ</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50698-2023</t>
        </is>
      </c>
      <c r="B2435" s="1" t="n">
        <v>45210</v>
      </c>
      <c r="C2435" s="1" t="n">
        <v>45852</v>
      </c>
      <c r="D2435" t="inlineStr">
        <is>
          <t>VÄSTERNORRLANDS LÄN</t>
        </is>
      </c>
      <c r="E2435" t="inlineStr">
        <is>
          <t>SOLLEFTEÅ</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50745-2023</t>
        </is>
      </c>
      <c r="B2436" s="1" t="n">
        <v>45210</v>
      </c>
      <c r="C2436" s="1" t="n">
        <v>45852</v>
      </c>
      <c r="D2436" t="inlineStr">
        <is>
          <t>VÄSTERNORRLANDS LÄN</t>
        </is>
      </c>
      <c r="E2436" t="inlineStr">
        <is>
          <t>SOLLEFTEÅ</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50716-2023</t>
        </is>
      </c>
      <c r="B2437" s="1" t="n">
        <v>45210</v>
      </c>
      <c r="C2437" s="1" t="n">
        <v>45852</v>
      </c>
      <c r="D2437" t="inlineStr">
        <is>
          <t>VÄSTERNORRLANDS LÄN</t>
        </is>
      </c>
      <c r="E2437" t="inlineStr">
        <is>
          <t>SOLLEFTEÅ</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50674-2023</t>
        </is>
      </c>
      <c r="B2438" s="1" t="n">
        <v>45210</v>
      </c>
      <c r="C2438" s="1" t="n">
        <v>45852</v>
      </c>
      <c r="D2438" t="inlineStr">
        <is>
          <t>VÄSTERNORRLANDS LÄN</t>
        </is>
      </c>
      <c r="E2438" t="inlineStr">
        <is>
          <t>SOLLEFTEÅ</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50688-2023</t>
        </is>
      </c>
      <c r="B2439" s="1" t="n">
        <v>45210</v>
      </c>
      <c r="C2439" s="1" t="n">
        <v>45852</v>
      </c>
      <c r="D2439" t="inlineStr">
        <is>
          <t>VÄSTERNORRLANDS LÄN</t>
        </is>
      </c>
      <c r="E2439" t="inlineStr">
        <is>
          <t>SOLLEFTEÅ</t>
        </is>
      </c>
      <c r="G2439" t="n">
        <v>15.6</v>
      </c>
      <c r="H2439" t="n">
        <v>0</v>
      </c>
      <c r="I2439" t="n">
        <v>0</v>
      </c>
      <c r="J2439" t="n">
        <v>0</v>
      </c>
      <c r="K2439" t="n">
        <v>0</v>
      </c>
      <c r="L2439" t="n">
        <v>0</v>
      </c>
      <c r="M2439" t="n">
        <v>0</v>
      </c>
      <c r="N2439" t="n">
        <v>0</v>
      </c>
      <c r="O2439" t="n">
        <v>0</v>
      </c>
      <c r="P2439" t="n">
        <v>0</v>
      </c>
      <c r="Q2439" t="n">
        <v>0</v>
      </c>
      <c r="R2439" s="2" t="inlineStr"/>
    </row>
    <row r="2440" ht="15" customHeight="1">
      <c r="A2440" t="inlineStr">
        <is>
          <t>A 50708-2023</t>
        </is>
      </c>
      <c r="B2440" s="1" t="n">
        <v>45210</v>
      </c>
      <c r="C2440" s="1" t="n">
        <v>45852</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49649-2023</t>
        </is>
      </c>
      <c r="B2441" s="1" t="n">
        <v>45212</v>
      </c>
      <c r="C2441" s="1" t="n">
        <v>45852</v>
      </c>
      <c r="D2441" t="inlineStr">
        <is>
          <t>VÄSTERNORRLANDS LÄN</t>
        </is>
      </c>
      <c r="E2441" t="inlineStr">
        <is>
          <t>SOLLEFTEÅ</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49810-2023</t>
        </is>
      </c>
      <c r="B2442" s="1" t="n">
        <v>45212</v>
      </c>
      <c r="C2442" s="1" t="n">
        <v>45852</v>
      </c>
      <c r="D2442" t="inlineStr">
        <is>
          <t>VÄSTERNORRLANDS LÄN</t>
        </is>
      </c>
      <c r="E2442" t="inlineStr">
        <is>
          <t>SOLLEFTEÅ</t>
        </is>
      </c>
      <c r="F2442" t="inlineStr">
        <is>
          <t>Holmen skog AB</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50226-2023</t>
        </is>
      </c>
      <c r="B2443" s="1" t="n">
        <v>45216</v>
      </c>
      <c r="C2443" s="1" t="n">
        <v>45852</v>
      </c>
      <c r="D2443" t="inlineStr">
        <is>
          <t>VÄSTERNORRLANDS LÄN</t>
        </is>
      </c>
      <c r="E2443" t="inlineStr">
        <is>
          <t>SOLLEFTEÅ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51522-2023</t>
        </is>
      </c>
      <c r="B2444" s="1" t="n">
        <v>45215</v>
      </c>
      <c r="C2444" s="1" t="n">
        <v>45852</v>
      </c>
      <c r="D2444" t="inlineStr">
        <is>
          <t>VÄSTERNORRLANDS LÄN</t>
        </is>
      </c>
      <c r="E2444" t="inlineStr">
        <is>
          <t>SOLLEFTEÅ</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51515-2023</t>
        </is>
      </c>
      <c r="B2445" s="1" t="n">
        <v>45215</v>
      </c>
      <c r="C2445" s="1" t="n">
        <v>45852</v>
      </c>
      <c r="D2445" t="inlineStr">
        <is>
          <t>VÄSTERNORRLANDS LÄN</t>
        </is>
      </c>
      <c r="E2445" t="inlineStr">
        <is>
          <t>SOLLEFTEÅ</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51681-2023</t>
        </is>
      </c>
      <c r="B2446" s="1" t="n">
        <v>45215</v>
      </c>
      <c r="C2446" s="1" t="n">
        <v>45852</v>
      </c>
      <c r="D2446" t="inlineStr">
        <is>
          <t>VÄSTERNORRLANDS LÄN</t>
        </is>
      </c>
      <c r="E2446" t="inlineStr">
        <is>
          <t>SOLLEFTEÅ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51677-2023</t>
        </is>
      </c>
      <c r="B2447" s="1" t="n">
        <v>45215</v>
      </c>
      <c r="C2447" s="1" t="n">
        <v>45852</v>
      </c>
      <c r="D2447" t="inlineStr">
        <is>
          <t>VÄSTERNORRLANDS LÄN</t>
        </is>
      </c>
      <c r="E2447" t="inlineStr">
        <is>
          <t>SOLLEFTEÅ</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51690-2023</t>
        </is>
      </c>
      <c r="B2448" s="1" t="n">
        <v>45215</v>
      </c>
      <c r="C2448" s="1" t="n">
        <v>45852</v>
      </c>
      <c r="D2448" t="inlineStr">
        <is>
          <t>VÄSTERNORRLANDS LÄN</t>
        </is>
      </c>
      <c r="E2448" t="inlineStr">
        <is>
          <t>SOLLEFTEÅ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50507-2023</t>
        </is>
      </c>
      <c r="B2449" s="1" t="n">
        <v>45217</v>
      </c>
      <c r="C2449" s="1" t="n">
        <v>45852</v>
      </c>
      <c r="D2449" t="inlineStr">
        <is>
          <t>VÄSTERNORRLANDS LÄN</t>
        </is>
      </c>
      <c r="E2449" t="inlineStr">
        <is>
          <t>SOLLEFTEÅ</t>
        </is>
      </c>
      <c r="F2449" t="inlineStr">
        <is>
          <t>SCA</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50767-2023</t>
        </is>
      </c>
      <c r="B2450" s="1" t="n">
        <v>45217</v>
      </c>
      <c r="C2450" s="1" t="n">
        <v>45852</v>
      </c>
      <c r="D2450" t="inlineStr">
        <is>
          <t>VÄSTERNORRLANDS LÄN</t>
        </is>
      </c>
      <c r="E2450" t="inlineStr">
        <is>
          <t>SOLLEFTEÅ</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50841-2023</t>
        </is>
      </c>
      <c r="B2451" s="1" t="n">
        <v>45217</v>
      </c>
      <c r="C2451" s="1" t="n">
        <v>45852</v>
      </c>
      <c r="D2451" t="inlineStr">
        <is>
          <t>VÄSTERNORRLANDS LÄN</t>
        </is>
      </c>
      <c r="E2451" t="inlineStr">
        <is>
          <t>SOLLEFTEÅ</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50615-2023</t>
        </is>
      </c>
      <c r="B2452" s="1" t="n">
        <v>45217</v>
      </c>
      <c r="C2452" s="1" t="n">
        <v>45852</v>
      </c>
      <c r="D2452" t="inlineStr">
        <is>
          <t>VÄSTERNORRLANDS LÄN</t>
        </is>
      </c>
      <c r="E2452" t="inlineStr">
        <is>
          <t>SOLLEFTEÅ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50757-2023</t>
        </is>
      </c>
      <c r="B2453" s="1" t="n">
        <v>45217</v>
      </c>
      <c r="C2453" s="1" t="n">
        <v>45852</v>
      </c>
      <c r="D2453" t="inlineStr">
        <is>
          <t>VÄSTERNORRLANDS LÄN</t>
        </is>
      </c>
      <c r="E2453" t="inlineStr">
        <is>
          <t>SOLLEFTEÅ</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50844-2023</t>
        </is>
      </c>
      <c r="B2454" s="1" t="n">
        <v>45217</v>
      </c>
      <c r="C2454" s="1" t="n">
        <v>45852</v>
      </c>
      <c r="D2454" t="inlineStr">
        <is>
          <t>VÄSTERNORRLANDS LÄN</t>
        </is>
      </c>
      <c r="E2454" t="inlineStr">
        <is>
          <t>SOLLEFTEÅ</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52266-2023</t>
        </is>
      </c>
      <c r="B2455" s="1" t="n">
        <v>45217</v>
      </c>
      <c r="C2455" s="1" t="n">
        <v>45852</v>
      </c>
      <c r="D2455" t="inlineStr">
        <is>
          <t>VÄSTERNORRLANDS LÄN</t>
        </is>
      </c>
      <c r="E2455" t="inlineStr">
        <is>
          <t>SOLLEFTEÅ</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52267-2023</t>
        </is>
      </c>
      <c r="B2456" s="1" t="n">
        <v>45217</v>
      </c>
      <c r="C2456" s="1" t="n">
        <v>45852</v>
      </c>
      <c r="D2456" t="inlineStr">
        <is>
          <t>VÄSTERNORRLANDS LÄN</t>
        </is>
      </c>
      <c r="E2456" t="inlineStr">
        <is>
          <t>SOLLEFTEÅ</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51107-2023</t>
        </is>
      </c>
      <c r="B2457" s="1" t="n">
        <v>45219</v>
      </c>
      <c r="C2457" s="1" t="n">
        <v>45852</v>
      </c>
      <c r="D2457" t="inlineStr">
        <is>
          <t>VÄSTERNORRLANDS LÄN</t>
        </is>
      </c>
      <c r="E2457" t="inlineStr">
        <is>
          <t>SOLLEFTEÅ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51106-2023</t>
        </is>
      </c>
      <c r="B2458" s="1" t="n">
        <v>45219</v>
      </c>
      <c r="C2458" s="1" t="n">
        <v>45852</v>
      </c>
      <c r="D2458" t="inlineStr">
        <is>
          <t>VÄSTERNORRLANDS LÄN</t>
        </is>
      </c>
      <c r="E2458" t="inlineStr">
        <is>
          <t>SOLLEFTEÅ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51800-2023</t>
        </is>
      </c>
      <c r="B2459" s="1" t="n">
        <v>45222</v>
      </c>
      <c r="C2459" s="1" t="n">
        <v>45852</v>
      </c>
      <c r="D2459" t="inlineStr">
        <is>
          <t>VÄSTERNORRLANDS LÄN</t>
        </is>
      </c>
      <c r="E2459" t="inlineStr">
        <is>
          <t>SOLLEFTEÅ</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51801-2023</t>
        </is>
      </c>
      <c r="B2460" s="1" t="n">
        <v>45222</v>
      </c>
      <c r="C2460" s="1" t="n">
        <v>45852</v>
      </c>
      <c r="D2460" t="inlineStr">
        <is>
          <t>VÄSTERNORRLANDS LÄN</t>
        </is>
      </c>
      <c r="E2460" t="inlineStr">
        <is>
          <t>SOLLEFTEÅ</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53375-2023</t>
        </is>
      </c>
      <c r="B2461" s="1" t="n">
        <v>45222</v>
      </c>
      <c r="C2461" s="1" t="n">
        <v>45852</v>
      </c>
      <c r="D2461" t="inlineStr">
        <is>
          <t>VÄSTERNORRLANDS LÄN</t>
        </is>
      </c>
      <c r="E2461" t="inlineStr">
        <is>
          <t>SOLLEFTEÅ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53224-2023</t>
        </is>
      </c>
      <c r="B2462" s="1" t="n">
        <v>45222</v>
      </c>
      <c r="C2462" s="1" t="n">
        <v>45852</v>
      </c>
      <c r="D2462" t="inlineStr">
        <is>
          <t>VÄSTERNORRLANDS LÄN</t>
        </is>
      </c>
      <c r="E2462" t="inlineStr">
        <is>
          <t>SOLLEFTEÅ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53231-2023</t>
        </is>
      </c>
      <c r="B2463" s="1" t="n">
        <v>45222</v>
      </c>
      <c r="C2463" s="1" t="n">
        <v>45852</v>
      </c>
      <c r="D2463" t="inlineStr">
        <is>
          <t>VÄSTERNORRLANDS LÄN</t>
        </is>
      </c>
      <c r="E2463" t="inlineStr">
        <is>
          <t>SOLLEFTEÅ</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53379-2023</t>
        </is>
      </c>
      <c r="B2464" s="1" t="n">
        <v>45222</v>
      </c>
      <c r="C2464" s="1" t="n">
        <v>45852</v>
      </c>
      <c r="D2464" t="inlineStr">
        <is>
          <t>VÄSTERNORRLANDS LÄN</t>
        </is>
      </c>
      <c r="E2464" t="inlineStr">
        <is>
          <t>SOLLEFTEÅ</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51802-2023</t>
        </is>
      </c>
      <c r="B2465" s="1" t="n">
        <v>45223</v>
      </c>
      <c r="C2465" s="1" t="n">
        <v>45852</v>
      </c>
      <c r="D2465" t="inlineStr">
        <is>
          <t>VÄSTERNORRLANDS LÄN</t>
        </is>
      </c>
      <c r="E2465" t="inlineStr">
        <is>
          <t>SOLLEFTEÅ</t>
        </is>
      </c>
      <c r="F2465" t="inlineStr">
        <is>
          <t>SCA</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53394-2023</t>
        </is>
      </c>
      <c r="B2466" s="1" t="n">
        <v>45222</v>
      </c>
      <c r="C2466" s="1" t="n">
        <v>45852</v>
      </c>
      <c r="D2466" t="inlineStr">
        <is>
          <t>VÄSTERNORRLANDS LÄN</t>
        </is>
      </c>
      <c r="E2466" t="inlineStr">
        <is>
          <t>SOLLEFTEÅ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52136-2023</t>
        </is>
      </c>
      <c r="B2467" s="1" t="n">
        <v>45224</v>
      </c>
      <c r="C2467" s="1" t="n">
        <v>45852</v>
      </c>
      <c r="D2467" t="inlineStr">
        <is>
          <t>VÄSTERNORRLANDS LÄN</t>
        </is>
      </c>
      <c r="E2467" t="inlineStr">
        <is>
          <t>SOLLEFTEÅ</t>
        </is>
      </c>
      <c r="F2467" t="inlineStr">
        <is>
          <t>SCA</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52087-2023</t>
        </is>
      </c>
      <c r="B2468" s="1" t="n">
        <v>45223</v>
      </c>
      <c r="C2468" s="1" t="n">
        <v>45852</v>
      </c>
      <c r="D2468" t="inlineStr">
        <is>
          <t>VÄSTERNORRLANDS LÄN</t>
        </is>
      </c>
      <c r="E2468" t="inlineStr">
        <is>
          <t>SOLLEFTEÅ</t>
        </is>
      </c>
      <c r="G2468" t="n">
        <v>10.7</v>
      </c>
      <c r="H2468" t="n">
        <v>0</v>
      </c>
      <c r="I2468" t="n">
        <v>0</v>
      </c>
      <c r="J2468" t="n">
        <v>0</v>
      </c>
      <c r="K2468" t="n">
        <v>0</v>
      </c>
      <c r="L2468" t="n">
        <v>0</v>
      </c>
      <c r="M2468" t="n">
        <v>0</v>
      </c>
      <c r="N2468" t="n">
        <v>0</v>
      </c>
      <c r="O2468" t="n">
        <v>0</v>
      </c>
      <c r="P2468" t="n">
        <v>0</v>
      </c>
      <c r="Q2468" t="n">
        <v>0</v>
      </c>
      <c r="R2468" s="2" t="inlineStr"/>
    </row>
    <row r="2469" ht="15" customHeight="1">
      <c r="A2469" t="inlineStr">
        <is>
          <t>A 53550-2023</t>
        </is>
      </c>
      <c r="B2469" s="1" t="n">
        <v>45223</v>
      </c>
      <c r="C2469" s="1" t="n">
        <v>45852</v>
      </c>
      <c r="D2469" t="inlineStr">
        <is>
          <t>VÄSTERNORRLANDS LÄN</t>
        </is>
      </c>
      <c r="E2469" t="inlineStr">
        <is>
          <t>SOLLEFTEÅ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53855-2023</t>
        </is>
      </c>
      <c r="B2470" s="1" t="n">
        <v>45224</v>
      </c>
      <c r="C2470" s="1" t="n">
        <v>45852</v>
      </c>
      <c r="D2470" t="inlineStr">
        <is>
          <t>VÄSTERNORRLANDS LÄN</t>
        </is>
      </c>
      <c r="E2470" t="inlineStr">
        <is>
          <t>SOLLEFTEÅ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53850-2023</t>
        </is>
      </c>
      <c r="B2471" s="1" t="n">
        <v>45224</v>
      </c>
      <c r="C2471" s="1" t="n">
        <v>45852</v>
      </c>
      <c r="D2471" t="inlineStr">
        <is>
          <t>VÄSTERNORRLANDS LÄN</t>
        </is>
      </c>
      <c r="E2471" t="inlineStr">
        <is>
          <t>SOLLEFTEÅ</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53939-2023</t>
        </is>
      </c>
      <c r="B2472" s="1" t="n">
        <v>45224</v>
      </c>
      <c r="C2472" s="1" t="n">
        <v>45852</v>
      </c>
      <c r="D2472" t="inlineStr">
        <is>
          <t>VÄSTERNORRLANDS LÄN</t>
        </is>
      </c>
      <c r="E2472" t="inlineStr">
        <is>
          <t>SOLLEFTEÅ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52445-2023</t>
        </is>
      </c>
      <c r="B2473" s="1" t="n">
        <v>45225</v>
      </c>
      <c r="C2473" s="1" t="n">
        <v>45852</v>
      </c>
      <c r="D2473" t="inlineStr">
        <is>
          <t>VÄSTERNORRLANDS LÄN</t>
        </is>
      </c>
      <c r="E2473" t="inlineStr">
        <is>
          <t>SOLLEFTEÅ</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54307-2023</t>
        </is>
      </c>
      <c r="B2474" s="1" t="n">
        <v>45225</v>
      </c>
      <c r="C2474" s="1" t="n">
        <v>45852</v>
      </c>
      <c r="D2474" t="inlineStr">
        <is>
          <t>VÄSTERNORRLANDS LÄN</t>
        </is>
      </c>
      <c r="E2474" t="inlineStr">
        <is>
          <t>SOLLEFTEÅ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53040-2023</t>
        </is>
      </c>
      <c r="B2475" s="1" t="n">
        <v>45226</v>
      </c>
      <c r="C2475" s="1" t="n">
        <v>45852</v>
      </c>
      <c r="D2475" t="inlineStr">
        <is>
          <t>VÄSTERNORRLANDS LÄN</t>
        </is>
      </c>
      <c r="E2475" t="inlineStr">
        <is>
          <t>SOLLEFTEÅ</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54526-2023</t>
        </is>
      </c>
      <c r="B2476" s="1" t="n">
        <v>45226</v>
      </c>
      <c r="C2476" s="1" t="n">
        <v>45852</v>
      </c>
      <c r="D2476" t="inlineStr">
        <is>
          <t>VÄSTERNORRLANDS LÄN</t>
        </is>
      </c>
      <c r="E2476" t="inlineStr">
        <is>
          <t>SOLLEFTEÅ</t>
        </is>
      </c>
      <c r="G2476" t="n">
        <v>23.8</v>
      </c>
      <c r="H2476" t="n">
        <v>0</v>
      </c>
      <c r="I2476" t="n">
        <v>0</v>
      </c>
      <c r="J2476" t="n">
        <v>0</v>
      </c>
      <c r="K2476" t="n">
        <v>0</v>
      </c>
      <c r="L2476" t="n">
        <v>0</v>
      </c>
      <c r="M2476" t="n">
        <v>0</v>
      </c>
      <c r="N2476" t="n">
        <v>0</v>
      </c>
      <c r="O2476" t="n">
        <v>0</v>
      </c>
      <c r="P2476" t="n">
        <v>0</v>
      </c>
      <c r="Q2476" t="n">
        <v>0</v>
      </c>
      <c r="R2476" s="2" t="inlineStr"/>
    </row>
    <row r="2477" ht="15" customHeight="1">
      <c r="A2477" t="inlineStr">
        <is>
          <t>A 53057-2023</t>
        </is>
      </c>
      <c r="B2477" s="1" t="n">
        <v>45226</v>
      </c>
      <c r="C2477" s="1" t="n">
        <v>45852</v>
      </c>
      <c r="D2477" t="inlineStr">
        <is>
          <t>VÄSTERNORRLANDS LÄN</t>
        </is>
      </c>
      <c r="E2477" t="inlineStr">
        <is>
          <t>SOLLEFTEÅ</t>
        </is>
      </c>
      <c r="F2477" t="inlineStr">
        <is>
          <t>SCA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53041-2023</t>
        </is>
      </c>
      <c r="B2478" s="1" t="n">
        <v>45226</v>
      </c>
      <c r="C2478" s="1" t="n">
        <v>45852</v>
      </c>
      <c r="D2478" t="inlineStr">
        <is>
          <t>VÄSTERNORRLANDS LÄN</t>
        </is>
      </c>
      <c r="E2478" t="inlineStr">
        <is>
          <t>SOLLEFTEÅ</t>
        </is>
      </c>
      <c r="F2478" t="inlineStr">
        <is>
          <t>SCA</t>
        </is>
      </c>
      <c r="G2478" t="n">
        <v>50.2</v>
      </c>
      <c r="H2478" t="n">
        <v>0</v>
      </c>
      <c r="I2478" t="n">
        <v>0</v>
      </c>
      <c r="J2478" t="n">
        <v>0</v>
      </c>
      <c r="K2478" t="n">
        <v>0</v>
      </c>
      <c r="L2478" t="n">
        <v>0</v>
      </c>
      <c r="M2478" t="n">
        <v>0</v>
      </c>
      <c r="N2478" t="n">
        <v>0</v>
      </c>
      <c r="O2478" t="n">
        <v>0</v>
      </c>
      <c r="P2478" t="n">
        <v>0</v>
      </c>
      <c r="Q2478" t="n">
        <v>0</v>
      </c>
      <c r="R2478" s="2" t="inlineStr"/>
    </row>
    <row r="2479" ht="15" customHeight="1">
      <c r="A2479" t="inlineStr">
        <is>
          <t>A 53048-2023</t>
        </is>
      </c>
      <c r="B2479" s="1" t="n">
        <v>45226</v>
      </c>
      <c r="C2479" s="1" t="n">
        <v>45852</v>
      </c>
      <c r="D2479" t="inlineStr">
        <is>
          <t>VÄSTERNORRLANDS LÄN</t>
        </is>
      </c>
      <c r="E2479" t="inlineStr">
        <is>
          <t>SOLLEFTEÅ</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53452-2023</t>
        </is>
      </c>
      <c r="B2480" s="1" t="n">
        <v>45229</v>
      </c>
      <c r="C2480" s="1" t="n">
        <v>45852</v>
      </c>
      <c r="D2480" t="inlineStr">
        <is>
          <t>VÄSTERNORRLANDS LÄN</t>
        </is>
      </c>
      <c r="E2480" t="inlineStr">
        <is>
          <t>SOLLEFTEÅ</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53453-2023</t>
        </is>
      </c>
      <c r="B2481" s="1" t="n">
        <v>45230</v>
      </c>
      <c r="C2481" s="1" t="n">
        <v>45852</v>
      </c>
      <c r="D2481" t="inlineStr">
        <is>
          <t>VÄSTERNORRLANDS LÄN</t>
        </is>
      </c>
      <c r="E2481" t="inlineStr">
        <is>
          <t>SOLLEFTEÅ</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53669-2023</t>
        </is>
      </c>
      <c r="B2482" s="1" t="n">
        <v>45230</v>
      </c>
      <c r="C2482" s="1" t="n">
        <v>45852</v>
      </c>
      <c r="D2482" t="inlineStr">
        <is>
          <t>VÄSTERNORRLANDS LÄN</t>
        </is>
      </c>
      <c r="E2482" t="inlineStr">
        <is>
          <t>SOLLEFTEÅ</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54016-2023</t>
        </is>
      </c>
      <c r="B2483" s="1" t="n">
        <v>45231</v>
      </c>
      <c r="C2483" s="1" t="n">
        <v>45852</v>
      </c>
      <c r="D2483" t="inlineStr">
        <is>
          <t>VÄSTERNORRLANDS LÄN</t>
        </is>
      </c>
      <c r="E2483" t="inlineStr">
        <is>
          <t>SOLLEFTEÅ</t>
        </is>
      </c>
      <c r="F2483" t="inlineStr">
        <is>
          <t>Holmen skog AB</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54020-2023</t>
        </is>
      </c>
      <c r="B2484" s="1" t="n">
        <v>45231</v>
      </c>
      <c r="C2484" s="1" t="n">
        <v>45852</v>
      </c>
      <c r="D2484" t="inlineStr">
        <is>
          <t>VÄSTERNORRLANDS LÄN</t>
        </is>
      </c>
      <c r="E2484" t="inlineStr">
        <is>
          <t>SOLLEFTEÅ</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54034-2023</t>
        </is>
      </c>
      <c r="B2485" s="1" t="n">
        <v>45231</v>
      </c>
      <c r="C2485" s="1" t="n">
        <v>45852</v>
      </c>
      <c r="D2485" t="inlineStr">
        <is>
          <t>VÄSTERNORRLANDS LÄN</t>
        </is>
      </c>
      <c r="E2485" t="inlineStr">
        <is>
          <t>SOLLEFTEÅ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54033-2023</t>
        </is>
      </c>
      <c r="B2486" s="1" t="n">
        <v>45231</v>
      </c>
      <c r="C2486" s="1" t="n">
        <v>45852</v>
      </c>
      <c r="D2486" t="inlineStr">
        <is>
          <t>VÄSTERNORRLANDS LÄN</t>
        </is>
      </c>
      <c r="E2486" t="inlineStr">
        <is>
          <t>SOLLEFTEÅ</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54035-2023</t>
        </is>
      </c>
      <c r="B2487" s="1" t="n">
        <v>45231</v>
      </c>
      <c r="C2487" s="1" t="n">
        <v>45852</v>
      </c>
      <c r="D2487" t="inlineStr">
        <is>
          <t>VÄSTERNORRLANDS LÄN</t>
        </is>
      </c>
      <c r="E2487" t="inlineStr">
        <is>
          <t>SOLLEFTEÅ</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54048-2023</t>
        </is>
      </c>
      <c r="B2488" s="1" t="n">
        <v>45232</v>
      </c>
      <c r="C2488" s="1" t="n">
        <v>45852</v>
      </c>
      <c r="D2488" t="inlineStr">
        <is>
          <t>VÄSTERNORRLANDS LÄN</t>
        </is>
      </c>
      <c r="E2488" t="inlineStr">
        <is>
          <t>SOLLEFTEÅ</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54036-2023</t>
        </is>
      </c>
      <c r="B2489" s="1" t="n">
        <v>45231</v>
      </c>
      <c r="C2489" s="1" t="n">
        <v>45852</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54045-2023</t>
        </is>
      </c>
      <c r="B2490" s="1" t="n">
        <v>45232</v>
      </c>
      <c r="C2490" s="1" t="n">
        <v>45852</v>
      </c>
      <c r="D2490" t="inlineStr">
        <is>
          <t>VÄSTERNORRLANDS LÄN</t>
        </is>
      </c>
      <c r="E2490" t="inlineStr">
        <is>
          <t>SOLLEFTEÅ</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54092-2023</t>
        </is>
      </c>
      <c r="B2491" s="1" t="n">
        <v>45232</v>
      </c>
      <c r="C2491" s="1" t="n">
        <v>45852</v>
      </c>
      <c r="D2491" t="inlineStr">
        <is>
          <t>VÄSTERNORRLANDS LÄN</t>
        </is>
      </c>
      <c r="E2491" t="inlineStr">
        <is>
          <t>SOLLEFTEÅ</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54088-2023</t>
        </is>
      </c>
      <c r="B2492" s="1" t="n">
        <v>45232</v>
      </c>
      <c r="C2492" s="1" t="n">
        <v>45852</v>
      </c>
      <c r="D2492" t="inlineStr">
        <is>
          <t>VÄSTERNORRLANDS LÄN</t>
        </is>
      </c>
      <c r="E2492" t="inlineStr">
        <is>
          <t>SOLLEFTEÅ</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54198-2023</t>
        </is>
      </c>
      <c r="B2493" s="1" t="n">
        <v>45232</v>
      </c>
      <c r="C2493" s="1" t="n">
        <v>45852</v>
      </c>
      <c r="D2493" t="inlineStr">
        <is>
          <t>VÄSTERNORRLANDS LÄN</t>
        </is>
      </c>
      <c r="E2493" t="inlineStr">
        <is>
          <t>SOLLEFTEÅ</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54330-2023</t>
        </is>
      </c>
      <c r="B2494" s="1" t="n">
        <v>45232</v>
      </c>
      <c r="C2494" s="1" t="n">
        <v>45852</v>
      </c>
      <c r="D2494" t="inlineStr">
        <is>
          <t>VÄSTERNORRLANDS LÄN</t>
        </is>
      </c>
      <c r="E2494" t="inlineStr">
        <is>
          <t>SOLLEFTEÅ</t>
        </is>
      </c>
      <c r="F2494" t="inlineStr">
        <is>
          <t>SCA</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54351-2023</t>
        </is>
      </c>
      <c r="B2495" s="1" t="n">
        <v>45232</v>
      </c>
      <c r="C2495" s="1" t="n">
        <v>45852</v>
      </c>
      <c r="D2495" t="inlineStr">
        <is>
          <t>VÄSTERNORRLANDS LÄN</t>
        </is>
      </c>
      <c r="E2495" t="inlineStr">
        <is>
          <t>SOLLEFTEÅ</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54195-2023</t>
        </is>
      </c>
      <c r="B2496" s="1" t="n">
        <v>45232</v>
      </c>
      <c r="C2496" s="1" t="n">
        <v>45852</v>
      </c>
      <c r="D2496" t="inlineStr">
        <is>
          <t>VÄSTERNORRLANDS LÄN</t>
        </is>
      </c>
      <c r="E2496" t="inlineStr">
        <is>
          <t>SOLLEFTEÅ</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54620-2023</t>
        </is>
      </c>
      <c r="B2497" s="1" t="n">
        <v>45233</v>
      </c>
      <c r="C2497" s="1" t="n">
        <v>45852</v>
      </c>
      <c r="D2497" t="inlineStr">
        <is>
          <t>VÄSTERNORRLANDS LÄN</t>
        </is>
      </c>
      <c r="E2497" t="inlineStr">
        <is>
          <t>SOLLEFTEÅ</t>
        </is>
      </c>
      <c r="F2497" t="inlineStr">
        <is>
          <t>SCA</t>
        </is>
      </c>
      <c r="G2497" t="n">
        <v>11.8</v>
      </c>
      <c r="H2497" t="n">
        <v>0</v>
      </c>
      <c r="I2497" t="n">
        <v>0</v>
      </c>
      <c r="J2497" t="n">
        <v>0</v>
      </c>
      <c r="K2497" t="n">
        <v>0</v>
      </c>
      <c r="L2497" t="n">
        <v>0</v>
      </c>
      <c r="M2497" t="n">
        <v>0</v>
      </c>
      <c r="N2497" t="n">
        <v>0</v>
      </c>
      <c r="O2497" t="n">
        <v>0</v>
      </c>
      <c r="P2497" t="n">
        <v>0</v>
      </c>
      <c r="Q2497" t="n">
        <v>0</v>
      </c>
      <c r="R2497" s="2" t="inlineStr"/>
    </row>
    <row r="2498" ht="15" customHeight="1">
      <c r="A2498" t="inlineStr">
        <is>
          <t>A 54617-2023</t>
        </is>
      </c>
      <c r="B2498" s="1" t="n">
        <v>45234</v>
      </c>
      <c r="C2498" s="1" t="n">
        <v>45852</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54607-2023</t>
        </is>
      </c>
      <c r="B2499" s="1" t="n">
        <v>45233</v>
      </c>
      <c r="C2499" s="1" t="n">
        <v>45852</v>
      </c>
      <c r="D2499" t="inlineStr">
        <is>
          <t>VÄSTERNORRLANDS LÄN</t>
        </is>
      </c>
      <c r="E2499" t="inlineStr">
        <is>
          <t>SOLLEFTEÅ</t>
        </is>
      </c>
      <c r="F2499" t="inlineStr">
        <is>
          <t>SCA</t>
        </is>
      </c>
      <c r="G2499" t="n">
        <v>9.300000000000001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54622-2023</t>
        </is>
      </c>
      <c r="B2500" s="1" t="n">
        <v>45233</v>
      </c>
      <c r="C2500" s="1" t="n">
        <v>45852</v>
      </c>
      <c r="D2500" t="inlineStr">
        <is>
          <t>VÄSTERNORRLANDS LÄN</t>
        </is>
      </c>
      <c r="E2500" t="inlineStr">
        <is>
          <t>SOLLEFTEÅ</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54618-2023</t>
        </is>
      </c>
      <c r="B2501" s="1" t="n">
        <v>45233</v>
      </c>
      <c r="C2501" s="1" t="n">
        <v>45852</v>
      </c>
      <c r="D2501" t="inlineStr">
        <is>
          <t>VÄSTERNORRLANDS LÄN</t>
        </is>
      </c>
      <c r="E2501" t="inlineStr">
        <is>
          <t>SOLLEFTEÅ</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54642-2023</t>
        </is>
      </c>
      <c r="B2502" s="1" t="n">
        <v>45234</v>
      </c>
      <c r="C2502" s="1" t="n">
        <v>45852</v>
      </c>
      <c r="D2502" t="inlineStr">
        <is>
          <t>VÄSTERNORRLANDS LÄN</t>
        </is>
      </c>
      <c r="E2502" t="inlineStr">
        <is>
          <t>SOLLEFTEÅ</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54641-2023</t>
        </is>
      </c>
      <c r="B2503" s="1" t="n">
        <v>45234</v>
      </c>
      <c r="C2503" s="1" t="n">
        <v>45852</v>
      </c>
      <c r="D2503" t="inlineStr">
        <is>
          <t>VÄSTERNORRLANDS LÄN</t>
        </is>
      </c>
      <c r="E2503" t="inlineStr">
        <is>
          <t>SOLLEFTEÅ</t>
        </is>
      </c>
      <c r="F2503" t="inlineStr">
        <is>
          <t>SCA</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54979-2023</t>
        </is>
      </c>
      <c r="B2504" s="1" t="n">
        <v>45236</v>
      </c>
      <c r="C2504" s="1" t="n">
        <v>45852</v>
      </c>
      <c r="D2504" t="inlineStr">
        <is>
          <t>VÄSTERNORRLANDS LÄN</t>
        </is>
      </c>
      <c r="E2504" t="inlineStr">
        <is>
          <t>SOLLEFTEÅ</t>
        </is>
      </c>
      <c r="F2504" t="inlineStr">
        <is>
          <t>SCA</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56148-2023</t>
        </is>
      </c>
      <c r="B2505" s="1" t="n">
        <v>45236</v>
      </c>
      <c r="C2505" s="1" t="n">
        <v>45852</v>
      </c>
      <c r="D2505" t="inlineStr">
        <is>
          <t>VÄSTERNORRLANDS LÄN</t>
        </is>
      </c>
      <c r="E2505" t="inlineStr">
        <is>
          <t>SOLLEFTEÅ</t>
        </is>
      </c>
      <c r="G2505" t="n">
        <v>10</v>
      </c>
      <c r="H2505" t="n">
        <v>0</v>
      </c>
      <c r="I2505" t="n">
        <v>0</v>
      </c>
      <c r="J2505" t="n">
        <v>0</v>
      </c>
      <c r="K2505" t="n">
        <v>0</v>
      </c>
      <c r="L2505" t="n">
        <v>0</v>
      </c>
      <c r="M2505" t="n">
        <v>0</v>
      </c>
      <c r="N2505" t="n">
        <v>0</v>
      </c>
      <c r="O2505" t="n">
        <v>0</v>
      </c>
      <c r="P2505" t="n">
        <v>0</v>
      </c>
      <c r="Q2505" t="n">
        <v>0</v>
      </c>
      <c r="R2505" s="2" t="inlineStr"/>
    </row>
    <row r="2506" ht="15" customHeight="1">
      <c r="A2506" t="inlineStr">
        <is>
          <t>A 54978-2023</t>
        </is>
      </c>
      <c r="B2506" s="1" t="n">
        <v>45237</v>
      </c>
      <c r="C2506" s="1" t="n">
        <v>45852</v>
      </c>
      <c r="D2506" t="inlineStr">
        <is>
          <t>VÄSTERNORRLANDS LÄN</t>
        </is>
      </c>
      <c r="E2506" t="inlineStr">
        <is>
          <t>SOLLEFTEÅ</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55005-2023</t>
        </is>
      </c>
      <c r="B2507" s="1" t="n">
        <v>45236</v>
      </c>
      <c r="C2507" s="1" t="n">
        <v>45852</v>
      </c>
      <c r="D2507" t="inlineStr">
        <is>
          <t>VÄSTERNORRLANDS LÄN</t>
        </is>
      </c>
      <c r="E2507" t="inlineStr">
        <is>
          <t>SOLLEFTEÅ</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56356-2023</t>
        </is>
      </c>
      <c r="B2508" s="1" t="n">
        <v>45236</v>
      </c>
      <c r="C2508" s="1" t="n">
        <v>45852</v>
      </c>
      <c r="D2508" t="inlineStr">
        <is>
          <t>VÄSTERNORRLANDS LÄN</t>
        </is>
      </c>
      <c r="E2508" t="inlineStr">
        <is>
          <t>SOLLEFTEÅ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56416-2023</t>
        </is>
      </c>
      <c r="B2509" s="1" t="n">
        <v>45237</v>
      </c>
      <c r="C2509" s="1" t="n">
        <v>45852</v>
      </c>
      <c r="D2509" t="inlineStr">
        <is>
          <t>VÄSTERNORRLANDS LÄN</t>
        </is>
      </c>
      <c r="E2509" t="inlineStr">
        <is>
          <t>SOLLEFTEÅ</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56431-2023</t>
        </is>
      </c>
      <c r="B2510" s="1" t="n">
        <v>45237</v>
      </c>
      <c r="C2510" s="1" t="n">
        <v>45852</v>
      </c>
      <c r="D2510" t="inlineStr">
        <is>
          <t>VÄSTERNORRLANDS LÄN</t>
        </is>
      </c>
      <c r="E2510" t="inlineStr">
        <is>
          <t>SOLLEFTEÅ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55338-2023</t>
        </is>
      </c>
      <c r="B2511" s="1" t="n">
        <v>45238</v>
      </c>
      <c r="C2511" s="1" t="n">
        <v>45852</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56424-2023</t>
        </is>
      </c>
      <c r="B2512" s="1" t="n">
        <v>45237</v>
      </c>
      <c r="C2512" s="1" t="n">
        <v>45852</v>
      </c>
      <c r="D2512" t="inlineStr">
        <is>
          <t>VÄSTERNORRLANDS LÄN</t>
        </is>
      </c>
      <c r="E2512" t="inlineStr">
        <is>
          <t>SOLLEFTEÅ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55637-2023</t>
        </is>
      </c>
      <c r="B2513" s="1" t="n">
        <v>45238</v>
      </c>
      <c r="C2513" s="1" t="n">
        <v>45852</v>
      </c>
      <c r="D2513" t="inlineStr">
        <is>
          <t>VÄSTERNORRLANDS LÄN</t>
        </is>
      </c>
      <c r="E2513" t="inlineStr">
        <is>
          <t>SOLLEFTEÅ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55653-2023</t>
        </is>
      </c>
      <c r="B2514" s="1" t="n">
        <v>45239</v>
      </c>
      <c r="C2514" s="1" t="n">
        <v>45852</v>
      </c>
      <c r="D2514" t="inlineStr">
        <is>
          <t>VÄSTERNORRLANDS LÄN</t>
        </is>
      </c>
      <c r="E2514" t="inlineStr">
        <is>
          <t>SOLLEFTEÅ</t>
        </is>
      </c>
      <c r="F2514" t="inlineStr">
        <is>
          <t>SCA</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55622-2023</t>
        </is>
      </c>
      <c r="B2515" s="1" t="n">
        <v>45238</v>
      </c>
      <c r="C2515" s="1" t="n">
        <v>45852</v>
      </c>
      <c r="D2515" t="inlineStr">
        <is>
          <t>VÄSTERNORRLANDS LÄN</t>
        </is>
      </c>
      <c r="E2515" t="inlineStr">
        <is>
          <t>SOLLEFTEÅ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55638-2023</t>
        </is>
      </c>
      <c r="B2516" s="1" t="n">
        <v>45238</v>
      </c>
      <c r="C2516" s="1" t="n">
        <v>45852</v>
      </c>
      <c r="D2516" t="inlineStr">
        <is>
          <t>VÄSTERNORRLANDS LÄN</t>
        </is>
      </c>
      <c r="E2516" t="inlineStr">
        <is>
          <t>SOLLEFTEÅ</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55650-2023</t>
        </is>
      </c>
      <c r="B2517" s="1" t="n">
        <v>45239</v>
      </c>
      <c r="C2517" s="1" t="n">
        <v>45852</v>
      </c>
      <c r="D2517" t="inlineStr">
        <is>
          <t>VÄSTERNORRLANDS LÄN</t>
        </is>
      </c>
      <c r="E2517" t="inlineStr">
        <is>
          <t>SOLLEFTEÅ</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55654-2023</t>
        </is>
      </c>
      <c r="B2518" s="1" t="n">
        <v>45239</v>
      </c>
      <c r="C2518" s="1" t="n">
        <v>45852</v>
      </c>
      <c r="D2518" t="inlineStr">
        <is>
          <t>VÄSTERNORRLANDS LÄN</t>
        </is>
      </c>
      <c r="E2518" t="inlineStr">
        <is>
          <t>SOLLEFTEÅ</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55652-2023</t>
        </is>
      </c>
      <c r="B2519" s="1" t="n">
        <v>45238</v>
      </c>
      <c r="C2519" s="1" t="n">
        <v>45852</v>
      </c>
      <c r="D2519" t="inlineStr">
        <is>
          <t>VÄSTERNORRLANDS LÄN</t>
        </is>
      </c>
      <c r="E2519" t="inlineStr">
        <is>
          <t>SOLLEFTEÅ</t>
        </is>
      </c>
      <c r="F2519" t="inlineStr">
        <is>
          <t>SCA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55651-2023</t>
        </is>
      </c>
      <c r="B2520" s="1" t="n">
        <v>45238</v>
      </c>
      <c r="C2520" s="1" t="n">
        <v>45852</v>
      </c>
      <c r="D2520" t="inlineStr">
        <is>
          <t>VÄSTERNORRLANDS LÄN</t>
        </is>
      </c>
      <c r="E2520" t="inlineStr">
        <is>
          <t>SOLLEFTEÅ</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55687-2023</t>
        </is>
      </c>
      <c r="B2521" s="1" t="n">
        <v>45239</v>
      </c>
      <c r="C2521" s="1" t="n">
        <v>45852</v>
      </c>
      <c r="D2521" t="inlineStr">
        <is>
          <t>VÄSTERNORRLANDS LÄN</t>
        </is>
      </c>
      <c r="E2521" t="inlineStr">
        <is>
          <t>SOLLEFTEÅ</t>
        </is>
      </c>
      <c r="F2521" t="inlineStr">
        <is>
          <t>Holmen skog AB</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55859-2023</t>
        </is>
      </c>
      <c r="B2522" s="1" t="n">
        <v>45239</v>
      </c>
      <c r="C2522" s="1" t="n">
        <v>45852</v>
      </c>
      <c r="D2522" t="inlineStr">
        <is>
          <t>VÄSTERNORRLANDS LÄN</t>
        </is>
      </c>
      <c r="E2522" t="inlineStr">
        <is>
          <t>SOLLEFTEÅ</t>
        </is>
      </c>
      <c r="F2522" t="inlineStr">
        <is>
          <t>Kommuner</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55910-2023</t>
        </is>
      </c>
      <c r="B2523" s="1" t="n">
        <v>45239</v>
      </c>
      <c r="C2523" s="1" t="n">
        <v>45852</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55912-2023</t>
        </is>
      </c>
      <c r="B2524" s="1" t="n">
        <v>45239</v>
      </c>
      <c r="C2524" s="1" t="n">
        <v>45852</v>
      </c>
      <c r="D2524" t="inlineStr">
        <is>
          <t>VÄSTERNORRLANDS LÄN</t>
        </is>
      </c>
      <c r="E2524" t="inlineStr">
        <is>
          <t>SOLLEFTEÅ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55929-2023</t>
        </is>
      </c>
      <c r="B2525" s="1" t="n">
        <v>45239</v>
      </c>
      <c r="C2525" s="1" t="n">
        <v>45852</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57010-2023</t>
        </is>
      </c>
      <c r="B2526" s="1" t="n">
        <v>45239</v>
      </c>
      <c r="C2526" s="1" t="n">
        <v>45852</v>
      </c>
      <c r="D2526" t="inlineStr">
        <is>
          <t>VÄSTERNORRLANDS LÄN</t>
        </is>
      </c>
      <c r="E2526" t="inlineStr">
        <is>
          <t>SOLLEFTEÅ</t>
        </is>
      </c>
      <c r="G2526" t="n">
        <v>1.6</v>
      </c>
      <c r="H2526" t="n">
        <v>0</v>
      </c>
      <c r="I2526" t="n">
        <v>0</v>
      </c>
      <c r="J2526" t="n">
        <v>0</v>
      </c>
      <c r="K2526" t="n">
        <v>0</v>
      </c>
      <c r="L2526" t="n">
        <v>0</v>
      </c>
      <c r="M2526" t="n">
        <v>0</v>
      </c>
      <c r="N2526" t="n">
        <v>0</v>
      </c>
      <c r="O2526" t="n">
        <v>0</v>
      </c>
      <c r="P2526" t="n">
        <v>0</v>
      </c>
      <c r="Q2526" t="n">
        <v>0</v>
      </c>
      <c r="R2526" s="2" t="inlineStr"/>
      <c r="U2526">
        <f>HYPERLINK("https://klasma.github.io/Logging_2283/knärot/A 57010-2023 karta knärot.png", "A 57010-2023")</f>
        <v/>
      </c>
      <c r="V2526">
        <f>HYPERLINK("https://klasma.github.io/Logging_2283/klagomål/A 57010-2023 FSC-klagomål.docx", "A 57010-2023")</f>
        <v/>
      </c>
      <c r="W2526">
        <f>HYPERLINK("https://klasma.github.io/Logging_2283/klagomålsmail/A 57010-2023 FSC-klagomål mail.docx", "A 57010-2023")</f>
        <v/>
      </c>
      <c r="X2526">
        <f>HYPERLINK("https://klasma.github.io/Logging_2283/tillsyn/A 57010-2023 tillsynsbegäran.docx", "A 57010-2023")</f>
        <v/>
      </c>
      <c r="Y2526">
        <f>HYPERLINK("https://klasma.github.io/Logging_2283/tillsynsmail/A 57010-2023 tillsynsbegäran mail.docx", "A 57010-2023")</f>
        <v/>
      </c>
    </row>
    <row r="2527" ht="15" customHeight="1">
      <c r="A2527" t="inlineStr">
        <is>
          <t>A 56261-2023</t>
        </is>
      </c>
      <c r="B2527" s="1" t="n">
        <v>45240</v>
      </c>
      <c r="C2527" s="1" t="n">
        <v>45852</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56249-2023</t>
        </is>
      </c>
      <c r="B2528" s="1" t="n">
        <v>45240</v>
      </c>
      <c r="C2528" s="1" t="n">
        <v>45852</v>
      </c>
      <c r="D2528" t="inlineStr">
        <is>
          <t>VÄSTERNORRLANDS LÄN</t>
        </is>
      </c>
      <c r="E2528" t="inlineStr">
        <is>
          <t>SOLLEFTEÅ</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56201-2023</t>
        </is>
      </c>
      <c r="B2529" s="1" t="n">
        <v>45240</v>
      </c>
      <c r="C2529" s="1" t="n">
        <v>45852</v>
      </c>
      <c r="D2529" t="inlineStr">
        <is>
          <t>VÄSTERNORRLANDS LÄN</t>
        </is>
      </c>
      <c r="E2529" t="inlineStr">
        <is>
          <t>SOLLEFTEÅ</t>
        </is>
      </c>
      <c r="G2529" t="n">
        <v>43.3</v>
      </c>
      <c r="H2529" t="n">
        <v>0</v>
      </c>
      <c r="I2529" t="n">
        <v>0</v>
      </c>
      <c r="J2529" t="n">
        <v>0</v>
      </c>
      <c r="K2529" t="n">
        <v>0</v>
      </c>
      <c r="L2529" t="n">
        <v>0</v>
      </c>
      <c r="M2529" t="n">
        <v>0</v>
      </c>
      <c r="N2529" t="n">
        <v>0</v>
      </c>
      <c r="O2529" t="n">
        <v>0</v>
      </c>
      <c r="P2529" t="n">
        <v>0</v>
      </c>
      <c r="Q2529" t="n">
        <v>0</v>
      </c>
      <c r="R2529" s="2" t="inlineStr"/>
    </row>
    <row r="2530" ht="15" customHeight="1">
      <c r="A2530" t="inlineStr">
        <is>
          <t>A 56262-2023</t>
        </is>
      </c>
      <c r="B2530" s="1" t="n">
        <v>45240</v>
      </c>
      <c r="C2530" s="1" t="n">
        <v>45852</v>
      </c>
      <c r="D2530" t="inlineStr">
        <is>
          <t>VÄSTERNORRLANDS LÄN</t>
        </is>
      </c>
      <c r="E2530" t="inlineStr">
        <is>
          <t>SOLLEFTEÅ</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56234-2023</t>
        </is>
      </c>
      <c r="B2531" s="1" t="n">
        <v>45240</v>
      </c>
      <c r="C2531" s="1" t="n">
        <v>45852</v>
      </c>
      <c r="D2531" t="inlineStr">
        <is>
          <t>VÄSTERNORRLANDS LÄN</t>
        </is>
      </c>
      <c r="E2531" t="inlineStr">
        <is>
          <t>SOLLEFTEÅ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56260-2023</t>
        </is>
      </c>
      <c r="B2532" s="1" t="n">
        <v>45240</v>
      </c>
      <c r="C2532" s="1" t="n">
        <v>45852</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56256-2023</t>
        </is>
      </c>
      <c r="B2533" s="1" t="n">
        <v>45240</v>
      </c>
      <c r="C2533" s="1" t="n">
        <v>45852</v>
      </c>
      <c r="D2533" t="inlineStr">
        <is>
          <t>VÄSTERNORRLANDS LÄN</t>
        </is>
      </c>
      <c r="E2533" t="inlineStr">
        <is>
          <t>SOLLEFTEÅ</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56244-2023</t>
        </is>
      </c>
      <c r="B2534" s="1" t="n">
        <v>45240</v>
      </c>
      <c r="C2534" s="1" t="n">
        <v>45852</v>
      </c>
      <c r="D2534" t="inlineStr">
        <is>
          <t>VÄSTERNORRLANDS LÄN</t>
        </is>
      </c>
      <c r="E2534" t="inlineStr">
        <is>
          <t>SOLLEFTEÅ</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56134-2023</t>
        </is>
      </c>
      <c r="B2535" s="1" t="n">
        <v>45240</v>
      </c>
      <c r="C2535" s="1" t="n">
        <v>45852</v>
      </c>
      <c r="D2535" t="inlineStr">
        <is>
          <t>VÄSTERNORRLANDS LÄN</t>
        </is>
      </c>
      <c r="E2535" t="inlineStr">
        <is>
          <t>SOLLEFTEÅ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56137-2023</t>
        </is>
      </c>
      <c r="B2536" s="1" t="n">
        <v>45240</v>
      </c>
      <c r="C2536" s="1" t="n">
        <v>45852</v>
      </c>
      <c r="D2536" t="inlineStr">
        <is>
          <t>VÄSTERNORRLANDS LÄN</t>
        </is>
      </c>
      <c r="E2536" t="inlineStr">
        <is>
          <t>SOLLEFTEÅ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56139-2023</t>
        </is>
      </c>
      <c r="B2537" s="1" t="n">
        <v>45240</v>
      </c>
      <c r="C2537" s="1" t="n">
        <v>45852</v>
      </c>
      <c r="D2537" t="inlineStr">
        <is>
          <t>VÄSTERNORRLANDS LÄN</t>
        </is>
      </c>
      <c r="E2537" t="inlineStr">
        <is>
          <t>SOLLEFTEÅ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56310-2023</t>
        </is>
      </c>
      <c r="B2538" s="1" t="n">
        <v>45242</v>
      </c>
      <c r="C2538" s="1" t="n">
        <v>45852</v>
      </c>
      <c r="D2538" t="inlineStr">
        <is>
          <t>VÄSTERNORRLANDS LÄN</t>
        </is>
      </c>
      <c r="E2538" t="inlineStr">
        <is>
          <t>SOLLEFTEÅ</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57518-2023</t>
        </is>
      </c>
      <c r="B2539" s="1" t="n">
        <v>45242</v>
      </c>
      <c r="C2539" s="1" t="n">
        <v>45852</v>
      </c>
      <c r="D2539" t="inlineStr">
        <is>
          <t>VÄSTERNORRLANDS LÄN</t>
        </is>
      </c>
      <c r="E2539" t="inlineStr">
        <is>
          <t>SOLLEFTEÅ</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56311-2023</t>
        </is>
      </c>
      <c r="B2540" s="1" t="n">
        <v>45242</v>
      </c>
      <c r="C2540" s="1" t="n">
        <v>45852</v>
      </c>
      <c r="D2540" t="inlineStr">
        <is>
          <t>VÄSTERNORRLANDS LÄN</t>
        </is>
      </c>
      <c r="E2540" t="inlineStr">
        <is>
          <t>SOLLEFTEÅ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56684-2023</t>
        </is>
      </c>
      <c r="B2541" s="1" t="n">
        <v>45244</v>
      </c>
      <c r="C2541" s="1" t="n">
        <v>45852</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56685-2023</t>
        </is>
      </c>
      <c r="B2542" s="1" t="n">
        <v>45244</v>
      </c>
      <c r="C2542" s="1" t="n">
        <v>45852</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57080-2023</t>
        </is>
      </c>
      <c r="B2543" s="1" t="n">
        <v>45244</v>
      </c>
      <c r="C2543" s="1" t="n">
        <v>45852</v>
      </c>
      <c r="D2543" t="inlineStr">
        <is>
          <t>VÄSTERNORRLANDS LÄN</t>
        </is>
      </c>
      <c r="E2543" t="inlineStr">
        <is>
          <t>SOLLEFTEÅ</t>
        </is>
      </c>
      <c r="F2543" t="inlineStr">
        <is>
          <t>SCA</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57066-2023</t>
        </is>
      </c>
      <c r="B2544" s="1" t="n">
        <v>45245</v>
      </c>
      <c r="C2544" s="1" t="n">
        <v>45852</v>
      </c>
      <c r="D2544" t="inlineStr">
        <is>
          <t>VÄSTERNORRLANDS LÄN</t>
        </is>
      </c>
      <c r="E2544" t="inlineStr">
        <is>
          <t>SOLLEFTEÅ</t>
        </is>
      </c>
      <c r="F2544" t="inlineStr">
        <is>
          <t>SCA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57837-2023</t>
        </is>
      </c>
      <c r="B2545" s="1" t="n">
        <v>45244</v>
      </c>
      <c r="C2545" s="1" t="n">
        <v>45852</v>
      </c>
      <c r="D2545" t="inlineStr">
        <is>
          <t>VÄSTERNORRLANDS LÄN</t>
        </is>
      </c>
      <c r="E2545" t="inlineStr">
        <is>
          <t>SOLLEFTEÅ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57384-2023</t>
        </is>
      </c>
      <c r="B2546" s="1" t="n">
        <v>45245</v>
      </c>
      <c r="C2546" s="1" t="n">
        <v>45852</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57394-2023</t>
        </is>
      </c>
      <c r="B2547" s="1" t="n">
        <v>45246</v>
      </c>
      <c r="C2547" s="1" t="n">
        <v>45852</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57395-2023</t>
        </is>
      </c>
      <c r="B2548" s="1" t="n">
        <v>45246</v>
      </c>
      <c r="C2548" s="1" t="n">
        <v>45852</v>
      </c>
      <c r="D2548" t="inlineStr">
        <is>
          <t>VÄSTERNORRLANDS LÄN</t>
        </is>
      </c>
      <c r="E2548" t="inlineStr">
        <is>
          <t>SOLLEFTEÅ</t>
        </is>
      </c>
      <c r="F2548" t="inlineStr">
        <is>
          <t>SCA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57411-2023</t>
        </is>
      </c>
      <c r="B2549" s="1" t="n">
        <v>45245</v>
      </c>
      <c r="C2549" s="1" t="n">
        <v>45852</v>
      </c>
      <c r="D2549" t="inlineStr">
        <is>
          <t>VÄSTERNORRLANDS LÄN</t>
        </is>
      </c>
      <c r="E2549" t="inlineStr">
        <is>
          <t>SOLLEFTEÅ</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58298-2023</t>
        </is>
      </c>
      <c r="B2550" s="1" t="n">
        <v>45245</v>
      </c>
      <c r="C2550" s="1" t="n">
        <v>45852</v>
      </c>
      <c r="D2550" t="inlineStr">
        <is>
          <t>VÄSTERNORRLANDS LÄN</t>
        </is>
      </c>
      <c r="E2550" t="inlineStr">
        <is>
          <t>SOLLEFTEÅ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57655-2023</t>
        </is>
      </c>
      <c r="B2551" s="1" t="n">
        <v>45246</v>
      </c>
      <c r="C2551" s="1" t="n">
        <v>45852</v>
      </c>
      <c r="D2551" t="inlineStr">
        <is>
          <t>VÄSTERNORRLANDS LÄN</t>
        </is>
      </c>
      <c r="E2551" t="inlineStr">
        <is>
          <t>SOLLEFTEÅ</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58085-2023</t>
        </is>
      </c>
      <c r="B2552" s="1" t="n">
        <v>45247</v>
      </c>
      <c r="C2552" s="1" t="n">
        <v>45852</v>
      </c>
      <c r="D2552" t="inlineStr">
        <is>
          <t>VÄSTERNORRLANDS LÄN</t>
        </is>
      </c>
      <c r="E2552" t="inlineStr">
        <is>
          <t>SOLLEFTEÅ</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58155-2023</t>
        </is>
      </c>
      <c r="B2553" s="1" t="n">
        <v>45250</v>
      </c>
      <c r="C2553" s="1" t="n">
        <v>45852</v>
      </c>
      <c r="D2553" t="inlineStr">
        <is>
          <t>VÄSTERNORRLANDS LÄN</t>
        </is>
      </c>
      <c r="E2553" t="inlineStr">
        <is>
          <t>SOLLEFTEÅ</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58923-2023</t>
        </is>
      </c>
      <c r="B2554" s="1" t="n">
        <v>45250</v>
      </c>
      <c r="C2554" s="1" t="n">
        <v>45852</v>
      </c>
      <c r="D2554" t="inlineStr">
        <is>
          <t>VÄSTERNORRLANDS LÄN</t>
        </is>
      </c>
      <c r="E2554" t="inlineStr">
        <is>
          <t>SOLLEFTEÅ</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58938-2023</t>
        </is>
      </c>
      <c r="B2555" s="1" t="n">
        <v>45250</v>
      </c>
      <c r="C2555" s="1" t="n">
        <v>45852</v>
      </c>
      <c r="D2555" t="inlineStr">
        <is>
          <t>VÄSTERNORRLANDS LÄN</t>
        </is>
      </c>
      <c r="E2555" t="inlineStr">
        <is>
          <t>SOLLEFTEÅ</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58427-2023</t>
        </is>
      </c>
      <c r="B2556" s="1" t="n">
        <v>45250</v>
      </c>
      <c r="C2556" s="1" t="n">
        <v>45852</v>
      </c>
      <c r="D2556" t="inlineStr">
        <is>
          <t>VÄSTERNORRLANDS LÄN</t>
        </is>
      </c>
      <c r="E2556" t="inlineStr">
        <is>
          <t>SOLLEFTEÅ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58891-2023</t>
        </is>
      </c>
      <c r="B2557" s="1" t="n">
        <v>45250</v>
      </c>
      <c r="C2557" s="1" t="n">
        <v>45852</v>
      </c>
      <c r="D2557" t="inlineStr">
        <is>
          <t>VÄSTERNORRLANDS LÄN</t>
        </is>
      </c>
      <c r="E2557" t="inlineStr">
        <is>
          <t>SOLLEFTEÅ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58933-2023</t>
        </is>
      </c>
      <c r="B2558" s="1" t="n">
        <v>45250</v>
      </c>
      <c r="C2558" s="1" t="n">
        <v>45852</v>
      </c>
      <c r="D2558" t="inlineStr">
        <is>
          <t>VÄSTERNORRLANDS LÄN</t>
        </is>
      </c>
      <c r="E2558" t="inlineStr">
        <is>
          <t>SOLLEFTEÅ</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59098-2023</t>
        </is>
      </c>
      <c r="B2559" s="1" t="n">
        <v>45253</v>
      </c>
      <c r="C2559" s="1" t="n">
        <v>45852</v>
      </c>
      <c r="D2559" t="inlineStr">
        <is>
          <t>VÄSTERNORRLANDS LÄN</t>
        </is>
      </c>
      <c r="E2559" t="inlineStr">
        <is>
          <t>SOLLEFTEÅ</t>
        </is>
      </c>
      <c r="F2559" t="inlineStr">
        <is>
          <t>SCA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59339-2023</t>
        </is>
      </c>
      <c r="B2560" s="1" t="n">
        <v>45253</v>
      </c>
      <c r="C2560" s="1" t="n">
        <v>45852</v>
      </c>
      <c r="D2560" t="inlineStr">
        <is>
          <t>VÄSTERNORRLANDS LÄN</t>
        </is>
      </c>
      <c r="E2560" t="inlineStr">
        <is>
          <t>SOLLEFTEÅ</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59346-2023</t>
        </is>
      </c>
      <c r="B2561" s="1" t="n">
        <v>45253</v>
      </c>
      <c r="C2561" s="1" t="n">
        <v>45852</v>
      </c>
      <c r="D2561" t="inlineStr">
        <is>
          <t>VÄSTERNORRLANDS LÄN</t>
        </is>
      </c>
      <c r="E2561" t="inlineStr">
        <is>
          <t>SOLLEFTEÅ</t>
        </is>
      </c>
      <c r="F2561" t="inlineStr">
        <is>
          <t>Holmen skog AB</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59461-2023</t>
        </is>
      </c>
      <c r="B2562" s="1" t="n">
        <v>45253</v>
      </c>
      <c r="C2562" s="1" t="n">
        <v>45852</v>
      </c>
      <c r="D2562" t="inlineStr">
        <is>
          <t>VÄSTERNORRLANDS LÄN</t>
        </is>
      </c>
      <c r="E2562" t="inlineStr">
        <is>
          <t>SOLLEFTEÅ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59579-2023</t>
        </is>
      </c>
      <c r="B2563" s="1" t="n">
        <v>45253</v>
      </c>
      <c r="C2563" s="1" t="n">
        <v>45852</v>
      </c>
      <c r="D2563" t="inlineStr">
        <is>
          <t>VÄSTERNORRLANDS LÄN</t>
        </is>
      </c>
      <c r="E2563" t="inlineStr">
        <is>
          <t>SOLLEFTEÅ</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59501-2023</t>
        </is>
      </c>
      <c r="B2564" s="1" t="n">
        <v>45254</v>
      </c>
      <c r="C2564" s="1" t="n">
        <v>45852</v>
      </c>
      <c r="D2564" t="inlineStr">
        <is>
          <t>VÄSTERNORRLANDS LÄN</t>
        </is>
      </c>
      <c r="E2564" t="inlineStr">
        <is>
          <t>SOLLEFTEÅ</t>
        </is>
      </c>
      <c r="F2564" t="inlineStr">
        <is>
          <t>Holmen skog AB</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59583-2023</t>
        </is>
      </c>
      <c r="B2565" s="1" t="n">
        <v>45254</v>
      </c>
      <c r="C2565" s="1" t="n">
        <v>45852</v>
      </c>
      <c r="D2565" t="inlineStr">
        <is>
          <t>VÄSTERNORRLANDS LÄN</t>
        </is>
      </c>
      <c r="E2565" t="inlineStr">
        <is>
          <t>SOLLEFTEÅ</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59657-2023</t>
        </is>
      </c>
      <c r="B2566" s="1" t="n">
        <v>45255</v>
      </c>
      <c r="C2566" s="1" t="n">
        <v>45852</v>
      </c>
      <c r="D2566" t="inlineStr">
        <is>
          <t>VÄSTERNORRLANDS LÄN</t>
        </is>
      </c>
      <c r="E2566" t="inlineStr">
        <is>
          <t>SOLLEFTEÅ</t>
        </is>
      </c>
      <c r="F2566" t="inlineStr">
        <is>
          <t>SCA</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59593-2023</t>
        </is>
      </c>
      <c r="B2567" s="1" t="n">
        <v>45254</v>
      </c>
      <c r="C2567" s="1" t="n">
        <v>45852</v>
      </c>
      <c r="D2567" t="inlineStr">
        <is>
          <t>VÄSTERNORRLANDS LÄN</t>
        </is>
      </c>
      <c r="E2567" t="inlineStr">
        <is>
          <t>SOLLEFTEÅ</t>
        </is>
      </c>
      <c r="F2567" t="inlineStr">
        <is>
          <t>Holmen skog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59879-2023</t>
        </is>
      </c>
      <c r="B2568" s="1" t="n">
        <v>45254</v>
      </c>
      <c r="C2568" s="1" t="n">
        <v>45852</v>
      </c>
      <c r="D2568" t="inlineStr">
        <is>
          <t>VÄSTERNORRLANDS LÄN</t>
        </is>
      </c>
      <c r="E2568" t="inlineStr">
        <is>
          <t>SOLLEFTEÅ</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60039-2023</t>
        </is>
      </c>
      <c r="B2569" s="1" t="n">
        <v>45254</v>
      </c>
      <c r="C2569" s="1" t="n">
        <v>45852</v>
      </c>
      <c r="D2569" t="inlineStr">
        <is>
          <t>VÄSTERNORRLANDS LÄN</t>
        </is>
      </c>
      <c r="E2569" t="inlineStr">
        <is>
          <t>SOLLEFTEÅ</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59794-2023</t>
        </is>
      </c>
      <c r="B2570" s="1" t="n">
        <v>45257</v>
      </c>
      <c r="C2570" s="1" t="n">
        <v>45852</v>
      </c>
      <c r="D2570" t="inlineStr">
        <is>
          <t>VÄSTERNORRLANDS LÄN</t>
        </is>
      </c>
      <c r="E2570" t="inlineStr">
        <is>
          <t>SOLLEFTEÅ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60099-2023</t>
        </is>
      </c>
      <c r="B2571" s="1" t="n">
        <v>45257</v>
      </c>
      <c r="C2571" s="1" t="n">
        <v>45852</v>
      </c>
      <c r="D2571" t="inlineStr">
        <is>
          <t>VÄSTERNORRLANDS LÄN</t>
        </is>
      </c>
      <c r="E2571" t="inlineStr">
        <is>
          <t>SOLLEFTEÅ</t>
        </is>
      </c>
      <c r="G2571" t="n">
        <v>8.5</v>
      </c>
      <c r="H2571" t="n">
        <v>0</v>
      </c>
      <c r="I2571" t="n">
        <v>0</v>
      </c>
      <c r="J2571" t="n">
        <v>0</v>
      </c>
      <c r="K2571" t="n">
        <v>0</v>
      </c>
      <c r="L2571" t="n">
        <v>0</v>
      </c>
      <c r="M2571" t="n">
        <v>0</v>
      </c>
      <c r="N2571" t="n">
        <v>0</v>
      </c>
      <c r="O2571" t="n">
        <v>0</v>
      </c>
      <c r="P2571" t="n">
        <v>0</v>
      </c>
      <c r="Q2571" t="n">
        <v>0</v>
      </c>
      <c r="R2571" s="2" t="inlineStr"/>
    </row>
    <row r="2572" ht="15" customHeight="1">
      <c r="A2572" t="inlineStr">
        <is>
          <t>A 60329-2023</t>
        </is>
      </c>
      <c r="B2572" s="1" t="n">
        <v>45258</v>
      </c>
      <c r="C2572" s="1" t="n">
        <v>45852</v>
      </c>
      <c r="D2572" t="inlineStr">
        <is>
          <t>VÄSTERNORRLANDS LÄN</t>
        </is>
      </c>
      <c r="E2572" t="inlineStr">
        <is>
          <t>SOLLEFTEÅ</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60328-2023</t>
        </is>
      </c>
      <c r="B2573" s="1" t="n">
        <v>45258</v>
      </c>
      <c r="C2573" s="1" t="n">
        <v>45852</v>
      </c>
      <c r="D2573" t="inlineStr">
        <is>
          <t>VÄSTERNORRLANDS LÄN</t>
        </is>
      </c>
      <c r="E2573" t="inlineStr">
        <is>
          <t>SOLLEFTEÅ</t>
        </is>
      </c>
      <c r="F2573" t="inlineStr">
        <is>
          <t>SCA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60462-2023</t>
        </is>
      </c>
      <c r="B2574" s="1" t="n">
        <v>45258</v>
      </c>
      <c r="C2574" s="1" t="n">
        <v>45852</v>
      </c>
      <c r="D2574" t="inlineStr">
        <is>
          <t>VÄSTERNORRLANDS LÄN</t>
        </is>
      </c>
      <c r="E2574" t="inlineStr">
        <is>
          <t>SOLLEFTEÅ</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60480-2023</t>
        </is>
      </c>
      <c r="B2575" s="1" t="n">
        <v>45258</v>
      </c>
      <c r="C2575" s="1" t="n">
        <v>45852</v>
      </c>
      <c r="D2575" t="inlineStr">
        <is>
          <t>VÄSTERNORRLANDS LÄN</t>
        </is>
      </c>
      <c r="E2575" t="inlineStr">
        <is>
          <t>SOLLEFTEÅ</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60883-2023</t>
        </is>
      </c>
      <c r="B2576" s="1" t="n">
        <v>45259</v>
      </c>
      <c r="C2576" s="1" t="n">
        <v>45852</v>
      </c>
      <c r="D2576" t="inlineStr">
        <is>
          <t>VÄSTERNORRLANDS LÄN</t>
        </is>
      </c>
      <c r="E2576" t="inlineStr">
        <is>
          <t>SOLLEFTEÅ</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61028-2023</t>
        </is>
      </c>
      <c r="B2577" s="1" t="n">
        <v>45259</v>
      </c>
      <c r="C2577" s="1" t="n">
        <v>45852</v>
      </c>
      <c r="D2577" t="inlineStr">
        <is>
          <t>VÄSTERNORRLANDS LÄN</t>
        </is>
      </c>
      <c r="E2577" t="inlineStr">
        <is>
          <t>SOLLEFTEÅ</t>
        </is>
      </c>
      <c r="G2577" t="n">
        <v>10.6</v>
      </c>
      <c r="H2577" t="n">
        <v>0</v>
      </c>
      <c r="I2577" t="n">
        <v>0</v>
      </c>
      <c r="J2577" t="n">
        <v>0</v>
      </c>
      <c r="K2577" t="n">
        <v>0</v>
      </c>
      <c r="L2577" t="n">
        <v>0</v>
      </c>
      <c r="M2577" t="n">
        <v>0</v>
      </c>
      <c r="N2577" t="n">
        <v>0</v>
      </c>
      <c r="O2577" t="n">
        <v>0</v>
      </c>
      <c r="P2577" t="n">
        <v>0</v>
      </c>
      <c r="Q2577" t="n">
        <v>0</v>
      </c>
      <c r="R2577" s="2" t="inlineStr"/>
    </row>
    <row r="2578" ht="15" customHeight="1">
      <c r="A2578" t="inlineStr">
        <is>
          <t>A 61034-2023</t>
        </is>
      </c>
      <c r="B2578" s="1" t="n">
        <v>45259</v>
      </c>
      <c r="C2578" s="1" t="n">
        <v>45852</v>
      </c>
      <c r="D2578" t="inlineStr">
        <is>
          <t>VÄSTERNORRLANDS LÄN</t>
        </is>
      </c>
      <c r="E2578" t="inlineStr">
        <is>
          <t>SOLLEFTEÅ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60861-2023</t>
        </is>
      </c>
      <c r="B2579" s="1" t="n">
        <v>45260</v>
      </c>
      <c r="C2579" s="1" t="n">
        <v>45852</v>
      </c>
      <c r="D2579" t="inlineStr">
        <is>
          <t>VÄSTERNORRLANDS LÄN</t>
        </is>
      </c>
      <c r="E2579" t="inlineStr">
        <is>
          <t>SOLLEFTEÅ</t>
        </is>
      </c>
      <c r="F2579" t="inlineStr">
        <is>
          <t>SCA</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61213-2023</t>
        </is>
      </c>
      <c r="B2580" s="1" t="n">
        <v>45260</v>
      </c>
      <c r="C2580" s="1" t="n">
        <v>45852</v>
      </c>
      <c r="D2580" t="inlineStr">
        <is>
          <t>VÄSTERNORRLANDS LÄN</t>
        </is>
      </c>
      <c r="E2580" t="inlineStr">
        <is>
          <t>SOLLEFTEÅ</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61081-2023</t>
        </is>
      </c>
      <c r="B2581" s="1" t="n">
        <v>45261</v>
      </c>
      <c r="C2581" s="1" t="n">
        <v>45852</v>
      </c>
      <c r="D2581" t="inlineStr">
        <is>
          <t>VÄSTERNORRLANDS LÄN</t>
        </is>
      </c>
      <c r="E2581" t="inlineStr">
        <is>
          <t>SOLLEFTEÅ</t>
        </is>
      </c>
      <c r="F2581" t="inlineStr">
        <is>
          <t>Holmen skog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61137-2023</t>
        </is>
      </c>
      <c r="B2582" s="1" t="n">
        <v>45261</v>
      </c>
      <c r="C2582" s="1" t="n">
        <v>45852</v>
      </c>
      <c r="D2582" t="inlineStr">
        <is>
          <t>VÄSTERNORRLANDS LÄN</t>
        </is>
      </c>
      <c r="E2582" t="inlineStr">
        <is>
          <t>SOLLEFTEÅ</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61138-2023</t>
        </is>
      </c>
      <c r="B2583" s="1" t="n">
        <v>45261</v>
      </c>
      <c r="C2583" s="1" t="n">
        <v>45852</v>
      </c>
      <c r="D2583" t="inlineStr">
        <is>
          <t>VÄSTERNORRLANDS LÄN</t>
        </is>
      </c>
      <c r="E2583" t="inlineStr">
        <is>
          <t>SOLLEFTEÅ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61469-2023</t>
        </is>
      </c>
      <c r="B2584" s="1" t="n">
        <v>45264</v>
      </c>
      <c r="C2584" s="1" t="n">
        <v>45852</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61473-2023</t>
        </is>
      </c>
      <c r="B2585" s="1" t="n">
        <v>45264</v>
      </c>
      <c r="C2585" s="1" t="n">
        <v>45852</v>
      </c>
      <c r="D2585" t="inlineStr">
        <is>
          <t>VÄSTERNORRLANDS LÄN</t>
        </is>
      </c>
      <c r="E2585" t="inlineStr">
        <is>
          <t>SOLLEFTEÅ</t>
        </is>
      </c>
      <c r="G2585" t="n">
        <v>18.8</v>
      </c>
      <c r="H2585" t="n">
        <v>0</v>
      </c>
      <c r="I2585" t="n">
        <v>0</v>
      </c>
      <c r="J2585" t="n">
        <v>0</v>
      </c>
      <c r="K2585" t="n">
        <v>0</v>
      </c>
      <c r="L2585" t="n">
        <v>0</v>
      </c>
      <c r="M2585" t="n">
        <v>0</v>
      </c>
      <c r="N2585" t="n">
        <v>0</v>
      </c>
      <c r="O2585" t="n">
        <v>0</v>
      </c>
      <c r="P2585" t="n">
        <v>0</v>
      </c>
      <c r="Q2585" t="n">
        <v>0</v>
      </c>
      <c r="R2585" s="2" t="inlineStr"/>
    </row>
    <row r="2586" ht="15" customHeight="1">
      <c r="A2586" t="inlineStr">
        <is>
          <t>A 61462-2023</t>
        </is>
      </c>
      <c r="B2586" s="1" t="n">
        <v>45264</v>
      </c>
      <c r="C2586" s="1" t="n">
        <v>45852</v>
      </c>
      <c r="D2586" t="inlineStr">
        <is>
          <t>VÄSTERNORRLANDS LÄN</t>
        </is>
      </c>
      <c r="E2586" t="inlineStr">
        <is>
          <t>SOLLEFTEÅ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61470-2023</t>
        </is>
      </c>
      <c r="B2587" s="1" t="n">
        <v>45264</v>
      </c>
      <c r="C2587" s="1" t="n">
        <v>45852</v>
      </c>
      <c r="D2587" t="inlineStr">
        <is>
          <t>VÄSTERNORRLANDS LÄN</t>
        </is>
      </c>
      <c r="E2587" t="inlineStr">
        <is>
          <t>SOLLEFTEÅ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61809-2023</t>
        </is>
      </c>
      <c r="B2588" s="1" t="n">
        <v>45264</v>
      </c>
      <c r="C2588" s="1" t="n">
        <v>45852</v>
      </c>
      <c r="D2588" t="inlineStr">
        <is>
          <t>VÄSTERNORRLANDS LÄN</t>
        </is>
      </c>
      <c r="E2588" t="inlineStr">
        <is>
          <t>SOLLEFTEÅ</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61805-2023</t>
        </is>
      </c>
      <c r="B2589" s="1" t="n">
        <v>45264</v>
      </c>
      <c r="C2589" s="1" t="n">
        <v>45852</v>
      </c>
      <c r="D2589" t="inlineStr">
        <is>
          <t>VÄSTERNORRLANDS LÄN</t>
        </is>
      </c>
      <c r="E2589" t="inlineStr">
        <is>
          <t>SOLLEFTEÅ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61485-2023</t>
        </is>
      </c>
      <c r="B2590" s="1" t="n">
        <v>45264</v>
      </c>
      <c r="C2590" s="1" t="n">
        <v>45852</v>
      </c>
      <c r="D2590" t="inlineStr">
        <is>
          <t>VÄSTERNORRLANDS LÄN</t>
        </is>
      </c>
      <c r="E2590" t="inlineStr">
        <is>
          <t>SOLLEFTEÅ</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61784-2023</t>
        </is>
      </c>
      <c r="B2591" s="1" t="n">
        <v>45265</v>
      </c>
      <c r="C2591" s="1" t="n">
        <v>45852</v>
      </c>
      <c r="D2591" t="inlineStr">
        <is>
          <t>VÄSTERNORRLANDS LÄN</t>
        </is>
      </c>
      <c r="E2591" t="inlineStr">
        <is>
          <t>SOLLEFTEÅ</t>
        </is>
      </c>
      <c r="F2591" t="inlineStr">
        <is>
          <t>SCA</t>
        </is>
      </c>
      <c r="G2591" t="n">
        <v>9.1</v>
      </c>
      <c r="H2591" t="n">
        <v>0</v>
      </c>
      <c r="I2591" t="n">
        <v>0</v>
      </c>
      <c r="J2591" t="n">
        <v>0</v>
      </c>
      <c r="K2591" t="n">
        <v>0</v>
      </c>
      <c r="L2591" t="n">
        <v>0</v>
      </c>
      <c r="M2591" t="n">
        <v>0</v>
      </c>
      <c r="N2591" t="n">
        <v>0</v>
      </c>
      <c r="O2591" t="n">
        <v>0</v>
      </c>
      <c r="P2591" t="n">
        <v>0</v>
      </c>
      <c r="Q2591" t="n">
        <v>0</v>
      </c>
      <c r="R2591" s="2" t="inlineStr"/>
    </row>
    <row r="2592" ht="15" customHeight="1">
      <c r="A2592" t="inlineStr">
        <is>
          <t>A 62099-2023</t>
        </is>
      </c>
      <c r="B2592" s="1" t="n">
        <v>45266</v>
      </c>
      <c r="C2592" s="1" t="n">
        <v>45852</v>
      </c>
      <c r="D2592" t="inlineStr">
        <is>
          <t>VÄSTERNORRLANDS LÄN</t>
        </is>
      </c>
      <c r="E2592" t="inlineStr">
        <is>
          <t>SOLLEFTEÅ</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62098-2023</t>
        </is>
      </c>
      <c r="B2593" s="1" t="n">
        <v>45266</v>
      </c>
      <c r="C2593" s="1" t="n">
        <v>45852</v>
      </c>
      <c r="D2593" t="inlineStr">
        <is>
          <t>VÄSTERNORRLANDS LÄN</t>
        </is>
      </c>
      <c r="E2593" t="inlineStr">
        <is>
          <t>SOLLEFTEÅ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62096-2023</t>
        </is>
      </c>
      <c r="B2594" s="1" t="n">
        <v>45266</v>
      </c>
      <c r="C2594" s="1" t="n">
        <v>45852</v>
      </c>
      <c r="D2594" t="inlineStr">
        <is>
          <t>VÄSTERNORRLANDS LÄN</t>
        </is>
      </c>
      <c r="E2594" t="inlineStr">
        <is>
          <t>SOLLEFTEÅ</t>
        </is>
      </c>
      <c r="F2594" t="inlineStr">
        <is>
          <t>Kyrkan</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62100-2023</t>
        </is>
      </c>
      <c r="B2595" s="1" t="n">
        <v>45266</v>
      </c>
      <c r="C2595" s="1" t="n">
        <v>45852</v>
      </c>
      <c r="D2595" t="inlineStr">
        <is>
          <t>VÄSTERNORRLANDS LÄN</t>
        </is>
      </c>
      <c r="E2595" t="inlineStr">
        <is>
          <t>SOLLEFTEÅ</t>
        </is>
      </c>
      <c r="G2595" t="n">
        <v>16.6</v>
      </c>
      <c r="H2595" t="n">
        <v>0</v>
      </c>
      <c r="I2595" t="n">
        <v>0</v>
      </c>
      <c r="J2595" t="n">
        <v>0</v>
      </c>
      <c r="K2595" t="n">
        <v>0</v>
      </c>
      <c r="L2595" t="n">
        <v>0</v>
      </c>
      <c r="M2595" t="n">
        <v>0</v>
      </c>
      <c r="N2595" t="n">
        <v>0</v>
      </c>
      <c r="O2595" t="n">
        <v>0</v>
      </c>
      <c r="P2595" t="n">
        <v>0</v>
      </c>
      <c r="Q2595" t="n">
        <v>0</v>
      </c>
      <c r="R2595" s="2" t="inlineStr"/>
    </row>
    <row r="2596" ht="15" customHeight="1">
      <c r="A2596" t="inlineStr">
        <is>
          <t>A 62115-2023</t>
        </is>
      </c>
      <c r="B2596" s="1" t="n">
        <v>45266</v>
      </c>
      <c r="C2596" s="1" t="n">
        <v>45852</v>
      </c>
      <c r="D2596" t="inlineStr">
        <is>
          <t>VÄSTERNORRLANDS LÄN</t>
        </is>
      </c>
      <c r="E2596" t="inlineStr">
        <is>
          <t>SOLLEFTEÅ</t>
        </is>
      </c>
      <c r="F2596" t="inlineStr">
        <is>
          <t>SCA</t>
        </is>
      </c>
      <c r="G2596" t="n">
        <v>43.1</v>
      </c>
      <c r="H2596" t="n">
        <v>0</v>
      </c>
      <c r="I2596" t="n">
        <v>0</v>
      </c>
      <c r="J2596" t="n">
        <v>0</v>
      </c>
      <c r="K2596" t="n">
        <v>0</v>
      </c>
      <c r="L2596" t="n">
        <v>0</v>
      </c>
      <c r="M2596" t="n">
        <v>0</v>
      </c>
      <c r="N2596" t="n">
        <v>0</v>
      </c>
      <c r="O2596" t="n">
        <v>0</v>
      </c>
      <c r="P2596" t="n">
        <v>0</v>
      </c>
      <c r="Q2596" t="n">
        <v>0</v>
      </c>
      <c r="R2596" s="2" t="inlineStr"/>
    </row>
    <row r="2597" ht="15" customHeight="1">
      <c r="A2597" t="inlineStr">
        <is>
          <t>A 62097-2023</t>
        </is>
      </c>
      <c r="B2597" s="1" t="n">
        <v>45266</v>
      </c>
      <c r="C2597" s="1" t="n">
        <v>45852</v>
      </c>
      <c r="D2597" t="inlineStr">
        <is>
          <t>VÄSTERNORRLANDS LÄN</t>
        </is>
      </c>
      <c r="E2597" t="inlineStr">
        <is>
          <t>SOLLEFTEÅ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62093-2023</t>
        </is>
      </c>
      <c r="B2598" s="1" t="n">
        <v>45266</v>
      </c>
      <c r="C2598" s="1" t="n">
        <v>45852</v>
      </c>
      <c r="D2598" t="inlineStr">
        <is>
          <t>VÄSTERNORRLANDS LÄN</t>
        </is>
      </c>
      <c r="E2598" t="inlineStr">
        <is>
          <t>SOLLEFTEÅ</t>
        </is>
      </c>
      <c r="G2598" t="n">
        <v>18.1</v>
      </c>
      <c r="H2598" t="n">
        <v>0</v>
      </c>
      <c r="I2598" t="n">
        <v>0</v>
      </c>
      <c r="J2598" t="n">
        <v>0</v>
      </c>
      <c r="K2598" t="n">
        <v>0</v>
      </c>
      <c r="L2598" t="n">
        <v>0</v>
      </c>
      <c r="M2598" t="n">
        <v>0</v>
      </c>
      <c r="N2598" t="n">
        <v>0</v>
      </c>
      <c r="O2598" t="n">
        <v>0</v>
      </c>
      <c r="P2598" t="n">
        <v>0</v>
      </c>
      <c r="Q2598" t="n">
        <v>0</v>
      </c>
      <c r="R2598" s="2" t="inlineStr"/>
    </row>
    <row r="2599" ht="15" customHeight="1">
      <c r="A2599" t="inlineStr">
        <is>
          <t>A 62343-2023</t>
        </is>
      </c>
      <c r="B2599" s="1" t="n">
        <v>45267</v>
      </c>
      <c r="C2599" s="1" t="n">
        <v>45852</v>
      </c>
      <c r="D2599" t="inlineStr">
        <is>
          <t>VÄSTERNORRLANDS LÄN</t>
        </is>
      </c>
      <c r="E2599" t="inlineStr">
        <is>
          <t>SOLLEFTEÅ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62363-2023</t>
        </is>
      </c>
      <c r="B2600" s="1" t="n">
        <v>45267</v>
      </c>
      <c r="C2600" s="1" t="n">
        <v>45852</v>
      </c>
      <c r="D2600" t="inlineStr">
        <is>
          <t>VÄSTERNORRLANDS LÄN</t>
        </is>
      </c>
      <c r="E2600" t="inlineStr">
        <is>
          <t>SOLLEFTEÅ</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62523-2023</t>
        </is>
      </c>
      <c r="B2601" s="1" t="n">
        <v>45267</v>
      </c>
      <c r="C2601" s="1" t="n">
        <v>45852</v>
      </c>
      <c r="D2601" t="inlineStr">
        <is>
          <t>VÄSTERNORRLANDS LÄN</t>
        </is>
      </c>
      <c r="E2601" t="inlineStr">
        <is>
          <t>SOLLEFTEÅ</t>
        </is>
      </c>
      <c r="G2601" t="n">
        <v>33.6</v>
      </c>
      <c r="H2601" t="n">
        <v>0</v>
      </c>
      <c r="I2601" t="n">
        <v>0</v>
      </c>
      <c r="J2601" t="n">
        <v>0</v>
      </c>
      <c r="K2601" t="n">
        <v>0</v>
      </c>
      <c r="L2601" t="n">
        <v>0</v>
      </c>
      <c r="M2601" t="n">
        <v>0</v>
      </c>
      <c r="N2601" t="n">
        <v>0</v>
      </c>
      <c r="O2601" t="n">
        <v>0</v>
      </c>
      <c r="P2601" t="n">
        <v>0</v>
      </c>
      <c r="Q2601" t="n">
        <v>0</v>
      </c>
      <c r="R2601" s="2" t="inlineStr"/>
    </row>
    <row r="2602" ht="15" customHeight="1">
      <c r="A2602" t="inlineStr">
        <is>
          <t>A 62357-2023</t>
        </is>
      </c>
      <c r="B2602" s="1" t="n">
        <v>45267</v>
      </c>
      <c r="C2602" s="1" t="n">
        <v>45852</v>
      </c>
      <c r="D2602" t="inlineStr">
        <is>
          <t>VÄSTERNORRLANDS LÄN</t>
        </is>
      </c>
      <c r="E2602" t="inlineStr">
        <is>
          <t>SOLLEFTEÅ</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62527-2023</t>
        </is>
      </c>
      <c r="B2603" s="1" t="n">
        <v>45267</v>
      </c>
      <c r="C2603" s="1" t="n">
        <v>45852</v>
      </c>
      <c r="D2603" t="inlineStr">
        <is>
          <t>VÄSTERNORRLANDS LÄN</t>
        </is>
      </c>
      <c r="E2603" t="inlineStr">
        <is>
          <t>SOLLEFTEÅ</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62827-2023</t>
        </is>
      </c>
      <c r="B2604" s="1" t="n">
        <v>45271</v>
      </c>
      <c r="C2604" s="1" t="n">
        <v>45852</v>
      </c>
      <c r="D2604" t="inlineStr">
        <is>
          <t>VÄSTERNORRLANDS LÄN</t>
        </is>
      </c>
      <c r="E2604" t="inlineStr">
        <is>
          <t>SOLLEFTEÅ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63138-2023</t>
        </is>
      </c>
      <c r="B2605" s="1" t="n">
        <v>45272</v>
      </c>
      <c r="C2605" s="1" t="n">
        <v>45852</v>
      </c>
      <c r="D2605" t="inlineStr">
        <is>
          <t>VÄSTERNORRLANDS LÄN</t>
        </is>
      </c>
      <c r="E2605" t="inlineStr">
        <is>
          <t>SOLLEFTEÅ</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63144-2023</t>
        </is>
      </c>
      <c r="B2606" s="1" t="n">
        <v>45272</v>
      </c>
      <c r="C2606" s="1" t="n">
        <v>45852</v>
      </c>
      <c r="D2606" t="inlineStr">
        <is>
          <t>VÄSTERNORRLANDS LÄN</t>
        </is>
      </c>
      <c r="E2606" t="inlineStr">
        <is>
          <t>SOLLEFTEÅ</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63261-2023</t>
        </is>
      </c>
      <c r="B2607" s="1" t="n">
        <v>45273</v>
      </c>
      <c r="C2607" s="1" t="n">
        <v>45852</v>
      </c>
      <c r="D2607" t="inlineStr">
        <is>
          <t>VÄSTERNORRLANDS LÄN</t>
        </is>
      </c>
      <c r="E2607" t="inlineStr">
        <is>
          <t>SOLLEFTEÅ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63259-2023</t>
        </is>
      </c>
      <c r="B2608" s="1" t="n">
        <v>45273</v>
      </c>
      <c r="C2608" s="1" t="n">
        <v>45852</v>
      </c>
      <c r="D2608" t="inlineStr">
        <is>
          <t>VÄSTERNORRLANDS LÄN</t>
        </is>
      </c>
      <c r="E2608" t="inlineStr">
        <is>
          <t>SOLLEFTEÅ</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63529-2023</t>
        </is>
      </c>
      <c r="B2609" s="1" t="n">
        <v>45274</v>
      </c>
      <c r="C2609" s="1" t="n">
        <v>45852</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63422-2023</t>
        </is>
      </c>
      <c r="B2610" s="1" t="n">
        <v>45274</v>
      </c>
      <c r="C2610" s="1" t="n">
        <v>45852</v>
      </c>
      <c r="D2610" t="inlineStr">
        <is>
          <t>VÄSTERNORRLANDS LÄN</t>
        </is>
      </c>
      <c r="E2610" t="inlineStr">
        <is>
          <t>SOLLEFTEÅ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63462-2023</t>
        </is>
      </c>
      <c r="B2611" s="1" t="n">
        <v>45274</v>
      </c>
      <c r="C2611" s="1" t="n">
        <v>45852</v>
      </c>
      <c r="D2611" t="inlineStr">
        <is>
          <t>VÄSTERNORRLANDS LÄN</t>
        </is>
      </c>
      <c r="E2611" t="inlineStr">
        <is>
          <t>SOLLEFTEÅ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63413-2023</t>
        </is>
      </c>
      <c r="B2612" s="1" t="n">
        <v>45274</v>
      </c>
      <c r="C2612" s="1" t="n">
        <v>45852</v>
      </c>
      <c r="D2612" t="inlineStr">
        <is>
          <t>VÄSTERNORRLANDS LÄN</t>
        </is>
      </c>
      <c r="E2612" t="inlineStr">
        <is>
          <t>SOLLEFTEÅ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63547-2023</t>
        </is>
      </c>
      <c r="B2613" s="1" t="n">
        <v>45274</v>
      </c>
      <c r="C2613" s="1" t="n">
        <v>45852</v>
      </c>
      <c r="D2613" t="inlineStr">
        <is>
          <t>VÄSTERNORRLANDS LÄN</t>
        </is>
      </c>
      <c r="E2613" t="inlineStr">
        <is>
          <t>SOLLEFTEÅ</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63652-2023</t>
        </is>
      </c>
      <c r="B2614" s="1" t="n">
        <v>45275</v>
      </c>
      <c r="C2614" s="1" t="n">
        <v>45852</v>
      </c>
      <c r="D2614" t="inlineStr">
        <is>
          <t>VÄSTERNORRLANDS LÄN</t>
        </is>
      </c>
      <c r="E2614" t="inlineStr">
        <is>
          <t>SOLLEFTEÅ</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63712-2023</t>
        </is>
      </c>
      <c r="B2615" s="1" t="n">
        <v>45275</v>
      </c>
      <c r="C2615" s="1" t="n">
        <v>45852</v>
      </c>
      <c r="D2615" t="inlineStr">
        <is>
          <t>VÄSTERNORRLANDS LÄN</t>
        </is>
      </c>
      <c r="E2615" t="inlineStr">
        <is>
          <t>SOLLEFTEÅ</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63707-2023</t>
        </is>
      </c>
      <c r="B2616" s="1" t="n">
        <v>45275</v>
      </c>
      <c r="C2616" s="1" t="n">
        <v>45852</v>
      </c>
      <c r="D2616" t="inlineStr">
        <is>
          <t>VÄSTERNORRLANDS LÄN</t>
        </is>
      </c>
      <c r="E2616" t="inlineStr">
        <is>
          <t>SOLLEFTEÅ</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64013-2023</t>
        </is>
      </c>
      <c r="B2617" s="1" t="n">
        <v>45278</v>
      </c>
      <c r="C2617" s="1" t="n">
        <v>45852</v>
      </c>
      <c r="D2617" t="inlineStr">
        <is>
          <t>VÄSTERNORRLANDS LÄN</t>
        </is>
      </c>
      <c r="E2617" t="inlineStr">
        <is>
          <t>SOLLEFTEÅ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64014-2023</t>
        </is>
      </c>
      <c r="B2618" s="1" t="n">
        <v>45278</v>
      </c>
      <c r="C2618" s="1" t="n">
        <v>45852</v>
      </c>
      <c r="D2618" t="inlineStr">
        <is>
          <t>VÄSTERNORRLANDS LÄN</t>
        </is>
      </c>
      <c r="E2618" t="inlineStr">
        <is>
          <t>SOLLEFTEÅ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63979-2023</t>
        </is>
      </c>
      <c r="B2619" s="1" t="n">
        <v>45278</v>
      </c>
      <c r="C2619" s="1" t="n">
        <v>45852</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64111-2023</t>
        </is>
      </c>
      <c r="B2620" s="1" t="n">
        <v>45279</v>
      </c>
      <c r="C2620" s="1" t="n">
        <v>45852</v>
      </c>
      <c r="D2620" t="inlineStr">
        <is>
          <t>VÄSTERNORRLANDS LÄN</t>
        </is>
      </c>
      <c r="E2620" t="inlineStr">
        <is>
          <t>SOLLEFTEÅ</t>
        </is>
      </c>
      <c r="G2620" t="n">
        <v>19.9</v>
      </c>
      <c r="H2620" t="n">
        <v>0</v>
      </c>
      <c r="I2620" t="n">
        <v>0</v>
      </c>
      <c r="J2620" t="n">
        <v>0</v>
      </c>
      <c r="K2620" t="n">
        <v>0</v>
      </c>
      <c r="L2620" t="n">
        <v>0</v>
      </c>
      <c r="M2620" t="n">
        <v>0</v>
      </c>
      <c r="N2620" t="n">
        <v>0</v>
      </c>
      <c r="O2620" t="n">
        <v>0</v>
      </c>
      <c r="P2620" t="n">
        <v>0</v>
      </c>
      <c r="Q2620" t="n">
        <v>0</v>
      </c>
      <c r="R2620" s="2" t="inlineStr"/>
    </row>
    <row r="2621" ht="15" customHeight="1">
      <c r="A2621" t="inlineStr">
        <is>
          <t>A 64115-2023</t>
        </is>
      </c>
      <c r="B2621" s="1" t="n">
        <v>45279</v>
      </c>
      <c r="C2621" s="1" t="n">
        <v>45852</v>
      </c>
      <c r="D2621" t="inlineStr">
        <is>
          <t>VÄSTERNORRLANDS LÄN</t>
        </is>
      </c>
      <c r="E2621" t="inlineStr">
        <is>
          <t>SOLLEFTEÅ</t>
        </is>
      </c>
      <c r="G2621" t="n">
        <v>16.1</v>
      </c>
      <c r="H2621" t="n">
        <v>0</v>
      </c>
      <c r="I2621" t="n">
        <v>0</v>
      </c>
      <c r="J2621" t="n">
        <v>0</v>
      </c>
      <c r="K2621" t="n">
        <v>0</v>
      </c>
      <c r="L2621" t="n">
        <v>0</v>
      </c>
      <c r="M2621" t="n">
        <v>0</v>
      </c>
      <c r="N2621" t="n">
        <v>0</v>
      </c>
      <c r="O2621" t="n">
        <v>0</v>
      </c>
      <c r="P2621" t="n">
        <v>0</v>
      </c>
      <c r="Q2621" t="n">
        <v>0</v>
      </c>
      <c r="R2621" s="2" t="inlineStr"/>
    </row>
    <row r="2622" ht="15" customHeight="1">
      <c r="A2622" t="inlineStr">
        <is>
          <t>A 64120-2023</t>
        </is>
      </c>
      <c r="B2622" s="1" t="n">
        <v>45279</v>
      </c>
      <c r="C2622" s="1" t="n">
        <v>45852</v>
      </c>
      <c r="D2622" t="inlineStr">
        <is>
          <t>VÄSTERNORRLANDS LÄN</t>
        </is>
      </c>
      <c r="E2622" t="inlineStr">
        <is>
          <t>SOLLEFTEÅ</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64133-2023</t>
        </is>
      </c>
      <c r="B2623" s="1" t="n">
        <v>45279</v>
      </c>
      <c r="C2623" s="1" t="n">
        <v>45852</v>
      </c>
      <c r="D2623" t="inlineStr">
        <is>
          <t>VÄSTERNORRLANDS LÄN</t>
        </is>
      </c>
      <c r="E2623" t="inlineStr">
        <is>
          <t>SOLLEFTEÅ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64502-2023</t>
        </is>
      </c>
      <c r="B2624" s="1" t="n">
        <v>45280</v>
      </c>
      <c r="C2624" s="1" t="n">
        <v>45852</v>
      </c>
      <c r="D2624" t="inlineStr">
        <is>
          <t>VÄSTERNORRLANDS LÄN</t>
        </is>
      </c>
      <c r="E2624" t="inlineStr">
        <is>
          <t>SOLLEFTEÅ</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64617-2023</t>
        </is>
      </c>
      <c r="B2625" s="1" t="n">
        <v>45281</v>
      </c>
      <c r="C2625" s="1" t="n">
        <v>45852</v>
      </c>
      <c r="D2625" t="inlineStr">
        <is>
          <t>VÄSTERNORRLANDS LÄN</t>
        </is>
      </c>
      <c r="E2625" t="inlineStr">
        <is>
          <t>SOLLEFTEÅ</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64891-2023</t>
        </is>
      </c>
      <c r="B2626" s="1" t="n">
        <v>45282</v>
      </c>
      <c r="C2626" s="1" t="n">
        <v>45852</v>
      </c>
      <c r="D2626" t="inlineStr">
        <is>
          <t>VÄSTERNORRLANDS LÄN</t>
        </is>
      </c>
      <c r="E2626" t="inlineStr">
        <is>
          <t>SOLLEFTEÅ</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64961-2023</t>
        </is>
      </c>
      <c r="B2627" s="1" t="n">
        <v>45282</v>
      </c>
      <c r="C2627" s="1" t="n">
        <v>45852</v>
      </c>
      <c r="D2627" t="inlineStr">
        <is>
          <t>VÄSTERNORRLANDS LÄN</t>
        </is>
      </c>
      <c r="E2627" t="inlineStr">
        <is>
          <t>SOLLEFTEÅ</t>
        </is>
      </c>
      <c r="F2627" t="inlineStr">
        <is>
          <t>SCA</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64959-2023</t>
        </is>
      </c>
      <c r="B2628" s="1" t="n">
        <v>45282</v>
      </c>
      <c r="C2628" s="1" t="n">
        <v>45852</v>
      </c>
      <c r="D2628" t="inlineStr">
        <is>
          <t>VÄSTERNORRLANDS LÄN</t>
        </is>
      </c>
      <c r="E2628" t="inlineStr">
        <is>
          <t>SOLLEFTEÅ</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65148-2023</t>
        </is>
      </c>
      <c r="B2629" s="1" t="n">
        <v>45288</v>
      </c>
      <c r="C2629" s="1" t="n">
        <v>45852</v>
      </c>
      <c r="D2629" t="inlineStr">
        <is>
          <t>VÄSTERNORRLANDS LÄN</t>
        </is>
      </c>
      <c r="E2629" t="inlineStr">
        <is>
          <t>SOLLEFTEÅ</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388-2024</t>
        </is>
      </c>
      <c r="B2630" s="1" t="n">
        <v>45296</v>
      </c>
      <c r="C2630" s="1" t="n">
        <v>45852</v>
      </c>
      <c r="D2630" t="inlineStr">
        <is>
          <t>VÄSTERNORRLANDS LÄN</t>
        </is>
      </c>
      <c r="E2630" t="inlineStr">
        <is>
          <t>SOLLEFTEÅ</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394-2024</t>
        </is>
      </c>
      <c r="B2631" s="1" t="n">
        <v>45296</v>
      </c>
      <c r="C2631" s="1" t="n">
        <v>45852</v>
      </c>
      <c r="D2631" t="inlineStr">
        <is>
          <t>VÄSTERNORRLANDS LÄN</t>
        </is>
      </c>
      <c r="E2631" t="inlineStr">
        <is>
          <t>SOLLEFTEÅ</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457-2024</t>
        </is>
      </c>
      <c r="B2632" s="1" t="n">
        <v>45297</v>
      </c>
      <c r="C2632" s="1" t="n">
        <v>45852</v>
      </c>
      <c r="D2632" t="inlineStr">
        <is>
          <t>VÄSTERNORRLANDS LÄN</t>
        </is>
      </c>
      <c r="E2632" t="inlineStr">
        <is>
          <t>SOLLEFTEÅ</t>
        </is>
      </c>
      <c r="F2632" t="inlineStr">
        <is>
          <t>SCA</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656-2024</t>
        </is>
      </c>
      <c r="B2633" s="1" t="n">
        <v>45299</v>
      </c>
      <c r="C2633" s="1" t="n">
        <v>45852</v>
      </c>
      <c r="D2633" t="inlineStr">
        <is>
          <t>VÄSTERNORRLANDS LÄN</t>
        </is>
      </c>
      <c r="E2633" t="inlineStr">
        <is>
          <t>SOLLEFTEÅ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858-2024</t>
        </is>
      </c>
      <c r="B2634" s="1" t="n">
        <v>45301</v>
      </c>
      <c r="C2634" s="1" t="n">
        <v>45852</v>
      </c>
      <c r="D2634" t="inlineStr">
        <is>
          <t>VÄSTERNORRLANDS LÄN</t>
        </is>
      </c>
      <c r="E2634" t="inlineStr">
        <is>
          <t>SOLLEFTEÅ</t>
        </is>
      </c>
      <c r="F2634" t="inlineStr">
        <is>
          <t>SCA</t>
        </is>
      </c>
      <c r="G2634" t="n">
        <v>56.2</v>
      </c>
      <c r="H2634" t="n">
        <v>0</v>
      </c>
      <c r="I2634" t="n">
        <v>0</v>
      </c>
      <c r="J2634" t="n">
        <v>0</v>
      </c>
      <c r="K2634" t="n">
        <v>0</v>
      </c>
      <c r="L2634" t="n">
        <v>0</v>
      </c>
      <c r="M2634" t="n">
        <v>0</v>
      </c>
      <c r="N2634" t="n">
        <v>0</v>
      </c>
      <c r="O2634" t="n">
        <v>0</v>
      </c>
      <c r="P2634" t="n">
        <v>0</v>
      </c>
      <c r="Q2634" t="n">
        <v>0</v>
      </c>
      <c r="R2634" s="2" t="inlineStr"/>
    </row>
    <row r="2635" ht="15" customHeight="1">
      <c r="A2635" t="inlineStr">
        <is>
          <t>A 1006-2024</t>
        </is>
      </c>
      <c r="B2635" s="1" t="n">
        <v>45301</v>
      </c>
      <c r="C2635" s="1" t="n">
        <v>45852</v>
      </c>
      <c r="D2635" t="inlineStr">
        <is>
          <t>VÄSTERNORRLANDS LÄN</t>
        </is>
      </c>
      <c r="E2635" t="inlineStr">
        <is>
          <t>SOLLEFTEÅ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1047-2024</t>
        </is>
      </c>
      <c r="B2636" s="1" t="n">
        <v>45301</v>
      </c>
      <c r="C2636" s="1" t="n">
        <v>45852</v>
      </c>
      <c r="D2636" t="inlineStr">
        <is>
          <t>VÄSTERNORRLANDS LÄN</t>
        </is>
      </c>
      <c r="E2636" t="inlineStr">
        <is>
          <t>SOLLEFTEÅ</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1054-2024</t>
        </is>
      </c>
      <c r="B2637" s="1" t="n">
        <v>45302</v>
      </c>
      <c r="C2637" s="1" t="n">
        <v>45852</v>
      </c>
      <c r="D2637" t="inlineStr">
        <is>
          <t>VÄSTERNORRLANDS LÄN</t>
        </is>
      </c>
      <c r="E2637" t="inlineStr">
        <is>
          <t>SOLLEFTEÅ</t>
        </is>
      </c>
      <c r="F2637" t="inlineStr">
        <is>
          <t>SCA</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1269-2024</t>
        </is>
      </c>
      <c r="B2638" s="1" t="n">
        <v>45302</v>
      </c>
      <c r="C2638" s="1" t="n">
        <v>45852</v>
      </c>
      <c r="D2638" t="inlineStr">
        <is>
          <t>VÄSTERNORRLANDS LÄN</t>
        </is>
      </c>
      <c r="E2638" t="inlineStr">
        <is>
          <t>SOLLEFTEÅ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1173-2024</t>
        </is>
      </c>
      <c r="B2639" s="1" t="n">
        <v>45302</v>
      </c>
      <c r="C2639" s="1" t="n">
        <v>45852</v>
      </c>
      <c r="D2639" t="inlineStr">
        <is>
          <t>VÄSTERNORRLANDS LÄN</t>
        </is>
      </c>
      <c r="E2639" t="inlineStr">
        <is>
          <t>SOLLEFTEÅ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1268-2024</t>
        </is>
      </c>
      <c r="B2640" s="1" t="n">
        <v>45302</v>
      </c>
      <c r="C2640" s="1" t="n">
        <v>45852</v>
      </c>
      <c r="D2640" t="inlineStr">
        <is>
          <t>VÄSTERNORRLANDS LÄN</t>
        </is>
      </c>
      <c r="E2640" t="inlineStr">
        <is>
          <t>SOLLEFTEÅ</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1459-2024</t>
        </is>
      </c>
      <c r="B2641" s="1" t="n">
        <v>45303</v>
      </c>
      <c r="C2641" s="1" t="n">
        <v>45852</v>
      </c>
      <c r="D2641" t="inlineStr">
        <is>
          <t>VÄSTERNORRLANDS LÄN</t>
        </is>
      </c>
      <c r="E2641" t="inlineStr">
        <is>
          <t>SOLLEFTEÅ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1678-2024</t>
        </is>
      </c>
      <c r="B2642" s="1" t="n">
        <v>45307</v>
      </c>
      <c r="C2642" s="1" t="n">
        <v>45852</v>
      </c>
      <c r="D2642" t="inlineStr">
        <is>
          <t>VÄSTERNORRLANDS LÄN</t>
        </is>
      </c>
      <c r="E2642" t="inlineStr">
        <is>
          <t>SOLLEFTEÅ</t>
        </is>
      </c>
      <c r="F2642" t="inlineStr">
        <is>
          <t>SCA</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1679-2024</t>
        </is>
      </c>
      <c r="B2643" s="1" t="n">
        <v>45306</v>
      </c>
      <c r="C2643" s="1" t="n">
        <v>45852</v>
      </c>
      <c r="D2643" t="inlineStr">
        <is>
          <t>VÄSTERNORRLANDS LÄN</t>
        </is>
      </c>
      <c r="E2643" t="inlineStr">
        <is>
          <t>SOLLEFTEÅ</t>
        </is>
      </c>
      <c r="F2643" t="inlineStr">
        <is>
          <t>SCA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1840-2024</t>
        </is>
      </c>
      <c r="B2644" s="1" t="n">
        <v>45307</v>
      </c>
      <c r="C2644" s="1" t="n">
        <v>45852</v>
      </c>
      <c r="D2644" t="inlineStr">
        <is>
          <t>VÄSTERNORRLANDS LÄN</t>
        </is>
      </c>
      <c r="E2644" t="inlineStr">
        <is>
          <t>SOLLEFTEÅ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1844-2024</t>
        </is>
      </c>
      <c r="B2645" s="1" t="n">
        <v>45307</v>
      </c>
      <c r="C2645" s="1" t="n">
        <v>45852</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1848-2024</t>
        </is>
      </c>
      <c r="B2646" s="1" t="n">
        <v>45307</v>
      </c>
      <c r="C2646" s="1" t="n">
        <v>45852</v>
      </c>
      <c r="D2646" t="inlineStr">
        <is>
          <t>VÄSTERNORRLANDS LÄN</t>
        </is>
      </c>
      <c r="E2646" t="inlineStr">
        <is>
          <t>SOLLEFTEÅ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1880-2024</t>
        </is>
      </c>
      <c r="B2647" s="1" t="n">
        <v>45307</v>
      </c>
      <c r="C2647" s="1" t="n">
        <v>45852</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1878-2024</t>
        </is>
      </c>
      <c r="B2648" s="1" t="n">
        <v>45307</v>
      </c>
      <c r="C2648" s="1" t="n">
        <v>45852</v>
      </c>
      <c r="D2648" t="inlineStr">
        <is>
          <t>VÄSTERNORRLANDS LÄN</t>
        </is>
      </c>
      <c r="E2648" t="inlineStr">
        <is>
          <t>SOLLEFTEÅ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2223-2024</t>
        </is>
      </c>
      <c r="B2649" s="1" t="n">
        <v>45309</v>
      </c>
      <c r="C2649" s="1" t="n">
        <v>45852</v>
      </c>
      <c r="D2649" t="inlineStr">
        <is>
          <t>VÄSTERNORRLANDS LÄN</t>
        </is>
      </c>
      <c r="E2649" t="inlineStr">
        <is>
          <t>SOLLEFTEÅ</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2232-2024</t>
        </is>
      </c>
      <c r="B2650" s="1" t="n">
        <v>45309</v>
      </c>
      <c r="C2650" s="1" t="n">
        <v>45852</v>
      </c>
      <c r="D2650" t="inlineStr">
        <is>
          <t>VÄSTERNORRLANDS LÄN</t>
        </is>
      </c>
      <c r="E2650" t="inlineStr">
        <is>
          <t>SOLLEFTEÅ</t>
        </is>
      </c>
      <c r="F2650" t="inlineStr">
        <is>
          <t>SCA</t>
        </is>
      </c>
      <c r="G2650" t="n">
        <v>58.3</v>
      </c>
      <c r="H2650" t="n">
        <v>0</v>
      </c>
      <c r="I2650" t="n">
        <v>0</v>
      </c>
      <c r="J2650" t="n">
        <v>0</v>
      </c>
      <c r="K2650" t="n">
        <v>0</v>
      </c>
      <c r="L2650" t="n">
        <v>0</v>
      </c>
      <c r="M2650" t="n">
        <v>0</v>
      </c>
      <c r="N2650" t="n">
        <v>0</v>
      </c>
      <c r="O2650" t="n">
        <v>0</v>
      </c>
      <c r="P2650" t="n">
        <v>0</v>
      </c>
      <c r="Q2650" t="n">
        <v>0</v>
      </c>
      <c r="R2650" s="2" t="inlineStr"/>
    </row>
    <row r="2651" ht="15" customHeight="1">
      <c r="A2651" t="inlineStr">
        <is>
          <t>A 2229-2024</t>
        </is>
      </c>
      <c r="B2651" s="1" t="n">
        <v>45309</v>
      </c>
      <c r="C2651" s="1" t="n">
        <v>45852</v>
      </c>
      <c r="D2651" t="inlineStr">
        <is>
          <t>VÄSTERNORRLANDS LÄN</t>
        </is>
      </c>
      <c r="E2651" t="inlineStr">
        <is>
          <t>SOLLEFTEÅ</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2233-2024</t>
        </is>
      </c>
      <c r="B2652" s="1" t="n">
        <v>45309</v>
      </c>
      <c r="C2652" s="1" t="n">
        <v>45852</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2425-2024</t>
        </is>
      </c>
      <c r="B2653" s="1" t="n">
        <v>45310</v>
      </c>
      <c r="C2653" s="1" t="n">
        <v>45852</v>
      </c>
      <c r="D2653" t="inlineStr">
        <is>
          <t>VÄSTERNORRLANDS LÄN</t>
        </is>
      </c>
      <c r="E2653" t="inlineStr">
        <is>
          <t>SOLLEFTEÅ</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2703-2024</t>
        </is>
      </c>
      <c r="B2654" s="1" t="n">
        <v>45314</v>
      </c>
      <c r="C2654" s="1" t="n">
        <v>45852</v>
      </c>
      <c r="D2654" t="inlineStr">
        <is>
          <t>VÄSTERNORRLANDS LÄN</t>
        </is>
      </c>
      <c r="E2654" t="inlineStr">
        <is>
          <t>SOLLEFTEÅ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2816-2024</t>
        </is>
      </c>
      <c r="B2655" s="1" t="n">
        <v>45314</v>
      </c>
      <c r="C2655" s="1" t="n">
        <v>45852</v>
      </c>
      <c r="D2655" t="inlineStr">
        <is>
          <t>VÄSTERNORRLANDS LÄN</t>
        </is>
      </c>
      <c r="E2655" t="inlineStr">
        <is>
          <t>SOLLEFTEÅ</t>
        </is>
      </c>
      <c r="F2655" t="inlineStr">
        <is>
          <t>Holmen skog AB</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2850-2024</t>
        </is>
      </c>
      <c r="B2656" s="1" t="n">
        <v>45315</v>
      </c>
      <c r="C2656" s="1" t="n">
        <v>45852</v>
      </c>
      <c r="D2656" t="inlineStr">
        <is>
          <t>VÄSTERNORRLANDS LÄN</t>
        </is>
      </c>
      <c r="E2656" t="inlineStr">
        <is>
          <t>SOLLEFTEÅ</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3211-2024</t>
        </is>
      </c>
      <c r="B2657" s="1" t="n">
        <v>45316</v>
      </c>
      <c r="C2657" s="1" t="n">
        <v>45852</v>
      </c>
      <c r="D2657" t="inlineStr">
        <is>
          <t>VÄSTERNORRLANDS LÄN</t>
        </is>
      </c>
      <c r="E2657" t="inlineStr">
        <is>
          <t>SOLLEFTEÅ</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3231-2024</t>
        </is>
      </c>
      <c r="B2658" s="1" t="n">
        <v>45316</v>
      </c>
      <c r="C2658" s="1" t="n">
        <v>45852</v>
      </c>
      <c r="D2658" t="inlineStr">
        <is>
          <t>VÄSTERNORRLANDS LÄN</t>
        </is>
      </c>
      <c r="E2658" t="inlineStr">
        <is>
          <t>SOLLEFTEÅ</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3234-2024</t>
        </is>
      </c>
      <c r="B2659" s="1" t="n">
        <v>45316</v>
      </c>
      <c r="C2659" s="1" t="n">
        <v>45852</v>
      </c>
      <c r="D2659" t="inlineStr">
        <is>
          <t>VÄSTERNORRLANDS LÄN</t>
        </is>
      </c>
      <c r="E2659" t="inlineStr">
        <is>
          <t>SOLLEFTEÅ</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3241-2024</t>
        </is>
      </c>
      <c r="B2660" s="1" t="n">
        <v>45316</v>
      </c>
      <c r="C2660" s="1" t="n">
        <v>45852</v>
      </c>
      <c r="D2660" t="inlineStr">
        <is>
          <t>VÄSTERNORRLANDS LÄN</t>
        </is>
      </c>
      <c r="E2660" t="inlineStr">
        <is>
          <t>SOLLEFTEÅ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3252-2024</t>
        </is>
      </c>
      <c r="B2661" s="1" t="n">
        <v>45316</v>
      </c>
      <c r="C2661" s="1" t="n">
        <v>45852</v>
      </c>
      <c r="D2661" t="inlineStr">
        <is>
          <t>VÄSTERNORRLANDS LÄN</t>
        </is>
      </c>
      <c r="E2661" t="inlineStr">
        <is>
          <t>SOLLEFTEÅ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3388-2024</t>
        </is>
      </c>
      <c r="B2662" s="1" t="n">
        <v>45317</v>
      </c>
      <c r="C2662" s="1" t="n">
        <v>45852</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3621-2024</t>
        </is>
      </c>
      <c r="B2663" s="1" t="n">
        <v>45320</v>
      </c>
      <c r="C2663" s="1" t="n">
        <v>45852</v>
      </c>
      <c r="D2663" t="inlineStr">
        <is>
          <t>VÄSTERNORRLANDS LÄN</t>
        </is>
      </c>
      <c r="E2663" t="inlineStr">
        <is>
          <t>SOLLEFTEÅ</t>
        </is>
      </c>
      <c r="F2663" t="inlineStr">
        <is>
          <t>SCA</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3633-2024</t>
        </is>
      </c>
      <c r="B2664" s="1" t="n">
        <v>45320</v>
      </c>
      <c r="C2664" s="1" t="n">
        <v>45852</v>
      </c>
      <c r="D2664" t="inlineStr">
        <is>
          <t>VÄSTERNORRLANDS LÄN</t>
        </is>
      </c>
      <c r="E2664" t="inlineStr">
        <is>
          <t>SOLLEFTEÅ</t>
        </is>
      </c>
      <c r="F2664" t="inlineStr">
        <is>
          <t>SCA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3832-2024</t>
        </is>
      </c>
      <c r="B2665" s="1" t="n">
        <v>45321</v>
      </c>
      <c r="C2665" s="1" t="n">
        <v>45852</v>
      </c>
      <c r="D2665" t="inlineStr">
        <is>
          <t>VÄSTERNORRLANDS LÄN</t>
        </is>
      </c>
      <c r="E2665" t="inlineStr">
        <is>
          <t>SOLLEFTEÅ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3847-2024</t>
        </is>
      </c>
      <c r="B2666" s="1" t="n">
        <v>45322</v>
      </c>
      <c r="C2666" s="1" t="n">
        <v>45852</v>
      </c>
      <c r="D2666" t="inlineStr">
        <is>
          <t>VÄSTERNORRLANDS LÄN</t>
        </is>
      </c>
      <c r="E2666" t="inlineStr">
        <is>
          <t>SOLLEFTEÅ</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3990-2024</t>
        </is>
      </c>
      <c r="B2667" s="1" t="n">
        <v>45322</v>
      </c>
      <c r="C2667" s="1" t="n">
        <v>45852</v>
      </c>
      <c r="D2667" t="inlineStr">
        <is>
          <t>VÄSTERNORRLANDS LÄN</t>
        </is>
      </c>
      <c r="E2667" t="inlineStr">
        <is>
          <t>SOLLEFTEÅ</t>
        </is>
      </c>
      <c r="F2667" t="inlineStr">
        <is>
          <t>SCA</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3998-2024</t>
        </is>
      </c>
      <c r="B2668" s="1" t="n">
        <v>45322</v>
      </c>
      <c r="C2668" s="1" t="n">
        <v>45852</v>
      </c>
      <c r="D2668" t="inlineStr">
        <is>
          <t>VÄSTERNORRLANDS LÄN</t>
        </is>
      </c>
      <c r="E2668" t="inlineStr">
        <is>
          <t>SOLLEFTEÅ</t>
        </is>
      </c>
      <c r="F2668" t="inlineStr">
        <is>
          <t>SCA</t>
        </is>
      </c>
      <c r="G2668" t="n">
        <v>23.9</v>
      </c>
      <c r="H2668" t="n">
        <v>0</v>
      </c>
      <c r="I2668" t="n">
        <v>0</v>
      </c>
      <c r="J2668" t="n">
        <v>0</v>
      </c>
      <c r="K2668" t="n">
        <v>0</v>
      </c>
      <c r="L2668" t="n">
        <v>0</v>
      </c>
      <c r="M2668" t="n">
        <v>0</v>
      </c>
      <c r="N2668" t="n">
        <v>0</v>
      </c>
      <c r="O2668" t="n">
        <v>0</v>
      </c>
      <c r="P2668" t="n">
        <v>0</v>
      </c>
      <c r="Q2668" t="n">
        <v>0</v>
      </c>
      <c r="R2668" s="2" t="inlineStr"/>
    </row>
    <row r="2669" ht="15" customHeight="1">
      <c r="A2669" t="inlineStr">
        <is>
          <t>A 3991-2024</t>
        </is>
      </c>
      <c r="B2669" s="1" t="n">
        <v>45322</v>
      </c>
      <c r="C2669" s="1" t="n">
        <v>45852</v>
      </c>
      <c r="D2669" t="inlineStr">
        <is>
          <t>VÄSTERNORRLANDS LÄN</t>
        </is>
      </c>
      <c r="E2669" t="inlineStr">
        <is>
          <t>SOLLEFTEÅ</t>
        </is>
      </c>
      <c r="F2669" t="inlineStr">
        <is>
          <t>SCA</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4061-2024</t>
        </is>
      </c>
      <c r="B2670" s="1" t="n">
        <v>45323</v>
      </c>
      <c r="C2670" s="1" t="n">
        <v>45852</v>
      </c>
      <c r="D2670" t="inlineStr">
        <is>
          <t>VÄSTERNORRLANDS LÄN</t>
        </is>
      </c>
      <c r="E2670" t="inlineStr">
        <is>
          <t>SOLLEFTEÅ</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4064-2024</t>
        </is>
      </c>
      <c r="B2671" s="1" t="n">
        <v>45323</v>
      </c>
      <c r="C2671" s="1" t="n">
        <v>45852</v>
      </c>
      <c r="D2671" t="inlineStr">
        <is>
          <t>VÄSTERNORRLANDS LÄN</t>
        </is>
      </c>
      <c r="E2671" t="inlineStr">
        <is>
          <t>SOLLEFTEÅ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4167-2024</t>
        </is>
      </c>
      <c r="B2672" s="1" t="n">
        <v>45323</v>
      </c>
      <c r="C2672" s="1" t="n">
        <v>45852</v>
      </c>
      <c r="D2672" t="inlineStr">
        <is>
          <t>VÄSTERNORRLANDS LÄN</t>
        </is>
      </c>
      <c r="E2672" t="inlineStr">
        <is>
          <t>SOLLEFTEÅ</t>
        </is>
      </c>
      <c r="F2672" t="inlineStr">
        <is>
          <t>SCA</t>
        </is>
      </c>
      <c r="G2672" t="n">
        <v>13.7</v>
      </c>
      <c r="H2672" t="n">
        <v>0</v>
      </c>
      <c r="I2672" t="n">
        <v>0</v>
      </c>
      <c r="J2672" t="n">
        <v>0</v>
      </c>
      <c r="K2672" t="n">
        <v>0</v>
      </c>
      <c r="L2672" t="n">
        <v>0</v>
      </c>
      <c r="M2672" t="n">
        <v>0</v>
      </c>
      <c r="N2672" t="n">
        <v>0</v>
      </c>
      <c r="O2672" t="n">
        <v>0</v>
      </c>
      <c r="P2672" t="n">
        <v>0</v>
      </c>
      <c r="Q2672" t="n">
        <v>0</v>
      </c>
      <c r="R2672" s="2" t="inlineStr"/>
    </row>
    <row r="2673" ht="15" customHeight="1">
      <c r="A2673" t="inlineStr">
        <is>
          <t>A 4168-2024</t>
        </is>
      </c>
      <c r="B2673" s="1" t="n">
        <v>45323</v>
      </c>
      <c r="C2673" s="1" t="n">
        <v>45852</v>
      </c>
      <c r="D2673" t="inlineStr">
        <is>
          <t>VÄSTERNORRLANDS LÄN</t>
        </is>
      </c>
      <c r="E2673" t="inlineStr">
        <is>
          <t>SOLLEFTEÅ</t>
        </is>
      </c>
      <c r="F2673" t="inlineStr">
        <is>
          <t>SCA</t>
        </is>
      </c>
      <c r="G2673" t="n">
        <v>22.1</v>
      </c>
      <c r="H2673" t="n">
        <v>0</v>
      </c>
      <c r="I2673" t="n">
        <v>0</v>
      </c>
      <c r="J2673" t="n">
        <v>0</v>
      </c>
      <c r="K2673" t="n">
        <v>0</v>
      </c>
      <c r="L2673" t="n">
        <v>0</v>
      </c>
      <c r="M2673" t="n">
        <v>0</v>
      </c>
      <c r="N2673" t="n">
        <v>0</v>
      </c>
      <c r="O2673" t="n">
        <v>0</v>
      </c>
      <c r="P2673" t="n">
        <v>0</v>
      </c>
      <c r="Q2673" t="n">
        <v>0</v>
      </c>
      <c r="R2673" s="2" t="inlineStr"/>
    </row>
    <row r="2674" ht="15" customHeight="1">
      <c r="A2674" t="inlineStr">
        <is>
          <t>A 4348-2024</t>
        </is>
      </c>
      <c r="B2674" s="1" t="n">
        <v>45324</v>
      </c>
      <c r="C2674" s="1" t="n">
        <v>45852</v>
      </c>
      <c r="D2674" t="inlineStr">
        <is>
          <t>VÄSTERNORRLANDS LÄN</t>
        </is>
      </c>
      <c r="E2674" t="inlineStr">
        <is>
          <t>SOLLEFTEÅ</t>
        </is>
      </c>
      <c r="F2674" t="inlineStr">
        <is>
          <t>SCA</t>
        </is>
      </c>
      <c r="G2674" t="n">
        <v>14.4</v>
      </c>
      <c r="H2674" t="n">
        <v>0</v>
      </c>
      <c r="I2674" t="n">
        <v>0</v>
      </c>
      <c r="J2674" t="n">
        <v>0</v>
      </c>
      <c r="K2674" t="n">
        <v>0</v>
      </c>
      <c r="L2674" t="n">
        <v>0</v>
      </c>
      <c r="M2674" t="n">
        <v>0</v>
      </c>
      <c r="N2674" t="n">
        <v>0</v>
      </c>
      <c r="O2674" t="n">
        <v>0</v>
      </c>
      <c r="P2674" t="n">
        <v>0</v>
      </c>
      <c r="Q2674" t="n">
        <v>0</v>
      </c>
      <c r="R2674" s="2" t="inlineStr"/>
    </row>
    <row r="2675" ht="15" customHeight="1">
      <c r="A2675" t="inlineStr">
        <is>
          <t>A 4352-2024</t>
        </is>
      </c>
      <c r="B2675" s="1" t="n">
        <v>45324</v>
      </c>
      <c r="C2675" s="1" t="n">
        <v>45852</v>
      </c>
      <c r="D2675" t="inlineStr">
        <is>
          <t>VÄSTERNORRLANDS LÄN</t>
        </is>
      </c>
      <c r="E2675" t="inlineStr">
        <is>
          <t>SOLLEFTEÅ</t>
        </is>
      </c>
      <c r="F2675" t="inlineStr">
        <is>
          <t>SCA</t>
        </is>
      </c>
      <c r="G2675" t="n">
        <v>24.7</v>
      </c>
      <c r="H2675" t="n">
        <v>0</v>
      </c>
      <c r="I2675" t="n">
        <v>0</v>
      </c>
      <c r="J2675" t="n">
        <v>0</v>
      </c>
      <c r="K2675" t="n">
        <v>0</v>
      </c>
      <c r="L2675" t="n">
        <v>0</v>
      </c>
      <c r="M2675" t="n">
        <v>0</v>
      </c>
      <c r="N2675" t="n">
        <v>0</v>
      </c>
      <c r="O2675" t="n">
        <v>0</v>
      </c>
      <c r="P2675" t="n">
        <v>0</v>
      </c>
      <c r="Q2675" t="n">
        <v>0</v>
      </c>
      <c r="R2675" s="2" t="inlineStr"/>
    </row>
    <row r="2676" ht="15" customHeight="1">
      <c r="A2676" t="inlineStr">
        <is>
          <t>A 4347-2024</t>
        </is>
      </c>
      <c r="B2676" s="1" t="n">
        <v>45324</v>
      </c>
      <c r="C2676" s="1" t="n">
        <v>45852</v>
      </c>
      <c r="D2676" t="inlineStr">
        <is>
          <t>VÄSTERNORRLANDS LÄN</t>
        </is>
      </c>
      <c r="E2676" t="inlineStr">
        <is>
          <t>SOLLEFTEÅ</t>
        </is>
      </c>
      <c r="F2676" t="inlineStr">
        <is>
          <t>SCA</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4349-2024</t>
        </is>
      </c>
      <c r="B2677" s="1" t="n">
        <v>45324</v>
      </c>
      <c r="C2677" s="1" t="n">
        <v>45852</v>
      </c>
      <c r="D2677" t="inlineStr">
        <is>
          <t>VÄSTERNORRLANDS LÄN</t>
        </is>
      </c>
      <c r="E2677" t="inlineStr">
        <is>
          <t>SOLLEFTEÅ</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4546-2024</t>
        </is>
      </c>
      <c r="B2678" s="1" t="n">
        <v>45327</v>
      </c>
      <c r="C2678" s="1" t="n">
        <v>45852</v>
      </c>
      <c r="D2678" t="inlineStr">
        <is>
          <t>VÄSTERNORRLANDS LÄN</t>
        </is>
      </c>
      <c r="E2678" t="inlineStr">
        <is>
          <t>SOLLEFTEÅ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4595-2024</t>
        </is>
      </c>
      <c r="B2679" s="1" t="n">
        <v>45327</v>
      </c>
      <c r="C2679" s="1" t="n">
        <v>45852</v>
      </c>
      <c r="D2679" t="inlineStr">
        <is>
          <t>VÄSTERNORRLANDS LÄN</t>
        </is>
      </c>
      <c r="E2679" t="inlineStr">
        <is>
          <t>SOLLEFTEÅ</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4809-2024</t>
        </is>
      </c>
      <c r="B2680" s="1" t="n">
        <v>45328</v>
      </c>
      <c r="C2680" s="1" t="n">
        <v>45852</v>
      </c>
      <c r="D2680" t="inlineStr">
        <is>
          <t>VÄSTERNORRLANDS LÄN</t>
        </is>
      </c>
      <c r="E2680" t="inlineStr">
        <is>
          <t>SOLLEFTEÅ</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4813-2024</t>
        </is>
      </c>
      <c r="B2681" s="1" t="n">
        <v>45328</v>
      </c>
      <c r="C2681" s="1" t="n">
        <v>45852</v>
      </c>
      <c r="D2681" t="inlineStr">
        <is>
          <t>VÄSTERNORRLANDS LÄN</t>
        </is>
      </c>
      <c r="E2681" t="inlineStr">
        <is>
          <t>SOLLEFTEÅ</t>
        </is>
      </c>
      <c r="F2681" t="inlineStr">
        <is>
          <t>SCA</t>
        </is>
      </c>
      <c r="G2681" t="n">
        <v>26.6</v>
      </c>
      <c r="H2681" t="n">
        <v>0</v>
      </c>
      <c r="I2681" t="n">
        <v>0</v>
      </c>
      <c r="J2681" t="n">
        <v>0</v>
      </c>
      <c r="K2681" t="n">
        <v>0</v>
      </c>
      <c r="L2681" t="n">
        <v>0</v>
      </c>
      <c r="M2681" t="n">
        <v>0</v>
      </c>
      <c r="N2681" t="n">
        <v>0</v>
      </c>
      <c r="O2681" t="n">
        <v>0</v>
      </c>
      <c r="P2681" t="n">
        <v>0</v>
      </c>
      <c r="Q2681" t="n">
        <v>0</v>
      </c>
      <c r="R2681" s="2" t="inlineStr"/>
    </row>
    <row r="2682" ht="15" customHeight="1">
      <c r="A2682" t="inlineStr">
        <is>
          <t>A 4808-2024</t>
        </is>
      </c>
      <c r="B2682" s="1" t="n">
        <v>45328</v>
      </c>
      <c r="C2682" s="1" t="n">
        <v>45852</v>
      </c>
      <c r="D2682" t="inlineStr">
        <is>
          <t>VÄSTERNORRLANDS LÄN</t>
        </is>
      </c>
      <c r="E2682" t="inlineStr">
        <is>
          <t>SOLLEFTEÅ</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4812-2024</t>
        </is>
      </c>
      <c r="B2683" s="1" t="n">
        <v>45328</v>
      </c>
      <c r="C2683" s="1" t="n">
        <v>45852</v>
      </c>
      <c r="D2683" t="inlineStr">
        <is>
          <t>VÄSTERNORRLANDS LÄN</t>
        </is>
      </c>
      <c r="E2683" t="inlineStr">
        <is>
          <t>SOLLEFTEÅ</t>
        </is>
      </c>
      <c r="F2683" t="inlineStr">
        <is>
          <t>SCA</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4857-2024</t>
        </is>
      </c>
      <c r="B2684" s="1" t="n">
        <v>45329</v>
      </c>
      <c r="C2684" s="1" t="n">
        <v>45852</v>
      </c>
      <c r="D2684" t="inlineStr">
        <is>
          <t>VÄSTERNORRLANDS LÄN</t>
        </is>
      </c>
      <c r="E2684" t="inlineStr">
        <is>
          <t>SOLLEFTEÅ</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5035-2024</t>
        </is>
      </c>
      <c r="B2685" s="1" t="n">
        <v>45329</v>
      </c>
      <c r="C2685" s="1" t="n">
        <v>45852</v>
      </c>
      <c r="D2685" t="inlineStr">
        <is>
          <t>VÄSTERNORRLANDS LÄN</t>
        </is>
      </c>
      <c r="E2685" t="inlineStr">
        <is>
          <t>SOLLEFTEÅ</t>
        </is>
      </c>
      <c r="F2685" t="inlineStr">
        <is>
          <t>Övriga Aktiebolag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5057-2024</t>
        </is>
      </c>
      <c r="B2686" s="1" t="n">
        <v>45329</v>
      </c>
      <c r="C2686" s="1" t="n">
        <v>45852</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5036-2024</t>
        </is>
      </c>
      <c r="B2687" s="1" t="n">
        <v>45329</v>
      </c>
      <c r="C2687" s="1" t="n">
        <v>45852</v>
      </c>
      <c r="D2687" t="inlineStr">
        <is>
          <t>VÄSTERNORRLANDS LÄN</t>
        </is>
      </c>
      <c r="E2687" t="inlineStr">
        <is>
          <t>SOLLEFTEÅ</t>
        </is>
      </c>
      <c r="F2687" t="inlineStr">
        <is>
          <t>Övriga Aktiebolag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5040-2024</t>
        </is>
      </c>
      <c r="B2688" s="1" t="n">
        <v>45329</v>
      </c>
      <c r="C2688" s="1" t="n">
        <v>45852</v>
      </c>
      <c r="D2688" t="inlineStr">
        <is>
          <t>VÄSTERNORRLANDS LÄN</t>
        </is>
      </c>
      <c r="E2688" t="inlineStr">
        <is>
          <t>SOLLEFTEÅ</t>
        </is>
      </c>
      <c r="F2688" t="inlineStr">
        <is>
          <t>Övriga Aktiebolag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5072-2024</t>
        </is>
      </c>
      <c r="B2689" s="1" t="n">
        <v>45330</v>
      </c>
      <c r="C2689" s="1" t="n">
        <v>45852</v>
      </c>
      <c r="D2689" t="inlineStr">
        <is>
          <t>VÄSTERNORRLANDS LÄN</t>
        </is>
      </c>
      <c r="E2689" t="inlineStr">
        <is>
          <t>SOLLEFTEÅ</t>
        </is>
      </c>
      <c r="F2689" t="inlineStr">
        <is>
          <t>Övriga Aktiebolag</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5064-2024</t>
        </is>
      </c>
      <c r="B2690" s="1" t="n">
        <v>45329</v>
      </c>
      <c r="C2690" s="1" t="n">
        <v>45852</v>
      </c>
      <c r="D2690" t="inlineStr">
        <is>
          <t>VÄSTERNORRLANDS LÄN</t>
        </is>
      </c>
      <c r="E2690" t="inlineStr">
        <is>
          <t>SOLLEFTEÅ</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5061-2024</t>
        </is>
      </c>
      <c r="B2691" s="1" t="n">
        <v>45329</v>
      </c>
      <c r="C2691" s="1" t="n">
        <v>45852</v>
      </c>
      <c r="D2691" t="inlineStr">
        <is>
          <t>VÄSTERNORRLANDS LÄN</t>
        </is>
      </c>
      <c r="E2691" t="inlineStr">
        <is>
          <t>SOLLEFTEÅ</t>
        </is>
      </c>
      <c r="F2691" t="inlineStr">
        <is>
          <t>SCA</t>
        </is>
      </c>
      <c r="G2691" t="n">
        <v>34.1</v>
      </c>
      <c r="H2691" t="n">
        <v>0</v>
      </c>
      <c r="I2691" t="n">
        <v>0</v>
      </c>
      <c r="J2691" t="n">
        <v>0</v>
      </c>
      <c r="K2691" t="n">
        <v>0</v>
      </c>
      <c r="L2691" t="n">
        <v>0</v>
      </c>
      <c r="M2691" t="n">
        <v>0</v>
      </c>
      <c r="N2691" t="n">
        <v>0</v>
      </c>
      <c r="O2691" t="n">
        <v>0</v>
      </c>
      <c r="P2691" t="n">
        <v>0</v>
      </c>
      <c r="Q2691" t="n">
        <v>0</v>
      </c>
      <c r="R2691" s="2" t="inlineStr"/>
    </row>
    <row r="2692" ht="15" customHeight="1">
      <c r="A2692" t="inlineStr">
        <is>
          <t>A 5073-2024</t>
        </is>
      </c>
      <c r="B2692" s="1" t="n">
        <v>45330</v>
      </c>
      <c r="C2692" s="1" t="n">
        <v>45852</v>
      </c>
      <c r="D2692" t="inlineStr">
        <is>
          <t>VÄSTERNORRLANDS LÄN</t>
        </is>
      </c>
      <c r="E2692" t="inlineStr">
        <is>
          <t>SOLLEFTEÅ</t>
        </is>
      </c>
      <c r="F2692" t="inlineStr">
        <is>
          <t>Övriga Aktiebolag</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5034-2024</t>
        </is>
      </c>
      <c r="B2693" s="1" t="n">
        <v>45329</v>
      </c>
      <c r="C2693" s="1" t="n">
        <v>45852</v>
      </c>
      <c r="D2693" t="inlineStr">
        <is>
          <t>VÄSTERNORRLANDS LÄN</t>
        </is>
      </c>
      <c r="E2693" t="inlineStr">
        <is>
          <t>SOLLEFTEÅ</t>
        </is>
      </c>
      <c r="F2693" t="inlineStr">
        <is>
          <t>Övriga Aktiebolag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5038-2024</t>
        </is>
      </c>
      <c r="B2694" s="1" t="n">
        <v>45329</v>
      </c>
      <c r="C2694" s="1" t="n">
        <v>45852</v>
      </c>
      <c r="D2694" t="inlineStr">
        <is>
          <t>VÄSTERNORRLANDS LÄN</t>
        </is>
      </c>
      <c r="E2694" t="inlineStr">
        <is>
          <t>SOLLEFTEÅ</t>
        </is>
      </c>
      <c r="F2694" t="inlineStr">
        <is>
          <t>Övriga Aktiebolag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5062-2024</t>
        </is>
      </c>
      <c r="B2695" s="1" t="n">
        <v>45329</v>
      </c>
      <c r="C2695" s="1" t="n">
        <v>45852</v>
      </c>
      <c r="D2695" t="inlineStr">
        <is>
          <t>VÄSTERNORRLANDS LÄN</t>
        </is>
      </c>
      <c r="E2695" t="inlineStr">
        <is>
          <t>SOLLEFTEÅ</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5058-2024</t>
        </is>
      </c>
      <c r="B2696" s="1" t="n">
        <v>45329</v>
      </c>
      <c r="C2696" s="1" t="n">
        <v>45852</v>
      </c>
      <c r="D2696" t="inlineStr">
        <is>
          <t>VÄSTERNORRLANDS LÄN</t>
        </is>
      </c>
      <c r="E2696" t="inlineStr">
        <is>
          <t>SOLLEFTEÅ</t>
        </is>
      </c>
      <c r="F2696" t="inlineStr">
        <is>
          <t>SCA</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5074-2024</t>
        </is>
      </c>
      <c r="B2697" s="1" t="n">
        <v>45330</v>
      </c>
      <c r="C2697" s="1" t="n">
        <v>45852</v>
      </c>
      <c r="D2697" t="inlineStr">
        <is>
          <t>VÄSTERNORRLANDS LÄN</t>
        </is>
      </c>
      <c r="E2697" t="inlineStr">
        <is>
          <t>SOLLEFTEÅ</t>
        </is>
      </c>
      <c r="F2697" t="inlineStr">
        <is>
          <t>Övriga Aktiebolag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5059-2024</t>
        </is>
      </c>
      <c r="B2698" s="1" t="n">
        <v>45329</v>
      </c>
      <c r="C2698" s="1" t="n">
        <v>45852</v>
      </c>
      <c r="D2698" t="inlineStr">
        <is>
          <t>VÄSTERNORRLANDS LÄN</t>
        </is>
      </c>
      <c r="E2698" t="inlineStr">
        <is>
          <t>SOLLEFTEÅ</t>
        </is>
      </c>
      <c r="F2698" t="inlineStr">
        <is>
          <t>SCA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5075-2024</t>
        </is>
      </c>
      <c r="B2699" s="1" t="n">
        <v>45329</v>
      </c>
      <c r="C2699" s="1" t="n">
        <v>45852</v>
      </c>
      <c r="D2699" t="inlineStr">
        <is>
          <t>VÄSTERNORRLANDS LÄN</t>
        </is>
      </c>
      <c r="E2699" t="inlineStr">
        <is>
          <t>SOLLEFTEÅ</t>
        </is>
      </c>
      <c r="F2699" t="inlineStr">
        <is>
          <t>Övriga Aktiebolag</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5063-2024</t>
        </is>
      </c>
      <c r="B2700" s="1" t="n">
        <v>45329</v>
      </c>
      <c r="C2700" s="1" t="n">
        <v>45852</v>
      </c>
      <c r="D2700" t="inlineStr">
        <is>
          <t>VÄSTERNORRLANDS LÄN</t>
        </is>
      </c>
      <c r="E2700" t="inlineStr">
        <is>
          <t>SOLLEFTEÅ</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5256-2024</t>
        </is>
      </c>
      <c r="B2701" s="1" t="n">
        <v>45330</v>
      </c>
      <c r="C2701" s="1" t="n">
        <v>45852</v>
      </c>
      <c r="D2701" t="inlineStr">
        <is>
          <t>VÄSTERNORRLANDS LÄN</t>
        </is>
      </c>
      <c r="E2701" t="inlineStr">
        <is>
          <t>SOLLEFTEÅ</t>
        </is>
      </c>
      <c r="F2701" t="inlineStr">
        <is>
          <t>SCA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5255-2024</t>
        </is>
      </c>
      <c r="B2702" s="1" t="n">
        <v>45330</v>
      </c>
      <c r="C2702" s="1" t="n">
        <v>45852</v>
      </c>
      <c r="D2702" t="inlineStr">
        <is>
          <t>VÄSTERNORRLANDS LÄN</t>
        </is>
      </c>
      <c r="E2702" t="inlineStr">
        <is>
          <t>SOLLEFTEÅ</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5254-2024</t>
        </is>
      </c>
      <c r="B2703" s="1" t="n">
        <v>45330</v>
      </c>
      <c r="C2703" s="1" t="n">
        <v>45852</v>
      </c>
      <c r="D2703" t="inlineStr">
        <is>
          <t>VÄSTERNORRLANDS LÄN</t>
        </is>
      </c>
      <c r="E2703" t="inlineStr">
        <is>
          <t>SOLLEFTEÅ</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5253-2024</t>
        </is>
      </c>
      <c r="B2704" s="1" t="n">
        <v>45330</v>
      </c>
      <c r="C2704" s="1" t="n">
        <v>45852</v>
      </c>
      <c r="D2704" t="inlineStr">
        <is>
          <t>VÄSTERNORRLANDS LÄN</t>
        </is>
      </c>
      <c r="E2704" t="inlineStr">
        <is>
          <t>SOLLEFTEÅ</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5446-2024</t>
        </is>
      </c>
      <c r="B2705" s="1" t="n">
        <v>45331</v>
      </c>
      <c r="C2705" s="1" t="n">
        <v>45852</v>
      </c>
      <c r="D2705" t="inlineStr">
        <is>
          <t>VÄSTERNORRLANDS LÄN</t>
        </is>
      </c>
      <c r="E2705" t="inlineStr">
        <is>
          <t>SOLLEFTEÅ</t>
        </is>
      </c>
      <c r="F2705" t="inlineStr">
        <is>
          <t>SCA</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5452-2024</t>
        </is>
      </c>
      <c r="B2706" s="1" t="n">
        <v>45331</v>
      </c>
      <c r="C2706" s="1" t="n">
        <v>45852</v>
      </c>
      <c r="D2706" t="inlineStr">
        <is>
          <t>VÄSTERNORRLANDS LÄN</t>
        </is>
      </c>
      <c r="E2706" t="inlineStr">
        <is>
          <t>SOLLEFTEÅ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5854-2024</t>
        </is>
      </c>
      <c r="B2707" s="1" t="n">
        <v>45335</v>
      </c>
      <c r="C2707" s="1" t="n">
        <v>45852</v>
      </c>
      <c r="D2707" t="inlineStr">
        <is>
          <t>VÄSTERNORRLANDS LÄN</t>
        </is>
      </c>
      <c r="E2707" t="inlineStr">
        <is>
          <t>SOLLEFTEÅ</t>
        </is>
      </c>
      <c r="F2707" t="inlineStr">
        <is>
          <t>Övriga Aktiebolag</t>
        </is>
      </c>
      <c r="G2707" t="n">
        <v>24.9</v>
      </c>
      <c r="H2707" t="n">
        <v>0</v>
      </c>
      <c r="I2707" t="n">
        <v>0</v>
      </c>
      <c r="J2707" t="n">
        <v>0</v>
      </c>
      <c r="K2707" t="n">
        <v>0</v>
      </c>
      <c r="L2707" t="n">
        <v>0</v>
      </c>
      <c r="M2707" t="n">
        <v>0</v>
      </c>
      <c r="N2707" t="n">
        <v>0</v>
      </c>
      <c r="O2707" t="n">
        <v>0</v>
      </c>
      <c r="P2707" t="n">
        <v>0</v>
      </c>
      <c r="Q2707" t="n">
        <v>0</v>
      </c>
      <c r="R2707" s="2" t="inlineStr"/>
    </row>
    <row r="2708" ht="15" customHeight="1">
      <c r="A2708" t="inlineStr">
        <is>
          <t>A 5874-2024</t>
        </is>
      </c>
      <c r="B2708" s="1" t="n">
        <v>45335</v>
      </c>
      <c r="C2708" s="1" t="n">
        <v>45852</v>
      </c>
      <c r="D2708" t="inlineStr">
        <is>
          <t>VÄSTERNORRLANDS LÄN</t>
        </is>
      </c>
      <c r="E2708" t="inlineStr">
        <is>
          <t>SOLLEFTEÅ</t>
        </is>
      </c>
      <c r="F2708" t="inlineStr">
        <is>
          <t>Övriga Aktiebolag</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5867-2024</t>
        </is>
      </c>
      <c r="B2709" s="1" t="n">
        <v>45335</v>
      </c>
      <c r="C2709" s="1" t="n">
        <v>45852</v>
      </c>
      <c r="D2709" t="inlineStr">
        <is>
          <t>VÄSTERNORRLANDS LÄN</t>
        </is>
      </c>
      <c r="E2709" t="inlineStr">
        <is>
          <t>SOLLEFTEÅ</t>
        </is>
      </c>
      <c r="F2709" t="inlineStr">
        <is>
          <t>Övriga Aktiebolag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5871-2024</t>
        </is>
      </c>
      <c r="B2710" s="1" t="n">
        <v>45335</v>
      </c>
      <c r="C2710" s="1" t="n">
        <v>45852</v>
      </c>
      <c r="D2710" t="inlineStr">
        <is>
          <t>VÄSTERNORRLANDS LÄN</t>
        </is>
      </c>
      <c r="E2710" t="inlineStr">
        <is>
          <t>SOLLEFTEÅ</t>
        </is>
      </c>
      <c r="F2710" t="inlineStr">
        <is>
          <t>Övriga Aktiebolag</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5882-2024</t>
        </is>
      </c>
      <c r="B2711" s="1" t="n">
        <v>45335</v>
      </c>
      <c r="C2711" s="1" t="n">
        <v>45852</v>
      </c>
      <c r="D2711" t="inlineStr">
        <is>
          <t>VÄSTERNORRLANDS LÄN</t>
        </is>
      </c>
      <c r="E2711" t="inlineStr">
        <is>
          <t>SOLLEFTEÅ</t>
        </is>
      </c>
      <c r="F2711" t="inlineStr">
        <is>
          <t>Övriga Aktiebolag</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5919-2024</t>
        </is>
      </c>
      <c r="B2712" s="1" t="n">
        <v>45335</v>
      </c>
      <c r="C2712" s="1" t="n">
        <v>45852</v>
      </c>
      <c r="D2712" t="inlineStr">
        <is>
          <t>VÄSTERNORRLANDS LÄN</t>
        </is>
      </c>
      <c r="E2712" t="inlineStr">
        <is>
          <t>SOLLEFTEÅ</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5909-2024</t>
        </is>
      </c>
      <c r="B2713" s="1" t="n">
        <v>45335</v>
      </c>
      <c r="C2713" s="1" t="n">
        <v>45852</v>
      </c>
      <c r="D2713" t="inlineStr">
        <is>
          <t>VÄSTERNORRLANDS LÄN</t>
        </is>
      </c>
      <c r="E2713" t="inlineStr">
        <is>
          <t>SOLLEFTEÅ</t>
        </is>
      </c>
      <c r="F2713" t="inlineStr">
        <is>
          <t>SCA</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5917-2024</t>
        </is>
      </c>
      <c r="B2714" s="1" t="n">
        <v>45335</v>
      </c>
      <c r="C2714" s="1" t="n">
        <v>45852</v>
      </c>
      <c r="D2714" t="inlineStr">
        <is>
          <t>VÄSTERNORRLANDS LÄN</t>
        </is>
      </c>
      <c r="E2714" t="inlineStr">
        <is>
          <t>SOLLEFTEÅ</t>
        </is>
      </c>
      <c r="F2714" t="inlineStr">
        <is>
          <t>SCA</t>
        </is>
      </c>
      <c r="G2714" t="n">
        <v>21.2</v>
      </c>
      <c r="H2714" t="n">
        <v>0</v>
      </c>
      <c r="I2714" t="n">
        <v>0</v>
      </c>
      <c r="J2714" t="n">
        <v>0</v>
      </c>
      <c r="K2714" t="n">
        <v>0</v>
      </c>
      <c r="L2714" t="n">
        <v>0</v>
      </c>
      <c r="M2714" t="n">
        <v>0</v>
      </c>
      <c r="N2714" t="n">
        <v>0</v>
      </c>
      <c r="O2714" t="n">
        <v>0</v>
      </c>
      <c r="P2714" t="n">
        <v>0</v>
      </c>
      <c r="Q2714" t="n">
        <v>0</v>
      </c>
      <c r="R2714" s="2" t="inlineStr"/>
    </row>
    <row r="2715" ht="15" customHeight="1">
      <c r="A2715" t="inlineStr">
        <is>
          <t>A 5934-2024</t>
        </is>
      </c>
      <c r="B2715" s="1" t="n">
        <v>45336</v>
      </c>
      <c r="C2715" s="1" t="n">
        <v>45852</v>
      </c>
      <c r="D2715" t="inlineStr">
        <is>
          <t>VÄSTERNORRLANDS LÄN</t>
        </is>
      </c>
      <c r="E2715" t="inlineStr">
        <is>
          <t>SOLLEFTEÅ</t>
        </is>
      </c>
      <c r="F2715" t="inlineStr">
        <is>
          <t>Holmen skog AB</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6059-2024</t>
        </is>
      </c>
      <c r="B2716" s="1" t="n">
        <v>45336</v>
      </c>
      <c r="C2716" s="1" t="n">
        <v>45852</v>
      </c>
      <c r="D2716" t="inlineStr">
        <is>
          <t>VÄSTERNORRLANDS LÄN</t>
        </is>
      </c>
      <c r="E2716" t="inlineStr">
        <is>
          <t>SOLLEFTEÅ</t>
        </is>
      </c>
      <c r="F2716" t="inlineStr">
        <is>
          <t>Övriga Aktiebolag</t>
        </is>
      </c>
      <c r="G2716" t="n">
        <v>12.2</v>
      </c>
      <c r="H2716" t="n">
        <v>0</v>
      </c>
      <c r="I2716" t="n">
        <v>0</v>
      </c>
      <c r="J2716" t="n">
        <v>0</v>
      </c>
      <c r="K2716" t="n">
        <v>0</v>
      </c>
      <c r="L2716" t="n">
        <v>0</v>
      </c>
      <c r="M2716" t="n">
        <v>0</v>
      </c>
      <c r="N2716" t="n">
        <v>0</v>
      </c>
      <c r="O2716" t="n">
        <v>0</v>
      </c>
      <c r="P2716" t="n">
        <v>0</v>
      </c>
      <c r="Q2716" t="n">
        <v>0</v>
      </c>
      <c r="R2716" s="2" t="inlineStr"/>
    </row>
    <row r="2717" ht="15" customHeight="1">
      <c r="A2717" t="inlineStr">
        <is>
          <t>A 6063-2024</t>
        </is>
      </c>
      <c r="B2717" s="1" t="n">
        <v>45336</v>
      </c>
      <c r="C2717" s="1" t="n">
        <v>45852</v>
      </c>
      <c r="D2717" t="inlineStr">
        <is>
          <t>VÄSTERNORRLANDS LÄN</t>
        </is>
      </c>
      <c r="E2717" t="inlineStr">
        <is>
          <t>SOLLEFTEÅ</t>
        </is>
      </c>
      <c r="F2717" t="inlineStr">
        <is>
          <t>Övriga Aktiebolag</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6067-2024</t>
        </is>
      </c>
      <c r="B2718" s="1" t="n">
        <v>45336</v>
      </c>
      <c r="C2718" s="1" t="n">
        <v>45852</v>
      </c>
      <c r="D2718" t="inlineStr">
        <is>
          <t>VÄSTERNORRLANDS LÄN</t>
        </is>
      </c>
      <c r="E2718" t="inlineStr">
        <is>
          <t>SOLLEFTEÅ</t>
        </is>
      </c>
      <c r="F2718" t="inlineStr">
        <is>
          <t>Övriga Aktiebolag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6058-2024</t>
        </is>
      </c>
      <c r="B2719" s="1" t="n">
        <v>45336</v>
      </c>
      <c r="C2719" s="1" t="n">
        <v>45852</v>
      </c>
      <c r="D2719" t="inlineStr">
        <is>
          <t>VÄSTERNORRLANDS LÄN</t>
        </is>
      </c>
      <c r="E2719" t="inlineStr">
        <is>
          <t>SOLLEFTEÅ</t>
        </is>
      </c>
      <c r="F2719" t="inlineStr">
        <is>
          <t>Övriga Aktiebolag</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6064-2024</t>
        </is>
      </c>
      <c r="B2720" s="1" t="n">
        <v>45336</v>
      </c>
      <c r="C2720" s="1" t="n">
        <v>45852</v>
      </c>
      <c r="D2720" t="inlineStr">
        <is>
          <t>VÄSTERNORRLANDS LÄN</t>
        </is>
      </c>
      <c r="E2720" t="inlineStr">
        <is>
          <t>SOLLEFTEÅ</t>
        </is>
      </c>
      <c r="F2720" t="inlineStr">
        <is>
          <t>Övriga Aktiebolag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6066-2024</t>
        </is>
      </c>
      <c r="B2721" s="1" t="n">
        <v>45336</v>
      </c>
      <c r="C2721" s="1" t="n">
        <v>45852</v>
      </c>
      <c r="D2721" t="inlineStr">
        <is>
          <t>VÄSTERNORRLANDS LÄN</t>
        </is>
      </c>
      <c r="E2721" t="inlineStr">
        <is>
          <t>SOLLEFTEÅ</t>
        </is>
      </c>
      <c r="F2721" t="inlineStr">
        <is>
          <t>Övriga Aktiebolag</t>
        </is>
      </c>
      <c r="G2721" t="n">
        <v>14.8</v>
      </c>
      <c r="H2721" t="n">
        <v>0</v>
      </c>
      <c r="I2721" t="n">
        <v>0</v>
      </c>
      <c r="J2721" t="n">
        <v>0</v>
      </c>
      <c r="K2721" t="n">
        <v>0</v>
      </c>
      <c r="L2721" t="n">
        <v>0</v>
      </c>
      <c r="M2721" t="n">
        <v>0</v>
      </c>
      <c r="N2721" t="n">
        <v>0</v>
      </c>
      <c r="O2721" t="n">
        <v>0</v>
      </c>
      <c r="P2721" t="n">
        <v>0</v>
      </c>
      <c r="Q2721" t="n">
        <v>0</v>
      </c>
      <c r="R2721" s="2" t="inlineStr"/>
    </row>
    <row r="2722" ht="15" customHeight="1">
      <c r="A2722" t="inlineStr">
        <is>
          <t>A 6068-2024</t>
        </is>
      </c>
      <c r="B2722" s="1" t="n">
        <v>45336</v>
      </c>
      <c r="C2722" s="1" t="n">
        <v>45852</v>
      </c>
      <c r="D2722" t="inlineStr">
        <is>
          <t>VÄSTERNORRLANDS LÄN</t>
        </is>
      </c>
      <c r="E2722" t="inlineStr">
        <is>
          <t>SOLLEFTEÅ</t>
        </is>
      </c>
      <c r="F2722" t="inlineStr">
        <is>
          <t>Övriga Aktiebolag</t>
        </is>
      </c>
      <c r="G2722" t="n">
        <v>12.6</v>
      </c>
      <c r="H2722" t="n">
        <v>0</v>
      </c>
      <c r="I2722" t="n">
        <v>0</v>
      </c>
      <c r="J2722" t="n">
        <v>0</v>
      </c>
      <c r="K2722" t="n">
        <v>0</v>
      </c>
      <c r="L2722" t="n">
        <v>0</v>
      </c>
      <c r="M2722" t="n">
        <v>0</v>
      </c>
      <c r="N2722" t="n">
        <v>0</v>
      </c>
      <c r="O2722" t="n">
        <v>0</v>
      </c>
      <c r="P2722" t="n">
        <v>0</v>
      </c>
      <c r="Q2722" t="n">
        <v>0</v>
      </c>
      <c r="R2722" s="2" t="inlineStr"/>
    </row>
    <row r="2723" ht="15" customHeight="1">
      <c r="A2723" t="inlineStr">
        <is>
          <t>A 6057-2024</t>
        </is>
      </c>
      <c r="B2723" s="1" t="n">
        <v>45336</v>
      </c>
      <c r="C2723" s="1" t="n">
        <v>45852</v>
      </c>
      <c r="D2723" t="inlineStr">
        <is>
          <t>VÄSTERNORRLANDS LÄN</t>
        </is>
      </c>
      <c r="E2723" t="inlineStr">
        <is>
          <t>SOLLEFTEÅ</t>
        </is>
      </c>
      <c r="F2723" t="inlineStr">
        <is>
          <t>Övriga Aktiebolag</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6065-2024</t>
        </is>
      </c>
      <c r="B2724" s="1" t="n">
        <v>45336</v>
      </c>
      <c r="C2724" s="1" t="n">
        <v>45852</v>
      </c>
      <c r="D2724" t="inlineStr">
        <is>
          <t>VÄSTERNORRLANDS LÄN</t>
        </is>
      </c>
      <c r="E2724" t="inlineStr">
        <is>
          <t>SOLLEFTEÅ</t>
        </is>
      </c>
      <c r="F2724" t="inlineStr">
        <is>
          <t>Övriga Aktiebolag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6139-2024</t>
        </is>
      </c>
      <c r="B2725" s="1" t="n">
        <v>45337</v>
      </c>
      <c r="C2725" s="1" t="n">
        <v>45852</v>
      </c>
      <c r="D2725" t="inlineStr">
        <is>
          <t>VÄSTERNORRLANDS LÄN</t>
        </is>
      </c>
      <c r="E2725" t="inlineStr">
        <is>
          <t>SOLLEFTEÅ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6279-2024</t>
        </is>
      </c>
      <c r="B2726" s="1" t="n">
        <v>45337</v>
      </c>
      <c r="C2726" s="1" t="n">
        <v>45852</v>
      </c>
      <c r="D2726" t="inlineStr">
        <is>
          <t>VÄSTERNORRLANDS LÄN</t>
        </is>
      </c>
      <c r="E2726" t="inlineStr">
        <is>
          <t>SOLLEFTEÅ</t>
        </is>
      </c>
      <c r="F2726" t="inlineStr">
        <is>
          <t>SCA</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6125-2024</t>
        </is>
      </c>
      <c r="B2727" s="1" t="n">
        <v>45337</v>
      </c>
      <c r="C2727" s="1" t="n">
        <v>45852</v>
      </c>
      <c r="D2727" t="inlineStr">
        <is>
          <t>VÄSTERNORRLANDS LÄN</t>
        </is>
      </c>
      <c r="E2727" t="inlineStr">
        <is>
          <t>SOLLEFTEÅ</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6282-2024</t>
        </is>
      </c>
      <c r="B2728" s="1" t="n">
        <v>45337</v>
      </c>
      <c r="C2728" s="1" t="n">
        <v>45852</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6352-2024</t>
        </is>
      </c>
      <c r="B2729" s="1" t="n">
        <v>45338</v>
      </c>
      <c r="C2729" s="1" t="n">
        <v>45852</v>
      </c>
      <c r="D2729" t="inlineStr">
        <is>
          <t>VÄSTERNORRLANDS LÄN</t>
        </is>
      </c>
      <c r="E2729" t="inlineStr">
        <is>
          <t>SOLLEFTEÅ</t>
        </is>
      </c>
      <c r="F2729" t="inlineStr">
        <is>
          <t>Holmen skog AB</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6480-2024</t>
        </is>
      </c>
      <c r="B2730" s="1" t="n">
        <v>45338</v>
      </c>
      <c r="C2730" s="1" t="n">
        <v>45852</v>
      </c>
      <c r="D2730" t="inlineStr">
        <is>
          <t>VÄSTERNORRLANDS LÄN</t>
        </is>
      </c>
      <c r="E2730" t="inlineStr">
        <is>
          <t>SOLLEFTEÅ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6633-2024</t>
        </is>
      </c>
      <c r="B2731" s="1" t="n">
        <v>45341</v>
      </c>
      <c r="C2731" s="1" t="n">
        <v>45852</v>
      </c>
      <c r="D2731" t="inlineStr">
        <is>
          <t>VÄSTERNORRLANDS LÄN</t>
        </is>
      </c>
      <c r="E2731" t="inlineStr">
        <is>
          <t>SOLLEFTEÅ</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6692-2024</t>
        </is>
      </c>
      <c r="B2732" s="1" t="n">
        <v>45341</v>
      </c>
      <c r="C2732" s="1" t="n">
        <v>45852</v>
      </c>
      <c r="D2732" t="inlineStr">
        <is>
          <t>VÄSTERNORRLANDS LÄN</t>
        </is>
      </c>
      <c r="E2732" t="inlineStr">
        <is>
          <t>SOLLEFTEÅ</t>
        </is>
      </c>
      <c r="F2732" t="inlineStr">
        <is>
          <t>SCA</t>
        </is>
      </c>
      <c r="G2732" t="n">
        <v>15.4</v>
      </c>
      <c r="H2732" t="n">
        <v>0</v>
      </c>
      <c r="I2732" t="n">
        <v>0</v>
      </c>
      <c r="J2732" t="n">
        <v>0</v>
      </c>
      <c r="K2732" t="n">
        <v>0</v>
      </c>
      <c r="L2732" t="n">
        <v>0</v>
      </c>
      <c r="M2732" t="n">
        <v>0</v>
      </c>
      <c r="N2732" t="n">
        <v>0</v>
      </c>
      <c r="O2732" t="n">
        <v>0</v>
      </c>
      <c r="P2732" t="n">
        <v>0</v>
      </c>
      <c r="Q2732" t="n">
        <v>0</v>
      </c>
      <c r="R2732" s="2" t="inlineStr"/>
    </row>
    <row r="2733" ht="15" customHeight="1">
      <c r="A2733" t="inlineStr">
        <is>
          <t>A 6700-2024</t>
        </is>
      </c>
      <c r="B2733" s="1" t="n">
        <v>45341</v>
      </c>
      <c r="C2733" s="1" t="n">
        <v>45852</v>
      </c>
      <c r="D2733" t="inlineStr">
        <is>
          <t>VÄSTERNORRLANDS LÄN</t>
        </is>
      </c>
      <c r="E2733" t="inlineStr">
        <is>
          <t>SOLLEFTEÅ</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6799-2024</t>
        </is>
      </c>
      <c r="B2734" s="1" t="n">
        <v>45342</v>
      </c>
      <c r="C2734" s="1" t="n">
        <v>45852</v>
      </c>
      <c r="D2734" t="inlineStr">
        <is>
          <t>VÄSTERNORRLANDS LÄN</t>
        </is>
      </c>
      <c r="E2734" t="inlineStr">
        <is>
          <t>SOLLEFTEÅ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6857-2024</t>
        </is>
      </c>
      <c r="B2735" s="1" t="n">
        <v>45342</v>
      </c>
      <c r="C2735" s="1" t="n">
        <v>45852</v>
      </c>
      <c r="D2735" t="inlineStr">
        <is>
          <t>VÄSTERNORRLANDS LÄN</t>
        </is>
      </c>
      <c r="E2735" t="inlineStr">
        <is>
          <t>SOLLEFTEÅ</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6816-2024</t>
        </is>
      </c>
      <c r="B2736" s="1" t="n">
        <v>45342</v>
      </c>
      <c r="C2736" s="1" t="n">
        <v>45852</v>
      </c>
      <c r="D2736" t="inlineStr">
        <is>
          <t>VÄSTERNORRLANDS LÄN</t>
        </is>
      </c>
      <c r="E2736" t="inlineStr">
        <is>
          <t>SOLLEFTEÅ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6891-2024</t>
        </is>
      </c>
      <c r="B2737" s="1" t="n">
        <v>45342</v>
      </c>
      <c r="C2737" s="1" t="n">
        <v>45852</v>
      </c>
      <c r="D2737" t="inlineStr">
        <is>
          <t>VÄSTERNORRLANDS LÄN</t>
        </is>
      </c>
      <c r="E2737" t="inlineStr">
        <is>
          <t>SOLLEFTEÅ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6909-2024</t>
        </is>
      </c>
      <c r="B2738" s="1" t="n">
        <v>45342</v>
      </c>
      <c r="C2738" s="1" t="n">
        <v>45852</v>
      </c>
      <c r="D2738" t="inlineStr">
        <is>
          <t>VÄSTERNORRLANDS LÄN</t>
        </is>
      </c>
      <c r="E2738" t="inlineStr">
        <is>
          <t>SOLLEFTEÅ</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6932-2024</t>
        </is>
      </c>
      <c r="B2739" s="1" t="n">
        <v>45343</v>
      </c>
      <c r="C2739" s="1" t="n">
        <v>45852</v>
      </c>
      <c r="D2739" t="inlineStr">
        <is>
          <t>VÄSTERNORRLANDS LÄN</t>
        </is>
      </c>
      <c r="E2739" t="inlineStr">
        <is>
          <t>SOLLEFTEÅ</t>
        </is>
      </c>
      <c r="G2739" t="n">
        <v>10.2</v>
      </c>
      <c r="H2739" t="n">
        <v>0</v>
      </c>
      <c r="I2739" t="n">
        <v>0</v>
      </c>
      <c r="J2739" t="n">
        <v>0</v>
      </c>
      <c r="K2739" t="n">
        <v>0</v>
      </c>
      <c r="L2739" t="n">
        <v>0</v>
      </c>
      <c r="M2739" t="n">
        <v>0</v>
      </c>
      <c r="N2739" t="n">
        <v>0</v>
      </c>
      <c r="O2739" t="n">
        <v>0</v>
      </c>
      <c r="P2739" t="n">
        <v>0</v>
      </c>
      <c r="Q2739" t="n">
        <v>0</v>
      </c>
      <c r="R2739" s="2" t="inlineStr"/>
    </row>
    <row r="2740" ht="15" customHeight="1">
      <c r="A2740" t="inlineStr">
        <is>
          <t>A 6934-2024</t>
        </is>
      </c>
      <c r="B2740" s="1" t="n">
        <v>45343</v>
      </c>
      <c r="C2740" s="1" t="n">
        <v>45852</v>
      </c>
      <c r="D2740" t="inlineStr">
        <is>
          <t>VÄSTERNORRLANDS LÄN</t>
        </is>
      </c>
      <c r="E2740" t="inlineStr">
        <is>
          <t>SOLLEFTEÅ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7001-2024</t>
        </is>
      </c>
      <c r="B2741" s="1" t="n">
        <v>45343</v>
      </c>
      <c r="C2741" s="1" t="n">
        <v>45852</v>
      </c>
      <c r="D2741" t="inlineStr">
        <is>
          <t>VÄSTERNORRLANDS LÄN</t>
        </is>
      </c>
      <c r="E2741" t="inlineStr">
        <is>
          <t>SOLLEFTEÅ</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7107-2024</t>
        </is>
      </c>
      <c r="B2742" s="1" t="n">
        <v>45343</v>
      </c>
      <c r="C2742" s="1" t="n">
        <v>45852</v>
      </c>
      <c r="D2742" t="inlineStr">
        <is>
          <t>VÄSTERNORRLANDS LÄN</t>
        </is>
      </c>
      <c r="E2742" t="inlineStr">
        <is>
          <t>SOLLEFTEÅ</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7113-2024</t>
        </is>
      </c>
      <c r="B2743" s="1" t="n">
        <v>45343</v>
      </c>
      <c r="C2743" s="1" t="n">
        <v>45852</v>
      </c>
      <c r="D2743" t="inlineStr">
        <is>
          <t>VÄSTERNORRLANDS LÄN</t>
        </is>
      </c>
      <c r="E2743" t="inlineStr">
        <is>
          <t>SOLLEFTEÅ</t>
        </is>
      </c>
      <c r="F2743" t="inlineStr">
        <is>
          <t>SCA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7106-2024</t>
        </is>
      </c>
      <c r="B2744" s="1" t="n">
        <v>45343</v>
      </c>
      <c r="C2744" s="1" t="n">
        <v>45852</v>
      </c>
      <c r="D2744" t="inlineStr">
        <is>
          <t>VÄSTERNORRLANDS LÄN</t>
        </is>
      </c>
      <c r="E2744" t="inlineStr">
        <is>
          <t>SOLLEFTEÅ</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7257-2024</t>
        </is>
      </c>
      <c r="B2745" s="1" t="n">
        <v>45344</v>
      </c>
      <c r="C2745" s="1" t="n">
        <v>45852</v>
      </c>
      <c r="D2745" t="inlineStr">
        <is>
          <t>VÄSTERNORRLANDS LÄN</t>
        </is>
      </c>
      <c r="E2745" t="inlineStr">
        <is>
          <t>SOLLEFTEÅ</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7261-2024</t>
        </is>
      </c>
      <c r="B2746" s="1" t="n">
        <v>45344</v>
      </c>
      <c r="C2746" s="1" t="n">
        <v>45852</v>
      </c>
      <c r="D2746" t="inlineStr">
        <is>
          <t>VÄSTERNORRLANDS LÄN</t>
        </is>
      </c>
      <c r="E2746" t="inlineStr">
        <is>
          <t>SOLLEFTEÅ</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7295-2024</t>
        </is>
      </c>
      <c r="B2747" s="1" t="n">
        <v>45344</v>
      </c>
      <c r="C2747" s="1" t="n">
        <v>45852</v>
      </c>
      <c r="D2747" t="inlineStr">
        <is>
          <t>VÄSTERNORRLANDS LÄN</t>
        </is>
      </c>
      <c r="E2747" t="inlineStr">
        <is>
          <t>SOLLEFTEÅ</t>
        </is>
      </c>
      <c r="F2747" t="inlineStr">
        <is>
          <t>SCA</t>
        </is>
      </c>
      <c r="G2747" t="n">
        <v>16.7</v>
      </c>
      <c r="H2747" t="n">
        <v>0</v>
      </c>
      <c r="I2747" t="n">
        <v>0</v>
      </c>
      <c r="J2747" t="n">
        <v>0</v>
      </c>
      <c r="K2747" t="n">
        <v>0</v>
      </c>
      <c r="L2747" t="n">
        <v>0</v>
      </c>
      <c r="M2747" t="n">
        <v>0</v>
      </c>
      <c r="N2747" t="n">
        <v>0</v>
      </c>
      <c r="O2747" t="n">
        <v>0</v>
      </c>
      <c r="P2747" t="n">
        <v>0</v>
      </c>
      <c r="Q2747" t="n">
        <v>0</v>
      </c>
      <c r="R2747" s="2" t="inlineStr"/>
    </row>
    <row r="2748" ht="15" customHeight="1">
      <c r="A2748" t="inlineStr">
        <is>
          <t>A 7234-2024</t>
        </is>
      </c>
      <c r="B2748" s="1" t="n">
        <v>45344</v>
      </c>
      <c r="C2748" s="1" t="n">
        <v>45852</v>
      </c>
      <c r="D2748" t="inlineStr">
        <is>
          <t>VÄSTERNORRLANDS LÄN</t>
        </is>
      </c>
      <c r="E2748" t="inlineStr">
        <is>
          <t>SOLLEFTEÅ</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7258-2024</t>
        </is>
      </c>
      <c r="B2749" s="1" t="n">
        <v>45344</v>
      </c>
      <c r="C2749" s="1" t="n">
        <v>45852</v>
      </c>
      <c r="D2749" t="inlineStr">
        <is>
          <t>VÄSTERNORRLANDS LÄN</t>
        </is>
      </c>
      <c r="E2749" t="inlineStr">
        <is>
          <t>SOLLEFTEÅ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7294-2024</t>
        </is>
      </c>
      <c r="B2750" s="1" t="n">
        <v>45344</v>
      </c>
      <c r="C2750" s="1" t="n">
        <v>45852</v>
      </c>
      <c r="D2750" t="inlineStr">
        <is>
          <t>VÄSTERNORRLANDS LÄN</t>
        </is>
      </c>
      <c r="E2750" t="inlineStr">
        <is>
          <t>SOLLEFTEÅ</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7463-2024</t>
        </is>
      </c>
      <c r="B2751" s="1" t="n">
        <v>45345</v>
      </c>
      <c r="C2751" s="1" t="n">
        <v>45852</v>
      </c>
      <c r="D2751" t="inlineStr">
        <is>
          <t>VÄSTERNORRLANDS LÄN</t>
        </is>
      </c>
      <c r="E2751" t="inlineStr">
        <is>
          <t>SOLLEFTEÅ</t>
        </is>
      </c>
      <c r="F2751" t="inlineStr">
        <is>
          <t>SCA</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7467-2024</t>
        </is>
      </c>
      <c r="B2752" s="1" t="n">
        <v>45345</v>
      </c>
      <c r="C2752" s="1" t="n">
        <v>45852</v>
      </c>
      <c r="D2752" t="inlineStr">
        <is>
          <t>VÄSTERNORRLANDS LÄN</t>
        </is>
      </c>
      <c r="E2752" t="inlineStr">
        <is>
          <t>SOLLEFTEÅ</t>
        </is>
      </c>
      <c r="F2752" t="inlineStr">
        <is>
          <t>SCA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7464-2024</t>
        </is>
      </c>
      <c r="B2753" s="1" t="n">
        <v>45345</v>
      </c>
      <c r="C2753" s="1" t="n">
        <v>45852</v>
      </c>
      <c r="D2753" t="inlineStr">
        <is>
          <t>VÄSTERNORRLANDS LÄN</t>
        </is>
      </c>
      <c r="E2753" t="inlineStr">
        <is>
          <t>SOLLEFTEÅ</t>
        </is>
      </c>
      <c r="F2753" t="inlineStr">
        <is>
          <t>SCA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7475-2024</t>
        </is>
      </c>
      <c r="B2754" s="1" t="n">
        <v>45345</v>
      </c>
      <c r="C2754" s="1" t="n">
        <v>45852</v>
      </c>
      <c r="D2754" t="inlineStr">
        <is>
          <t>VÄSTERNORRLANDS LÄN</t>
        </is>
      </c>
      <c r="E2754" t="inlineStr">
        <is>
          <t>SOLLEFTEÅ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7462-2024</t>
        </is>
      </c>
      <c r="B2755" s="1" t="n">
        <v>45345</v>
      </c>
      <c r="C2755" s="1" t="n">
        <v>45852</v>
      </c>
      <c r="D2755" t="inlineStr">
        <is>
          <t>VÄSTERNORRLANDS LÄN</t>
        </is>
      </c>
      <c r="E2755" t="inlineStr">
        <is>
          <t>SOLLEFTEÅ</t>
        </is>
      </c>
      <c r="F2755" t="inlineStr">
        <is>
          <t>SCA</t>
        </is>
      </c>
      <c r="G2755" t="n">
        <v>42.1</v>
      </c>
      <c r="H2755" t="n">
        <v>0</v>
      </c>
      <c r="I2755" t="n">
        <v>0</v>
      </c>
      <c r="J2755" t="n">
        <v>0</v>
      </c>
      <c r="K2755" t="n">
        <v>0</v>
      </c>
      <c r="L2755" t="n">
        <v>0</v>
      </c>
      <c r="M2755" t="n">
        <v>0</v>
      </c>
      <c r="N2755" t="n">
        <v>0</v>
      </c>
      <c r="O2755" t="n">
        <v>0</v>
      </c>
      <c r="P2755" t="n">
        <v>0</v>
      </c>
      <c r="Q2755" t="n">
        <v>0</v>
      </c>
      <c r="R2755" s="2" t="inlineStr"/>
    </row>
    <row r="2756" ht="15" customHeight="1">
      <c r="A2756" t="inlineStr">
        <is>
          <t>A 7585-2024</t>
        </is>
      </c>
      <c r="B2756" s="1" t="n">
        <v>45348</v>
      </c>
      <c r="C2756" s="1" t="n">
        <v>45852</v>
      </c>
      <c r="D2756" t="inlineStr">
        <is>
          <t>VÄSTERNORRLANDS LÄN</t>
        </is>
      </c>
      <c r="E2756" t="inlineStr">
        <is>
          <t>SOLLEFTEÅ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7704-2024</t>
        </is>
      </c>
      <c r="B2757" s="1" t="n">
        <v>45349</v>
      </c>
      <c r="C2757" s="1" t="n">
        <v>45852</v>
      </c>
      <c r="D2757" t="inlineStr">
        <is>
          <t>VÄSTERNORRLANDS LÄN</t>
        </is>
      </c>
      <c r="E2757" t="inlineStr">
        <is>
          <t>SOLLEFTEÅ</t>
        </is>
      </c>
      <c r="G2757" t="n">
        <v>12.2</v>
      </c>
      <c r="H2757" t="n">
        <v>0</v>
      </c>
      <c r="I2757" t="n">
        <v>0</v>
      </c>
      <c r="J2757" t="n">
        <v>0</v>
      </c>
      <c r="K2757" t="n">
        <v>0</v>
      </c>
      <c r="L2757" t="n">
        <v>0</v>
      </c>
      <c r="M2757" t="n">
        <v>0</v>
      </c>
      <c r="N2757" t="n">
        <v>0</v>
      </c>
      <c r="O2757" t="n">
        <v>0</v>
      </c>
      <c r="P2757" t="n">
        <v>0</v>
      </c>
      <c r="Q2757" t="n">
        <v>0</v>
      </c>
      <c r="R2757" s="2" t="inlineStr"/>
    </row>
    <row r="2758" ht="15" customHeight="1">
      <c r="A2758" t="inlineStr">
        <is>
          <t>A 7809-2024</t>
        </is>
      </c>
      <c r="B2758" s="1" t="n">
        <v>45349</v>
      </c>
      <c r="C2758" s="1" t="n">
        <v>45852</v>
      </c>
      <c r="D2758" t="inlineStr">
        <is>
          <t>VÄSTERNORRLANDS LÄN</t>
        </is>
      </c>
      <c r="E2758" t="inlineStr">
        <is>
          <t>SOLLEFTEÅ</t>
        </is>
      </c>
      <c r="G2758" t="n">
        <v>23.2</v>
      </c>
      <c r="H2758" t="n">
        <v>0</v>
      </c>
      <c r="I2758" t="n">
        <v>0</v>
      </c>
      <c r="J2758" t="n">
        <v>0</v>
      </c>
      <c r="K2758" t="n">
        <v>0</v>
      </c>
      <c r="L2758" t="n">
        <v>0</v>
      </c>
      <c r="M2758" t="n">
        <v>0</v>
      </c>
      <c r="N2758" t="n">
        <v>0</v>
      </c>
      <c r="O2758" t="n">
        <v>0</v>
      </c>
      <c r="P2758" t="n">
        <v>0</v>
      </c>
      <c r="Q2758" t="n">
        <v>0</v>
      </c>
      <c r="R2758" s="2" t="inlineStr"/>
    </row>
    <row r="2759" ht="15" customHeight="1">
      <c r="A2759" t="inlineStr">
        <is>
          <t>A 7825-2024</t>
        </is>
      </c>
      <c r="B2759" s="1" t="n">
        <v>45349</v>
      </c>
      <c r="C2759" s="1" t="n">
        <v>45852</v>
      </c>
      <c r="D2759" t="inlineStr">
        <is>
          <t>VÄSTERNORRLANDS LÄN</t>
        </is>
      </c>
      <c r="E2759" t="inlineStr">
        <is>
          <t>SOLLEFTEÅ</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7810-2024</t>
        </is>
      </c>
      <c r="B2760" s="1" t="n">
        <v>45349</v>
      </c>
      <c r="C2760" s="1" t="n">
        <v>45852</v>
      </c>
      <c r="D2760" t="inlineStr">
        <is>
          <t>VÄSTERNORRLANDS LÄN</t>
        </is>
      </c>
      <c r="E2760" t="inlineStr">
        <is>
          <t>SOLLEFTEÅ</t>
        </is>
      </c>
      <c r="F2760" t="inlineStr">
        <is>
          <t>Övriga Aktiebolag</t>
        </is>
      </c>
      <c r="G2760" t="n">
        <v>23.6</v>
      </c>
      <c r="H2760" t="n">
        <v>0</v>
      </c>
      <c r="I2760" t="n">
        <v>0</v>
      </c>
      <c r="J2760" t="n">
        <v>0</v>
      </c>
      <c r="K2760" t="n">
        <v>0</v>
      </c>
      <c r="L2760" t="n">
        <v>0</v>
      </c>
      <c r="M2760" t="n">
        <v>0</v>
      </c>
      <c r="N2760" t="n">
        <v>0</v>
      </c>
      <c r="O2760" t="n">
        <v>0</v>
      </c>
      <c r="P2760" t="n">
        <v>0</v>
      </c>
      <c r="Q2760" t="n">
        <v>0</v>
      </c>
      <c r="R2760" s="2" t="inlineStr"/>
    </row>
    <row r="2761" ht="15" customHeight="1">
      <c r="A2761" t="inlineStr">
        <is>
          <t>A 7858-2024</t>
        </is>
      </c>
      <c r="B2761" s="1" t="n">
        <v>45350</v>
      </c>
      <c r="C2761" s="1" t="n">
        <v>45852</v>
      </c>
      <c r="D2761" t="inlineStr">
        <is>
          <t>VÄSTERNORRLANDS LÄN</t>
        </is>
      </c>
      <c r="E2761" t="inlineStr">
        <is>
          <t>SOLLEFTEÅ</t>
        </is>
      </c>
      <c r="F2761" t="inlineStr">
        <is>
          <t>SCA</t>
        </is>
      </c>
      <c r="G2761" t="n">
        <v>38.8</v>
      </c>
      <c r="H2761" t="n">
        <v>0</v>
      </c>
      <c r="I2761" t="n">
        <v>0</v>
      </c>
      <c r="J2761" t="n">
        <v>0</v>
      </c>
      <c r="K2761" t="n">
        <v>0</v>
      </c>
      <c r="L2761" t="n">
        <v>0</v>
      </c>
      <c r="M2761" t="n">
        <v>0</v>
      </c>
      <c r="N2761" t="n">
        <v>0</v>
      </c>
      <c r="O2761" t="n">
        <v>0</v>
      </c>
      <c r="P2761" t="n">
        <v>0</v>
      </c>
      <c r="Q2761" t="n">
        <v>0</v>
      </c>
      <c r="R2761" s="2" t="inlineStr"/>
    </row>
    <row r="2762" ht="15" customHeight="1">
      <c r="A2762" t="inlineStr">
        <is>
          <t>A 8033-2024</t>
        </is>
      </c>
      <c r="B2762" s="1" t="n">
        <v>45350</v>
      </c>
      <c r="C2762" s="1" t="n">
        <v>45852</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8038-2024</t>
        </is>
      </c>
      <c r="B2763" s="1" t="n">
        <v>45350</v>
      </c>
      <c r="C2763" s="1" t="n">
        <v>45852</v>
      </c>
      <c r="D2763" t="inlineStr">
        <is>
          <t>VÄSTERNORRLANDS LÄN</t>
        </is>
      </c>
      <c r="E2763" t="inlineStr">
        <is>
          <t>SOLLEFTEÅ</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8039-2024</t>
        </is>
      </c>
      <c r="B2764" s="1" t="n">
        <v>45350</v>
      </c>
      <c r="C2764" s="1" t="n">
        <v>45852</v>
      </c>
      <c r="D2764" t="inlineStr">
        <is>
          <t>VÄSTERNORRLANDS LÄN</t>
        </is>
      </c>
      <c r="E2764" t="inlineStr">
        <is>
          <t>SOLLEFTEÅ</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8236-2024</t>
        </is>
      </c>
      <c r="B2765" s="1" t="n">
        <v>45352</v>
      </c>
      <c r="C2765" s="1" t="n">
        <v>45852</v>
      </c>
      <c r="D2765" t="inlineStr">
        <is>
          <t>VÄSTERNORRLANDS LÄN</t>
        </is>
      </c>
      <c r="E2765" t="inlineStr">
        <is>
          <t>SOLLEFTEÅ</t>
        </is>
      </c>
      <c r="F2765" t="inlineStr">
        <is>
          <t>SCA</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8244-2024</t>
        </is>
      </c>
      <c r="B2766" s="1" t="n">
        <v>45351</v>
      </c>
      <c r="C2766" s="1" t="n">
        <v>45852</v>
      </c>
      <c r="D2766" t="inlineStr">
        <is>
          <t>VÄSTERNORRLANDS LÄN</t>
        </is>
      </c>
      <c r="E2766" t="inlineStr">
        <is>
          <t>SOLLEFTEÅ</t>
        </is>
      </c>
      <c r="F2766" t="inlineStr">
        <is>
          <t>SCA</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8234-2024</t>
        </is>
      </c>
      <c r="B2767" s="1" t="n">
        <v>45352</v>
      </c>
      <c r="C2767" s="1" t="n">
        <v>45852</v>
      </c>
      <c r="D2767" t="inlineStr">
        <is>
          <t>VÄSTERNORRLANDS LÄN</t>
        </is>
      </c>
      <c r="E2767" t="inlineStr">
        <is>
          <t>SOLLEFTEÅ</t>
        </is>
      </c>
      <c r="F2767" t="inlineStr">
        <is>
          <t>SCA</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8235-2024</t>
        </is>
      </c>
      <c r="B2768" s="1" t="n">
        <v>45352</v>
      </c>
      <c r="C2768" s="1" t="n">
        <v>45852</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8414-2024</t>
        </is>
      </c>
      <c r="B2769" s="1" t="n">
        <v>45352</v>
      </c>
      <c r="C2769" s="1" t="n">
        <v>45852</v>
      </c>
      <c r="D2769" t="inlineStr">
        <is>
          <t>VÄSTERNORRLANDS LÄN</t>
        </is>
      </c>
      <c r="E2769" t="inlineStr">
        <is>
          <t>SOLLEFTEÅ</t>
        </is>
      </c>
      <c r="F2769" t="inlineStr">
        <is>
          <t>SCA</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8608-2024</t>
        </is>
      </c>
      <c r="B2770" s="1" t="n">
        <v>45355</v>
      </c>
      <c r="C2770" s="1" t="n">
        <v>45852</v>
      </c>
      <c r="D2770" t="inlineStr">
        <is>
          <t>VÄSTERNORRLANDS LÄN</t>
        </is>
      </c>
      <c r="E2770" t="inlineStr">
        <is>
          <t>SOLLEFTEÅ</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8918-2024</t>
        </is>
      </c>
      <c r="B2771" s="1" t="n">
        <v>45355</v>
      </c>
      <c r="C2771" s="1" t="n">
        <v>45852</v>
      </c>
      <c r="D2771" t="inlineStr">
        <is>
          <t>VÄSTERNORRLANDS LÄN</t>
        </is>
      </c>
      <c r="E2771" t="inlineStr">
        <is>
          <t>SOLLEFTEÅ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8653-2024</t>
        </is>
      </c>
      <c r="B2772" s="1" t="n">
        <v>45356</v>
      </c>
      <c r="C2772" s="1" t="n">
        <v>45852</v>
      </c>
      <c r="D2772" t="inlineStr">
        <is>
          <t>VÄSTERNORRLANDS LÄN</t>
        </is>
      </c>
      <c r="E2772" t="inlineStr">
        <is>
          <t>SOLLEFTEÅ</t>
        </is>
      </c>
      <c r="F2772" t="inlineStr">
        <is>
          <t>SCA</t>
        </is>
      </c>
      <c r="G2772" t="n">
        <v>67.8</v>
      </c>
      <c r="H2772" t="n">
        <v>0</v>
      </c>
      <c r="I2772" t="n">
        <v>0</v>
      </c>
      <c r="J2772" t="n">
        <v>0</v>
      </c>
      <c r="K2772" t="n">
        <v>0</v>
      </c>
      <c r="L2772" t="n">
        <v>0</v>
      </c>
      <c r="M2772" t="n">
        <v>0</v>
      </c>
      <c r="N2772" t="n">
        <v>0</v>
      </c>
      <c r="O2772" t="n">
        <v>0</v>
      </c>
      <c r="P2772" t="n">
        <v>0</v>
      </c>
      <c r="Q2772" t="n">
        <v>0</v>
      </c>
      <c r="R2772" s="2" t="inlineStr"/>
    </row>
    <row r="2773" ht="15" customHeight="1">
      <c r="A2773" t="inlineStr">
        <is>
          <t>A 8636-2024</t>
        </is>
      </c>
      <c r="B2773" s="1" t="n">
        <v>45356</v>
      </c>
      <c r="C2773" s="1" t="n">
        <v>45852</v>
      </c>
      <c r="D2773" t="inlineStr">
        <is>
          <t>VÄSTERNORRLANDS LÄN</t>
        </is>
      </c>
      <c r="E2773" t="inlineStr">
        <is>
          <t>SOLLEFTEÅ</t>
        </is>
      </c>
      <c r="F2773" t="inlineStr">
        <is>
          <t>SCA</t>
        </is>
      </c>
      <c r="G2773" t="n">
        <v>31.3</v>
      </c>
      <c r="H2773" t="n">
        <v>0</v>
      </c>
      <c r="I2773" t="n">
        <v>0</v>
      </c>
      <c r="J2773" t="n">
        <v>0</v>
      </c>
      <c r="K2773" t="n">
        <v>0</v>
      </c>
      <c r="L2773" t="n">
        <v>0</v>
      </c>
      <c r="M2773" t="n">
        <v>0</v>
      </c>
      <c r="N2773" t="n">
        <v>0</v>
      </c>
      <c r="O2773" t="n">
        <v>0</v>
      </c>
      <c r="P2773" t="n">
        <v>0</v>
      </c>
      <c r="Q2773" t="n">
        <v>0</v>
      </c>
      <c r="R2773" s="2" t="inlineStr"/>
    </row>
    <row r="2774" ht="15" customHeight="1">
      <c r="A2774" t="inlineStr">
        <is>
          <t>A 8729-2024</t>
        </is>
      </c>
      <c r="B2774" s="1" t="n">
        <v>45356</v>
      </c>
      <c r="C2774" s="1" t="n">
        <v>45852</v>
      </c>
      <c r="D2774" t="inlineStr">
        <is>
          <t>VÄSTERNORRLANDS LÄN</t>
        </is>
      </c>
      <c r="E2774" t="inlineStr">
        <is>
          <t>SOLLEFTEÅ</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8652-2024</t>
        </is>
      </c>
      <c r="B2775" s="1" t="n">
        <v>45356</v>
      </c>
      <c r="C2775" s="1" t="n">
        <v>45852</v>
      </c>
      <c r="D2775" t="inlineStr">
        <is>
          <t>VÄSTERNORRLANDS LÄN</t>
        </is>
      </c>
      <c r="E2775" t="inlineStr">
        <is>
          <t>SOLLEFTEÅ</t>
        </is>
      </c>
      <c r="F2775" t="inlineStr">
        <is>
          <t>SCA</t>
        </is>
      </c>
      <c r="G2775" t="n">
        <v>38.6</v>
      </c>
      <c r="H2775" t="n">
        <v>0</v>
      </c>
      <c r="I2775" t="n">
        <v>0</v>
      </c>
      <c r="J2775" t="n">
        <v>0</v>
      </c>
      <c r="K2775" t="n">
        <v>0</v>
      </c>
      <c r="L2775" t="n">
        <v>0</v>
      </c>
      <c r="M2775" t="n">
        <v>0</v>
      </c>
      <c r="N2775" t="n">
        <v>0</v>
      </c>
      <c r="O2775" t="n">
        <v>0</v>
      </c>
      <c r="P2775" t="n">
        <v>0</v>
      </c>
      <c r="Q2775" t="n">
        <v>0</v>
      </c>
      <c r="R2775" s="2" t="inlineStr"/>
    </row>
    <row r="2776" ht="15" customHeight="1">
      <c r="A2776" t="inlineStr">
        <is>
          <t>A 8656-2024</t>
        </is>
      </c>
      <c r="B2776" s="1" t="n">
        <v>45356</v>
      </c>
      <c r="C2776" s="1" t="n">
        <v>45852</v>
      </c>
      <c r="D2776" t="inlineStr">
        <is>
          <t>VÄSTERNORRLANDS LÄN</t>
        </is>
      </c>
      <c r="E2776" t="inlineStr">
        <is>
          <t>SOLLEFTEÅ</t>
        </is>
      </c>
      <c r="F2776" t="inlineStr">
        <is>
          <t>SCA</t>
        </is>
      </c>
      <c r="G2776" t="n">
        <v>18.4</v>
      </c>
      <c r="H2776" t="n">
        <v>0</v>
      </c>
      <c r="I2776" t="n">
        <v>0</v>
      </c>
      <c r="J2776" t="n">
        <v>0</v>
      </c>
      <c r="K2776" t="n">
        <v>0</v>
      </c>
      <c r="L2776" t="n">
        <v>0</v>
      </c>
      <c r="M2776" t="n">
        <v>0</v>
      </c>
      <c r="N2776" t="n">
        <v>0</v>
      </c>
      <c r="O2776" t="n">
        <v>0</v>
      </c>
      <c r="P2776" t="n">
        <v>0</v>
      </c>
      <c r="Q2776" t="n">
        <v>0</v>
      </c>
      <c r="R2776" s="2" t="inlineStr"/>
    </row>
    <row r="2777" ht="15" customHeight="1">
      <c r="A2777" t="inlineStr">
        <is>
          <t>A 8885-2024</t>
        </is>
      </c>
      <c r="B2777" s="1" t="n">
        <v>45357</v>
      </c>
      <c r="C2777" s="1" t="n">
        <v>45852</v>
      </c>
      <c r="D2777" t="inlineStr">
        <is>
          <t>VÄSTERNORRLANDS LÄN</t>
        </is>
      </c>
      <c r="E2777" t="inlineStr">
        <is>
          <t>SOLLEFTEÅ</t>
        </is>
      </c>
      <c r="F2777" t="inlineStr">
        <is>
          <t>SCA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9145-2024</t>
        </is>
      </c>
      <c r="B2778" s="1" t="n">
        <v>45357</v>
      </c>
      <c r="C2778" s="1" t="n">
        <v>45852</v>
      </c>
      <c r="D2778" t="inlineStr">
        <is>
          <t>VÄSTERNORRLANDS LÄN</t>
        </is>
      </c>
      <c r="E2778" t="inlineStr">
        <is>
          <t>SOLLEFTEÅ</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9120-2024</t>
        </is>
      </c>
      <c r="B2779" s="1" t="n">
        <v>45358</v>
      </c>
      <c r="C2779" s="1" t="n">
        <v>45852</v>
      </c>
      <c r="D2779" t="inlineStr">
        <is>
          <t>VÄSTERNORRLANDS LÄN</t>
        </is>
      </c>
      <c r="E2779" t="inlineStr">
        <is>
          <t>SOLLEFTEÅ</t>
        </is>
      </c>
      <c r="F2779" t="inlineStr">
        <is>
          <t>SCA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9121-2024</t>
        </is>
      </c>
      <c r="B2780" s="1" t="n">
        <v>45358</v>
      </c>
      <c r="C2780" s="1" t="n">
        <v>45852</v>
      </c>
      <c r="D2780" t="inlineStr">
        <is>
          <t>VÄSTERNORRLANDS LÄN</t>
        </is>
      </c>
      <c r="E2780" t="inlineStr">
        <is>
          <t>SOLLEFTEÅ</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9122-2024</t>
        </is>
      </c>
      <c r="B2781" s="1" t="n">
        <v>45358</v>
      </c>
      <c r="C2781" s="1" t="n">
        <v>45852</v>
      </c>
      <c r="D2781" t="inlineStr">
        <is>
          <t>VÄSTERNORRLANDS LÄN</t>
        </is>
      </c>
      <c r="E2781" t="inlineStr">
        <is>
          <t>SOLLEFTEÅ</t>
        </is>
      </c>
      <c r="F2781" t="inlineStr">
        <is>
          <t>SCA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9306-2024</t>
        </is>
      </c>
      <c r="B2782" s="1" t="n">
        <v>45358</v>
      </c>
      <c r="C2782" s="1" t="n">
        <v>45852</v>
      </c>
      <c r="D2782" t="inlineStr">
        <is>
          <t>VÄSTERNORRLANDS LÄN</t>
        </is>
      </c>
      <c r="E2782" t="inlineStr">
        <is>
          <t>SOLLEFTEÅ</t>
        </is>
      </c>
      <c r="G2782" t="n">
        <v>19.6</v>
      </c>
      <c r="H2782" t="n">
        <v>0</v>
      </c>
      <c r="I2782" t="n">
        <v>0</v>
      </c>
      <c r="J2782" t="n">
        <v>0</v>
      </c>
      <c r="K2782" t="n">
        <v>0</v>
      </c>
      <c r="L2782" t="n">
        <v>0</v>
      </c>
      <c r="M2782" t="n">
        <v>0</v>
      </c>
      <c r="N2782" t="n">
        <v>0</v>
      </c>
      <c r="O2782" t="n">
        <v>0</v>
      </c>
      <c r="P2782" t="n">
        <v>0</v>
      </c>
      <c r="Q2782" t="n">
        <v>0</v>
      </c>
      <c r="R2782" s="2" t="inlineStr"/>
    </row>
    <row r="2783" ht="15" customHeight="1">
      <c r="A2783" t="inlineStr">
        <is>
          <t>A 9342-2024</t>
        </is>
      </c>
      <c r="B2783" s="1" t="n">
        <v>45359</v>
      </c>
      <c r="C2783" s="1" t="n">
        <v>45852</v>
      </c>
      <c r="D2783" t="inlineStr">
        <is>
          <t>VÄSTERNORRLANDS LÄN</t>
        </is>
      </c>
      <c r="E2783" t="inlineStr">
        <is>
          <t>SOLLEFTEÅ</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9346-2024</t>
        </is>
      </c>
      <c r="B2784" s="1" t="n">
        <v>45359</v>
      </c>
      <c r="C2784" s="1" t="n">
        <v>45852</v>
      </c>
      <c r="D2784" t="inlineStr">
        <is>
          <t>VÄSTERNORRLANDS LÄN</t>
        </is>
      </c>
      <c r="E2784" t="inlineStr">
        <is>
          <t>SOLLEFTEÅ</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9304-2024</t>
        </is>
      </c>
      <c r="B2785" s="1" t="n">
        <v>45358</v>
      </c>
      <c r="C2785" s="1" t="n">
        <v>45852</v>
      </c>
      <c r="D2785" t="inlineStr">
        <is>
          <t>VÄSTERNORRLANDS LÄN</t>
        </is>
      </c>
      <c r="E2785" t="inlineStr">
        <is>
          <t>SOLLEFTEÅ</t>
        </is>
      </c>
      <c r="G2785" t="n">
        <v>30.7</v>
      </c>
      <c r="H2785" t="n">
        <v>0</v>
      </c>
      <c r="I2785" t="n">
        <v>0</v>
      </c>
      <c r="J2785" t="n">
        <v>0</v>
      </c>
      <c r="K2785" t="n">
        <v>0</v>
      </c>
      <c r="L2785" t="n">
        <v>0</v>
      </c>
      <c r="M2785" t="n">
        <v>0</v>
      </c>
      <c r="N2785" t="n">
        <v>0</v>
      </c>
      <c r="O2785" t="n">
        <v>0</v>
      </c>
      <c r="P2785" t="n">
        <v>0</v>
      </c>
      <c r="Q2785" t="n">
        <v>0</v>
      </c>
      <c r="R2785" s="2" t="inlineStr"/>
    </row>
    <row r="2786" ht="15" customHeight="1">
      <c r="A2786" t="inlineStr">
        <is>
          <t>A 9328-2024</t>
        </is>
      </c>
      <c r="B2786" s="1" t="n">
        <v>45359</v>
      </c>
      <c r="C2786" s="1" t="n">
        <v>45852</v>
      </c>
      <c r="D2786" t="inlineStr">
        <is>
          <t>VÄSTERNORRLANDS LÄN</t>
        </is>
      </c>
      <c r="E2786" t="inlineStr">
        <is>
          <t>SOLLEFTEÅ</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9309-2024</t>
        </is>
      </c>
      <c r="B2787" s="1" t="n">
        <v>45358</v>
      </c>
      <c r="C2787" s="1" t="n">
        <v>45852</v>
      </c>
      <c r="D2787" t="inlineStr">
        <is>
          <t>VÄSTERNORRLANDS LÄN</t>
        </is>
      </c>
      <c r="E2787" t="inlineStr">
        <is>
          <t>SOLLEFTEÅ</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9339-2024</t>
        </is>
      </c>
      <c r="B2788" s="1" t="n">
        <v>45358</v>
      </c>
      <c r="C2788" s="1" t="n">
        <v>45852</v>
      </c>
      <c r="D2788" t="inlineStr">
        <is>
          <t>VÄSTERNORRLANDS LÄN</t>
        </is>
      </c>
      <c r="E2788" t="inlineStr">
        <is>
          <t>SOLLEFTEÅ</t>
        </is>
      </c>
      <c r="F2788" t="inlineStr">
        <is>
          <t>SCA</t>
        </is>
      </c>
      <c r="G2788" t="n">
        <v>13.2</v>
      </c>
      <c r="H2788" t="n">
        <v>0</v>
      </c>
      <c r="I2788" t="n">
        <v>0</v>
      </c>
      <c r="J2788" t="n">
        <v>0</v>
      </c>
      <c r="K2788" t="n">
        <v>0</v>
      </c>
      <c r="L2788" t="n">
        <v>0</v>
      </c>
      <c r="M2788" t="n">
        <v>0</v>
      </c>
      <c r="N2788" t="n">
        <v>0</v>
      </c>
      <c r="O2788" t="n">
        <v>0</v>
      </c>
      <c r="P2788" t="n">
        <v>0</v>
      </c>
      <c r="Q2788" t="n">
        <v>0</v>
      </c>
      <c r="R2788" s="2" t="inlineStr"/>
    </row>
    <row r="2789" ht="15" customHeight="1">
      <c r="A2789" t="inlineStr">
        <is>
          <t>A 9341-2024</t>
        </is>
      </c>
      <c r="B2789" s="1" t="n">
        <v>45358</v>
      </c>
      <c r="C2789" s="1" t="n">
        <v>45852</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9340-2024</t>
        </is>
      </c>
      <c r="B2790" s="1" t="n">
        <v>45359</v>
      </c>
      <c r="C2790" s="1" t="n">
        <v>45852</v>
      </c>
      <c r="D2790" t="inlineStr">
        <is>
          <t>VÄSTERNORRLANDS LÄN</t>
        </is>
      </c>
      <c r="E2790" t="inlineStr">
        <is>
          <t>SOLLEFTEÅ</t>
        </is>
      </c>
      <c r="F2790" t="inlineStr">
        <is>
          <t>SCA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9555-2024</t>
        </is>
      </c>
      <c r="B2791" s="1" t="n">
        <v>45360</v>
      </c>
      <c r="C2791" s="1" t="n">
        <v>45852</v>
      </c>
      <c r="D2791" t="inlineStr">
        <is>
          <t>VÄSTERNORRLANDS LÄN</t>
        </is>
      </c>
      <c r="E2791" t="inlineStr">
        <is>
          <t>SOLLEFTEÅ</t>
        </is>
      </c>
      <c r="F2791" t="inlineStr">
        <is>
          <t>SCA</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9557-2024</t>
        </is>
      </c>
      <c r="B2792" s="1" t="n">
        <v>45360</v>
      </c>
      <c r="C2792" s="1" t="n">
        <v>45852</v>
      </c>
      <c r="D2792" t="inlineStr">
        <is>
          <t>VÄSTERNORRLANDS LÄN</t>
        </is>
      </c>
      <c r="E2792" t="inlineStr">
        <is>
          <t>SOLLEFTEÅ</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9558-2024</t>
        </is>
      </c>
      <c r="B2793" s="1" t="n">
        <v>45360</v>
      </c>
      <c r="C2793" s="1" t="n">
        <v>45852</v>
      </c>
      <c r="D2793" t="inlineStr">
        <is>
          <t>VÄSTERNORRLANDS LÄN</t>
        </is>
      </c>
      <c r="E2793" t="inlineStr">
        <is>
          <t>SOLLEFTEÅ</t>
        </is>
      </c>
      <c r="F2793" t="inlineStr">
        <is>
          <t>SCA</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9689-2024</t>
        </is>
      </c>
      <c r="B2794" s="1" t="n">
        <v>45362</v>
      </c>
      <c r="C2794" s="1" t="n">
        <v>45852</v>
      </c>
      <c r="D2794" t="inlineStr">
        <is>
          <t>VÄSTERNORRLANDS LÄN</t>
        </is>
      </c>
      <c r="E2794" t="inlineStr">
        <is>
          <t>SOLLEFTEÅ</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9820-2024</t>
        </is>
      </c>
      <c r="B2795" s="1" t="n">
        <v>45363</v>
      </c>
      <c r="C2795" s="1" t="n">
        <v>45852</v>
      </c>
      <c r="D2795" t="inlineStr">
        <is>
          <t>VÄSTERNORRLANDS LÄN</t>
        </is>
      </c>
      <c r="E2795" t="inlineStr">
        <is>
          <t>SOLLEFTEÅ</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9828-2024</t>
        </is>
      </c>
      <c r="B2796" s="1" t="n">
        <v>45363</v>
      </c>
      <c r="C2796" s="1" t="n">
        <v>45852</v>
      </c>
      <c r="D2796" t="inlineStr">
        <is>
          <t>VÄSTERNORRLANDS LÄN</t>
        </is>
      </c>
      <c r="E2796" t="inlineStr">
        <is>
          <t>SOLLEFTEÅ</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9822-2024</t>
        </is>
      </c>
      <c r="B2797" s="1" t="n">
        <v>45363</v>
      </c>
      <c r="C2797" s="1" t="n">
        <v>45852</v>
      </c>
      <c r="D2797" t="inlineStr">
        <is>
          <t>VÄSTERNORRLANDS LÄN</t>
        </is>
      </c>
      <c r="E2797" t="inlineStr">
        <is>
          <t>SOLLEFTEÅ</t>
        </is>
      </c>
      <c r="F2797" t="inlineStr">
        <is>
          <t>SCA</t>
        </is>
      </c>
      <c r="G2797" t="n">
        <v>9.9</v>
      </c>
      <c r="H2797" t="n">
        <v>0</v>
      </c>
      <c r="I2797" t="n">
        <v>0</v>
      </c>
      <c r="J2797" t="n">
        <v>0</v>
      </c>
      <c r="K2797" t="n">
        <v>0</v>
      </c>
      <c r="L2797" t="n">
        <v>0</v>
      </c>
      <c r="M2797" t="n">
        <v>0</v>
      </c>
      <c r="N2797" t="n">
        <v>0</v>
      </c>
      <c r="O2797" t="n">
        <v>0</v>
      </c>
      <c r="P2797" t="n">
        <v>0</v>
      </c>
      <c r="Q2797" t="n">
        <v>0</v>
      </c>
      <c r="R2797" s="2" t="inlineStr"/>
    </row>
    <row r="2798" ht="15" customHeight="1">
      <c r="A2798" t="inlineStr">
        <is>
          <t>A 9831-2024</t>
        </is>
      </c>
      <c r="B2798" s="1" t="n">
        <v>45363</v>
      </c>
      <c r="C2798" s="1" t="n">
        <v>45852</v>
      </c>
      <c r="D2798" t="inlineStr">
        <is>
          <t>VÄSTERNORRLANDS LÄN</t>
        </is>
      </c>
      <c r="E2798" t="inlineStr">
        <is>
          <t>SOLLEFTEÅ</t>
        </is>
      </c>
      <c r="F2798" t="inlineStr">
        <is>
          <t>SCA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10038-2024</t>
        </is>
      </c>
      <c r="B2799" s="1" t="n">
        <v>45364</v>
      </c>
      <c r="C2799" s="1" t="n">
        <v>45852</v>
      </c>
      <c r="D2799" t="inlineStr">
        <is>
          <t>VÄSTERNORRLANDS LÄN</t>
        </is>
      </c>
      <c r="E2799" t="inlineStr">
        <is>
          <t>SOLLEFTEÅ</t>
        </is>
      </c>
      <c r="F2799" t="inlineStr">
        <is>
          <t>SCA</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10415-2024</t>
        </is>
      </c>
      <c r="B2800" s="1" t="n">
        <v>45365</v>
      </c>
      <c r="C2800" s="1" t="n">
        <v>45852</v>
      </c>
      <c r="D2800" t="inlineStr">
        <is>
          <t>VÄSTERNORRLANDS LÄN</t>
        </is>
      </c>
      <c r="E2800" t="inlineStr">
        <is>
          <t>SOLLEFTEÅ</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10526-2024</t>
        </is>
      </c>
      <c r="B2801" s="1" t="n">
        <v>45366</v>
      </c>
      <c r="C2801" s="1" t="n">
        <v>45852</v>
      </c>
      <c r="D2801" t="inlineStr">
        <is>
          <t>VÄSTERNORRLANDS LÄN</t>
        </is>
      </c>
      <c r="E2801" t="inlineStr">
        <is>
          <t>SOLLEFTEÅ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10532-2024</t>
        </is>
      </c>
      <c r="B2802" s="1" t="n">
        <v>45366</v>
      </c>
      <c r="C2802" s="1" t="n">
        <v>45852</v>
      </c>
      <c r="D2802" t="inlineStr">
        <is>
          <t>VÄSTERNORRLANDS LÄN</t>
        </is>
      </c>
      <c r="E2802" t="inlineStr">
        <is>
          <t>SOLLEFTEÅ</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10539-2024</t>
        </is>
      </c>
      <c r="B2803" s="1" t="n">
        <v>45366</v>
      </c>
      <c r="C2803" s="1" t="n">
        <v>45852</v>
      </c>
      <c r="D2803" t="inlineStr">
        <is>
          <t>VÄSTERNORRLANDS LÄN</t>
        </is>
      </c>
      <c r="E2803" t="inlineStr">
        <is>
          <t>SOLLEFTEÅ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10537-2024</t>
        </is>
      </c>
      <c r="B2804" s="1" t="n">
        <v>45366</v>
      </c>
      <c r="C2804" s="1" t="n">
        <v>45852</v>
      </c>
      <c r="D2804" t="inlineStr">
        <is>
          <t>VÄSTERNORRLANDS LÄN</t>
        </is>
      </c>
      <c r="E2804" t="inlineStr">
        <is>
          <t>SOLLEFTEÅ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10569-2024</t>
        </is>
      </c>
      <c r="B2805" s="1" t="n">
        <v>45366</v>
      </c>
      <c r="C2805" s="1" t="n">
        <v>45852</v>
      </c>
      <c r="D2805" t="inlineStr">
        <is>
          <t>VÄSTERNORRLANDS LÄN</t>
        </is>
      </c>
      <c r="E2805" t="inlineStr">
        <is>
          <t>SOLLEFTEÅ</t>
        </is>
      </c>
      <c r="F2805" t="inlineStr">
        <is>
          <t>Holmen skog AB</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10618-2024</t>
        </is>
      </c>
      <c r="B2806" s="1" t="n">
        <v>45367</v>
      </c>
      <c r="C2806" s="1" t="n">
        <v>45852</v>
      </c>
      <c r="D2806" t="inlineStr">
        <is>
          <t>VÄSTERNORRLANDS LÄN</t>
        </is>
      </c>
      <c r="E2806" t="inlineStr">
        <is>
          <t>SOLLEFTEÅ</t>
        </is>
      </c>
      <c r="F2806" t="inlineStr">
        <is>
          <t>SCA</t>
        </is>
      </c>
      <c r="G2806" t="n">
        <v>21.1</v>
      </c>
      <c r="H2806" t="n">
        <v>0</v>
      </c>
      <c r="I2806" t="n">
        <v>0</v>
      </c>
      <c r="J2806" t="n">
        <v>0</v>
      </c>
      <c r="K2806" t="n">
        <v>0</v>
      </c>
      <c r="L2806" t="n">
        <v>0</v>
      </c>
      <c r="M2806" t="n">
        <v>0</v>
      </c>
      <c r="N2806" t="n">
        <v>0</v>
      </c>
      <c r="O2806" t="n">
        <v>0</v>
      </c>
      <c r="P2806" t="n">
        <v>0</v>
      </c>
      <c r="Q2806" t="n">
        <v>0</v>
      </c>
      <c r="R2806" s="2" t="inlineStr"/>
    </row>
    <row r="2807" ht="15" customHeight="1">
      <c r="A2807" t="inlineStr">
        <is>
          <t>A 10687-2024</t>
        </is>
      </c>
      <c r="B2807" s="1" t="n">
        <v>45369</v>
      </c>
      <c r="C2807" s="1" t="n">
        <v>45852</v>
      </c>
      <c r="D2807" t="inlineStr">
        <is>
          <t>VÄSTERNORRLANDS LÄN</t>
        </is>
      </c>
      <c r="E2807" t="inlineStr">
        <is>
          <t>SOLLEFTEÅ</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10870-2024</t>
        </is>
      </c>
      <c r="B2808" s="1" t="n">
        <v>45370</v>
      </c>
      <c r="C2808" s="1" t="n">
        <v>45852</v>
      </c>
      <c r="D2808" t="inlineStr">
        <is>
          <t>VÄSTERNORRLANDS LÄN</t>
        </is>
      </c>
      <c r="E2808" t="inlineStr">
        <is>
          <t>SOLLEFTEÅ</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10853-2024</t>
        </is>
      </c>
      <c r="B2809" s="1" t="n">
        <v>45370</v>
      </c>
      <c r="C2809" s="1" t="n">
        <v>45852</v>
      </c>
      <c r="D2809" t="inlineStr">
        <is>
          <t>VÄSTERNORRLANDS LÄN</t>
        </is>
      </c>
      <c r="E2809" t="inlineStr">
        <is>
          <t>SOLLEFTEÅ</t>
        </is>
      </c>
      <c r="F2809" t="inlineStr">
        <is>
          <t>SCA</t>
        </is>
      </c>
      <c r="G2809" t="n">
        <v>37.7</v>
      </c>
      <c r="H2809" t="n">
        <v>0</v>
      </c>
      <c r="I2809" t="n">
        <v>0</v>
      </c>
      <c r="J2809" t="n">
        <v>0</v>
      </c>
      <c r="K2809" t="n">
        <v>0</v>
      </c>
      <c r="L2809" t="n">
        <v>0</v>
      </c>
      <c r="M2809" t="n">
        <v>0</v>
      </c>
      <c r="N2809" t="n">
        <v>0</v>
      </c>
      <c r="O2809" t="n">
        <v>0</v>
      </c>
      <c r="P2809" t="n">
        <v>0</v>
      </c>
      <c r="Q2809" t="n">
        <v>0</v>
      </c>
      <c r="R2809" s="2" t="inlineStr"/>
    </row>
    <row r="2810" ht="15" customHeight="1">
      <c r="A2810" t="inlineStr">
        <is>
          <t>A 10869-2024</t>
        </is>
      </c>
      <c r="B2810" s="1" t="n">
        <v>45370</v>
      </c>
      <c r="C2810" s="1" t="n">
        <v>45852</v>
      </c>
      <c r="D2810" t="inlineStr">
        <is>
          <t>VÄSTERNORRLANDS LÄN</t>
        </is>
      </c>
      <c r="E2810" t="inlineStr">
        <is>
          <t>SOLLEFTEÅ</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11009-2024</t>
        </is>
      </c>
      <c r="B2811" s="1" t="n">
        <v>45370</v>
      </c>
      <c r="C2811" s="1" t="n">
        <v>45852</v>
      </c>
      <c r="D2811" t="inlineStr">
        <is>
          <t>VÄSTERNORRLANDS LÄN</t>
        </is>
      </c>
      <c r="E2811" t="inlineStr">
        <is>
          <t>SOLLEFTEÅ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11090-2024</t>
        </is>
      </c>
      <c r="B2812" s="1" t="n">
        <v>45370</v>
      </c>
      <c r="C2812" s="1" t="n">
        <v>45852</v>
      </c>
      <c r="D2812" t="inlineStr">
        <is>
          <t>VÄSTERNORRLANDS LÄN</t>
        </is>
      </c>
      <c r="E2812" t="inlineStr">
        <is>
          <t>SOLLEFTEÅ</t>
        </is>
      </c>
      <c r="F2812" t="inlineStr">
        <is>
          <t>SCA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11083-2024</t>
        </is>
      </c>
      <c r="B2813" s="1" t="n">
        <v>45370</v>
      </c>
      <c r="C2813" s="1" t="n">
        <v>45852</v>
      </c>
      <c r="D2813" t="inlineStr">
        <is>
          <t>VÄSTERNORRLANDS LÄN</t>
        </is>
      </c>
      <c r="E2813" t="inlineStr">
        <is>
          <t>SOLLEFTEÅ</t>
        </is>
      </c>
      <c r="F2813" t="inlineStr">
        <is>
          <t>SCA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11087-2024</t>
        </is>
      </c>
      <c r="B2814" s="1" t="n">
        <v>45370</v>
      </c>
      <c r="C2814" s="1" t="n">
        <v>45852</v>
      </c>
      <c r="D2814" t="inlineStr">
        <is>
          <t>VÄSTERNORRLANDS LÄN</t>
        </is>
      </c>
      <c r="E2814" t="inlineStr">
        <is>
          <t>SOLLEFTEÅ</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11089-2024</t>
        </is>
      </c>
      <c r="B2815" s="1" t="n">
        <v>45370</v>
      </c>
      <c r="C2815" s="1" t="n">
        <v>45852</v>
      </c>
      <c r="D2815" t="inlineStr">
        <is>
          <t>VÄSTERNORRLANDS LÄN</t>
        </is>
      </c>
      <c r="E2815" t="inlineStr">
        <is>
          <t>SOLLEFTEÅ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11334-2024</t>
        </is>
      </c>
      <c r="B2816" s="1" t="n">
        <v>45372</v>
      </c>
      <c r="C2816" s="1" t="n">
        <v>45852</v>
      </c>
      <c r="D2816" t="inlineStr">
        <is>
          <t>VÄSTERNORRLANDS LÄN</t>
        </is>
      </c>
      <c r="E2816" t="inlineStr">
        <is>
          <t>SOLLEFTEÅ</t>
        </is>
      </c>
      <c r="F2816" t="inlineStr">
        <is>
          <t>SCA</t>
        </is>
      </c>
      <c r="G2816" t="n">
        <v>11.7</v>
      </c>
      <c r="H2816" t="n">
        <v>0</v>
      </c>
      <c r="I2816" t="n">
        <v>0</v>
      </c>
      <c r="J2816" t="n">
        <v>0</v>
      </c>
      <c r="K2816" t="n">
        <v>0</v>
      </c>
      <c r="L2816" t="n">
        <v>0</v>
      </c>
      <c r="M2816" t="n">
        <v>0</v>
      </c>
      <c r="N2816" t="n">
        <v>0</v>
      </c>
      <c r="O2816" t="n">
        <v>0</v>
      </c>
      <c r="P2816" t="n">
        <v>0</v>
      </c>
      <c r="Q2816" t="n">
        <v>0</v>
      </c>
      <c r="R2816" s="2" t="inlineStr"/>
    </row>
    <row r="2817" ht="15" customHeight="1">
      <c r="A2817" t="inlineStr">
        <is>
          <t>A 11332-2024</t>
        </is>
      </c>
      <c r="B2817" s="1" t="n">
        <v>45372</v>
      </c>
      <c r="C2817" s="1" t="n">
        <v>45852</v>
      </c>
      <c r="D2817" t="inlineStr">
        <is>
          <t>VÄSTERNORRLANDS LÄN</t>
        </is>
      </c>
      <c r="E2817" t="inlineStr">
        <is>
          <t>SOLLEFTEÅ</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11333-2024</t>
        </is>
      </c>
      <c r="B2818" s="1" t="n">
        <v>45372</v>
      </c>
      <c r="C2818" s="1" t="n">
        <v>45852</v>
      </c>
      <c r="D2818" t="inlineStr">
        <is>
          <t>VÄSTERNORRLANDS LÄN</t>
        </is>
      </c>
      <c r="E2818" t="inlineStr">
        <is>
          <t>SOLLEFTEÅ</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11394-2024</t>
        </is>
      </c>
      <c r="B2819" s="1" t="n">
        <v>45372</v>
      </c>
      <c r="C2819" s="1" t="n">
        <v>45852</v>
      </c>
      <c r="D2819" t="inlineStr">
        <is>
          <t>VÄSTERNORRLANDS LÄN</t>
        </is>
      </c>
      <c r="E2819" t="inlineStr">
        <is>
          <t>SOLLEFTEÅ</t>
        </is>
      </c>
      <c r="G2819" t="n">
        <v>10.9</v>
      </c>
      <c r="H2819" t="n">
        <v>0</v>
      </c>
      <c r="I2819" t="n">
        <v>0</v>
      </c>
      <c r="J2819" t="n">
        <v>0</v>
      </c>
      <c r="K2819" t="n">
        <v>0</v>
      </c>
      <c r="L2819" t="n">
        <v>0</v>
      </c>
      <c r="M2819" t="n">
        <v>0</v>
      </c>
      <c r="N2819" t="n">
        <v>0</v>
      </c>
      <c r="O2819" t="n">
        <v>0</v>
      </c>
      <c r="P2819" t="n">
        <v>0</v>
      </c>
      <c r="Q2819" t="n">
        <v>0</v>
      </c>
      <c r="R2819" s="2" t="inlineStr"/>
    </row>
    <row r="2820" ht="15" customHeight="1">
      <c r="A2820" t="inlineStr">
        <is>
          <t>A 11539-2024</t>
        </is>
      </c>
      <c r="B2820" s="1" t="n">
        <v>45372</v>
      </c>
      <c r="C2820" s="1" t="n">
        <v>45852</v>
      </c>
      <c r="D2820" t="inlineStr">
        <is>
          <t>VÄSTERNORRLANDS LÄN</t>
        </is>
      </c>
      <c r="E2820" t="inlineStr">
        <is>
          <t>SOLLEFTEÅ</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11542-2024</t>
        </is>
      </c>
      <c r="B2821" s="1" t="n">
        <v>45372</v>
      </c>
      <c r="C2821" s="1" t="n">
        <v>45852</v>
      </c>
      <c r="D2821" t="inlineStr">
        <is>
          <t>VÄSTERNORRLANDS LÄN</t>
        </is>
      </c>
      <c r="E2821" t="inlineStr">
        <is>
          <t>SOLLEFTEÅ</t>
        </is>
      </c>
      <c r="F2821" t="inlineStr">
        <is>
          <t>SCA</t>
        </is>
      </c>
      <c r="G2821" t="n">
        <v>13.1</v>
      </c>
      <c r="H2821" t="n">
        <v>0</v>
      </c>
      <c r="I2821" t="n">
        <v>0</v>
      </c>
      <c r="J2821" t="n">
        <v>0</v>
      </c>
      <c r="K2821" t="n">
        <v>0</v>
      </c>
      <c r="L2821" t="n">
        <v>0</v>
      </c>
      <c r="M2821" t="n">
        <v>0</v>
      </c>
      <c r="N2821" t="n">
        <v>0</v>
      </c>
      <c r="O2821" t="n">
        <v>0</v>
      </c>
      <c r="P2821" t="n">
        <v>0</v>
      </c>
      <c r="Q2821" t="n">
        <v>0</v>
      </c>
      <c r="R2821" s="2" t="inlineStr"/>
    </row>
    <row r="2822" ht="15" customHeight="1">
      <c r="A2822" t="inlineStr">
        <is>
          <t>A 11767-2024</t>
        </is>
      </c>
      <c r="B2822" s="1" t="n">
        <v>45373</v>
      </c>
      <c r="C2822" s="1" t="n">
        <v>45852</v>
      </c>
      <c r="D2822" t="inlineStr">
        <is>
          <t>VÄSTERNORRLANDS LÄN</t>
        </is>
      </c>
      <c r="E2822" t="inlineStr">
        <is>
          <t>SOLLEFTEÅ</t>
        </is>
      </c>
      <c r="F2822" t="inlineStr">
        <is>
          <t>SCA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11749-2024</t>
        </is>
      </c>
      <c r="B2823" s="1" t="n">
        <v>45373</v>
      </c>
      <c r="C2823" s="1" t="n">
        <v>45852</v>
      </c>
      <c r="D2823" t="inlineStr">
        <is>
          <t>VÄSTERNORRLANDS LÄN</t>
        </is>
      </c>
      <c r="E2823" t="inlineStr">
        <is>
          <t>SOLLEFTEÅ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11976-2024</t>
        </is>
      </c>
      <c r="B2824" s="1" t="n">
        <v>45376</v>
      </c>
      <c r="C2824" s="1" t="n">
        <v>45852</v>
      </c>
      <c r="D2824" t="inlineStr">
        <is>
          <t>VÄSTERNORRLANDS LÄN</t>
        </is>
      </c>
      <c r="E2824" t="inlineStr">
        <is>
          <t>SOLLEFTEÅ</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11988-2024</t>
        </is>
      </c>
      <c r="B2825" s="1" t="n">
        <v>45376</v>
      </c>
      <c r="C2825" s="1" t="n">
        <v>45852</v>
      </c>
      <c r="D2825" t="inlineStr">
        <is>
          <t>VÄSTERNORRLANDS LÄN</t>
        </is>
      </c>
      <c r="E2825" t="inlineStr">
        <is>
          <t>SOLLEFTEÅ</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12184-2024</t>
        </is>
      </c>
      <c r="B2826" s="1" t="n">
        <v>45377</v>
      </c>
      <c r="C2826" s="1" t="n">
        <v>45852</v>
      </c>
      <c r="D2826" t="inlineStr">
        <is>
          <t>VÄSTERNORRLANDS LÄN</t>
        </is>
      </c>
      <c r="E2826" t="inlineStr">
        <is>
          <t>SOLLEFTEÅ</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12186-2024</t>
        </is>
      </c>
      <c r="B2827" s="1" t="n">
        <v>45377</v>
      </c>
      <c r="C2827" s="1" t="n">
        <v>45852</v>
      </c>
      <c r="D2827" t="inlineStr">
        <is>
          <t>VÄSTERNORRLANDS LÄN</t>
        </is>
      </c>
      <c r="E2827" t="inlineStr">
        <is>
          <t>SOLLEFTEÅ</t>
        </is>
      </c>
      <c r="F2827" t="inlineStr">
        <is>
          <t>SCA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12187-2024</t>
        </is>
      </c>
      <c r="B2828" s="1" t="n">
        <v>45377</v>
      </c>
      <c r="C2828" s="1" t="n">
        <v>45852</v>
      </c>
      <c r="D2828" t="inlineStr">
        <is>
          <t>VÄSTERNORRLANDS LÄN</t>
        </is>
      </c>
      <c r="E2828" t="inlineStr">
        <is>
          <t>SOLLEFTEÅ</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12354-2024</t>
        </is>
      </c>
      <c r="B2829" s="1" t="n">
        <v>45378</v>
      </c>
      <c r="C2829" s="1" t="n">
        <v>45852</v>
      </c>
      <c r="D2829" t="inlineStr">
        <is>
          <t>VÄSTERNORRLANDS LÄN</t>
        </is>
      </c>
      <c r="E2829" t="inlineStr">
        <is>
          <t>SOLLEFTEÅ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12368-2024</t>
        </is>
      </c>
      <c r="B2830" s="1" t="n">
        <v>45378</v>
      </c>
      <c r="C2830" s="1" t="n">
        <v>45852</v>
      </c>
      <c r="D2830" t="inlineStr">
        <is>
          <t>VÄSTERNORRLANDS LÄN</t>
        </is>
      </c>
      <c r="E2830" t="inlineStr">
        <is>
          <t>SOLLEFTEÅ</t>
        </is>
      </c>
      <c r="F2830" t="inlineStr">
        <is>
          <t>SCA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12351-2024</t>
        </is>
      </c>
      <c r="B2831" s="1" t="n">
        <v>45378</v>
      </c>
      <c r="C2831" s="1" t="n">
        <v>45852</v>
      </c>
      <c r="D2831" t="inlineStr">
        <is>
          <t>VÄSTERNORRLANDS LÄN</t>
        </is>
      </c>
      <c r="E2831" t="inlineStr">
        <is>
          <t>SOLLEFTEÅ</t>
        </is>
      </c>
      <c r="G2831" t="n">
        <v>23.9</v>
      </c>
      <c r="H2831" t="n">
        <v>0</v>
      </c>
      <c r="I2831" t="n">
        <v>0</v>
      </c>
      <c r="J2831" t="n">
        <v>0</v>
      </c>
      <c r="K2831" t="n">
        <v>0</v>
      </c>
      <c r="L2831" t="n">
        <v>0</v>
      </c>
      <c r="M2831" t="n">
        <v>0</v>
      </c>
      <c r="N2831" t="n">
        <v>0</v>
      </c>
      <c r="O2831" t="n">
        <v>0</v>
      </c>
      <c r="P2831" t="n">
        <v>0</v>
      </c>
      <c r="Q2831" t="n">
        <v>0</v>
      </c>
      <c r="R2831" s="2" t="inlineStr"/>
    </row>
    <row r="2832" ht="15" customHeight="1">
      <c r="A2832" t="inlineStr">
        <is>
          <t>A 12355-2024</t>
        </is>
      </c>
      <c r="B2832" s="1" t="n">
        <v>45378</v>
      </c>
      <c r="C2832" s="1" t="n">
        <v>45852</v>
      </c>
      <c r="D2832" t="inlineStr">
        <is>
          <t>VÄSTERNORRLANDS LÄN</t>
        </is>
      </c>
      <c r="E2832" t="inlineStr">
        <is>
          <t>SOLLEFTEÅ</t>
        </is>
      </c>
      <c r="F2832" t="inlineStr">
        <is>
          <t>SCA</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12363-2024</t>
        </is>
      </c>
      <c r="B2833" s="1" t="n">
        <v>45378</v>
      </c>
      <c r="C2833" s="1" t="n">
        <v>45852</v>
      </c>
      <c r="D2833" t="inlineStr">
        <is>
          <t>VÄSTERNORRLANDS LÄN</t>
        </is>
      </c>
      <c r="E2833" t="inlineStr">
        <is>
          <t>SOLLEFTEÅ</t>
        </is>
      </c>
      <c r="F2833" t="inlineStr">
        <is>
          <t>SCA</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12590-2024</t>
        </is>
      </c>
      <c r="B2834" s="1" t="n">
        <v>45379</v>
      </c>
      <c r="C2834" s="1" t="n">
        <v>45852</v>
      </c>
      <c r="D2834" t="inlineStr">
        <is>
          <t>VÄSTERNORRLANDS LÄN</t>
        </is>
      </c>
      <c r="E2834" t="inlineStr">
        <is>
          <t>SOLLEFTEÅ</t>
        </is>
      </c>
      <c r="F2834" t="inlineStr">
        <is>
          <t>SCA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12582-2024</t>
        </is>
      </c>
      <c r="B2835" s="1" t="n">
        <v>45379</v>
      </c>
      <c r="C2835" s="1" t="n">
        <v>45852</v>
      </c>
      <c r="D2835" t="inlineStr">
        <is>
          <t>VÄSTERNORRLANDS LÄN</t>
        </is>
      </c>
      <c r="E2835" t="inlineStr">
        <is>
          <t>SOLLEFTEÅ</t>
        </is>
      </c>
      <c r="F2835" t="inlineStr">
        <is>
          <t>SCA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12865-2024</t>
        </is>
      </c>
      <c r="B2836" s="1" t="n">
        <v>45384</v>
      </c>
      <c r="C2836" s="1" t="n">
        <v>45852</v>
      </c>
      <c r="D2836" t="inlineStr">
        <is>
          <t>VÄSTERNORRLANDS LÄN</t>
        </is>
      </c>
      <c r="E2836" t="inlineStr">
        <is>
          <t>SOLLEFTEÅ</t>
        </is>
      </c>
      <c r="F2836" t="inlineStr">
        <is>
          <t>SCA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13138-2024</t>
        </is>
      </c>
      <c r="B2837" s="1" t="n">
        <v>45386</v>
      </c>
      <c r="C2837" s="1" t="n">
        <v>45852</v>
      </c>
      <c r="D2837" t="inlineStr">
        <is>
          <t>VÄSTERNORRLANDS LÄN</t>
        </is>
      </c>
      <c r="E2837" t="inlineStr">
        <is>
          <t>SOLLEFTEÅ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13154-2024</t>
        </is>
      </c>
      <c r="B2838" s="1" t="n">
        <v>45386</v>
      </c>
      <c r="C2838" s="1" t="n">
        <v>45852</v>
      </c>
      <c r="D2838" t="inlineStr">
        <is>
          <t>VÄSTERNORRLANDS LÄN</t>
        </is>
      </c>
      <c r="E2838" t="inlineStr">
        <is>
          <t>SOLLEFTEÅ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13546-2024</t>
        </is>
      </c>
      <c r="B2839" s="1" t="n">
        <v>45388</v>
      </c>
      <c r="C2839" s="1" t="n">
        <v>45852</v>
      </c>
      <c r="D2839" t="inlineStr">
        <is>
          <t>VÄSTERNORRLANDS LÄN</t>
        </is>
      </c>
      <c r="E2839" t="inlineStr">
        <is>
          <t>SOLLEFTEÅ</t>
        </is>
      </c>
      <c r="F2839" t="inlineStr">
        <is>
          <t>SCA</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13539-2024</t>
        </is>
      </c>
      <c r="B2840" s="1" t="n">
        <v>45388</v>
      </c>
      <c r="C2840" s="1" t="n">
        <v>45852</v>
      </c>
      <c r="D2840" t="inlineStr">
        <is>
          <t>VÄSTERNORRLANDS LÄN</t>
        </is>
      </c>
      <c r="E2840" t="inlineStr">
        <is>
          <t>SOLLEFTEÅ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13942-2024</t>
        </is>
      </c>
      <c r="B2841" s="1" t="n">
        <v>45392</v>
      </c>
      <c r="C2841" s="1" t="n">
        <v>45852</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14109-2024</t>
        </is>
      </c>
      <c r="B2842" s="1" t="n">
        <v>45392</v>
      </c>
      <c r="C2842" s="1" t="n">
        <v>45852</v>
      </c>
      <c r="D2842" t="inlineStr">
        <is>
          <t>VÄSTERNORRLANDS LÄN</t>
        </is>
      </c>
      <c r="E2842" t="inlineStr">
        <is>
          <t>SOLLEFTEÅ</t>
        </is>
      </c>
      <c r="F2842" t="inlineStr">
        <is>
          <t>Övriga Aktiebolag</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14110-2024</t>
        </is>
      </c>
      <c r="B2843" s="1" t="n">
        <v>45392</v>
      </c>
      <c r="C2843" s="1" t="n">
        <v>45852</v>
      </c>
      <c r="D2843" t="inlineStr">
        <is>
          <t>VÄSTERNORRLANDS LÄN</t>
        </is>
      </c>
      <c r="E2843" t="inlineStr">
        <is>
          <t>SOLLEFTEÅ</t>
        </is>
      </c>
      <c r="F2843" t="inlineStr">
        <is>
          <t>Övriga Aktiebolag</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14087-2024</t>
        </is>
      </c>
      <c r="B2844" s="1" t="n">
        <v>45392</v>
      </c>
      <c r="C2844" s="1" t="n">
        <v>45852</v>
      </c>
      <c r="D2844" t="inlineStr">
        <is>
          <t>VÄSTERNORRLANDS LÄN</t>
        </is>
      </c>
      <c r="E2844" t="inlineStr">
        <is>
          <t>SOLLEFTEÅ</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14165-2024</t>
        </is>
      </c>
      <c r="B2845" s="1" t="n">
        <v>45393</v>
      </c>
      <c r="C2845" s="1" t="n">
        <v>45852</v>
      </c>
      <c r="D2845" t="inlineStr">
        <is>
          <t>VÄSTERNORRLANDS LÄN</t>
        </is>
      </c>
      <c r="E2845" t="inlineStr">
        <is>
          <t>SOLLEFTEÅ</t>
        </is>
      </c>
      <c r="F2845" t="inlineStr">
        <is>
          <t>SCA</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14169-2024</t>
        </is>
      </c>
      <c r="B2846" s="1" t="n">
        <v>45393</v>
      </c>
      <c r="C2846" s="1" t="n">
        <v>45852</v>
      </c>
      <c r="D2846" t="inlineStr">
        <is>
          <t>VÄSTERNORRLANDS LÄN</t>
        </is>
      </c>
      <c r="E2846" t="inlineStr">
        <is>
          <t>SOLLEFTEÅ</t>
        </is>
      </c>
      <c r="F2846" t="inlineStr">
        <is>
          <t>SCA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14344-2024</t>
        </is>
      </c>
      <c r="B2847" s="1" t="n">
        <v>45393</v>
      </c>
      <c r="C2847" s="1" t="n">
        <v>45852</v>
      </c>
      <c r="D2847" t="inlineStr">
        <is>
          <t>VÄSTERNORRLANDS LÄN</t>
        </is>
      </c>
      <c r="E2847" t="inlineStr">
        <is>
          <t>SOLLEFTEÅ</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14365-2024</t>
        </is>
      </c>
      <c r="B2848" s="1" t="n">
        <v>45394</v>
      </c>
      <c r="C2848" s="1" t="n">
        <v>45852</v>
      </c>
      <c r="D2848" t="inlineStr">
        <is>
          <t>VÄSTERNORRLANDS LÄN</t>
        </is>
      </c>
      <c r="E2848" t="inlineStr">
        <is>
          <t>SOLLEFTEÅ</t>
        </is>
      </c>
      <c r="F2848" t="inlineStr">
        <is>
          <t>SCA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14554-2024</t>
        </is>
      </c>
      <c r="B2849" s="1" t="n">
        <v>45394</v>
      </c>
      <c r="C2849" s="1" t="n">
        <v>45852</v>
      </c>
      <c r="D2849" t="inlineStr">
        <is>
          <t>VÄSTERNORRLANDS LÄN</t>
        </is>
      </c>
      <c r="E2849" t="inlineStr">
        <is>
          <t>SOLLEFTEÅ</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14581-2024</t>
        </is>
      </c>
      <c r="B2850" s="1" t="n">
        <v>45395</v>
      </c>
      <c r="C2850" s="1" t="n">
        <v>45852</v>
      </c>
      <c r="D2850" t="inlineStr">
        <is>
          <t>VÄSTERNORRLANDS LÄN</t>
        </is>
      </c>
      <c r="E2850" t="inlineStr">
        <is>
          <t>SOLLEFTEÅ</t>
        </is>
      </c>
      <c r="F2850" t="inlineStr">
        <is>
          <t>SCA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14571-2024</t>
        </is>
      </c>
      <c r="B2851" s="1" t="n">
        <v>45394</v>
      </c>
      <c r="C2851" s="1" t="n">
        <v>45852</v>
      </c>
      <c r="D2851" t="inlineStr">
        <is>
          <t>VÄSTERNORRLANDS LÄN</t>
        </is>
      </c>
      <c r="E2851" t="inlineStr">
        <is>
          <t>SOLLEFTEÅ</t>
        </is>
      </c>
      <c r="F2851" t="inlineStr">
        <is>
          <t>SCA</t>
        </is>
      </c>
      <c r="G2851" t="n">
        <v>20.8</v>
      </c>
      <c r="H2851" t="n">
        <v>0</v>
      </c>
      <c r="I2851" t="n">
        <v>0</v>
      </c>
      <c r="J2851" t="n">
        <v>0</v>
      </c>
      <c r="K2851" t="n">
        <v>0</v>
      </c>
      <c r="L2851" t="n">
        <v>0</v>
      </c>
      <c r="M2851" t="n">
        <v>0</v>
      </c>
      <c r="N2851" t="n">
        <v>0</v>
      </c>
      <c r="O2851" t="n">
        <v>0</v>
      </c>
      <c r="P2851" t="n">
        <v>0</v>
      </c>
      <c r="Q2851" t="n">
        <v>0</v>
      </c>
      <c r="R2851" s="2" t="inlineStr"/>
    </row>
    <row r="2852" ht="15" customHeight="1">
      <c r="A2852" t="inlineStr">
        <is>
          <t>A 14577-2024</t>
        </is>
      </c>
      <c r="B2852" s="1" t="n">
        <v>45395</v>
      </c>
      <c r="C2852" s="1" t="n">
        <v>45852</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14819-2024</t>
        </is>
      </c>
      <c r="B2853" s="1" t="n">
        <v>45397</v>
      </c>
      <c r="C2853" s="1" t="n">
        <v>45852</v>
      </c>
      <c r="D2853" t="inlineStr">
        <is>
          <t>VÄSTERNORRLANDS LÄN</t>
        </is>
      </c>
      <c r="E2853" t="inlineStr">
        <is>
          <t>SOLLEFTEÅ</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14970-2024</t>
        </is>
      </c>
      <c r="B2854" s="1" t="n">
        <v>45398</v>
      </c>
      <c r="C2854" s="1" t="n">
        <v>45852</v>
      </c>
      <c r="D2854" t="inlineStr">
        <is>
          <t>VÄSTERNORRLANDS LÄN</t>
        </is>
      </c>
      <c r="E2854" t="inlineStr">
        <is>
          <t>SOLLEFTEÅ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14982-2024</t>
        </is>
      </c>
      <c r="B2855" s="1" t="n">
        <v>45399</v>
      </c>
      <c r="C2855" s="1" t="n">
        <v>45852</v>
      </c>
      <c r="D2855" t="inlineStr">
        <is>
          <t>VÄSTERNORRLANDS LÄN</t>
        </is>
      </c>
      <c r="E2855" t="inlineStr">
        <is>
          <t>SOLLEFTEÅ</t>
        </is>
      </c>
      <c r="F2855" t="inlineStr">
        <is>
          <t>SCA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14971-2024</t>
        </is>
      </c>
      <c r="B2856" s="1" t="n">
        <v>45399</v>
      </c>
      <c r="C2856" s="1" t="n">
        <v>45852</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14975-2024</t>
        </is>
      </c>
      <c r="B2857" s="1" t="n">
        <v>45399</v>
      </c>
      <c r="C2857" s="1" t="n">
        <v>45852</v>
      </c>
      <c r="D2857" t="inlineStr">
        <is>
          <t>VÄSTERNORRLANDS LÄN</t>
        </is>
      </c>
      <c r="E2857" t="inlineStr">
        <is>
          <t>SOLLEFTEÅ</t>
        </is>
      </c>
      <c r="F2857" t="inlineStr">
        <is>
          <t>SCA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14983-2024</t>
        </is>
      </c>
      <c r="B2858" s="1" t="n">
        <v>45399</v>
      </c>
      <c r="C2858" s="1" t="n">
        <v>45852</v>
      </c>
      <c r="D2858" t="inlineStr">
        <is>
          <t>VÄSTERNORRLANDS LÄN</t>
        </is>
      </c>
      <c r="E2858" t="inlineStr">
        <is>
          <t>SOLLEFTEÅ</t>
        </is>
      </c>
      <c r="F2858" t="inlineStr">
        <is>
          <t>SCA</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15154-2024</t>
        </is>
      </c>
      <c r="B2859" s="1" t="n">
        <v>45400</v>
      </c>
      <c r="C2859" s="1" t="n">
        <v>45852</v>
      </c>
      <c r="D2859" t="inlineStr">
        <is>
          <t>VÄSTERNORRLANDS LÄN</t>
        </is>
      </c>
      <c r="E2859" t="inlineStr">
        <is>
          <t>SOLLEFTEÅ</t>
        </is>
      </c>
      <c r="F2859" t="inlineStr">
        <is>
          <t>SCA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15147-2024</t>
        </is>
      </c>
      <c r="B2860" s="1" t="n">
        <v>45400</v>
      </c>
      <c r="C2860" s="1" t="n">
        <v>45852</v>
      </c>
      <c r="D2860" t="inlineStr">
        <is>
          <t>VÄSTERNORRLANDS LÄN</t>
        </is>
      </c>
      <c r="E2860" t="inlineStr">
        <is>
          <t>SOLLEFTEÅ</t>
        </is>
      </c>
      <c r="F2860" t="inlineStr">
        <is>
          <t>SCA</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15380-2024</t>
        </is>
      </c>
      <c r="B2861" s="1" t="n">
        <v>45401</v>
      </c>
      <c r="C2861" s="1" t="n">
        <v>45852</v>
      </c>
      <c r="D2861" t="inlineStr">
        <is>
          <t>VÄSTERNORRLANDS LÄN</t>
        </is>
      </c>
      <c r="E2861" t="inlineStr">
        <is>
          <t>SOLLEFTEÅ</t>
        </is>
      </c>
      <c r="F2861" t="inlineStr">
        <is>
          <t>SCA</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15377-2024</t>
        </is>
      </c>
      <c r="B2862" s="1" t="n">
        <v>45400</v>
      </c>
      <c r="C2862" s="1" t="n">
        <v>45852</v>
      </c>
      <c r="D2862" t="inlineStr">
        <is>
          <t>VÄSTERNORRLANDS LÄN</t>
        </is>
      </c>
      <c r="E2862" t="inlineStr">
        <is>
          <t>SOLLEFTEÅ</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15616-2024</t>
        </is>
      </c>
      <c r="B2863" s="1" t="n">
        <v>45402</v>
      </c>
      <c r="C2863" s="1" t="n">
        <v>45852</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15614-2024</t>
        </is>
      </c>
      <c r="B2864" s="1" t="n">
        <v>45402</v>
      </c>
      <c r="C2864" s="1" t="n">
        <v>45852</v>
      </c>
      <c r="D2864" t="inlineStr">
        <is>
          <t>VÄSTERNORRLANDS LÄN</t>
        </is>
      </c>
      <c r="E2864" t="inlineStr">
        <is>
          <t>SOLLEFTEÅ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15613-2024</t>
        </is>
      </c>
      <c r="B2865" s="1" t="n">
        <v>45402</v>
      </c>
      <c r="C2865" s="1" t="n">
        <v>45852</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15859-2024</t>
        </is>
      </c>
      <c r="B2866" s="1" t="n">
        <v>45405</v>
      </c>
      <c r="C2866" s="1" t="n">
        <v>45852</v>
      </c>
      <c r="D2866" t="inlineStr">
        <is>
          <t>VÄSTERNORRLANDS LÄN</t>
        </is>
      </c>
      <c r="E2866" t="inlineStr">
        <is>
          <t>SOLLEFTEÅ</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15863-2024</t>
        </is>
      </c>
      <c r="B2867" s="1" t="n">
        <v>45405</v>
      </c>
      <c r="C2867" s="1" t="n">
        <v>45852</v>
      </c>
      <c r="D2867" t="inlineStr">
        <is>
          <t>VÄSTERNORRLANDS LÄN</t>
        </is>
      </c>
      <c r="E2867" t="inlineStr">
        <is>
          <t>SOLLEFTEÅ</t>
        </is>
      </c>
      <c r="F2867" t="inlineStr">
        <is>
          <t>SCA</t>
        </is>
      </c>
      <c r="G2867" t="n">
        <v>32.2</v>
      </c>
      <c r="H2867" t="n">
        <v>0</v>
      </c>
      <c r="I2867" t="n">
        <v>0</v>
      </c>
      <c r="J2867" t="n">
        <v>0</v>
      </c>
      <c r="K2867" t="n">
        <v>0</v>
      </c>
      <c r="L2867" t="n">
        <v>0</v>
      </c>
      <c r="M2867" t="n">
        <v>0</v>
      </c>
      <c r="N2867" t="n">
        <v>0</v>
      </c>
      <c r="O2867" t="n">
        <v>0</v>
      </c>
      <c r="P2867" t="n">
        <v>0</v>
      </c>
      <c r="Q2867" t="n">
        <v>0</v>
      </c>
      <c r="R2867" s="2" t="inlineStr"/>
    </row>
    <row r="2868" ht="15" customHeight="1">
      <c r="A2868" t="inlineStr">
        <is>
          <t>A 15872-2024</t>
        </is>
      </c>
      <c r="B2868" s="1" t="n">
        <v>45405</v>
      </c>
      <c r="C2868" s="1" t="n">
        <v>45852</v>
      </c>
      <c r="D2868" t="inlineStr">
        <is>
          <t>VÄSTERNORRLANDS LÄN</t>
        </is>
      </c>
      <c r="E2868" t="inlineStr">
        <is>
          <t>SOLLEFTEÅ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15875-2024</t>
        </is>
      </c>
      <c r="B2869" s="1" t="n">
        <v>45405</v>
      </c>
      <c r="C2869" s="1" t="n">
        <v>45852</v>
      </c>
      <c r="D2869" t="inlineStr">
        <is>
          <t>VÄSTERNORRLANDS LÄN</t>
        </is>
      </c>
      <c r="E2869" t="inlineStr">
        <is>
          <t>SOLLEFTEÅ</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15983-2024</t>
        </is>
      </c>
      <c r="B2870" s="1" t="n">
        <v>45405</v>
      </c>
      <c r="C2870" s="1" t="n">
        <v>45852</v>
      </c>
      <c r="D2870" t="inlineStr">
        <is>
          <t>VÄSTERNORRLANDS LÄN</t>
        </is>
      </c>
      <c r="E2870" t="inlineStr">
        <is>
          <t>SOLLEFTEÅ</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16052-2024</t>
        </is>
      </c>
      <c r="B2871" s="1" t="n">
        <v>45406</v>
      </c>
      <c r="C2871" s="1" t="n">
        <v>45852</v>
      </c>
      <c r="D2871" t="inlineStr">
        <is>
          <t>VÄSTERNORRLANDS LÄN</t>
        </is>
      </c>
      <c r="E2871" t="inlineStr">
        <is>
          <t>SOLLEFTEÅ</t>
        </is>
      </c>
      <c r="F2871" t="inlineStr">
        <is>
          <t>SCA</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16051-2024</t>
        </is>
      </c>
      <c r="B2872" s="1" t="n">
        <v>45406</v>
      </c>
      <c r="C2872" s="1" t="n">
        <v>45852</v>
      </c>
      <c r="D2872" t="inlineStr">
        <is>
          <t>VÄSTERNORRLANDS LÄN</t>
        </is>
      </c>
      <c r="E2872" t="inlineStr">
        <is>
          <t>SOLLEFTEÅ</t>
        </is>
      </c>
      <c r="F2872" t="inlineStr">
        <is>
          <t>SCA</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16165-2024</t>
        </is>
      </c>
      <c r="B2873" s="1" t="n">
        <v>45406</v>
      </c>
      <c r="C2873" s="1" t="n">
        <v>45852</v>
      </c>
      <c r="D2873" t="inlineStr">
        <is>
          <t>VÄSTERNORRLANDS LÄN</t>
        </is>
      </c>
      <c r="E2873" t="inlineStr">
        <is>
          <t>SOLLEFTEÅ</t>
        </is>
      </c>
      <c r="G2873" t="n">
        <v>15.2</v>
      </c>
      <c r="H2873" t="n">
        <v>0</v>
      </c>
      <c r="I2873" t="n">
        <v>0</v>
      </c>
      <c r="J2873" t="n">
        <v>0</v>
      </c>
      <c r="K2873" t="n">
        <v>0</v>
      </c>
      <c r="L2873" t="n">
        <v>0</v>
      </c>
      <c r="M2873" t="n">
        <v>0</v>
      </c>
      <c r="N2873" t="n">
        <v>0</v>
      </c>
      <c r="O2873" t="n">
        <v>0</v>
      </c>
      <c r="P2873" t="n">
        <v>0</v>
      </c>
      <c r="Q2873" t="n">
        <v>0</v>
      </c>
      <c r="R2873" s="2" t="inlineStr"/>
    </row>
    <row r="2874" ht="15" customHeight="1">
      <c r="A2874" t="inlineStr">
        <is>
          <t>A 16061-2024</t>
        </is>
      </c>
      <c r="B2874" s="1" t="n">
        <v>45406</v>
      </c>
      <c r="C2874" s="1" t="n">
        <v>45852</v>
      </c>
      <c r="D2874" t="inlineStr">
        <is>
          <t>VÄSTERNORRLANDS LÄN</t>
        </is>
      </c>
      <c r="E2874" t="inlineStr">
        <is>
          <t>SOLLEFTEÅ</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16086-2024</t>
        </is>
      </c>
      <c r="B2875" s="1" t="n">
        <v>45406</v>
      </c>
      <c r="C2875" s="1" t="n">
        <v>45852</v>
      </c>
      <c r="D2875" t="inlineStr">
        <is>
          <t>VÄSTERNORRLANDS LÄN</t>
        </is>
      </c>
      <c r="E2875" t="inlineStr">
        <is>
          <t>SOLLEFTEÅ</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16238-2024</t>
        </is>
      </c>
      <c r="B2876" s="1" t="n">
        <v>45407</v>
      </c>
      <c r="C2876" s="1" t="n">
        <v>45852</v>
      </c>
      <c r="D2876" t="inlineStr">
        <is>
          <t>VÄSTERNORRLANDS LÄN</t>
        </is>
      </c>
      <c r="E2876" t="inlineStr">
        <is>
          <t>SOLLEFTEÅ</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16239-2024</t>
        </is>
      </c>
      <c r="B2877" s="1" t="n">
        <v>45407</v>
      </c>
      <c r="C2877" s="1" t="n">
        <v>45852</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16237-2024</t>
        </is>
      </c>
      <c r="B2878" s="1" t="n">
        <v>45407</v>
      </c>
      <c r="C2878" s="1" t="n">
        <v>45852</v>
      </c>
      <c r="D2878" t="inlineStr">
        <is>
          <t>VÄSTERNORRLANDS LÄN</t>
        </is>
      </c>
      <c r="E2878" t="inlineStr">
        <is>
          <t>SOLLEFTEÅ</t>
        </is>
      </c>
      <c r="F2878" t="inlineStr">
        <is>
          <t>SCA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16241-2024</t>
        </is>
      </c>
      <c r="B2879" s="1" t="n">
        <v>45407</v>
      </c>
      <c r="C2879" s="1" t="n">
        <v>45852</v>
      </c>
      <c r="D2879" t="inlineStr">
        <is>
          <t>VÄSTERNORRLANDS LÄN</t>
        </is>
      </c>
      <c r="E2879" t="inlineStr">
        <is>
          <t>SOLLEFTEÅ</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16253-2024</t>
        </is>
      </c>
      <c r="B2880" s="1" t="n">
        <v>45407</v>
      </c>
      <c r="C2880" s="1" t="n">
        <v>45852</v>
      </c>
      <c r="D2880" t="inlineStr">
        <is>
          <t>VÄSTERNORRLANDS LÄN</t>
        </is>
      </c>
      <c r="E2880" t="inlineStr">
        <is>
          <t>SOLLEFTEÅ</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16468-2024</t>
        </is>
      </c>
      <c r="B2881" s="1" t="n">
        <v>45408</v>
      </c>
      <c r="C2881" s="1" t="n">
        <v>45852</v>
      </c>
      <c r="D2881" t="inlineStr">
        <is>
          <t>VÄSTERNORRLANDS LÄN</t>
        </is>
      </c>
      <c r="E2881" t="inlineStr">
        <is>
          <t>SOLLEFTEÅ</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16463-2024</t>
        </is>
      </c>
      <c r="B2882" s="1" t="n">
        <v>45408</v>
      </c>
      <c r="C2882" s="1" t="n">
        <v>45852</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16467-2024</t>
        </is>
      </c>
      <c r="B2883" s="1" t="n">
        <v>45408</v>
      </c>
      <c r="C2883" s="1" t="n">
        <v>45852</v>
      </c>
      <c r="D2883" t="inlineStr">
        <is>
          <t>VÄSTERNORRLANDS LÄN</t>
        </is>
      </c>
      <c r="E2883" t="inlineStr">
        <is>
          <t>SOLLEFTEÅ</t>
        </is>
      </c>
      <c r="F2883" t="inlineStr">
        <is>
          <t>SCA</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16470-2024</t>
        </is>
      </c>
      <c r="B2884" s="1" t="n">
        <v>45408</v>
      </c>
      <c r="C2884" s="1" t="n">
        <v>45852</v>
      </c>
      <c r="D2884" t="inlineStr">
        <is>
          <t>VÄSTERNORRLANDS LÄN</t>
        </is>
      </c>
      <c r="E2884" t="inlineStr">
        <is>
          <t>SOLLEFTEÅ</t>
        </is>
      </c>
      <c r="F2884" t="inlineStr">
        <is>
          <t>SCA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16691-2024</t>
        </is>
      </c>
      <c r="B2885" s="1" t="n">
        <v>45408</v>
      </c>
      <c r="C2885" s="1" t="n">
        <v>45852</v>
      </c>
      <c r="D2885" t="inlineStr">
        <is>
          <t>VÄSTERNORRLANDS LÄN</t>
        </is>
      </c>
      <c r="E2885" t="inlineStr">
        <is>
          <t>SOLLEFTEÅ</t>
        </is>
      </c>
      <c r="G2885" t="n">
        <v>12.3</v>
      </c>
      <c r="H2885" t="n">
        <v>0</v>
      </c>
      <c r="I2885" t="n">
        <v>0</v>
      </c>
      <c r="J2885" t="n">
        <v>0</v>
      </c>
      <c r="K2885" t="n">
        <v>0</v>
      </c>
      <c r="L2885" t="n">
        <v>0</v>
      </c>
      <c r="M2885" t="n">
        <v>0</v>
      </c>
      <c r="N2885" t="n">
        <v>0</v>
      </c>
      <c r="O2885" t="n">
        <v>0</v>
      </c>
      <c r="P2885" t="n">
        <v>0</v>
      </c>
      <c r="Q2885" t="n">
        <v>0</v>
      </c>
      <c r="R2885" s="2" t="inlineStr"/>
    </row>
    <row r="2886" ht="15" customHeight="1">
      <c r="A2886" t="inlineStr">
        <is>
          <t>A 16693-2024</t>
        </is>
      </c>
      <c r="B2886" s="1" t="n">
        <v>45408</v>
      </c>
      <c r="C2886" s="1" t="n">
        <v>45852</v>
      </c>
      <c r="D2886" t="inlineStr">
        <is>
          <t>VÄSTERNORRLANDS LÄN</t>
        </is>
      </c>
      <c r="E2886" t="inlineStr">
        <is>
          <t>SOLLEFTEÅ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16710-2024</t>
        </is>
      </c>
      <c r="B2887" s="1" t="n">
        <v>45409</v>
      </c>
      <c r="C2887" s="1" t="n">
        <v>45852</v>
      </c>
      <c r="D2887" t="inlineStr">
        <is>
          <t>VÄSTERNORRLANDS LÄN</t>
        </is>
      </c>
      <c r="E2887" t="inlineStr">
        <is>
          <t>SOLLEFTEÅ</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16703-2024</t>
        </is>
      </c>
      <c r="B2888" s="1" t="n">
        <v>45409</v>
      </c>
      <c r="C2888" s="1" t="n">
        <v>45852</v>
      </c>
      <c r="D2888" t="inlineStr">
        <is>
          <t>VÄSTERNORRLANDS LÄN</t>
        </is>
      </c>
      <c r="E2888" t="inlineStr">
        <is>
          <t>SOLLEFTEÅ</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16701-2024</t>
        </is>
      </c>
      <c r="B2889" s="1" t="n">
        <v>45409</v>
      </c>
      <c r="C2889" s="1" t="n">
        <v>45852</v>
      </c>
      <c r="D2889" t="inlineStr">
        <is>
          <t>VÄSTERNORRLANDS LÄN</t>
        </is>
      </c>
      <c r="E2889" t="inlineStr">
        <is>
          <t>SOLLEFTEÅ</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16709-2024</t>
        </is>
      </c>
      <c r="B2890" s="1" t="n">
        <v>45409</v>
      </c>
      <c r="C2890" s="1" t="n">
        <v>45852</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16717-2024</t>
        </is>
      </c>
      <c r="B2891" s="1" t="n">
        <v>45409</v>
      </c>
      <c r="C2891" s="1" t="n">
        <v>45852</v>
      </c>
      <c r="D2891" t="inlineStr">
        <is>
          <t>VÄSTERNORRLANDS LÄN</t>
        </is>
      </c>
      <c r="E2891" t="inlineStr">
        <is>
          <t>SOLLEFTEÅ</t>
        </is>
      </c>
      <c r="F2891" t="inlineStr">
        <is>
          <t>SCA</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16726-2024</t>
        </is>
      </c>
      <c r="B2892" s="1" t="n">
        <v>45410</v>
      </c>
      <c r="C2892" s="1" t="n">
        <v>45852</v>
      </c>
      <c r="D2892" t="inlineStr">
        <is>
          <t>VÄSTERNORRLANDS LÄN</t>
        </is>
      </c>
      <c r="E2892" t="inlineStr">
        <is>
          <t>SOLLEFTEÅ</t>
        </is>
      </c>
      <c r="F2892" t="inlineStr">
        <is>
          <t>SCA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17172-2024</t>
        </is>
      </c>
      <c r="B2893" s="1" t="n">
        <v>45413</v>
      </c>
      <c r="C2893" s="1" t="n">
        <v>45852</v>
      </c>
      <c r="D2893" t="inlineStr">
        <is>
          <t>VÄSTERNORRLANDS LÄN</t>
        </is>
      </c>
      <c r="E2893" t="inlineStr">
        <is>
          <t>SOLLEFTEÅ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17120-2024</t>
        </is>
      </c>
      <c r="B2894" s="1" t="n">
        <v>45412</v>
      </c>
      <c r="C2894" s="1" t="n">
        <v>45852</v>
      </c>
      <c r="D2894" t="inlineStr">
        <is>
          <t>VÄSTERNORRLANDS LÄN</t>
        </is>
      </c>
      <c r="E2894" t="inlineStr">
        <is>
          <t>SOLLEFTEÅ</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17173-2024</t>
        </is>
      </c>
      <c r="B2895" s="1" t="n">
        <v>45413</v>
      </c>
      <c r="C2895" s="1" t="n">
        <v>45852</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17111-2024</t>
        </is>
      </c>
      <c r="B2896" s="1" t="n">
        <v>45412</v>
      </c>
      <c r="C2896" s="1" t="n">
        <v>45852</v>
      </c>
      <c r="D2896" t="inlineStr">
        <is>
          <t>VÄSTERNORRLANDS LÄN</t>
        </is>
      </c>
      <c r="E2896" t="inlineStr">
        <is>
          <t>SOLLEFTEÅ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17170-2024</t>
        </is>
      </c>
      <c r="B2897" s="1" t="n">
        <v>45413</v>
      </c>
      <c r="C2897" s="1" t="n">
        <v>45852</v>
      </c>
      <c r="D2897" t="inlineStr">
        <is>
          <t>VÄSTERNORRLANDS LÄN</t>
        </is>
      </c>
      <c r="E2897" t="inlineStr">
        <is>
          <t>SOLLEFTEÅ</t>
        </is>
      </c>
      <c r="F2897" t="inlineStr">
        <is>
          <t>SCA</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17209-2024</t>
        </is>
      </c>
      <c r="B2898" s="1" t="n">
        <v>45414</v>
      </c>
      <c r="C2898" s="1" t="n">
        <v>45852</v>
      </c>
      <c r="D2898" t="inlineStr">
        <is>
          <t>VÄSTERNORRLANDS LÄN</t>
        </is>
      </c>
      <c r="E2898" t="inlineStr">
        <is>
          <t>SOLLEFTEÅ</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17263-2024</t>
        </is>
      </c>
      <c r="B2899" s="1" t="n">
        <v>45414</v>
      </c>
      <c r="C2899" s="1" t="n">
        <v>45852</v>
      </c>
      <c r="D2899" t="inlineStr">
        <is>
          <t>VÄSTERNORRLANDS LÄN</t>
        </is>
      </c>
      <c r="E2899" t="inlineStr">
        <is>
          <t>SOLLEFTEÅ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17585-2024</t>
        </is>
      </c>
      <c r="B2900" s="1" t="n">
        <v>45416</v>
      </c>
      <c r="C2900" s="1" t="n">
        <v>45852</v>
      </c>
      <c r="D2900" t="inlineStr">
        <is>
          <t>VÄSTERNORRLANDS LÄN</t>
        </is>
      </c>
      <c r="E2900" t="inlineStr">
        <is>
          <t>SOLLEFTEÅ</t>
        </is>
      </c>
      <c r="G2900" t="n">
        <v>18.8</v>
      </c>
      <c r="H2900" t="n">
        <v>0</v>
      </c>
      <c r="I2900" t="n">
        <v>0</v>
      </c>
      <c r="J2900" t="n">
        <v>0</v>
      </c>
      <c r="K2900" t="n">
        <v>0</v>
      </c>
      <c r="L2900" t="n">
        <v>0</v>
      </c>
      <c r="M2900" t="n">
        <v>0</v>
      </c>
      <c r="N2900" t="n">
        <v>0</v>
      </c>
      <c r="O2900" t="n">
        <v>0</v>
      </c>
      <c r="P2900" t="n">
        <v>0</v>
      </c>
      <c r="Q2900" t="n">
        <v>0</v>
      </c>
      <c r="R2900" s="2" t="inlineStr"/>
    </row>
    <row r="2901" ht="15" customHeight="1">
      <c r="A2901" t="inlineStr">
        <is>
          <t>A 17512-2024</t>
        </is>
      </c>
      <c r="B2901" s="1" t="n">
        <v>45415</v>
      </c>
      <c r="C2901" s="1" t="n">
        <v>45852</v>
      </c>
      <c r="D2901" t="inlineStr">
        <is>
          <t>VÄSTERNORRLANDS LÄN</t>
        </is>
      </c>
      <c r="E2901" t="inlineStr">
        <is>
          <t>SOLLEFTEÅ</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17822-2024</t>
        </is>
      </c>
      <c r="B2902" s="1" t="n">
        <v>45419</v>
      </c>
      <c r="C2902" s="1" t="n">
        <v>45852</v>
      </c>
      <c r="D2902" t="inlineStr">
        <is>
          <t>VÄSTERNORRLANDS LÄN</t>
        </is>
      </c>
      <c r="E2902" t="inlineStr">
        <is>
          <t>SOLLEFTEÅ</t>
        </is>
      </c>
      <c r="F2902" t="inlineStr">
        <is>
          <t>SCA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17826-2024</t>
        </is>
      </c>
      <c r="B2903" s="1" t="n">
        <v>45419</v>
      </c>
      <c r="C2903" s="1" t="n">
        <v>45852</v>
      </c>
      <c r="D2903" t="inlineStr">
        <is>
          <t>VÄSTERNORRLANDS LÄN</t>
        </is>
      </c>
      <c r="E2903" t="inlineStr">
        <is>
          <t>SOLLEFTEÅ</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18003-2024</t>
        </is>
      </c>
      <c r="B2904" s="1" t="n">
        <v>45420</v>
      </c>
      <c r="C2904" s="1" t="n">
        <v>45852</v>
      </c>
      <c r="D2904" t="inlineStr">
        <is>
          <t>VÄSTERNORRLANDS LÄN</t>
        </is>
      </c>
      <c r="E2904" t="inlineStr">
        <is>
          <t>SOLLEFTEÅ</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18226-2024</t>
        </is>
      </c>
      <c r="B2905" s="1" t="n">
        <v>45420</v>
      </c>
      <c r="C2905" s="1" t="n">
        <v>45852</v>
      </c>
      <c r="D2905" t="inlineStr">
        <is>
          <t>VÄSTERNORRLANDS LÄN</t>
        </is>
      </c>
      <c r="E2905" t="inlineStr">
        <is>
          <t>SOLLEFTEÅ</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18220-2024</t>
        </is>
      </c>
      <c r="B2906" s="1" t="n">
        <v>45420</v>
      </c>
      <c r="C2906" s="1" t="n">
        <v>45852</v>
      </c>
      <c r="D2906" t="inlineStr">
        <is>
          <t>VÄSTERNORRLANDS LÄN</t>
        </is>
      </c>
      <c r="E2906" t="inlineStr">
        <is>
          <t>SOLLEFTEÅ</t>
        </is>
      </c>
      <c r="G2906" t="n">
        <v>14.3</v>
      </c>
      <c r="H2906" t="n">
        <v>0</v>
      </c>
      <c r="I2906" t="n">
        <v>0</v>
      </c>
      <c r="J2906" t="n">
        <v>0</v>
      </c>
      <c r="K2906" t="n">
        <v>0</v>
      </c>
      <c r="L2906" t="n">
        <v>0</v>
      </c>
      <c r="M2906" t="n">
        <v>0</v>
      </c>
      <c r="N2906" t="n">
        <v>0</v>
      </c>
      <c r="O2906" t="n">
        <v>0</v>
      </c>
      <c r="P2906" t="n">
        <v>0</v>
      </c>
      <c r="Q2906" t="n">
        <v>0</v>
      </c>
      <c r="R2906" s="2" t="inlineStr"/>
    </row>
    <row r="2907" ht="15" customHeight="1">
      <c r="A2907" t="inlineStr">
        <is>
          <t>A 18224-2024</t>
        </is>
      </c>
      <c r="B2907" s="1" t="n">
        <v>45421</v>
      </c>
      <c r="C2907" s="1" t="n">
        <v>45852</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18362-2024</t>
        </is>
      </c>
      <c r="B2908" s="1" t="n">
        <v>45422</v>
      </c>
      <c r="C2908" s="1" t="n">
        <v>45852</v>
      </c>
      <c r="D2908" t="inlineStr">
        <is>
          <t>VÄSTERNORRLANDS LÄN</t>
        </is>
      </c>
      <c r="E2908" t="inlineStr">
        <is>
          <t>SOLLEFTEÅ</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18366-2024</t>
        </is>
      </c>
      <c r="B2909" s="1" t="n">
        <v>45422</v>
      </c>
      <c r="C2909" s="1" t="n">
        <v>45852</v>
      </c>
      <c r="D2909" t="inlineStr">
        <is>
          <t>VÄSTERNORRLANDS LÄN</t>
        </is>
      </c>
      <c r="E2909" t="inlineStr">
        <is>
          <t>SOLLEFTEÅ</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18363-2024</t>
        </is>
      </c>
      <c r="B2910" s="1" t="n">
        <v>45422</v>
      </c>
      <c r="C2910" s="1" t="n">
        <v>45852</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18299-2024</t>
        </is>
      </c>
      <c r="B2911" s="1" t="n">
        <v>45422</v>
      </c>
      <c r="C2911" s="1" t="n">
        <v>45852</v>
      </c>
      <c r="D2911" t="inlineStr">
        <is>
          <t>VÄSTERNORRLANDS LÄN</t>
        </is>
      </c>
      <c r="E2911" t="inlineStr">
        <is>
          <t>SOLLEFTEÅ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18365-2024</t>
        </is>
      </c>
      <c r="B2912" s="1" t="n">
        <v>45422</v>
      </c>
      <c r="C2912" s="1" t="n">
        <v>45852</v>
      </c>
      <c r="D2912" t="inlineStr">
        <is>
          <t>VÄSTERNORRLANDS LÄN</t>
        </is>
      </c>
      <c r="E2912" t="inlineStr">
        <is>
          <t>SOLLEFTEÅ</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18364-2024</t>
        </is>
      </c>
      <c r="B2913" s="1" t="n">
        <v>45422</v>
      </c>
      <c r="C2913" s="1" t="n">
        <v>45852</v>
      </c>
      <c r="D2913" t="inlineStr">
        <is>
          <t>VÄSTERNORRLANDS LÄN</t>
        </is>
      </c>
      <c r="E2913" t="inlineStr">
        <is>
          <t>SOLLEFTEÅ</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18623-2024</t>
        </is>
      </c>
      <c r="B2914" s="1" t="n">
        <v>45426</v>
      </c>
      <c r="C2914" s="1" t="n">
        <v>45852</v>
      </c>
      <c r="D2914" t="inlineStr">
        <is>
          <t>VÄSTERNORRLANDS LÄN</t>
        </is>
      </c>
      <c r="E2914" t="inlineStr">
        <is>
          <t>SOLLEFTEÅ</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18436-2024</t>
        </is>
      </c>
      <c r="B2915" s="1" t="n">
        <v>45425</v>
      </c>
      <c r="C2915" s="1" t="n">
        <v>45852</v>
      </c>
      <c r="D2915" t="inlineStr">
        <is>
          <t>VÄSTERNORRLANDS LÄN</t>
        </is>
      </c>
      <c r="E2915" t="inlineStr">
        <is>
          <t>SOLLEFTEÅ</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18587-2024</t>
        </is>
      </c>
      <c r="B2916" s="1" t="n">
        <v>45425</v>
      </c>
      <c r="C2916" s="1" t="n">
        <v>45852</v>
      </c>
      <c r="D2916" t="inlineStr">
        <is>
          <t>VÄSTERNORRLANDS LÄN</t>
        </is>
      </c>
      <c r="E2916" t="inlineStr">
        <is>
          <t>SOLLEFTEÅ</t>
        </is>
      </c>
      <c r="G2916" t="n">
        <v>15.7</v>
      </c>
      <c r="H2916" t="n">
        <v>0</v>
      </c>
      <c r="I2916" t="n">
        <v>0</v>
      </c>
      <c r="J2916" t="n">
        <v>0</v>
      </c>
      <c r="K2916" t="n">
        <v>0</v>
      </c>
      <c r="L2916" t="n">
        <v>0</v>
      </c>
      <c r="M2916" t="n">
        <v>0</v>
      </c>
      <c r="N2916" t="n">
        <v>0</v>
      </c>
      <c r="O2916" t="n">
        <v>0</v>
      </c>
      <c r="P2916" t="n">
        <v>0</v>
      </c>
      <c r="Q2916" t="n">
        <v>0</v>
      </c>
      <c r="R2916" s="2" t="inlineStr"/>
    </row>
    <row r="2917" ht="15" customHeight="1">
      <c r="A2917" t="inlineStr">
        <is>
          <t>A 18620-2024</t>
        </is>
      </c>
      <c r="B2917" s="1" t="n">
        <v>45425</v>
      </c>
      <c r="C2917" s="1" t="n">
        <v>45852</v>
      </c>
      <c r="D2917" t="inlineStr">
        <is>
          <t>VÄSTERNORRLANDS LÄN</t>
        </is>
      </c>
      <c r="E2917" t="inlineStr">
        <is>
          <t>SOLLEFTEÅ</t>
        </is>
      </c>
      <c r="F2917" t="inlineStr">
        <is>
          <t>SCA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18648-2024</t>
        </is>
      </c>
      <c r="B2918" s="1" t="n">
        <v>45426</v>
      </c>
      <c r="C2918" s="1" t="n">
        <v>45852</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18621-2024</t>
        </is>
      </c>
      <c r="B2919" s="1" t="n">
        <v>45425</v>
      </c>
      <c r="C2919" s="1" t="n">
        <v>45852</v>
      </c>
      <c r="D2919" t="inlineStr">
        <is>
          <t>VÄSTERNORRLANDS LÄN</t>
        </is>
      </c>
      <c r="E2919" t="inlineStr">
        <is>
          <t>SOLLEFTEÅ</t>
        </is>
      </c>
      <c r="F2919" t="inlineStr">
        <is>
          <t>SCA</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18649-2024</t>
        </is>
      </c>
      <c r="B2920" s="1" t="n">
        <v>45426</v>
      </c>
      <c r="C2920" s="1" t="n">
        <v>45852</v>
      </c>
      <c r="D2920" t="inlineStr">
        <is>
          <t>VÄSTERNORRLANDS LÄN</t>
        </is>
      </c>
      <c r="E2920" t="inlineStr">
        <is>
          <t>SOLLEFTEÅ</t>
        </is>
      </c>
      <c r="F2920" t="inlineStr">
        <is>
          <t>SCA</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18622-2024</t>
        </is>
      </c>
      <c r="B2921" s="1" t="n">
        <v>45426</v>
      </c>
      <c r="C2921" s="1" t="n">
        <v>45852</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18672-2024</t>
        </is>
      </c>
      <c r="B2922" s="1" t="n">
        <v>45425</v>
      </c>
      <c r="C2922" s="1" t="n">
        <v>45852</v>
      </c>
      <c r="D2922" t="inlineStr">
        <is>
          <t>VÄSTERNORRLANDS LÄN</t>
        </is>
      </c>
      <c r="E2922" t="inlineStr">
        <is>
          <t>SOLLEFTEÅ</t>
        </is>
      </c>
      <c r="G2922" t="n">
        <v>22.8</v>
      </c>
      <c r="H2922" t="n">
        <v>0</v>
      </c>
      <c r="I2922" t="n">
        <v>0</v>
      </c>
      <c r="J2922" t="n">
        <v>0</v>
      </c>
      <c r="K2922" t="n">
        <v>0</v>
      </c>
      <c r="L2922" t="n">
        <v>0</v>
      </c>
      <c r="M2922" t="n">
        <v>0</v>
      </c>
      <c r="N2922" t="n">
        <v>0</v>
      </c>
      <c r="O2922" t="n">
        <v>0</v>
      </c>
      <c r="P2922" t="n">
        <v>0</v>
      </c>
      <c r="Q2922" t="n">
        <v>0</v>
      </c>
      <c r="R2922" s="2" t="inlineStr"/>
    </row>
    <row r="2923" ht="15" customHeight="1">
      <c r="A2923" t="inlineStr">
        <is>
          <t>A 19067-2024</t>
        </is>
      </c>
      <c r="B2923" s="1" t="n">
        <v>45427</v>
      </c>
      <c r="C2923" s="1" t="n">
        <v>45852</v>
      </c>
      <c r="D2923" t="inlineStr">
        <is>
          <t>VÄSTERNORRLANDS LÄN</t>
        </is>
      </c>
      <c r="E2923" t="inlineStr">
        <is>
          <t>SOLLEFTEÅ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19064-2024</t>
        </is>
      </c>
      <c r="B2924" s="1" t="n">
        <v>45427</v>
      </c>
      <c r="C2924" s="1" t="n">
        <v>45852</v>
      </c>
      <c r="D2924" t="inlineStr">
        <is>
          <t>VÄSTERNORRLANDS LÄN</t>
        </is>
      </c>
      <c r="E2924" t="inlineStr">
        <is>
          <t>SOLLEFTEÅ</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19065-2024</t>
        </is>
      </c>
      <c r="B2925" s="1" t="n">
        <v>45427</v>
      </c>
      <c r="C2925" s="1" t="n">
        <v>45852</v>
      </c>
      <c r="D2925" t="inlineStr">
        <is>
          <t>VÄSTERNORRLANDS LÄN</t>
        </is>
      </c>
      <c r="E2925" t="inlineStr">
        <is>
          <t>SOLLEFTEÅ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19082-2024</t>
        </is>
      </c>
      <c r="B2926" s="1" t="n">
        <v>45428</v>
      </c>
      <c r="C2926" s="1" t="n">
        <v>45852</v>
      </c>
      <c r="D2926" t="inlineStr">
        <is>
          <t>VÄSTERNORRLANDS LÄN</t>
        </is>
      </c>
      <c r="E2926" t="inlineStr">
        <is>
          <t>SOLLEFTEÅ</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19207-2024</t>
        </is>
      </c>
      <c r="B2927" s="1" t="n">
        <v>45428</v>
      </c>
      <c r="C2927" s="1" t="n">
        <v>45852</v>
      </c>
      <c r="D2927" t="inlineStr">
        <is>
          <t>VÄSTERNORRLANDS LÄN</t>
        </is>
      </c>
      <c r="E2927" t="inlineStr">
        <is>
          <t>SOLLEFTEÅ</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19326-2024</t>
        </is>
      </c>
      <c r="B2928" s="1" t="n">
        <v>45428</v>
      </c>
      <c r="C2928" s="1" t="n">
        <v>45852</v>
      </c>
      <c r="D2928" t="inlineStr">
        <is>
          <t>VÄSTERNORRLANDS LÄN</t>
        </is>
      </c>
      <c r="E2928" t="inlineStr">
        <is>
          <t>SOLLEFTEÅ</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19429-2024</t>
        </is>
      </c>
      <c r="B2929" s="1" t="n">
        <v>45429</v>
      </c>
      <c r="C2929" s="1" t="n">
        <v>45852</v>
      </c>
      <c r="D2929" t="inlineStr">
        <is>
          <t>VÄSTERNORRLANDS LÄN</t>
        </is>
      </c>
      <c r="E2929" t="inlineStr">
        <is>
          <t>SOLLEFTEÅ</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19577-2024</t>
        </is>
      </c>
      <c r="B2930" s="1" t="n">
        <v>45429</v>
      </c>
      <c r="C2930" s="1" t="n">
        <v>45852</v>
      </c>
      <c r="D2930" t="inlineStr">
        <is>
          <t>VÄSTERNORRLANDS LÄN</t>
        </is>
      </c>
      <c r="E2930" t="inlineStr">
        <is>
          <t>SOLLEFTEÅ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19556-2024</t>
        </is>
      </c>
      <c r="B2931" s="1" t="n">
        <v>45429</v>
      </c>
      <c r="C2931" s="1" t="n">
        <v>45852</v>
      </c>
      <c r="D2931" t="inlineStr">
        <is>
          <t>VÄSTERNORRLANDS LÄN</t>
        </is>
      </c>
      <c r="E2931" t="inlineStr">
        <is>
          <t>SOLLEFTEÅ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19580-2024</t>
        </is>
      </c>
      <c r="B2932" s="1" t="n">
        <v>45429</v>
      </c>
      <c r="C2932" s="1" t="n">
        <v>45852</v>
      </c>
      <c r="D2932" t="inlineStr">
        <is>
          <t>VÄSTERNORRLANDS LÄN</t>
        </is>
      </c>
      <c r="E2932" t="inlineStr">
        <is>
          <t>SOLLEFTEÅ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19571-2024</t>
        </is>
      </c>
      <c r="B2933" s="1" t="n">
        <v>45429</v>
      </c>
      <c r="C2933" s="1" t="n">
        <v>45852</v>
      </c>
      <c r="D2933" t="inlineStr">
        <is>
          <t>VÄSTERNORRLANDS LÄN</t>
        </is>
      </c>
      <c r="E2933" t="inlineStr">
        <is>
          <t>SOLLEFTEÅ</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19602-2024</t>
        </is>
      </c>
      <c r="B2934" s="1" t="n">
        <v>45431</v>
      </c>
      <c r="C2934" s="1" t="n">
        <v>45852</v>
      </c>
      <c r="D2934" t="inlineStr">
        <is>
          <t>VÄSTERNORRLANDS LÄN</t>
        </is>
      </c>
      <c r="E2934" t="inlineStr">
        <is>
          <t>SOLLEFTEÅ</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20002-2024</t>
        </is>
      </c>
      <c r="B2935" s="1" t="n">
        <v>45433</v>
      </c>
      <c r="C2935" s="1" t="n">
        <v>45852</v>
      </c>
      <c r="D2935" t="inlineStr">
        <is>
          <t>VÄSTERNORRLANDS LÄN</t>
        </is>
      </c>
      <c r="E2935" t="inlineStr">
        <is>
          <t>SOLLEFTEÅ</t>
        </is>
      </c>
      <c r="F2935" t="inlineStr">
        <is>
          <t>SCA</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20022-2024</t>
        </is>
      </c>
      <c r="B2936" s="1" t="n">
        <v>45434</v>
      </c>
      <c r="C2936" s="1" t="n">
        <v>45852</v>
      </c>
      <c r="D2936" t="inlineStr">
        <is>
          <t>VÄSTERNORRLANDS LÄN</t>
        </is>
      </c>
      <c r="E2936" t="inlineStr">
        <is>
          <t>SOLLEFTEÅ</t>
        </is>
      </c>
      <c r="F2936" t="inlineStr">
        <is>
          <t>Holmen skog AB</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20025-2024</t>
        </is>
      </c>
      <c r="B2937" s="1" t="n">
        <v>45434</v>
      </c>
      <c r="C2937" s="1" t="n">
        <v>45852</v>
      </c>
      <c r="D2937" t="inlineStr">
        <is>
          <t>VÄSTERNORRLANDS LÄN</t>
        </is>
      </c>
      <c r="E2937" t="inlineStr">
        <is>
          <t>SOLLEFTEÅ</t>
        </is>
      </c>
      <c r="F2937" t="inlineStr">
        <is>
          <t>Holmen skog AB</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20066-2024</t>
        </is>
      </c>
      <c r="B2938" s="1" t="n">
        <v>45434</v>
      </c>
      <c r="C2938" s="1" t="n">
        <v>45852</v>
      </c>
      <c r="D2938" t="inlineStr">
        <is>
          <t>VÄSTERNORRLANDS LÄN</t>
        </is>
      </c>
      <c r="E2938" t="inlineStr">
        <is>
          <t>SOLLEFTEÅ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20223-2024</t>
        </is>
      </c>
      <c r="B2939" s="1" t="n">
        <v>45434</v>
      </c>
      <c r="C2939" s="1" t="n">
        <v>45852</v>
      </c>
      <c r="D2939" t="inlineStr">
        <is>
          <t>VÄSTERNORRLANDS LÄN</t>
        </is>
      </c>
      <c r="E2939" t="inlineStr">
        <is>
          <t>SOLLEFTEÅ</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20281-2024</t>
        </is>
      </c>
      <c r="B2940" s="1" t="n">
        <v>45435</v>
      </c>
      <c r="C2940" s="1" t="n">
        <v>45852</v>
      </c>
      <c r="D2940" t="inlineStr">
        <is>
          <t>VÄSTERNORRLANDS LÄN</t>
        </is>
      </c>
      <c r="E2940" t="inlineStr">
        <is>
          <t>SOLLEFTEÅ</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20280-2024</t>
        </is>
      </c>
      <c r="B2941" s="1" t="n">
        <v>45435</v>
      </c>
      <c r="C2941" s="1" t="n">
        <v>45852</v>
      </c>
      <c r="D2941" t="inlineStr">
        <is>
          <t>VÄSTERNORRLANDS LÄN</t>
        </is>
      </c>
      <c r="E2941" t="inlineStr">
        <is>
          <t>SOLLEFTEÅ</t>
        </is>
      </c>
      <c r="F2941" t="inlineStr">
        <is>
          <t>SCA</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20506-2024</t>
        </is>
      </c>
      <c r="B2942" s="1" t="n">
        <v>45436</v>
      </c>
      <c r="C2942" s="1" t="n">
        <v>45852</v>
      </c>
      <c r="D2942" t="inlineStr">
        <is>
          <t>VÄSTERNORRLANDS LÄN</t>
        </is>
      </c>
      <c r="E2942" t="inlineStr">
        <is>
          <t>SOLLEFTEÅ</t>
        </is>
      </c>
      <c r="F2942" t="inlineStr">
        <is>
          <t>SCA</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20354-2024</t>
        </is>
      </c>
      <c r="B2943" s="1" t="n">
        <v>45435</v>
      </c>
      <c r="C2943" s="1" t="n">
        <v>45852</v>
      </c>
      <c r="D2943" t="inlineStr">
        <is>
          <t>VÄSTERNORRLANDS LÄN</t>
        </is>
      </c>
      <c r="E2943" t="inlineStr">
        <is>
          <t>SOLLEFTEÅ</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20516-2024</t>
        </is>
      </c>
      <c r="B2944" s="1" t="n">
        <v>45435</v>
      </c>
      <c r="C2944" s="1" t="n">
        <v>45852</v>
      </c>
      <c r="D2944" t="inlineStr">
        <is>
          <t>VÄSTERNORRLANDS LÄN</t>
        </is>
      </c>
      <c r="E2944" t="inlineStr">
        <is>
          <t>SOLLEFTEÅ</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20507-2024</t>
        </is>
      </c>
      <c r="B2945" s="1" t="n">
        <v>45435</v>
      </c>
      <c r="C2945" s="1" t="n">
        <v>45852</v>
      </c>
      <c r="D2945" t="inlineStr">
        <is>
          <t>VÄSTERNORRLANDS LÄN</t>
        </is>
      </c>
      <c r="E2945" t="inlineStr">
        <is>
          <t>SOLLEFTEÅ</t>
        </is>
      </c>
      <c r="F2945" t="inlineStr">
        <is>
          <t>SCA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20515-2024</t>
        </is>
      </c>
      <c r="B2946" s="1" t="n">
        <v>45435</v>
      </c>
      <c r="C2946" s="1" t="n">
        <v>45852</v>
      </c>
      <c r="D2946" t="inlineStr">
        <is>
          <t>VÄSTERNORRLANDS LÄN</t>
        </is>
      </c>
      <c r="E2946" t="inlineStr">
        <is>
          <t>SOLLEFTEÅ</t>
        </is>
      </c>
      <c r="F2946" t="inlineStr">
        <is>
          <t>SCA</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20520-2024</t>
        </is>
      </c>
      <c r="B2947" s="1" t="n">
        <v>45435</v>
      </c>
      <c r="C2947" s="1" t="n">
        <v>45852</v>
      </c>
      <c r="D2947" t="inlineStr">
        <is>
          <t>VÄSTERNORRLANDS LÄN</t>
        </is>
      </c>
      <c r="E2947" t="inlineStr">
        <is>
          <t>SOLLEFTEÅ</t>
        </is>
      </c>
      <c r="F2947" t="inlineStr">
        <is>
          <t>SCA</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20604-2024</t>
        </is>
      </c>
      <c r="B2948" s="1" t="n">
        <v>45436</v>
      </c>
      <c r="C2948" s="1" t="n">
        <v>45852</v>
      </c>
      <c r="D2948" t="inlineStr">
        <is>
          <t>VÄSTERNORRLANDS LÄN</t>
        </is>
      </c>
      <c r="E2948" t="inlineStr">
        <is>
          <t>SOLLEFTEÅ</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20764-2024</t>
        </is>
      </c>
      <c r="B2949" s="1" t="n">
        <v>45436</v>
      </c>
      <c r="C2949" s="1" t="n">
        <v>45852</v>
      </c>
      <c r="D2949" t="inlineStr">
        <is>
          <t>VÄSTERNORRLANDS LÄN</t>
        </is>
      </c>
      <c r="E2949" t="inlineStr">
        <is>
          <t>SOLLEFTEÅ</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20799-2024</t>
        </is>
      </c>
      <c r="B2950" s="1" t="n">
        <v>45438</v>
      </c>
      <c r="C2950" s="1" t="n">
        <v>45852</v>
      </c>
      <c r="D2950" t="inlineStr">
        <is>
          <t>VÄSTERNORRLANDS LÄN</t>
        </is>
      </c>
      <c r="E2950" t="inlineStr">
        <is>
          <t>SOLLEFTEÅ</t>
        </is>
      </c>
      <c r="F2950" t="inlineStr">
        <is>
          <t>SCA</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21031-2024</t>
        </is>
      </c>
      <c r="B2951" s="1" t="n">
        <v>45439</v>
      </c>
      <c r="C2951" s="1" t="n">
        <v>45852</v>
      </c>
      <c r="D2951" t="inlineStr">
        <is>
          <t>VÄSTERNORRLANDS LÄN</t>
        </is>
      </c>
      <c r="E2951" t="inlineStr">
        <is>
          <t>SOLLEFTEÅ</t>
        </is>
      </c>
      <c r="F2951" t="inlineStr">
        <is>
          <t>Holmen skog AB</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21098-2024</t>
        </is>
      </c>
      <c r="B2952" s="1" t="n">
        <v>45440</v>
      </c>
      <c r="C2952" s="1" t="n">
        <v>45852</v>
      </c>
      <c r="D2952" t="inlineStr">
        <is>
          <t>VÄSTERNORRLANDS LÄN</t>
        </is>
      </c>
      <c r="E2952" t="inlineStr">
        <is>
          <t>SOLLEFTEÅ</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21106-2024</t>
        </is>
      </c>
      <c r="B2953" s="1" t="n">
        <v>45440</v>
      </c>
      <c r="C2953" s="1" t="n">
        <v>45852</v>
      </c>
      <c r="D2953" t="inlineStr">
        <is>
          <t>VÄSTERNORRLANDS LÄN</t>
        </is>
      </c>
      <c r="E2953" t="inlineStr">
        <is>
          <t>SOLLEFTEÅ</t>
        </is>
      </c>
      <c r="F2953" t="inlineStr">
        <is>
          <t>SCA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21096-2024</t>
        </is>
      </c>
      <c r="B2954" s="1" t="n">
        <v>45440</v>
      </c>
      <c r="C2954" s="1" t="n">
        <v>45852</v>
      </c>
      <c r="D2954" t="inlineStr">
        <is>
          <t>VÄSTERNORRLANDS LÄN</t>
        </is>
      </c>
      <c r="E2954" t="inlineStr">
        <is>
          <t>SOLLEFTEÅ</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21100-2024</t>
        </is>
      </c>
      <c r="B2955" s="1" t="n">
        <v>45440</v>
      </c>
      <c r="C2955" s="1" t="n">
        <v>45852</v>
      </c>
      <c r="D2955" t="inlineStr">
        <is>
          <t>VÄSTERNORRLANDS LÄN</t>
        </is>
      </c>
      <c r="E2955" t="inlineStr">
        <is>
          <t>SOLLEFTEÅ</t>
        </is>
      </c>
      <c r="F2955" t="inlineStr">
        <is>
          <t>SCA</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21092-2024</t>
        </is>
      </c>
      <c r="B2956" s="1" t="n">
        <v>45440</v>
      </c>
      <c r="C2956" s="1" t="n">
        <v>45852</v>
      </c>
      <c r="D2956" t="inlineStr">
        <is>
          <t>VÄSTERNORRLANDS LÄN</t>
        </is>
      </c>
      <c r="E2956" t="inlineStr">
        <is>
          <t>SOLLEFTEÅ</t>
        </is>
      </c>
      <c r="F2956" t="inlineStr">
        <is>
          <t>SCA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21099-2024</t>
        </is>
      </c>
      <c r="B2957" s="1" t="n">
        <v>45439</v>
      </c>
      <c r="C2957" s="1" t="n">
        <v>45852</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21095-2024</t>
        </is>
      </c>
      <c r="B2958" s="1" t="n">
        <v>45440</v>
      </c>
      <c r="C2958" s="1" t="n">
        <v>45852</v>
      </c>
      <c r="D2958" t="inlineStr">
        <is>
          <t>VÄSTERNORRLANDS LÄN</t>
        </is>
      </c>
      <c r="E2958" t="inlineStr">
        <is>
          <t>SOLLEFTEÅ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21087-2024</t>
        </is>
      </c>
      <c r="B2959" s="1" t="n">
        <v>45440</v>
      </c>
      <c r="C2959" s="1" t="n">
        <v>45852</v>
      </c>
      <c r="D2959" t="inlineStr">
        <is>
          <t>VÄSTERNORRLANDS LÄN</t>
        </is>
      </c>
      <c r="E2959" t="inlineStr">
        <is>
          <t>SOLLEFTEÅ</t>
        </is>
      </c>
      <c r="F2959" t="inlineStr">
        <is>
          <t>SCA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21101-2024</t>
        </is>
      </c>
      <c r="B2960" s="1" t="n">
        <v>45439</v>
      </c>
      <c r="C2960" s="1" t="n">
        <v>45852</v>
      </c>
      <c r="D2960" t="inlineStr">
        <is>
          <t>VÄSTERNORRLANDS LÄN</t>
        </is>
      </c>
      <c r="E2960" t="inlineStr">
        <is>
          <t>SOLLEFTEÅ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21137-2024</t>
        </is>
      </c>
      <c r="B2961" s="1" t="n">
        <v>45440</v>
      </c>
      <c r="C2961" s="1" t="n">
        <v>45852</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21364-2024</t>
        </is>
      </c>
      <c r="B2962" s="1" t="n">
        <v>45441</v>
      </c>
      <c r="C2962" s="1" t="n">
        <v>45852</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21363-2024</t>
        </is>
      </c>
      <c r="B2963" s="1" t="n">
        <v>45441</v>
      </c>
      <c r="C2963" s="1" t="n">
        <v>45852</v>
      </c>
      <c r="D2963" t="inlineStr">
        <is>
          <t>VÄSTERNORRLANDS LÄN</t>
        </is>
      </c>
      <c r="E2963" t="inlineStr">
        <is>
          <t>SOLLEFTEÅ</t>
        </is>
      </c>
      <c r="F2963" t="inlineStr">
        <is>
          <t>SCA</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21384-2024</t>
        </is>
      </c>
      <c r="B2964" s="1" t="n">
        <v>45440</v>
      </c>
      <c r="C2964" s="1" t="n">
        <v>45852</v>
      </c>
      <c r="D2964" t="inlineStr">
        <is>
          <t>VÄSTERNORRLANDS LÄN</t>
        </is>
      </c>
      <c r="E2964" t="inlineStr">
        <is>
          <t>SOLLEFTEÅ</t>
        </is>
      </c>
      <c r="F2964" t="inlineStr">
        <is>
          <t>SCA</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21852-2024</t>
        </is>
      </c>
      <c r="B2965" s="1" t="n">
        <v>45443</v>
      </c>
      <c r="C2965" s="1" t="n">
        <v>45852</v>
      </c>
      <c r="D2965" t="inlineStr">
        <is>
          <t>VÄSTERNORRLANDS LÄN</t>
        </is>
      </c>
      <c r="E2965" t="inlineStr">
        <is>
          <t>SOLLEFTEÅ</t>
        </is>
      </c>
      <c r="F2965" t="inlineStr">
        <is>
          <t>SCA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22100-2024</t>
        </is>
      </c>
      <c r="B2966" s="1" t="n">
        <v>45444</v>
      </c>
      <c r="C2966" s="1" t="n">
        <v>45852</v>
      </c>
      <c r="D2966" t="inlineStr">
        <is>
          <t>VÄSTERNORRLANDS LÄN</t>
        </is>
      </c>
      <c r="E2966" t="inlineStr">
        <is>
          <t>SOLLEFTEÅ</t>
        </is>
      </c>
      <c r="F2966" t="inlineStr">
        <is>
          <t>SCA</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22118-2024</t>
        </is>
      </c>
      <c r="B2967" s="1" t="n">
        <v>45443</v>
      </c>
      <c r="C2967" s="1" t="n">
        <v>45852</v>
      </c>
      <c r="D2967" t="inlineStr">
        <is>
          <t>VÄSTERNORRLANDS LÄN</t>
        </is>
      </c>
      <c r="E2967" t="inlineStr">
        <is>
          <t>SOLLEFTEÅ</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22471-2024</t>
        </is>
      </c>
      <c r="B2968" s="1" t="n">
        <v>45446</v>
      </c>
      <c r="C2968" s="1" t="n">
        <v>45852</v>
      </c>
      <c r="D2968" t="inlineStr">
        <is>
          <t>VÄSTERNORRLANDS LÄN</t>
        </is>
      </c>
      <c r="E2968" t="inlineStr">
        <is>
          <t>SOLLEFTEÅ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22475-2024</t>
        </is>
      </c>
      <c r="B2969" s="1" t="n">
        <v>45447</v>
      </c>
      <c r="C2969" s="1" t="n">
        <v>45852</v>
      </c>
      <c r="D2969" t="inlineStr">
        <is>
          <t>VÄSTERNORRLANDS LÄN</t>
        </is>
      </c>
      <c r="E2969" t="inlineStr">
        <is>
          <t>SOLLEFTEÅ</t>
        </is>
      </c>
      <c r="F2969" t="inlineStr">
        <is>
          <t>SCA</t>
        </is>
      </c>
      <c r="G2969" t="n">
        <v>18.5</v>
      </c>
      <c r="H2969" t="n">
        <v>0</v>
      </c>
      <c r="I2969" t="n">
        <v>0</v>
      </c>
      <c r="J2969" t="n">
        <v>0</v>
      </c>
      <c r="K2969" t="n">
        <v>0</v>
      </c>
      <c r="L2969" t="n">
        <v>0</v>
      </c>
      <c r="M2969" t="n">
        <v>0</v>
      </c>
      <c r="N2969" t="n">
        <v>0</v>
      </c>
      <c r="O2969" t="n">
        <v>0</v>
      </c>
      <c r="P2969" t="n">
        <v>0</v>
      </c>
      <c r="Q2969" t="n">
        <v>0</v>
      </c>
      <c r="R2969" s="2" t="inlineStr"/>
    </row>
    <row r="2970" ht="15" customHeight="1">
      <c r="A2970" t="inlineStr">
        <is>
          <t>A 22473-2024</t>
        </is>
      </c>
      <c r="B2970" s="1" t="n">
        <v>45446</v>
      </c>
      <c r="C2970" s="1" t="n">
        <v>45852</v>
      </c>
      <c r="D2970" t="inlineStr">
        <is>
          <t>VÄSTERNORRLANDS LÄN</t>
        </is>
      </c>
      <c r="E2970" t="inlineStr">
        <is>
          <t>SOLLEFTEÅ</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22457-2024</t>
        </is>
      </c>
      <c r="B2971" s="1" t="n">
        <v>45446</v>
      </c>
      <c r="C2971" s="1" t="n">
        <v>45852</v>
      </c>
      <c r="D2971" t="inlineStr">
        <is>
          <t>VÄSTERNORRLANDS LÄN</t>
        </is>
      </c>
      <c r="E2971" t="inlineStr">
        <is>
          <t>SOLLEFTEÅ</t>
        </is>
      </c>
      <c r="F2971" t="inlineStr">
        <is>
          <t>SCA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22208-2024</t>
        </is>
      </c>
      <c r="B2972" s="1" t="n">
        <v>45446</v>
      </c>
      <c r="C2972" s="1" t="n">
        <v>45852</v>
      </c>
      <c r="D2972" t="inlineStr">
        <is>
          <t>VÄSTERNORRLANDS LÄN</t>
        </is>
      </c>
      <c r="E2972" t="inlineStr">
        <is>
          <t>SOLLEFTEÅ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22456-2024</t>
        </is>
      </c>
      <c r="B2973" s="1" t="n">
        <v>45447</v>
      </c>
      <c r="C2973" s="1" t="n">
        <v>45852</v>
      </c>
      <c r="D2973" t="inlineStr">
        <is>
          <t>VÄSTERNORRLANDS LÄN</t>
        </is>
      </c>
      <c r="E2973" t="inlineStr">
        <is>
          <t>SOLLEFTEÅ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22468-2024</t>
        </is>
      </c>
      <c r="B2974" s="1" t="n">
        <v>45447</v>
      </c>
      <c r="C2974" s="1" t="n">
        <v>45852</v>
      </c>
      <c r="D2974" t="inlineStr">
        <is>
          <t>VÄSTERNORRLANDS LÄN</t>
        </is>
      </c>
      <c r="E2974" t="inlineStr">
        <is>
          <t>SOLLEFTEÅ</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22472-2024</t>
        </is>
      </c>
      <c r="B2975" s="1" t="n">
        <v>45447</v>
      </c>
      <c r="C2975" s="1" t="n">
        <v>45852</v>
      </c>
      <c r="D2975" t="inlineStr">
        <is>
          <t>VÄSTERNORRLANDS LÄN</t>
        </is>
      </c>
      <c r="E2975" t="inlineStr">
        <is>
          <t>SOLLEFTEÅ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22476-2024</t>
        </is>
      </c>
      <c r="B2976" s="1" t="n">
        <v>45446</v>
      </c>
      <c r="C2976" s="1" t="n">
        <v>45852</v>
      </c>
      <c r="D2976" t="inlineStr">
        <is>
          <t>VÄSTERNORRLANDS LÄN</t>
        </is>
      </c>
      <c r="E2976" t="inlineStr">
        <is>
          <t>SOLLEFTEÅ</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22462-2024</t>
        </is>
      </c>
      <c r="B2977" s="1" t="n">
        <v>45446</v>
      </c>
      <c r="C2977" s="1" t="n">
        <v>45852</v>
      </c>
      <c r="D2977" t="inlineStr">
        <is>
          <t>VÄSTERNORRLANDS LÄN</t>
        </is>
      </c>
      <c r="E2977" t="inlineStr">
        <is>
          <t>SOLLEFTEÅ</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22243-2024</t>
        </is>
      </c>
      <c r="B2978" s="1" t="n">
        <v>45446</v>
      </c>
      <c r="C2978" s="1" t="n">
        <v>45852</v>
      </c>
      <c r="D2978" t="inlineStr">
        <is>
          <t>VÄSTERNORRLANDS LÄN</t>
        </is>
      </c>
      <c r="E2978" t="inlineStr">
        <is>
          <t>SOLLEFTEÅ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22235-2024</t>
        </is>
      </c>
      <c r="B2979" s="1" t="n">
        <v>45446</v>
      </c>
      <c r="C2979" s="1" t="n">
        <v>45852</v>
      </c>
      <c r="D2979" t="inlineStr">
        <is>
          <t>VÄSTERNORRLANDS LÄN</t>
        </is>
      </c>
      <c r="E2979" t="inlineStr">
        <is>
          <t>SOLLEFTEÅ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22671-2024</t>
        </is>
      </c>
      <c r="B2980" s="1" t="n">
        <v>45448</v>
      </c>
      <c r="C2980" s="1" t="n">
        <v>45852</v>
      </c>
      <c r="D2980" t="inlineStr">
        <is>
          <t>VÄSTERNORRLANDS LÄN</t>
        </is>
      </c>
      <c r="E2980" t="inlineStr">
        <is>
          <t>SOLLEFTEÅ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22675-2024</t>
        </is>
      </c>
      <c r="B2981" s="1" t="n">
        <v>45448</v>
      </c>
      <c r="C2981" s="1" t="n">
        <v>45852</v>
      </c>
      <c r="D2981" t="inlineStr">
        <is>
          <t>VÄSTERNORRLANDS LÄN</t>
        </is>
      </c>
      <c r="E2981" t="inlineStr">
        <is>
          <t>SOLLEFTEÅ</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22666-2024</t>
        </is>
      </c>
      <c r="B2982" s="1" t="n">
        <v>45447</v>
      </c>
      <c r="C2982" s="1" t="n">
        <v>45852</v>
      </c>
      <c r="D2982" t="inlineStr">
        <is>
          <t>VÄSTERNORRLANDS LÄN</t>
        </is>
      </c>
      <c r="E2982" t="inlineStr">
        <is>
          <t>SOLLEFTEÅ</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22661-2024</t>
        </is>
      </c>
      <c r="B2983" s="1" t="n">
        <v>45448</v>
      </c>
      <c r="C2983" s="1" t="n">
        <v>45852</v>
      </c>
      <c r="D2983" t="inlineStr">
        <is>
          <t>VÄSTERNORRLANDS LÄN</t>
        </is>
      </c>
      <c r="E2983" t="inlineStr">
        <is>
          <t>SOLLEFTEÅ</t>
        </is>
      </c>
      <c r="F2983" t="inlineStr">
        <is>
          <t>SCA</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22665-2024</t>
        </is>
      </c>
      <c r="B2984" s="1" t="n">
        <v>45448</v>
      </c>
      <c r="C2984" s="1" t="n">
        <v>45852</v>
      </c>
      <c r="D2984" t="inlineStr">
        <is>
          <t>VÄSTERNORRLANDS LÄN</t>
        </is>
      </c>
      <c r="E2984" t="inlineStr">
        <is>
          <t>SOLLEFTEÅ</t>
        </is>
      </c>
      <c r="F2984" t="inlineStr">
        <is>
          <t>SCA</t>
        </is>
      </c>
      <c r="G2984" t="n">
        <v>35.6</v>
      </c>
      <c r="H2984" t="n">
        <v>0</v>
      </c>
      <c r="I2984" t="n">
        <v>0</v>
      </c>
      <c r="J2984" t="n">
        <v>0</v>
      </c>
      <c r="K2984" t="n">
        <v>0</v>
      </c>
      <c r="L2984" t="n">
        <v>0</v>
      </c>
      <c r="M2984" t="n">
        <v>0</v>
      </c>
      <c r="N2984" t="n">
        <v>0</v>
      </c>
      <c r="O2984" t="n">
        <v>0</v>
      </c>
      <c r="P2984" t="n">
        <v>0</v>
      </c>
      <c r="Q2984" t="n">
        <v>0</v>
      </c>
      <c r="R2984" s="2" t="inlineStr"/>
    </row>
    <row r="2985" ht="15" customHeight="1">
      <c r="A2985" t="inlineStr">
        <is>
          <t>A 22664-2024</t>
        </is>
      </c>
      <c r="B2985" s="1" t="n">
        <v>45448</v>
      </c>
      <c r="C2985" s="1" t="n">
        <v>45852</v>
      </c>
      <c r="D2985" t="inlineStr">
        <is>
          <t>VÄSTERNORRLANDS LÄN</t>
        </is>
      </c>
      <c r="E2985" t="inlineStr">
        <is>
          <t>SOLLEFTEÅ</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22668-2024</t>
        </is>
      </c>
      <c r="B2986" s="1" t="n">
        <v>45448</v>
      </c>
      <c r="C2986" s="1" t="n">
        <v>45852</v>
      </c>
      <c r="D2986" t="inlineStr">
        <is>
          <t>VÄSTERNORRLANDS LÄN</t>
        </is>
      </c>
      <c r="E2986" t="inlineStr">
        <is>
          <t>SOLLEFTEÅ</t>
        </is>
      </c>
      <c r="F2986" t="inlineStr">
        <is>
          <t>SCA</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22673-2024</t>
        </is>
      </c>
      <c r="B2987" s="1" t="n">
        <v>45448</v>
      </c>
      <c r="C2987" s="1" t="n">
        <v>45852</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22682-2024</t>
        </is>
      </c>
      <c r="B2988" s="1" t="n">
        <v>45447</v>
      </c>
      <c r="C2988" s="1" t="n">
        <v>45852</v>
      </c>
      <c r="D2988" t="inlineStr">
        <is>
          <t>VÄSTERNORRLANDS LÄN</t>
        </is>
      </c>
      <c r="E2988" t="inlineStr">
        <is>
          <t>SOLLEFTEÅ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22672-2024</t>
        </is>
      </c>
      <c r="B2989" s="1" t="n">
        <v>45448</v>
      </c>
      <c r="C2989" s="1" t="n">
        <v>45852</v>
      </c>
      <c r="D2989" t="inlineStr">
        <is>
          <t>VÄSTERNORRLANDS LÄN</t>
        </is>
      </c>
      <c r="E2989" t="inlineStr">
        <is>
          <t>SOLLEFTEÅ</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22690-2024</t>
        </is>
      </c>
      <c r="B2990" s="1" t="n">
        <v>45448</v>
      </c>
      <c r="C2990" s="1" t="n">
        <v>45852</v>
      </c>
      <c r="D2990" t="inlineStr">
        <is>
          <t>VÄSTERNORRLANDS LÄN</t>
        </is>
      </c>
      <c r="E2990" t="inlineStr">
        <is>
          <t>SOLLEFTEÅ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22938-2024</t>
        </is>
      </c>
      <c r="B2991" s="1" t="n">
        <v>45448</v>
      </c>
      <c r="C2991" s="1" t="n">
        <v>45852</v>
      </c>
      <c r="D2991" t="inlineStr">
        <is>
          <t>VÄSTERNORRLANDS LÄN</t>
        </is>
      </c>
      <c r="E2991" t="inlineStr">
        <is>
          <t>SOLLEFTEÅ</t>
        </is>
      </c>
      <c r="F2991" t="inlineStr">
        <is>
          <t>SCA</t>
        </is>
      </c>
      <c r="G2991" t="n">
        <v>10.4</v>
      </c>
      <c r="H2991" t="n">
        <v>0</v>
      </c>
      <c r="I2991" t="n">
        <v>0</v>
      </c>
      <c r="J2991" t="n">
        <v>0</v>
      </c>
      <c r="K2991" t="n">
        <v>0</v>
      </c>
      <c r="L2991" t="n">
        <v>0</v>
      </c>
      <c r="M2991" t="n">
        <v>0</v>
      </c>
      <c r="N2991" t="n">
        <v>0</v>
      </c>
      <c r="O2991" t="n">
        <v>0</v>
      </c>
      <c r="P2991" t="n">
        <v>0</v>
      </c>
      <c r="Q2991" t="n">
        <v>0</v>
      </c>
      <c r="R2991" s="2" t="inlineStr"/>
    </row>
    <row r="2992" ht="15" customHeight="1">
      <c r="A2992" t="inlineStr">
        <is>
          <t>A 22939-2024</t>
        </is>
      </c>
      <c r="B2992" s="1" t="n">
        <v>45449</v>
      </c>
      <c r="C2992" s="1" t="n">
        <v>45852</v>
      </c>
      <c r="D2992" t="inlineStr">
        <is>
          <t>VÄSTERNORRLANDS LÄN</t>
        </is>
      </c>
      <c r="E2992" t="inlineStr">
        <is>
          <t>SOLLEFTEÅ</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23021-2024</t>
        </is>
      </c>
      <c r="B2993" s="1" t="n">
        <v>45450</v>
      </c>
      <c r="C2993" s="1" t="n">
        <v>45852</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23025-2024</t>
        </is>
      </c>
      <c r="B2994" s="1" t="n">
        <v>45450</v>
      </c>
      <c r="C2994" s="1" t="n">
        <v>45852</v>
      </c>
      <c r="D2994" t="inlineStr">
        <is>
          <t>VÄSTERNORRLANDS LÄN</t>
        </is>
      </c>
      <c r="E2994" t="inlineStr">
        <is>
          <t>SOLLEFTEÅ</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23542-2024</t>
        </is>
      </c>
      <c r="B2995" s="1" t="n">
        <v>45454</v>
      </c>
      <c r="C2995" s="1" t="n">
        <v>45852</v>
      </c>
      <c r="D2995" t="inlineStr">
        <is>
          <t>VÄSTERNORRLANDS LÄN</t>
        </is>
      </c>
      <c r="E2995" t="inlineStr">
        <is>
          <t>SOLLEFTEÅ</t>
        </is>
      </c>
      <c r="F2995" t="inlineStr">
        <is>
          <t>SCA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23530-2024</t>
        </is>
      </c>
      <c r="B2996" s="1" t="n">
        <v>45454</v>
      </c>
      <c r="C2996" s="1" t="n">
        <v>45852</v>
      </c>
      <c r="D2996" t="inlineStr">
        <is>
          <t>VÄSTERNORRLANDS LÄN</t>
        </is>
      </c>
      <c r="E2996" t="inlineStr">
        <is>
          <t>SOLLEFTEÅ</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23540-2024</t>
        </is>
      </c>
      <c r="B2997" s="1" t="n">
        <v>45454</v>
      </c>
      <c r="C2997" s="1" t="n">
        <v>45852</v>
      </c>
      <c r="D2997" t="inlineStr">
        <is>
          <t>VÄSTERNORRLANDS LÄN</t>
        </is>
      </c>
      <c r="E2997" t="inlineStr">
        <is>
          <t>SOLLEFTEÅ</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23532-2024</t>
        </is>
      </c>
      <c r="B2998" s="1" t="n">
        <v>45454</v>
      </c>
      <c r="C2998" s="1" t="n">
        <v>45852</v>
      </c>
      <c r="D2998" t="inlineStr">
        <is>
          <t>VÄSTERNORRLANDS LÄN</t>
        </is>
      </c>
      <c r="E2998" t="inlineStr">
        <is>
          <t>SOLLEFTEÅ</t>
        </is>
      </c>
      <c r="F2998" t="inlineStr">
        <is>
          <t>SCA</t>
        </is>
      </c>
      <c r="G2998" t="n">
        <v>15.6</v>
      </c>
      <c r="H2998" t="n">
        <v>0</v>
      </c>
      <c r="I2998" t="n">
        <v>0</v>
      </c>
      <c r="J2998" t="n">
        <v>0</v>
      </c>
      <c r="K2998" t="n">
        <v>0</v>
      </c>
      <c r="L2998" t="n">
        <v>0</v>
      </c>
      <c r="M2998" t="n">
        <v>0</v>
      </c>
      <c r="N2998" t="n">
        <v>0</v>
      </c>
      <c r="O2998" t="n">
        <v>0</v>
      </c>
      <c r="P2998" t="n">
        <v>0</v>
      </c>
      <c r="Q2998" t="n">
        <v>0</v>
      </c>
      <c r="R2998" s="2" t="inlineStr"/>
    </row>
    <row r="2999" ht="15" customHeight="1">
      <c r="A2999" t="inlineStr">
        <is>
          <t>A 23547-2024</t>
        </is>
      </c>
      <c r="B2999" s="1" t="n">
        <v>45454</v>
      </c>
      <c r="C2999" s="1" t="n">
        <v>45852</v>
      </c>
      <c r="D2999" t="inlineStr">
        <is>
          <t>VÄSTERNORRLANDS LÄN</t>
        </is>
      </c>
      <c r="E2999" t="inlineStr">
        <is>
          <t>SOLLEFTEÅ</t>
        </is>
      </c>
      <c r="F2999" t="inlineStr">
        <is>
          <t>SCA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23529-2024</t>
        </is>
      </c>
      <c r="B3000" s="1" t="n">
        <v>45454</v>
      </c>
      <c r="C3000" s="1" t="n">
        <v>45852</v>
      </c>
      <c r="D3000" t="inlineStr">
        <is>
          <t>VÄSTERNORRLANDS LÄN</t>
        </is>
      </c>
      <c r="E3000" t="inlineStr">
        <is>
          <t>SOLLEFTEÅ</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23541-2024</t>
        </is>
      </c>
      <c r="B3001" s="1" t="n">
        <v>45454</v>
      </c>
      <c r="C3001" s="1" t="n">
        <v>45852</v>
      </c>
      <c r="D3001" t="inlineStr">
        <is>
          <t>VÄSTERNORRLANDS LÄN</t>
        </is>
      </c>
      <c r="E3001" t="inlineStr">
        <is>
          <t>SOLLEFTEÅ</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23731-2024</t>
        </is>
      </c>
      <c r="B3002" s="1" t="n">
        <v>45455</v>
      </c>
      <c r="C3002" s="1" t="n">
        <v>45852</v>
      </c>
      <c r="D3002" t="inlineStr">
        <is>
          <t>VÄSTERNORRLANDS LÄN</t>
        </is>
      </c>
      <c r="E3002" t="inlineStr">
        <is>
          <t>SOLLEFTEÅ</t>
        </is>
      </c>
      <c r="F3002" t="inlineStr">
        <is>
          <t>SCA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23730-2024</t>
        </is>
      </c>
      <c r="B3003" s="1" t="n">
        <v>45455</v>
      </c>
      <c r="C3003" s="1" t="n">
        <v>45852</v>
      </c>
      <c r="D3003" t="inlineStr">
        <is>
          <t>VÄSTERNORRLANDS LÄN</t>
        </is>
      </c>
      <c r="E3003" t="inlineStr">
        <is>
          <t>SOLLEFTEÅ</t>
        </is>
      </c>
      <c r="F3003" t="inlineStr">
        <is>
          <t>SCA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23936-2024</t>
        </is>
      </c>
      <c r="B3004" s="1" t="n">
        <v>45456</v>
      </c>
      <c r="C3004" s="1" t="n">
        <v>45852</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23969-2024</t>
        </is>
      </c>
      <c r="B3005" s="1" t="n">
        <v>45456</v>
      </c>
      <c r="C3005" s="1" t="n">
        <v>45852</v>
      </c>
      <c r="D3005" t="inlineStr">
        <is>
          <t>VÄSTERNORRLANDS LÄN</t>
        </is>
      </c>
      <c r="E3005" t="inlineStr">
        <is>
          <t>SOLLEFTEÅ</t>
        </is>
      </c>
      <c r="F3005" t="inlineStr">
        <is>
          <t>SCA</t>
        </is>
      </c>
      <c r="G3005" t="n">
        <v>16.7</v>
      </c>
      <c r="H3005" t="n">
        <v>0</v>
      </c>
      <c r="I3005" t="n">
        <v>0</v>
      </c>
      <c r="J3005" t="n">
        <v>0</v>
      </c>
      <c r="K3005" t="n">
        <v>0</v>
      </c>
      <c r="L3005" t="n">
        <v>0</v>
      </c>
      <c r="M3005" t="n">
        <v>0</v>
      </c>
      <c r="N3005" t="n">
        <v>0</v>
      </c>
      <c r="O3005" t="n">
        <v>0</v>
      </c>
      <c r="P3005" t="n">
        <v>0</v>
      </c>
      <c r="Q3005" t="n">
        <v>0</v>
      </c>
      <c r="R3005" s="2" t="inlineStr"/>
    </row>
    <row r="3006" ht="15" customHeight="1">
      <c r="A3006" t="inlineStr">
        <is>
          <t>A 23935-2024</t>
        </is>
      </c>
      <c r="B3006" s="1" t="n">
        <v>45456</v>
      </c>
      <c r="C3006" s="1" t="n">
        <v>45852</v>
      </c>
      <c r="D3006" t="inlineStr">
        <is>
          <t>VÄSTERNORRLANDS LÄN</t>
        </is>
      </c>
      <c r="E3006" t="inlineStr">
        <is>
          <t>SOLLEFTEÅ</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23968-2024</t>
        </is>
      </c>
      <c r="B3007" s="1" t="n">
        <v>45456</v>
      </c>
      <c r="C3007" s="1" t="n">
        <v>45852</v>
      </c>
      <c r="D3007" t="inlineStr">
        <is>
          <t>VÄSTERNORRLANDS LÄN</t>
        </is>
      </c>
      <c r="E3007" t="inlineStr">
        <is>
          <t>SOLLEFTEÅ</t>
        </is>
      </c>
      <c r="F3007" t="inlineStr">
        <is>
          <t>SCA</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24199-2024</t>
        </is>
      </c>
      <c r="B3008" s="1" t="n">
        <v>45457</v>
      </c>
      <c r="C3008" s="1" t="n">
        <v>45852</v>
      </c>
      <c r="D3008" t="inlineStr">
        <is>
          <t>VÄSTERNORRLANDS LÄN</t>
        </is>
      </c>
      <c r="E3008" t="inlineStr">
        <is>
          <t>SOLLEFTEÅ</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24211-2024</t>
        </is>
      </c>
      <c r="B3009" s="1" t="n">
        <v>45457</v>
      </c>
      <c r="C3009" s="1" t="n">
        <v>45852</v>
      </c>
      <c r="D3009" t="inlineStr">
        <is>
          <t>VÄSTERNORRLANDS LÄN</t>
        </is>
      </c>
      <c r="E3009" t="inlineStr">
        <is>
          <t>SOLLEFTEÅ</t>
        </is>
      </c>
      <c r="F3009" t="inlineStr">
        <is>
          <t>SCA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24209-2024</t>
        </is>
      </c>
      <c r="B3010" s="1" t="n">
        <v>45457</v>
      </c>
      <c r="C3010" s="1" t="n">
        <v>45852</v>
      </c>
      <c r="D3010" t="inlineStr">
        <is>
          <t>VÄSTERNORRLANDS LÄN</t>
        </is>
      </c>
      <c r="E3010" t="inlineStr">
        <is>
          <t>SOLLEFTEÅ</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24210-2024</t>
        </is>
      </c>
      <c r="B3011" s="1" t="n">
        <v>45457</v>
      </c>
      <c r="C3011" s="1" t="n">
        <v>45852</v>
      </c>
      <c r="D3011" t="inlineStr">
        <is>
          <t>VÄSTERNORRLANDS LÄN</t>
        </is>
      </c>
      <c r="E3011" t="inlineStr">
        <is>
          <t>SOLLEFTEÅ</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24208-2024</t>
        </is>
      </c>
      <c r="B3012" s="1" t="n">
        <v>45457</v>
      </c>
      <c r="C3012" s="1" t="n">
        <v>45852</v>
      </c>
      <c r="D3012" t="inlineStr">
        <is>
          <t>VÄSTERNORRLANDS LÄN</t>
        </is>
      </c>
      <c r="E3012" t="inlineStr">
        <is>
          <t>SOLLEFTEÅ</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24461-2024</t>
        </is>
      </c>
      <c r="B3013" s="1" t="n">
        <v>45458</v>
      </c>
      <c r="C3013" s="1" t="n">
        <v>45852</v>
      </c>
      <c r="D3013" t="inlineStr">
        <is>
          <t>VÄSTERNORRLANDS LÄN</t>
        </is>
      </c>
      <c r="E3013" t="inlineStr">
        <is>
          <t>SOLLEFTEÅ</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24239-2024</t>
        </is>
      </c>
      <c r="B3014" s="1" t="n">
        <v>45457</v>
      </c>
      <c r="C3014" s="1" t="n">
        <v>45852</v>
      </c>
      <c r="D3014" t="inlineStr">
        <is>
          <t>VÄSTERNORRLANDS LÄN</t>
        </is>
      </c>
      <c r="E3014" t="inlineStr">
        <is>
          <t>SOLLEFTEÅ</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24777-2024</t>
        </is>
      </c>
      <c r="B3015" s="1" t="n">
        <v>45460</v>
      </c>
      <c r="C3015" s="1" t="n">
        <v>45852</v>
      </c>
      <c r="D3015" t="inlineStr">
        <is>
          <t>VÄSTERNORRLANDS LÄN</t>
        </is>
      </c>
      <c r="E3015" t="inlineStr">
        <is>
          <t>SOLLEFTEÅ</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25023-2024</t>
        </is>
      </c>
      <c r="B3016" s="1" t="n">
        <v>45462</v>
      </c>
      <c r="C3016" s="1" t="n">
        <v>45852</v>
      </c>
      <c r="D3016" t="inlineStr">
        <is>
          <t>VÄSTERNORRLANDS LÄN</t>
        </is>
      </c>
      <c r="E3016" t="inlineStr">
        <is>
          <t>SOLLEFTEÅ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25035-2024</t>
        </is>
      </c>
      <c r="B3017" s="1" t="n">
        <v>45462</v>
      </c>
      <c r="C3017" s="1" t="n">
        <v>45852</v>
      </c>
      <c r="D3017" t="inlineStr">
        <is>
          <t>VÄSTERNORRLANDS LÄN</t>
        </is>
      </c>
      <c r="E3017" t="inlineStr">
        <is>
          <t>SOLLEFTEÅ</t>
        </is>
      </c>
      <c r="F3017" t="inlineStr">
        <is>
          <t>SCA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25026-2024</t>
        </is>
      </c>
      <c r="B3018" s="1" t="n">
        <v>45462</v>
      </c>
      <c r="C3018" s="1" t="n">
        <v>45852</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25356-2024</t>
        </is>
      </c>
      <c r="B3019" s="1" t="n">
        <v>45463</v>
      </c>
      <c r="C3019" s="1" t="n">
        <v>45852</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25364-2024</t>
        </is>
      </c>
      <c r="B3020" s="1" t="n">
        <v>45463</v>
      </c>
      <c r="C3020" s="1" t="n">
        <v>45852</v>
      </c>
      <c r="D3020" t="inlineStr">
        <is>
          <t>VÄSTERNORRLANDS LÄN</t>
        </is>
      </c>
      <c r="E3020" t="inlineStr">
        <is>
          <t>SOLLEFTEÅ</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25363-2024</t>
        </is>
      </c>
      <c r="B3021" s="1" t="n">
        <v>45463</v>
      </c>
      <c r="C3021" s="1" t="n">
        <v>45852</v>
      </c>
      <c r="D3021" t="inlineStr">
        <is>
          <t>VÄSTERNORRLANDS LÄN</t>
        </is>
      </c>
      <c r="E3021" t="inlineStr">
        <is>
          <t>SOLLEFTEÅ</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25384-2024</t>
        </is>
      </c>
      <c r="B3022" s="1" t="n">
        <v>45463</v>
      </c>
      <c r="C3022" s="1" t="n">
        <v>45852</v>
      </c>
      <c r="D3022" t="inlineStr">
        <is>
          <t>VÄSTERNORRLANDS LÄN</t>
        </is>
      </c>
      <c r="E3022" t="inlineStr">
        <is>
          <t>SOLLEFTEÅ</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25334-2024</t>
        </is>
      </c>
      <c r="B3023" s="1" t="n">
        <v>45462</v>
      </c>
      <c r="C3023" s="1" t="n">
        <v>45852</v>
      </c>
      <c r="D3023" t="inlineStr">
        <is>
          <t>VÄSTERNORRLANDS LÄN</t>
        </is>
      </c>
      <c r="E3023" t="inlineStr">
        <is>
          <t>SOLLEFTEÅ</t>
        </is>
      </c>
      <c r="G3023" t="n">
        <v>11.1</v>
      </c>
      <c r="H3023" t="n">
        <v>0</v>
      </c>
      <c r="I3023" t="n">
        <v>0</v>
      </c>
      <c r="J3023" t="n">
        <v>0</v>
      </c>
      <c r="K3023" t="n">
        <v>0</v>
      </c>
      <c r="L3023" t="n">
        <v>0</v>
      </c>
      <c r="M3023" t="n">
        <v>0</v>
      </c>
      <c r="N3023" t="n">
        <v>0</v>
      </c>
      <c r="O3023" t="n">
        <v>0</v>
      </c>
      <c r="P3023" t="n">
        <v>0</v>
      </c>
      <c r="Q3023" t="n">
        <v>0</v>
      </c>
      <c r="R3023" s="2" t="inlineStr"/>
    </row>
    <row r="3024" ht="15" customHeight="1">
      <c r="A3024" t="inlineStr">
        <is>
          <t>A 25357-2024</t>
        </is>
      </c>
      <c r="B3024" s="1" t="n">
        <v>45462</v>
      </c>
      <c r="C3024" s="1" t="n">
        <v>45852</v>
      </c>
      <c r="D3024" t="inlineStr">
        <is>
          <t>VÄSTERNORRLANDS LÄN</t>
        </is>
      </c>
      <c r="E3024" t="inlineStr">
        <is>
          <t>SOLLEFTEÅ</t>
        </is>
      </c>
      <c r="F3024" t="inlineStr">
        <is>
          <t>SCA</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25139-2024</t>
        </is>
      </c>
      <c r="B3025" s="1" t="n">
        <v>45462</v>
      </c>
      <c r="C3025" s="1" t="n">
        <v>45852</v>
      </c>
      <c r="D3025" t="inlineStr">
        <is>
          <t>VÄSTERNORRLANDS LÄN</t>
        </is>
      </c>
      <c r="E3025" t="inlineStr">
        <is>
          <t>SOLLEFTEÅ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25131-2024</t>
        </is>
      </c>
      <c r="B3026" s="1" t="n">
        <v>45462</v>
      </c>
      <c r="C3026" s="1" t="n">
        <v>45852</v>
      </c>
      <c r="D3026" t="inlineStr">
        <is>
          <t>VÄSTERNORRLANDS LÄN</t>
        </is>
      </c>
      <c r="E3026" t="inlineStr">
        <is>
          <t>SOLLEFTEÅ</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25703-2024</t>
        </is>
      </c>
      <c r="B3027" s="1" t="n">
        <v>45463</v>
      </c>
      <c r="C3027" s="1" t="n">
        <v>45852</v>
      </c>
      <c r="D3027" t="inlineStr">
        <is>
          <t>VÄSTERNORRLANDS LÄN</t>
        </is>
      </c>
      <c r="E3027" t="inlineStr">
        <is>
          <t>SOLLEFTEÅ</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25711-2024</t>
        </is>
      </c>
      <c r="B3028" s="1" t="n">
        <v>45463</v>
      </c>
      <c r="C3028" s="1" t="n">
        <v>45852</v>
      </c>
      <c r="D3028" t="inlineStr">
        <is>
          <t>VÄSTERNORRLANDS LÄN</t>
        </is>
      </c>
      <c r="E3028" t="inlineStr">
        <is>
          <t>SOLLEFTEÅ</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25704-2024</t>
        </is>
      </c>
      <c r="B3029" s="1" t="n">
        <v>45464</v>
      </c>
      <c r="C3029" s="1" t="n">
        <v>45852</v>
      </c>
      <c r="D3029" t="inlineStr">
        <is>
          <t>VÄSTERNORRLANDS LÄN</t>
        </is>
      </c>
      <c r="E3029" t="inlineStr">
        <is>
          <t>SOLLEFTEÅ</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25702-2024</t>
        </is>
      </c>
      <c r="B3030" s="1" t="n">
        <v>45463</v>
      </c>
      <c r="C3030" s="1" t="n">
        <v>45852</v>
      </c>
      <c r="D3030" t="inlineStr">
        <is>
          <t>VÄSTERNORRLANDS LÄN</t>
        </is>
      </c>
      <c r="E3030" t="inlineStr">
        <is>
          <t>SOLLEFTEÅ</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25514-2024</t>
        </is>
      </c>
      <c r="B3031" s="1" t="n">
        <v>45463</v>
      </c>
      <c r="C3031" s="1" t="n">
        <v>45852</v>
      </c>
      <c r="D3031" t="inlineStr">
        <is>
          <t>VÄSTERNORRLANDS LÄN</t>
        </is>
      </c>
      <c r="E3031" t="inlineStr">
        <is>
          <t>SOLLEFTEÅ</t>
        </is>
      </c>
      <c r="F3031" t="inlineStr">
        <is>
          <t>Kyrkan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25799-2024</t>
        </is>
      </c>
      <c r="B3032" s="1" t="n">
        <v>45463</v>
      </c>
      <c r="C3032" s="1" t="n">
        <v>45852</v>
      </c>
      <c r="D3032" t="inlineStr">
        <is>
          <t>VÄSTERNORRLANDS LÄN</t>
        </is>
      </c>
      <c r="E3032" t="inlineStr">
        <is>
          <t>SOLLEFTEÅ</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25847-2024</t>
        </is>
      </c>
      <c r="B3033" s="1" t="n">
        <v>45467</v>
      </c>
      <c r="C3033" s="1" t="n">
        <v>45852</v>
      </c>
      <c r="D3033" t="inlineStr">
        <is>
          <t>VÄSTERNORRLANDS LÄN</t>
        </is>
      </c>
      <c r="E3033" t="inlineStr">
        <is>
          <t>SOLLEFTEÅ</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25851-2024</t>
        </is>
      </c>
      <c r="B3034" s="1" t="n">
        <v>45467</v>
      </c>
      <c r="C3034" s="1" t="n">
        <v>45852</v>
      </c>
      <c r="D3034" t="inlineStr">
        <is>
          <t>VÄSTERNORRLANDS LÄN</t>
        </is>
      </c>
      <c r="E3034" t="inlineStr">
        <is>
          <t>SOLLEFTEÅ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25907-2024</t>
        </is>
      </c>
      <c r="B3035" s="1" t="n">
        <v>45467</v>
      </c>
      <c r="C3035" s="1" t="n">
        <v>45852</v>
      </c>
      <c r="D3035" t="inlineStr">
        <is>
          <t>VÄSTERNORRLANDS LÄN</t>
        </is>
      </c>
      <c r="E3035" t="inlineStr">
        <is>
          <t>SOLLEFTEÅ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26005-2024</t>
        </is>
      </c>
      <c r="B3036" s="1" t="n">
        <v>45468</v>
      </c>
      <c r="C3036" s="1" t="n">
        <v>45852</v>
      </c>
      <c r="D3036" t="inlineStr">
        <is>
          <t>VÄSTERNORRLANDS LÄN</t>
        </is>
      </c>
      <c r="E3036" t="inlineStr">
        <is>
          <t>SOLLEFTEÅ</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26022-2024</t>
        </is>
      </c>
      <c r="B3037" s="1" t="n">
        <v>45467</v>
      </c>
      <c r="C3037" s="1" t="n">
        <v>45852</v>
      </c>
      <c r="D3037" t="inlineStr">
        <is>
          <t>VÄSTERNORRLANDS LÄN</t>
        </is>
      </c>
      <c r="E3037" t="inlineStr">
        <is>
          <t>SOLLEFTEÅ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26046-2024</t>
        </is>
      </c>
      <c r="B3038" s="1" t="n">
        <v>45467</v>
      </c>
      <c r="C3038" s="1" t="n">
        <v>45852</v>
      </c>
      <c r="D3038" t="inlineStr">
        <is>
          <t>VÄSTERNORRLANDS LÄN</t>
        </is>
      </c>
      <c r="E3038" t="inlineStr">
        <is>
          <t>SOLLEFTEÅ</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26023-2024</t>
        </is>
      </c>
      <c r="B3039" s="1" t="n">
        <v>45468</v>
      </c>
      <c r="C3039" s="1" t="n">
        <v>45852</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26391-2024</t>
        </is>
      </c>
      <c r="B3040" s="1" t="n">
        <v>45468</v>
      </c>
      <c r="C3040" s="1" t="n">
        <v>45852</v>
      </c>
      <c r="D3040" t="inlineStr">
        <is>
          <t>VÄSTERNORRLANDS LÄN</t>
        </is>
      </c>
      <c r="E3040" t="inlineStr">
        <is>
          <t>SOLLEFTEÅ</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26325-2024</t>
        </is>
      </c>
      <c r="B3041" s="1" t="n">
        <v>45468</v>
      </c>
      <c r="C3041" s="1" t="n">
        <v>45852</v>
      </c>
      <c r="D3041" t="inlineStr">
        <is>
          <t>VÄSTERNORRLANDS LÄN</t>
        </is>
      </c>
      <c r="E3041" t="inlineStr">
        <is>
          <t>SOLLEFTEÅ</t>
        </is>
      </c>
      <c r="F3041" t="inlineStr">
        <is>
          <t>SCA</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26323-2024</t>
        </is>
      </c>
      <c r="B3042" s="1" t="n">
        <v>45469</v>
      </c>
      <c r="C3042" s="1" t="n">
        <v>45852</v>
      </c>
      <c r="D3042" t="inlineStr">
        <is>
          <t>VÄSTERNORRLANDS LÄN</t>
        </is>
      </c>
      <c r="E3042" t="inlineStr">
        <is>
          <t>SOLLEFTEÅ</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26319-2024</t>
        </is>
      </c>
      <c r="B3043" s="1" t="n">
        <v>45469</v>
      </c>
      <c r="C3043" s="1" t="n">
        <v>45852</v>
      </c>
      <c r="D3043" t="inlineStr">
        <is>
          <t>VÄSTERNORRLANDS LÄN</t>
        </is>
      </c>
      <c r="E3043" t="inlineStr">
        <is>
          <t>SOLLEFTEÅ</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26172-2024</t>
        </is>
      </c>
      <c r="B3044" s="1" t="n">
        <v>45468</v>
      </c>
      <c r="C3044" s="1" t="n">
        <v>45852</v>
      </c>
      <c r="D3044" t="inlineStr">
        <is>
          <t>VÄSTERNORRLANDS LÄN</t>
        </is>
      </c>
      <c r="E3044" t="inlineStr">
        <is>
          <t>SOLLEFTEÅ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26163-2024</t>
        </is>
      </c>
      <c r="B3045" s="1" t="n">
        <v>45468</v>
      </c>
      <c r="C3045" s="1" t="n">
        <v>45852</v>
      </c>
      <c r="D3045" t="inlineStr">
        <is>
          <t>VÄSTERNORRLANDS LÄN</t>
        </is>
      </c>
      <c r="E3045" t="inlineStr">
        <is>
          <t>SOLLEFTEÅ</t>
        </is>
      </c>
      <c r="G3045" t="n">
        <v>16.9</v>
      </c>
      <c r="H3045" t="n">
        <v>0</v>
      </c>
      <c r="I3045" t="n">
        <v>0</v>
      </c>
      <c r="J3045" t="n">
        <v>0</v>
      </c>
      <c r="K3045" t="n">
        <v>0</v>
      </c>
      <c r="L3045" t="n">
        <v>0</v>
      </c>
      <c r="M3045" t="n">
        <v>0</v>
      </c>
      <c r="N3045" t="n">
        <v>0</v>
      </c>
      <c r="O3045" t="n">
        <v>0</v>
      </c>
      <c r="P3045" t="n">
        <v>0</v>
      </c>
      <c r="Q3045" t="n">
        <v>0</v>
      </c>
      <c r="R3045" s="2" t="inlineStr"/>
    </row>
    <row r="3046" ht="15" customHeight="1">
      <c r="A3046" t="inlineStr">
        <is>
          <t>A 26296-2024</t>
        </is>
      </c>
      <c r="B3046" s="1" t="n">
        <v>45468</v>
      </c>
      <c r="C3046" s="1" t="n">
        <v>45852</v>
      </c>
      <c r="D3046" t="inlineStr">
        <is>
          <t>VÄSTERNORRLANDS LÄN</t>
        </is>
      </c>
      <c r="E3046" t="inlineStr">
        <is>
          <t>SOLLEFTEÅ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26444-2024</t>
        </is>
      </c>
      <c r="B3047" s="1" t="n">
        <v>45469</v>
      </c>
      <c r="C3047" s="1" t="n">
        <v>45852</v>
      </c>
      <c r="D3047" t="inlineStr">
        <is>
          <t>VÄSTERNORRLANDS LÄN</t>
        </is>
      </c>
      <c r="E3047" t="inlineStr">
        <is>
          <t>SOLLEFTEÅ</t>
        </is>
      </c>
      <c r="F3047" t="inlineStr">
        <is>
          <t>Holmen skog AB</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26500-2024</t>
        </is>
      </c>
      <c r="B3048" s="1" t="n">
        <v>45469</v>
      </c>
      <c r="C3048" s="1" t="n">
        <v>45852</v>
      </c>
      <c r="D3048" t="inlineStr">
        <is>
          <t>VÄSTERNORRLANDS LÄN</t>
        </is>
      </c>
      <c r="E3048" t="inlineStr">
        <is>
          <t>SOLLEFTEÅ</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26655-2024</t>
        </is>
      </c>
      <c r="B3049" s="1" t="n">
        <v>45469</v>
      </c>
      <c r="C3049" s="1" t="n">
        <v>45852</v>
      </c>
      <c r="D3049" t="inlineStr">
        <is>
          <t>VÄSTERNORRLANDS LÄN</t>
        </is>
      </c>
      <c r="E3049" t="inlineStr">
        <is>
          <t>SOLLEFTEÅ</t>
        </is>
      </c>
      <c r="F3049" t="inlineStr">
        <is>
          <t>SCA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26962-2024</t>
        </is>
      </c>
      <c r="B3050" s="1" t="n">
        <v>45471</v>
      </c>
      <c r="C3050" s="1" t="n">
        <v>45852</v>
      </c>
      <c r="D3050" t="inlineStr">
        <is>
          <t>VÄSTERNORRLANDS LÄN</t>
        </is>
      </c>
      <c r="E3050" t="inlineStr">
        <is>
          <t>SOLLEFTEÅ</t>
        </is>
      </c>
      <c r="F3050" t="inlineStr">
        <is>
          <t>SCA</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26955-2024</t>
        </is>
      </c>
      <c r="B3051" s="1" t="n">
        <v>45471</v>
      </c>
      <c r="C3051" s="1" t="n">
        <v>45852</v>
      </c>
      <c r="D3051" t="inlineStr">
        <is>
          <t>VÄSTERNORRLANDS LÄN</t>
        </is>
      </c>
      <c r="E3051" t="inlineStr">
        <is>
          <t>SOLLEFTEÅ</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26963-2024</t>
        </is>
      </c>
      <c r="B3052" s="1" t="n">
        <v>45471</v>
      </c>
      <c r="C3052" s="1" t="n">
        <v>45852</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26890-2024</t>
        </is>
      </c>
      <c r="B3053" s="1" t="n">
        <v>45470</v>
      </c>
      <c r="C3053" s="1" t="n">
        <v>45852</v>
      </c>
      <c r="D3053" t="inlineStr">
        <is>
          <t>VÄSTERNORRLANDS LÄN</t>
        </is>
      </c>
      <c r="E3053" t="inlineStr">
        <is>
          <t>SOLLEFTEÅ</t>
        </is>
      </c>
      <c r="F3053" t="inlineStr">
        <is>
          <t>Holmen skog AB</t>
        </is>
      </c>
      <c r="G3053" t="n">
        <v>12.8</v>
      </c>
      <c r="H3053" t="n">
        <v>0</v>
      </c>
      <c r="I3053" t="n">
        <v>0</v>
      </c>
      <c r="J3053" t="n">
        <v>0</v>
      </c>
      <c r="K3053" t="n">
        <v>0</v>
      </c>
      <c r="L3053" t="n">
        <v>0</v>
      </c>
      <c r="M3053" t="n">
        <v>0</v>
      </c>
      <c r="N3053" t="n">
        <v>0</v>
      </c>
      <c r="O3053" t="n">
        <v>0</v>
      </c>
      <c r="P3053" t="n">
        <v>0</v>
      </c>
      <c r="Q3053" t="n">
        <v>0</v>
      </c>
      <c r="R3053" s="2" t="inlineStr"/>
    </row>
    <row r="3054" ht="15" customHeight="1">
      <c r="A3054" t="inlineStr">
        <is>
          <t>A 26936-2024</t>
        </is>
      </c>
      <c r="B3054" s="1" t="n">
        <v>45470</v>
      </c>
      <c r="C3054" s="1" t="n">
        <v>45852</v>
      </c>
      <c r="D3054" t="inlineStr">
        <is>
          <t>VÄSTERNORRLANDS LÄN</t>
        </is>
      </c>
      <c r="E3054" t="inlineStr">
        <is>
          <t>SOLLEFTEÅ</t>
        </is>
      </c>
      <c r="F3054" t="inlineStr">
        <is>
          <t>SCA</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26941-2024</t>
        </is>
      </c>
      <c r="B3055" s="1" t="n">
        <v>45470</v>
      </c>
      <c r="C3055" s="1" t="n">
        <v>45852</v>
      </c>
      <c r="D3055" t="inlineStr">
        <is>
          <t>VÄSTERNORRLANDS LÄN</t>
        </is>
      </c>
      <c r="E3055" t="inlineStr">
        <is>
          <t>SOLLEFTEÅ</t>
        </is>
      </c>
      <c r="F3055" t="inlineStr">
        <is>
          <t>SCA</t>
        </is>
      </c>
      <c r="G3055" t="n">
        <v>31.9</v>
      </c>
      <c r="H3055" t="n">
        <v>0</v>
      </c>
      <c r="I3055" t="n">
        <v>0</v>
      </c>
      <c r="J3055" t="n">
        <v>0</v>
      </c>
      <c r="K3055" t="n">
        <v>0</v>
      </c>
      <c r="L3055" t="n">
        <v>0</v>
      </c>
      <c r="M3055" t="n">
        <v>0</v>
      </c>
      <c r="N3055" t="n">
        <v>0</v>
      </c>
      <c r="O3055" t="n">
        <v>0</v>
      </c>
      <c r="P3055" t="n">
        <v>0</v>
      </c>
      <c r="Q3055" t="n">
        <v>0</v>
      </c>
      <c r="R3055" s="2" t="inlineStr"/>
    </row>
    <row r="3056" ht="15" customHeight="1">
      <c r="A3056" t="inlineStr">
        <is>
          <t>A 26937-2024</t>
        </is>
      </c>
      <c r="B3056" s="1" t="n">
        <v>45471</v>
      </c>
      <c r="C3056" s="1" t="n">
        <v>45852</v>
      </c>
      <c r="D3056" t="inlineStr">
        <is>
          <t>VÄSTERNORRLANDS LÄN</t>
        </is>
      </c>
      <c r="E3056" t="inlineStr">
        <is>
          <t>SOLLEFTEÅ</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27025-2024</t>
        </is>
      </c>
      <c r="B3057" s="1" t="n">
        <v>45471</v>
      </c>
      <c r="C3057" s="1" t="n">
        <v>45852</v>
      </c>
      <c r="D3057" t="inlineStr">
        <is>
          <t>VÄSTERNORRLANDS LÄN</t>
        </is>
      </c>
      <c r="E3057" t="inlineStr">
        <is>
          <t>SOLLEFTEÅ</t>
        </is>
      </c>
      <c r="F3057" t="inlineStr">
        <is>
          <t>Holmen skog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27071-2024</t>
        </is>
      </c>
      <c r="B3058" s="1" t="n">
        <v>45471</v>
      </c>
      <c r="C3058" s="1" t="n">
        <v>45852</v>
      </c>
      <c r="D3058" t="inlineStr">
        <is>
          <t>VÄSTERNORRLANDS LÄN</t>
        </is>
      </c>
      <c r="E3058" t="inlineStr">
        <is>
          <t>SOLLEFTEÅ</t>
        </is>
      </c>
      <c r="F3058" t="inlineStr">
        <is>
          <t>Holmen skog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27293-2024</t>
        </is>
      </c>
      <c r="B3059" s="1" t="n">
        <v>45472</v>
      </c>
      <c r="C3059" s="1" t="n">
        <v>45852</v>
      </c>
      <c r="D3059" t="inlineStr">
        <is>
          <t>VÄSTERNORRLANDS LÄN</t>
        </is>
      </c>
      <c r="E3059" t="inlineStr">
        <is>
          <t>SOLLEFTEÅ</t>
        </is>
      </c>
      <c r="F3059" t="inlineStr">
        <is>
          <t>SCA</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27314-2024</t>
        </is>
      </c>
      <c r="B3060" s="1" t="n">
        <v>45472</v>
      </c>
      <c r="C3060" s="1" t="n">
        <v>45852</v>
      </c>
      <c r="D3060" t="inlineStr">
        <is>
          <t>VÄSTERNORRLANDS LÄN</t>
        </is>
      </c>
      <c r="E3060" t="inlineStr">
        <is>
          <t>SOLLEFTEÅ</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27377-2024</t>
        </is>
      </c>
      <c r="B3061" s="1" t="n">
        <v>45473</v>
      </c>
      <c r="C3061" s="1" t="n">
        <v>45852</v>
      </c>
      <c r="D3061" t="inlineStr">
        <is>
          <t>VÄSTERNORRLANDS LÄN</t>
        </is>
      </c>
      <c r="E3061" t="inlineStr">
        <is>
          <t>SOLLEFTEÅ</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27639-2024</t>
        </is>
      </c>
      <c r="B3062" s="1" t="n">
        <v>45474</v>
      </c>
      <c r="C3062" s="1" t="n">
        <v>45852</v>
      </c>
      <c r="D3062" t="inlineStr">
        <is>
          <t>VÄSTERNORRLANDS LÄN</t>
        </is>
      </c>
      <c r="E3062" t="inlineStr">
        <is>
          <t>SOLLEFTEÅ</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27634-2024</t>
        </is>
      </c>
      <c r="B3063" s="1" t="n">
        <v>45475</v>
      </c>
      <c r="C3063" s="1" t="n">
        <v>45852</v>
      </c>
      <c r="D3063" t="inlineStr">
        <is>
          <t>VÄSTERNORRLANDS LÄN</t>
        </is>
      </c>
      <c r="E3063" t="inlineStr">
        <is>
          <t>SOLLEFTEÅ</t>
        </is>
      </c>
      <c r="F3063" t="inlineStr">
        <is>
          <t>SCA</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27633-2024</t>
        </is>
      </c>
      <c r="B3064" s="1" t="n">
        <v>45475</v>
      </c>
      <c r="C3064" s="1" t="n">
        <v>45852</v>
      </c>
      <c r="D3064" t="inlineStr">
        <is>
          <t>VÄSTERNORRLANDS LÄN</t>
        </is>
      </c>
      <c r="E3064" t="inlineStr">
        <is>
          <t>SOLLEFTEÅ</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27641-2024</t>
        </is>
      </c>
      <c r="B3065" s="1" t="n">
        <v>45475</v>
      </c>
      <c r="C3065" s="1" t="n">
        <v>45852</v>
      </c>
      <c r="D3065" t="inlineStr">
        <is>
          <t>VÄSTERNORRLANDS LÄN</t>
        </is>
      </c>
      <c r="E3065" t="inlineStr">
        <is>
          <t>SOLLEFTEÅ</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27922-2024</t>
        </is>
      </c>
      <c r="B3066" s="1" t="n">
        <v>45476</v>
      </c>
      <c r="C3066" s="1" t="n">
        <v>45852</v>
      </c>
      <c r="D3066" t="inlineStr">
        <is>
          <t>VÄSTERNORRLANDS LÄN</t>
        </is>
      </c>
      <c r="E3066" t="inlineStr">
        <is>
          <t>SOLLEFTEÅ</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27927-2024</t>
        </is>
      </c>
      <c r="B3067" s="1" t="n">
        <v>45475</v>
      </c>
      <c r="C3067" s="1" t="n">
        <v>45852</v>
      </c>
      <c r="D3067" t="inlineStr">
        <is>
          <t>VÄSTERNORRLANDS LÄN</t>
        </is>
      </c>
      <c r="E3067" t="inlineStr">
        <is>
          <t>SOLLEFTEÅ</t>
        </is>
      </c>
      <c r="F3067" t="inlineStr">
        <is>
          <t>SCA</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27911-2024</t>
        </is>
      </c>
      <c r="B3068" s="1" t="n">
        <v>45475</v>
      </c>
      <c r="C3068" s="1" t="n">
        <v>45852</v>
      </c>
      <c r="D3068" t="inlineStr">
        <is>
          <t>VÄSTERNORRLANDS LÄN</t>
        </is>
      </c>
      <c r="E3068" t="inlineStr">
        <is>
          <t>SOLLEFTEÅ</t>
        </is>
      </c>
      <c r="F3068" t="inlineStr">
        <is>
          <t>SCA</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27908-2024</t>
        </is>
      </c>
      <c r="B3069" s="1" t="n">
        <v>45476</v>
      </c>
      <c r="C3069" s="1" t="n">
        <v>45852</v>
      </c>
      <c r="D3069" t="inlineStr">
        <is>
          <t>VÄSTERNORRLANDS LÄN</t>
        </is>
      </c>
      <c r="E3069" t="inlineStr">
        <is>
          <t>SOLLEFTEÅ</t>
        </is>
      </c>
      <c r="F3069" t="inlineStr">
        <is>
          <t>SCA</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27916-2024</t>
        </is>
      </c>
      <c r="B3070" s="1" t="n">
        <v>45476</v>
      </c>
      <c r="C3070" s="1" t="n">
        <v>45852</v>
      </c>
      <c r="D3070" t="inlineStr">
        <is>
          <t>VÄSTERNORRLANDS LÄN</t>
        </is>
      </c>
      <c r="E3070" t="inlineStr">
        <is>
          <t>SOLLEFTEÅ</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27848-2024</t>
        </is>
      </c>
      <c r="B3071" s="1" t="n">
        <v>45475</v>
      </c>
      <c r="C3071" s="1" t="n">
        <v>45852</v>
      </c>
      <c r="D3071" t="inlineStr">
        <is>
          <t>VÄSTERNORRLANDS LÄN</t>
        </is>
      </c>
      <c r="E3071" t="inlineStr">
        <is>
          <t>SOLLEFTEÅ</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27925-2024</t>
        </is>
      </c>
      <c r="B3072" s="1" t="n">
        <v>45475</v>
      </c>
      <c r="C3072" s="1" t="n">
        <v>45852</v>
      </c>
      <c r="D3072" t="inlineStr">
        <is>
          <t>VÄSTERNORRLANDS LÄN</t>
        </is>
      </c>
      <c r="E3072" t="inlineStr">
        <is>
          <t>SOLLEFTEÅ</t>
        </is>
      </c>
      <c r="G3072" t="n">
        <v>19.8</v>
      </c>
      <c r="H3072" t="n">
        <v>0</v>
      </c>
      <c r="I3072" t="n">
        <v>0</v>
      </c>
      <c r="J3072" t="n">
        <v>0</v>
      </c>
      <c r="K3072" t="n">
        <v>0</v>
      </c>
      <c r="L3072" t="n">
        <v>0</v>
      </c>
      <c r="M3072" t="n">
        <v>0</v>
      </c>
      <c r="N3072" t="n">
        <v>0</v>
      </c>
      <c r="O3072" t="n">
        <v>0</v>
      </c>
      <c r="P3072" t="n">
        <v>0</v>
      </c>
      <c r="Q3072" t="n">
        <v>0</v>
      </c>
      <c r="R3072" s="2" t="inlineStr"/>
    </row>
    <row r="3073" ht="15" customHeight="1">
      <c r="A3073" t="inlineStr">
        <is>
          <t>A 27789-2024</t>
        </is>
      </c>
      <c r="B3073" s="1" t="n">
        <v>45475</v>
      </c>
      <c r="C3073" s="1" t="n">
        <v>45852</v>
      </c>
      <c r="D3073" t="inlineStr">
        <is>
          <t>VÄSTERNORRLANDS LÄN</t>
        </is>
      </c>
      <c r="E3073" t="inlineStr">
        <is>
          <t>SOLLEFTEÅ</t>
        </is>
      </c>
      <c r="F3073" t="inlineStr">
        <is>
          <t>SCA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27924-2024</t>
        </is>
      </c>
      <c r="B3074" s="1" t="n">
        <v>45475</v>
      </c>
      <c r="C3074" s="1" t="n">
        <v>45852</v>
      </c>
      <c r="D3074" t="inlineStr">
        <is>
          <t>VÄSTERNORRLANDS LÄN</t>
        </is>
      </c>
      <c r="E3074" t="inlineStr">
        <is>
          <t>SOLLEFTEÅ</t>
        </is>
      </c>
      <c r="F3074" t="inlineStr">
        <is>
          <t>SCA</t>
        </is>
      </c>
      <c r="G3074" t="n">
        <v>23.5</v>
      </c>
      <c r="H3074" t="n">
        <v>0</v>
      </c>
      <c r="I3074" t="n">
        <v>0</v>
      </c>
      <c r="J3074" t="n">
        <v>0</v>
      </c>
      <c r="K3074" t="n">
        <v>0</v>
      </c>
      <c r="L3074" t="n">
        <v>0</v>
      </c>
      <c r="M3074" t="n">
        <v>0</v>
      </c>
      <c r="N3074" t="n">
        <v>0</v>
      </c>
      <c r="O3074" t="n">
        <v>0</v>
      </c>
      <c r="P3074" t="n">
        <v>0</v>
      </c>
      <c r="Q3074" t="n">
        <v>0</v>
      </c>
      <c r="R3074" s="2" t="inlineStr"/>
    </row>
    <row r="3075" ht="15" customHeight="1">
      <c r="A3075" t="inlineStr">
        <is>
          <t>A 27936-2024</t>
        </is>
      </c>
      <c r="B3075" s="1" t="n">
        <v>45476</v>
      </c>
      <c r="C3075" s="1" t="n">
        <v>45852</v>
      </c>
      <c r="D3075" t="inlineStr">
        <is>
          <t>VÄSTERNORRLANDS LÄN</t>
        </is>
      </c>
      <c r="E3075" t="inlineStr">
        <is>
          <t>SOLLEFTEÅ</t>
        </is>
      </c>
      <c r="F3075" t="inlineStr">
        <is>
          <t>SCA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28159-2024</t>
        </is>
      </c>
      <c r="B3076" s="1" t="n">
        <v>45477</v>
      </c>
      <c r="C3076" s="1" t="n">
        <v>45852</v>
      </c>
      <c r="D3076" t="inlineStr">
        <is>
          <t>VÄSTERNORRLANDS LÄN</t>
        </is>
      </c>
      <c r="E3076" t="inlineStr">
        <is>
          <t>SOLLEFTEÅ</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28164-2024</t>
        </is>
      </c>
      <c r="B3077" s="1" t="n">
        <v>45476</v>
      </c>
      <c r="C3077" s="1" t="n">
        <v>45852</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28170-2024</t>
        </is>
      </c>
      <c r="B3078" s="1" t="n">
        <v>45477</v>
      </c>
      <c r="C3078" s="1" t="n">
        <v>45852</v>
      </c>
      <c r="D3078" t="inlineStr">
        <is>
          <t>VÄSTERNORRLANDS LÄN</t>
        </is>
      </c>
      <c r="E3078" t="inlineStr">
        <is>
          <t>SOLLEFTEÅ</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28162-2024</t>
        </is>
      </c>
      <c r="B3079" s="1" t="n">
        <v>45476</v>
      </c>
      <c r="C3079" s="1" t="n">
        <v>45852</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28327-2024</t>
        </is>
      </c>
      <c r="B3080" s="1" t="n">
        <v>45477</v>
      </c>
      <c r="C3080" s="1" t="n">
        <v>45852</v>
      </c>
      <c r="D3080" t="inlineStr">
        <is>
          <t>VÄSTERNORRLANDS LÄN</t>
        </is>
      </c>
      <c r="E3080" t="inlineStr">
        <is>
          <t>SOLLEFTEÅ</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28269-2024</t>
        </is>
      </c>
      <c r="B3081" s="1" t="n">
        <v>45477</v>
      </c>
      <c r="C3081" s="1" t="n">
        <v>45852</v>
      </c>
      <c r="D3081" t="inlineStr">
        <is>
          <t>VÄSTERNORRLANDS LÄN</t>
        </is>
      </c>
      <c r="E3081" t="inlineStr">
        <is>
          <t>SOLLEFTEÅ</t>
        </is>
      </c>
      <c r="F3081" t="inlineStr">
        <is>
          <t>Holmen skog AB</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28499-2024</t>
        </is>
      </c>
      <c r="B3082" s="1" t="n">
        <v>45478</v>
      </c>
      <c r="C3082" s="1" t="n">
        <v>45852</v>
      </c>
      <c r="D3082" t="inlineStr">
        <is>
          <t>VÄSTERNORRLANDS LÄN</t>
        </is>
      </c>
      <c r="E3082" t="inlineStr">
        <is>
          <t>SOLLEFTEÅ</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28354-2024</t>
        </is>
      </c>
      <c r="B3083" s="1" t="n">
        <v>45477</v>
      </c>
      <c r="C3083" s="1" t="n">
        <v>45852</v>
      </c>
      <c r="D3083" t="inlineStr">
        <is>
          <t>VÄSTERNORRLANDS LÄN</t>
        </is>
      </c>
      <c r="E3083" t="inlineStr">
        <is>
          <t>SOLLEFTEÅ</t>
        </is>
      </c>
      <c r="F3083" t="inlineStr">
        <is>
          <t>Holmen skog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28290-2024</t>
        </is>
      </c>
      <c r="B3084" s="1" t="n">
        <v>45477</v>
      </c>
      <c r="C3084" s="1" t="n">
        <v>45852</v>
      </c>
      <c r="D3084" t="inlineStr">
        <is>
          <t>VÄSTERNORRLANDS LÄN</t>
        </is>
      </c>
      <c r="E3084" t="inlineStr">
        <is>
          <t>SOLLEFTEÅ</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28579-2024</t>
        </is>
      </c>
      <c r="B3085" s="1" t="n">
        <v>45478</v>
      </c>
      <c r="C3085" s="1" t="n">
        <v>45852</v>
      </c>
      <c r="D3085" t="inlineStr">
        <is>
          <t>VÄSTERNORRLANDS LÄN</t>
        </is>
      </c>
      <c r="E3085" t="inlineStr">
        <is>
          <t>SOLLEFTEÅ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28576-2024</t>
        </is>
      </c>
      <c r="B3086" s="1" t="n">
        <v>45478</v>
      </c>
      <c r="C3086" s="1" t="n">
        <v>45852</v>
      </c>
      <c r="D3086" t="inlineStr">
        <is>
          <t>VÄSTERNORRLANDS LÄN</t>
        </is>
      </c>
      <c r="E3086" t="inlineStr">
        <is>
          <t>SOLLEFTEÅ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28580-2024</t>
        </is>
      </c>
      <c r="B3087" s="1" t="n">
        <v>45478</v>
      </c>
      <c r="C3087" s="1" t="n">
        <v>45852</v>
      </c>
      <c r="D3087" t="inlineStr">
        <is>
          <t>VÄSTERNORRLANDS LÄN</t>
        </is>
      </c>
      <c r="E3087" t="inlineStr">
        <is>
          <t>SOLLEFTEÅ</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28866-2024</t>
        </is>
      </c>
      <c r="B3088" s="1" t="n">
        <v>45478</v>
      </c>
      <c r="C3088" s="1" t="n">
        <v>45852</v>
      </c>
      <c r="D3088" t="inlineStr">
        <is>
          <t>VÄSTERNORRLANDS LÄN</t>
        </is>
      </c>
      <c r="E3088" t="inlineStr">
        <is>
          <t>SOLLEFTEÅ</t>
        </is>
      </c>
      <c r="F3088" t="inlineStr">
        <is>
          <t>SCA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28790-2024</t>
        </is>
      </c>
      <c r="B3089" s="1" t="n">
        <v>45478</v>
      </c>
      <c r="C3089" s="1" t="n">
        <v>45852</v>
      </c>
      <c r="D3089" t="inlineStr">
        <is>
          <t>VÄSTERNORRLANDS LÄN</t>
        </is>
      </c>
      <c r="E3089" t="inlineStr">
        <is>
          <t>SOLLEFTEÅ</t>
        </is>
      </c>
      <c r="F3089" t="inlineStr">
        <is>
          <t>Holmen skog AB</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29059-2024</t>
        </is>
      </c>
      <c r="B3090" s="1" t="n">
        <v>45481</v>
      </c>
      <c r="C3090" s="1" t="n">
        <v>45852</v>
      </c>
      <c r="D3090" t="inlineStr">
        <is>
          <t>VÄSTERNORRLANDS LÄN</t>
        </is>
      </c>
      <c r="E3090" t="inlineStr">
        <is>
          <t>SOLLEFTEÅ</t>
        </is>
      </c>
      <c r="F3090" t="inlineStr">
        <is>
          <t>Kyrkan</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29055-2024</t>
        </is>
      </c>
      <c r="B3091" s="1" t="n">
        <v>45481</v>
      </c>
      <c r="C3091" s="1" t="n">
        <v>45852</v>
      </c>
      <c r="D3091" t="inlineStr">
        <is>
          <t>VÄSTERNORRLANDS LÄN</t>
        </is>
      </c>
      <c r="E3091" t="inlineStr">
        <is>
          <t>SOLLEFTEÅ</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29054-2024</t>
        </is>
      </c>
      <c r="B3092" s="1" t="n">
        <v>45481</v>
      </c>
      <c r="C3092" s="1" t="n">
        <v>45852</v>
      </c>
      <c r="D3092" t="inlineStr">
        <is>
          <t>VÄSTERNORRLANDS LÄN</t>
        </is>
      </c>
      <c r="E3092" t="inlineStr">
        <is>
          <t>SOLLEFTEÅ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29211-2024</t>
        </is>
      </c>
      <c r="B3093" s="1" t="n">
        <v>45482</v>
      </c>
      <c r="C3093" s="1" t="n">
        <v>45852</v>
      </c>
      <c r="D3093" t="inlineStr">
        <is>
          <t>VÄSTERNORRLANDS LÄN</t>
        </is>
      </c>
      <c r="E3093" t="inlineStr">
        <is>
          <t>SOLLEFTEÅ</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29258-2024</t>
        </is>
      </c>
      <c r="B3094" s="1" t="n">
        <v>45483</v>
      </c>
      <c r="C3094" s="1" t="n">
        <v>45852</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29248-2024</t>
        </is>
      </c>
      <c r="B3095" s="1" t="n">
        <v>45482</v>
      </c>
      <c r="C3095" s="1" t="n">
        <v>45852</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29457-2024</t>
        </is>
      </c>
      <c r="B3096" s="1" t="n">
        <v>45484</v>
      </c>
      <c r="C3096" s="1" t="n">
        <v>45852</v>
      </c>
      <c r="D3096" t="inlineStr">
        <is>
          <t>VÄSTERNORRLANDS LÄN</t>
        </is>
      </c>
      <c r="E3096" t="inlineStr">
        <is>
          <t>SOLLEFTEÅ</t>
        </is>
      </c>
      <c r="F3096" t="inlineStr">
        <is>
          <t>SCA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29459-2024</t>
        </is>
      </c>
      <c r="B3097" s="1" t="n">
        <v>45484</v>
      </c>
      <c r="C3097" s="1" t="n">
        <v>45852</v>
      </c>
      <c r="D3097" t="inlineStr">
        <is>
          <t>VÄSTERNORRLANDS LÄN</t>
        </is>
      </c>
      <c r="E3097" t="inlineStr">
        <is>
          <t>SOLLEFTEÅ</t>
        </is>
      </c>
      <c r="F3097" t="inlineStr">
        <is>
          <t>SCA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29693-2024</t>
        </is>
      </c>
      <c r="B3098" s="1" t="n">
        <v>45485</v>
      </c>
      <c r="C3098" s="1" t="n">
        <v>45852</v>
      </c>
      <c r="D3098" t="inlineStr">
        <is>
          <t>VÄSTERNORRLANDS LÄN</t>
        </is>
      </c>
      <c r="E3098" t="inlineStr">
        <is>
          <t>SOLLEFTEÅ</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29575-2024</t>
        </is>
      </c>
      <c r="B3099" s="1" t="n">
        <v>45484</v>
      </c>
      <c r="C3099" s="1" t="n">
        <v>45852</v>
      </c>
      <c r="D3099" t="inlineStr">
        <is>
          <t>VÄSTERNORRLANDS LÄN</t>
        </is>
      </c>
      <c r="E3099" t="inlineStr">
        <is>
          <t>SOLLEFTEÅ</t>
        </is>
      </c>
      <c r="G3099" t="n">
        <v>12.9</v>
      </c>
      <c r="H3099" t="n">
        <v>0</v>
      </c>
      <c r="I3099" t="n">
        <v>0</v>
      </c>
      <c r="J3099" t="n">
        <v>0</v>
      </c>
      <c r="K3099" t="n">
        <v>0</v>
      </c>
      <c r="L3099" t="n">
        <v>0</v>
      </c>
      <c r="M3099" t="n">
        <v>0</v>
      </c>
      <c r="N3099" t="n">
        <v>0</v>
      </c>
      <c r="O3099" t="n">
        <v>0</v>
      </c>
      <c r="P3099" t="n">
        <v>0</v>
      </c>
      <c r="Q3099" t="n">
        <v>0</v>
      </c>
      <c r="R3099" s="2" t="inlineStr"/>
    </row>
    <row r="3100" ht="15" customHeight="1">
      <c r="A3100" t="inlineStr">
        <is>
          <t>A 29839-2024</t>
        </is>
      </c>
      <c r="B3100" s="1" t="n">
        <v>45485</v>
      </c>
      <c r="C3100" s="1" t="n">
        <v>45852</v>
      </c>
      <c r="D3100" t="inlineStr">
        <is>
          <t>VÄSTERNORRLANDS LÄN</t>
        </is>
      </c>
      <c r="E3100" t="inlineStr">
        <is>
          <t>SOLLEFTEÅ</t>
        </is>
      </c>
      <c r="F3100" t="inlineStr">
        <is>
          <t>Holmen skog AB</t>
        </is>
      </c>
      <c r="G3100" t="n">
        <v>16.1</v>
      </c>
      <c r="H3100" t="n">
        <v>0</v>
      </c>
      <c r="I3100" t="n">
        <v>0</v>
      </c>
      <c r="J3100" t="n">
        <v>0</v>
      </c>
      <c r="K3100" t="n">
        <v>0</v>
      </c>
      <c r="L3100" t="n">
        <v>0</v>
      </c>
      <c r="M3100" t="n">
        <v>0</v>
      </c>
      <c r="N3100" t="n">
        <v>0</v>
      </c>
      <c r="O3100" t="n">
        <v>0</v>
      </c>
      <c r="P3100" t="n">
        <v>0</v>
      </c>
      <c r="Q3100" t="n">
        <v>0</v>
      </c>
      <c r="R3100" s="2" t="inlineStr"/>
    </row>
    <row r="3101" ht="15" customHeight="1">
      <c r="A3101" t="inlineStr">
        <is>
          <t>A 29755-2024</t>
        </is>
      </c>
      <c r="B3101" s="1" t="n">
        <v>45485</v>
      </c>
      <c r="C3101" s="1" t="n">
        <v>45852</v>
      </c>
      <c r="D3101" t="inlineStr">
        <is>
          <t>VÄSTERNORRLANDS LÄN</t>
        </is>
      </c>
      <c r="E3101" t="inlineStr">
        <is>
          <t>SOLLEFTEÅ</t>
        </is>
      </c>
      <c r="F3101" t="inlineStr">
        <is>
          <t>Holmen skog AB</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29870-2024</t>
        </is>
      </c>
      <c r="B3102" s="1" t="n">
        <v>45486</v>
      </c>
      <c r="C3102" s="1" t="n">
        <v>45852</v>
      </c>
      <c r="D3102" t="inlineStr">
        <is>
          <t>VÄSTERNORRLANDS LÄN</t>
        </is>
      </c>
      <c r="E3102" t="inlineStr">
        <is>
          <t>SOLLEFTEÅ</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29869-2024</t>
        </is>
      </c>
      <c r="B3103" s="1" t="n">
        <v>45486</v>
      </c>
      <c r="C3103" s="1" t="n">
        <v>45852</v>
      </c>
      <c r="D3103" t="inlineStr">
        <is>
          <t>VÄSTERNORRLANDS LÄN</t>
        </is>
      </c>
      <c r="E3103" t="inlineStr">
        <is>
          <t>SOLLEFTEÅ</t>
        </is>
      </c>
      <c r="F3103" t="inlineStr">
        <is>
          <t>SCA</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29914-2024</t>
        </is>
      </c>
      <c r="B3104" s="1" t="n">
        <v>45488</v>
      </c>
      <c r="C3104" s="1" t="n">
        <v>45852</v>
      </c>
      <c r="D3104" t="inlineStr">
        <is>
          <t>VÄSTERNORRLANDS LÄN</t>
        </is>
      </c>
      <c r="E3104" t="inlineStr">
        <is>
          <t>SOLLEFTEÅ</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29915-2024</t>
        </is>
      </c>
      <c r="B3105" s="1" t="n">
        <v>45488</v>
      </c>
      <c r="C3105" s="1" t="n">
        <v>45852</v>
      </c>
      <c r="D3105" t="inlineStr">
        <is>
          <t>VÄSTERNORRLANDS LÄN</t>
        </is>
      </c>
      <c r="E3105" t="inlineStr">
        <is>
          <t>SOLLEFTEÅ</t>
        </is>
      </c>
      <c r="G3105" t="n">
        <v>10.5</v>
      </c>
      <c r="H3105" t="n">
        <v>0</v>
      </c>
      <c r="I3105" t="n">
        <v>0</v>
      </c>
      <c r="J3105" t="n">
        <v>0</v>
      </c>
      <c r="K3105" t="n">
        <v>0</v>
      </c>
      <c r="L3105" t="n">
        <v>0</v>
      </c>
      <c r="M3105" t="n">
        <v>0</v>
      </c>
      <c r="N3105" t="n">
        <v>0</v>
      </c>
      <c r="O3105" t="n">
        <v>0</v>
      </c>
      <c r="P3105" t="n">
        <v>0</v>
      </c>
      <c r="Q3105" t="n">
        <v>0</v>
      </c>
      <c r="R3105" s="2" t="inlineStr"/>
    </row>
    <row r="3106" ht="15" customHeight="1">
      <c r="A3106" t="inlineStr">
        <is>
          <t>A 29913-2024</t>
        </is>
      </c>
      <c r="B3106" s="1" t="n">
        <v>45488</v>
      </c>
      <c r="C3106" s="1" t="n">
        <v>45852</v>
      </c>
      <c r="D3106" t="inlineStr">
        <is>
          <t>VÄSTERNORRLANDS LÄN</t>
        </is>
      </c>
      <c r="E3106" t="inlineStr">
        <is>
          <t>SOLLEFTEÅ</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29916-2024</t>
        </is>
      </c>
      <c r="B3107" s="1" t="n">
        <v>45488</v>
      </c>
      <c r="C3107" s="1" t="n">
        <v>45852</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30063-2024</t>
        </is>
      </c>
      <c r="B3108" s="1" t="n">
        <v>45489</v>
      </c>
      <c r="C3108" s="1" t="n">
        <v>45852</v>
      </c>
      <c r="D3108" t="inlineStr">
        <is>
          <t>VÄSTERNORRLANDS LÄN</t>
        </is>
      </c>
      <c r="E3108" t="inlineStr">
        <is>
          <t>SOLLEFTEÅ</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30060-2024</t>
        </is>
      </c>
      <c r="B3109" s="1" t="n">
        <v>45489</v>
      </c>
      <c r="C3109" s="1" t="n">
        <v>45852</v>
      </c>
      <c r="D3109" t="inlineStr">
        <is>
          <t>VÄSTERNORRLANDS LÄN</t>
        </is>
      </c>
      <c r="E3109" t="inlineStr">
        <is>
          <t>SOLLEFTEÅ</t>
        </is>
      </c>
      <c r="F3109" t="inlineStr">
        <is>
          <t>SCA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30068-2024</t>
        </is>
      </c>
      <c r="B3110" s="1" t="n">
        <v>45489</v>
      </c>
      <c r="C3110" s="1" t="n">
        <v>45852</v>
      </c>
      <c r="D3110" t="inlineStr">
        <is>
          <t>VÄSTERNORRLANDS LÄN</t>
        </is>
      </c>
      <c r="E3110" t="inlineStr">
        <is>
          <t>SOLLEFTEÅ</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30061-2024</t>
        </is>
      </c>
      <c r="B3111" s="1" t="n">
        <v>45489</v>
      </c>
      <c r="C3111" s="1" t="n">
        <v>45852</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30069-2024</t>
        </is>
      </c>
      <c r="B3112" s="1" t="n">
        <v>45489</v>
      </c>
      <c r="C3112" s="1" t="n">
        <v>45852</v>
      </c>
      <c r="D3112" t="inlineStr">
        <is>
          <t>VÄSTERNORRLANDS LÄN</t>
        </is>
      </c>
      <c r="E3112" t="inlineStr">
        <is>
          <t>SOLLEFTEÅ</t>
        </is>
      </c>
      <c r="F3112" t="inlineStr">
        <is>
          <t>SCA</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30214-2024</t>
        </is>
      </c>
      <c r="B3113" s="1" t="n">
        <v>45490</v>
      </c>
      <c r="C3113" s="1" t="n">
        <v>45852</v>
      </c>
      <c r="D3113" t="inlineStr">
        <is>
          <t>VÄSTERNORRLANDS LÄN</t>
        </is>
      </c>
      <c r="E3113" t="inlineStr">
        <is>
          <t>SOLLEFTEÅ</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30327-2024</t>
        </is>
      </c>
      <c r="B3114" s="1" t="n">
        <v>45491</v>
      </c>
      <c r="C3114" s="1" t="n">
        <v>45852</v>
      </c>
      <c r="D3114" t="inlineStr">
        <is>
          <t>VÄSTERNORRLANDS LÄN</t>
        </is>
      </c>
      <c r="E3114" t="inlineStr">
        <is>
          <t>SOLLEFTEÅ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30328-2024</t>
        </is>
      </c>
      <c r="B3115" s="1" t="n">
        <v>45491</v>
      </c>
      <c r="C3115" s="1" t="n">
        <v>45852</v>
      </c>
      <c r="D3115" t="inlineStr">
        <is>
          <t>VÄSTERNORRLANDS LÄN</t>
        </is>
      </c>
      <c r="E3115" t="inlineStr">
        <is>
          <t>SOLLEFTEÅ</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30329-2024</t>
        </is>
      </c>
      <c r="B3116" s="1" t="n">
        <v>45491</v>
      </c>
      <c r="C3116" s="1" t="n">
        <v>45852</v>
      </c>
      <c r="D3116" t="inlineStr">
        <is>
          <t>VÄSTERNORRLANDS LÄN</t>
        </is>
      </c>
      <c r="E3116" t="inlineStr">
        <is>
          <t>SOLLEFTEÅ</t>
        </is>
      </c>
      <c r="F3116" t="inlineStr">
        <is>
          <t>SCA</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30325-2024</t>
        </is>
      </c>
      <c r="B3117" s="1" t="n">
        <v>45491</v>
      </c>
      <c r="C3117" s="1" t="n">
        <v>45852</v>
      </c>
      <c r="D3117" t="inlineStr">
        <is>
          <t>VÄSTERNORRLANDS LÄN</t>
        </is>
      </c>
      <c r="E3117" t="inlineStr">
        <is>
          <t>SOLLEFTEÅ</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30466-2024</t>
        </is>
      </c>
      <c r="B3118" s="1" t="n">
        <v>45492</v>
      </c>
      <c r="C3118" s="1" t="n">
        <v>45852</v>
      </c>
      <c r="D3118" t="inlineStr">
        <is>
          <t>VÄSTERNORRLANDS LÄN</t>
        </is>
      </c>
      <c r="E3118" t="inlineStr">
        <is>
          <t>SOLLEFTEÅ</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30476-2024</t>
        </is>
      </c>
      <c r="B3119" s="1" t="n">
        <v>45492</v>
      </c>
      <c r="C3119" s="1" t="n">
        <v>45852</v>
      </c>
      <c r="D3119" t="inlineStr">
        <is>
          <t>VÄSTERNORRLANDS LÄN</t>
        </is>
      </c>
      <c r="E3119" t="inlineStr">
        <is>
          <t>SOLLEFTEÅ</t>
        </is>
      </c>
      <c r="F3119" t="inlineStr">
        <is>
          <t>SCA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30464-2024</t>
        </is>
      </c>
      <c r="B3120" s="1" t="n">
        <v>45492</v>
      </c>
      <c r="C3120" s="1" t="n">
        <v>45852</v>
      </c>
      <c r="D3120" t="inlineStr">
        <is>
          <t>VÄSTERNORRLANDS LÄN</t>
        </is>
      </c>
      <c r="E3120" t="inlineStr">
        <is>
          <t>SOLLEFTEÅ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30570-2024</t>
        </is>
      </c>
      <c r="B3121" s="1" t="n">
        <v>45493</v>
      </c>
      <c r="C3121" s="1" t="n">
        <v>45852</v>
      </c>
      <c r="D3121" t="inlineStr">
        <is>
          <t>VÄSTERNORRLANDS LÄN</t>
        </is>
      </c>
      <c r="E3121" t="inlineStr">
        <is>
          <t>SOLLEFTEÅ</t>
        </is>
      </c>
      <c r="F3121" t="inlineStr">
        <is>
          <t>SCA</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30812-2024</t>
        </is>
      </c>
      <c r="B3122" s="1" t="n">
        <v>45497</v>
      </c>
      <c r="C3122" s="1" t="n">
        <v>45852</v>
      </c>
      <c r="D3122" t="inlineStr">
        <is>
          <t>VÄSTERNORRLANDS LÄN</t>
        </is>
      </c>
      <c r="E3122" t="inlineStr">
        <is>
          <t>SOLLEFTEÅ</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31521-2024</t>
        </is>
      </c>
      <c r="B3123" s="1" t="n">
        <v>45505</v>
      </c>
      <c r="C3123" s="1" t="n">
        <v>45852</v>
      </c>
      <c r="D3123" t="inlineStr">
        <is>
          <t>VÄSTERNORRLANDS LÄN</t>
        </is>
      </c>
      <c r="E3123" t="inlineStr">
        <is>
          <t>SOLLEFTEÅ</t>
        </is>
      </c>
      <c r="F3123" t="inlineStr">
        <is>
          <t>SCA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31482-2024</t>
        </is>
      </c>
      <c r="B3124" s="1" t="n">
        <v>45505</v>
      </c>
      <c r="C3124" s="1" t="n">
        <v>45852</v>
      </c>
      <c r="D3124" t="inlineStr">
        <is>
          <t>VÄSTERNORRLANDS LÄN</t>
        </is>
      </c>
      <c r="E3124" t="inlineStr">
        <is>
          <t>SOLLEFTEÅ</t>
        </is>
      </c>
      <c r="F3124" t="inlineStr">
        <is>
          <t>SCA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31555-2024</t>
        </is>
      </c>
      <c r="B3125" s="1" t="n">
        <v>45506</v>
      </c>
      <c r="C3125" s="1" t="n">
        <v>45852</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31547-2024</t>
        </is>
      </c>
      <c r="B3126" s="1" t="n">
        <v>45506</v>
      </c>
      <c r="C3126" s="1" t="n">
        <v>45852</v>
      </c>
      <c r="D3126" t="inlineStr">
        <is>
          <t>VÄSTERNORRLANDS LÄN</t>
        </is>
      </c>
      <c r="E3126" t="inlineStr">
        <is>
          <t>SOLLEFTEÅ</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31556-2024</t>
        </is>
      </c>
      <c r="B3127" s="1" t="n">
        <v>45505</v>
      </c>
      <c r="C3127" s="1" t="n">
        <v>45852</v>
      </c>
      <c r="D3127" t="inlineStr">
        <is>
          <t>VÄSTERNORRLANDS LÄN</t>
        </is>
      </c>
      <c r="E3127" t="inlineStr">
        <is>
          <t>SOLLEFTEÅ</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31480-2024</t>
        </is>
      </c>
      <c r="B3128" s="1" t="n">
        <v>45506</v>
      </c>
      <c r="C3128" s="1" t="n">
        <v>45852</v>
      </c>
      <c r="D3128" t="inlineStr">
        <is>
          <t>VÄSTERNORRLANDS LÄN</t>
        </is>
      </c>
      <c r="E3128" t="inlineStr">
        <is>
          <t>SOLLEFTEÅ</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31496-2024</t>
        </is>
      </c>
      <c r="B3129" s="1" t="n">
        <v>45506</v>
      </c>
      <c r="C3129" s="1" t="n">
        <v>45852</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31562-2024</t>
        </is>
      </c>
      <c r="B3130" s="1" t="n">
        <v>45505</v>
      </c>
      <c r="C3130" s="1" t="n">
        <v>45852</v>
      </c>
      <c r="D3130" t="inlineStr">
        <is>
          <t>VÄSTERNORRLANDS LÄN</t>
        </is>
      </c>
      <c r="E3130" t="inlineStr">
        <is>
          <t>SOLLEFTEÅ</t>
        </is>
      </c>
      <c r="F3130" t="inlineStr">
        <is>
          <t>SCA</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31549-2024</t>
        </is>
      </c>
      <c r="B3131" s="1" t="n">
        <v>45506</v>
      </c>
      <c r="C3131" s="1" t="n">
        <v>45852</v>
      </c>
      <c r="D3131" t="inlineStr">
        <is>
          <t>VÄSTERNORRLANDS LÄN</t>
        </is>
      </c>
      <c r="E3131" t="inlineStr">
        <is>
          <t>SOLLEFTEÅ</t>
        </is>
      </c>
      <c r="F3131" t="inlineStr">
        <is>
          <t>SCA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31537-2024</t>
        </is>
      </c>
      <c r="B3132" s="1" t="n">
        <v>45506</v>
      </c>
      <c r="C3132" s="1" t="n">
        <v>45852</v>
      </c>
      <c r="D3132" t="inlineStr">
        <is>
          <t>VÄSTERNORRLANDS LÄN</t>
        </is>
      </c>
      <c r="E3132" t="inlineStr">
        <is>
          <t>SOLLEFTEÅ</t>
        </is>
      </c>
      <c r="F3132" t="inlineStr">
        <is>
          <t>SCA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31511-2024</t>
        </is>
      </c>
      <c r="B3133" s="1" t="n">
        <v>45506</v>
      </c>
      <c r="C3133" s="1" t="n">
        <v>45852</v>
      </c>
      <c r="D3133" t="inlineStr">
        <is>
          <t>VÄSTERNORRLANDS LÄN</t>
        </is>
      </c>
      <c r="E3133" t="inlineStr">
        <is>
          <t>SOLLEFTEÅ</t>
        </is>
      </c>
      <c r="F3133" t="inlineStr">
        <is>
          <t>SCA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31481-2024</t>
        </is>
      </c>
      <c r="B3134" s="1" t="n">
        <v>45505</v>
      </c>
      <c r="C3134" s="1" t="n">
        <v>45852</v>
      </c>
      <c r="D3134" t="inlineStr">
        <is>
          <t>VÄSTERNORRLANDS LÄN</t>
        </is>
      </c>
      <c r="E3134" t="inlineStr">
        <is>
          <t>SOLLEFTEÅ</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31559-2024</t>
        </is>
      </c>
      <c r="B3135" s="1" t="n">
        <v>45506</v>
      </c>
      <c r="C3135" s="1" t="n">
        <v>45852</v>
      </c>
      <c r="D3135" t="inlineStr">
        <is>
          <t>VÄSTERNORRLANDS LÄN</t>
        </is>
      </c>
      <c r="E3135" t="inlineStr">
        <is>
          <t>SOLLEFTEÅ</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31554-2024</t>
        </is>
      </c>
      <c r="B3136" s="1" t="n">
        <v>45506</v>
      </c>
      <c r="C3136" s="1" t="n">
        <v>45852</v>
      </c>
      <c r="D3136" t="inlineStr">
        <is>
          <t>VÄSTERNORRLANDS LÄN</t>
        </is>
      </c>
      <c r="E3136" t="inlineStr">
        <is>
          <t>SOLLEFTEÅ</t>
        </is>
      </c>
      <c r="F3136" t="inlineStr">
        <is>
          <t>SCA</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31550-2024</t>
        </is>
      </c>
      <c r="B3137" s="1" t="n">
        <v>45505</v>
      </c>
      <c r="C3137" s="1" t="n">
        <v>45852</v>
      </c>
      <c r="D3137" t="inlineStr">
        <is>
          <t>VÄSTERNORRLANDS LÄN</t>
        </is>
      </c>
      <c r="E3137" t="inlineStr">
        <is>
          <t>SOLLEFTEÅ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31477-2024</t>
        </is>
      </c>
      <c r="B3138" s="1" t="n">
        <v>45505</v>
      </c>
      <c r="C3138" s="1" t="n">
        <v>45852</v>
      </c>
      <c r="D3138" t="inlineStr">
        <is>
          <t>VÄSTERNORRLANDS LÄN</t>
        </is>
      </c>
      <c r="E3138" t="inlineStr">
        <is>
          <t>SOLLEFTEÅ</t>
        </is>
      </c>
      <c r="F3138" t="inlineStr">
        <is>
          <t>SCA</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31528-2024</t>
        </is>
      </c>
      <c r="B3139" s="1" t="n">
        <v>45505</v>
      </c>
      <c r="C3139" s="1" t="n">
        <v>45852</v>
      </c>
      <c r="D3139" t="inlineStr">
        <is>
          <t>VÄSTERNORRLANDS LÄN</t>
        </is>
      </c>
      <c r="E3139" t="inlineStr">
        <is>
          <t>SOLLEFTEÅ</t>
        </is>
      </c>
      <c r="F3139" t="inlineStr">
        <is>
          <t>SCA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31520-2024</t>
        </is>
      </c>
      <c r="B3140" s="1" t="n">
        <v>45505</v>
      </c>
      <c r="C3140" s="1" t="n">
        <v>45852</v>
      </c>
      <c r="D3140" t="inlineStr">
        <is>
          <t>VÄSTERNORRLANDS LÄN</t>
        </is>
      </c>
      <c r="E3140" t="inlineStr">
        <is>
          <t>SOLLEFTEÅ</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31516-2024</t>
        </is>
      </c>
      <c r="B3141" s="1" t="n">
        <v>45505</v>
      </c>
      <c r="C3141" s="1" t="n">
        <v>45852</v>
      </c>
      <c r="D3141" t="inlineStr">
        <is>
          <t>VÄSTERNORRLANDS LÄN</t>
        </is>
      </c>
      <c r="E3141" t="inlineStr">
        <is>
          <t>SOLLEFTEÅ</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31569-2024</t>
        </is>
      </c>
      <c r="B3142" s="1" t="n">
        <v>45505</v>
      </c>
      <c r="C3142" s="1" t="n">
        <v>45852</v>
      </c>
      <c r="D3142" t="inlineStr">
        <is>
          <t>VÄSTERNORRLANDS LÄN</t>
        </is>
      </c>
      <c r="E3142" t="inlineStr">
        <is>
          <t>SOLLEFTEÅ</t>
        </is>
      </c>
      <c r="F3142" t="inlineStr">
        <is>
          <t>SCA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31548-2024</t>
        </is>
      </c>
      <c r="B3143" s="1" t="n">
        <v>45506</v>
      </c>
      <c r="C3143" s="1" t="n">
        <v>45852</v>
      </c>
      <c r="D3143" t="inlineStr">
        <is>
          <t>VÄSTERNORRLANDS LÄN</t>
        </is>
      </c>
      <c r="E3143" t="inlineStr">
        <is>
          <t>SOLLEFTEÅ</t>
        </is>
      </c>
      <c r="F3143" t="inlineStr">
        <is>
          <t>SCA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31680-2024</t>
        </is>
      </c>
      <c r="B3144" s="1" t="n">
        <v>45507</v>
      </c>
      <c r="C3144" s="1" t="n">
        <v>45852</v>
      </c>
      <c r="D3144" t="inlineStr">
        <is>
          <t>VÄSTERNORRLANDS LÄN</t>
        </is>
      </c>
      <c r="E3144" t="inlineStr">
        <is>
          <t>SOLLEFTEÅ</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31669-2024</t>
        </is>
      </c>
      <c r="B3145" s="1" t="n">
        <v>45507</v>
      </c>
      <c r="C3145" s="1" t="n">
        <v>45852</v>
      </c>
      <c r="D3145" t="inlineStr">
        <is>
          <t>VÄSTERNORRLANDS LÄN</t>
        </is>
      </c>
      <c r="E3145" t="inlineStr">
        <is>
          <t>SOLLEFTEÅ</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31614-2024</t>
        </is>
      </c>
      <c r="B3146" s="1" t="n">
        <v>45506</v>
      </c>
      <c r="C3146" s="1" t="n">
        <v>45852</v>
      </c>
      <c r="D3146" t="inlineStr">
        <is>
          <t>VÄSTERNORRLANDS LÄN</t>
        </is>
      </c>
      <c r="E3146" t="inlineStr">
        <is>
          <t>SOLLEFTEÅ</t>
        </is>
      </c>
      <c r="F3146" t="inlineStr">
        <is>
          <t>Kommuner</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31681-2024</t>
        </is>
      </c>
      <c r="B3147" s="1" t="n">
        <v>45507</v>
      </c>
      <c r="C3147" s="1" t="n">
        <v>45852</v>
      </c>
      <c r="D3147" t="inlineStr">
        <is>
          <t>VÄSTERNORRLANDS LÄN</t>
        </is>
      </c>
      <c r="E3147" t="inlineStr">
        <is>
          <t>SOLLEFTEÅ</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31658-2024</t>
        </is>
      </c>
      <c r="B3148" s="1" t="n">
        <v>45506</v>
      </c>
      <c r="C3148" s="1" t="n">
        <v>45852</v>
      </c>
      <c r="D3148" t="inlineStr">
        <is>
          <t>VÄSTERNORRLANDS LÄN</t>
        </is>
      </c>
      <c r="E3148" t="inlineStr">
        <is>
          <t>SOLLEFTEÅ</t>
        </is>
      </c>
      <c r="G3148" t="n">
        <v>15.5</v>
      </c>
      <c r="H3148" t="n">
        <v>0</v>
      </c>
      <c r="I3148" t="n">
        <v>0</v>
      </c>
      <c r="J3148" t="n">
        <v>0</v>
      </c>
      <c r="K3148" t="n">
        <v>0</v>
      </c>
      <c r="L3148" t="n">
        <v>0</v>
      </c>
      <c r="M3148" t="n">
        <v>0</v>
      </c>
      <c r="N3148" t="n">
        <v>0</v>
      </c>
      <c r="O3148" t="n">
        <v>0</v>
      </c>
      <c r="P3148" t="n">
        <v>0</v>
      </c>
      <c r="Q3148" t="n">
        <v>0</v>
      </c>
      <c r="R3148" s="2" t="inlineStr"/>
    </row>
    <row r="3149" ht="15" customHeight="1">
      <c r="A3149" t="inlineStr">
        <is>
          <t>A 31662-2024</t>
        </is>
      </c>
      <c r="B3149" s="1" t="n">
        <v>45507</v>
      </c>
      <c r="C3149" s="1" t="n">
        <v>45852</v>
      </c>
      <c r="D3149" t="inlineStr">
        <is>
          <t>VÄSTERNORRLANDS LÄN</t>
        </is>
      </c>
      <c r="E3149" t="inlineStr">
        <is>
          <t>SOLLEFTEÅ</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31670-2024</t>
        </is>
      </c>
      <c r="B3150" s="1" t="n">
        <v>45507</v>
      </c>
      <c r="C3150" s="1" t="n">
        <v>45852</v>
      </c>
      <c r="D3150" t="inlineStr">
        <is>
          <t>VÄSTERNORRLANDS LÄN</t>
        </is>
      </c>
      <c r="E3150" t="inlineStr">
        <is>
          <t>SOLLEFTEÅ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31686-2024</t>
        </is>
      </c>
      <c r="B3151" s="1" t="n">
        <v>45506</v>
      </c>
      <c r="C3151" s="1" t="n">
        <v>45852</v>
      </c>
      <c r="D3151" t="inlineStr">
        <is>
          <t>VÄSTERNORRLANDS LÄN</t>
        </is>
      </c>
      <c r="E3151" t="inlineStr">
        <is>
          <t>SOLLEFTEÅ</t>
        </is>
      </c>
      <c r="F3151" t="inlineStr">
        <is>
          <t>SCA</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31708-2024</t>
        </is>
      </c>
      <c r="B3152" s="1" t="n">
        <v>45509</v>
      </c>
      <c r="C3152" s="1" t="n">
        <v>45852</v>
      </c>
      <c r="D3152" t="inlineStr">
        <is>
          <t>VÄSTERNORRLANDS LÄN</t>
        </is>
      </c>
      <c r="E3152" t="inlineStr">
        <is>
          <t>SOLLEFTEÅ</t>
        </is>
      </c>
      <c r="F3152" t="inlineStr">
        <is>
          <t>SCA</t>
        </is>
      </c>
      <c r="G3152" t="n">
        <v>13.9</v>
      </c>
      <c r="H3152" t="n">
        <v>0</v>
      </c>
      <c r="I3152" t="n">
        <v>0</v>
      </c>
      <c r="J3152" t="n">
        <v>0</v>
      </c>
      <c r="K3152" t="n">
        <v>0</v>
      </c>
      <c r="L3152" t="n">
        <v>0</v>
      </c>
      <c r="M3152" t="n">
        <v>0</v>
      </c>
      <c r="N3152" t="n">
        <v>0</v>
      </c>
      <c r="O3152" t="n">
        <v>0</v>
      </c>
      <c r="P3152" t="n">
        <v>0</v>
      </c>
      <c r="Q3152" t="n">
        <v>0</v>
      </c>
      <c r="R3152" s="2" t="inlineStr"/>
    </row>
    <row r="3153" ht="15" customHeight="1">
      <c r="A3153" t="inlineStr">
        <is>
          <t>A 31807-2024</t>
        </is>
      </c>
      <c r="B3153" s="1" t="n">
        <v>45509</v>
      </c>
      <c r="C3153" s="1" t="n">
        <v>45852</v>
      </c>
      <c r="D3153" t="inlineStr">
        <is>
          <t>VÄSTERNORRLANDS LÄN</t>
        </is>
      </c>
      <c r="E3153" t="inlineStr">
        <is>
          <t>SOLLEFTEÅ</t>
        </is>
      </c>
      <c r="F3153" t="inlineStr">
        <is>
          <t>Holmen skog AB</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31886-2024</t>
        </is>
      </c>
      <c r="B3154" s="1" t="n">
        <v>45510</v>
      </c>
      <c r="C3154" s="1" t="n">
        <v>45852</v>
      </c>
      <c r="D3154" t="inlineStr">
        <is>
          <t>VÄSTERNORRLANDS LÄN</t>
        </is>
      </c>
      <c r="E3154" t="inlineStr">
        <is>
          <t>SOLLEFTEÅ</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31881-2024</t>
        </is>
      </c>
      <c r="B3155" s="1" t="n">
        <v>45509</v>
      </c>
      <c r="C3155" s="1" t="n">
        <v>45852</v>
      </c>
      <c r="D3155" t="inlineStr">
        <is>
          <t>VÄSTERNORRLANDS LÄN</t>
        </is>
      </c>
      <c r="E3155" t="inlineStr">
        <is>
          <t>SOLLEFTEÅ</t>
        </is>
      </c>
      <c r="F3155" t="inlineStr">
        <is>
          <t>SCA</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31889-2024</t>
        </is>
      </c>
      <c r="B3156" s="1" t="n">
        <v>45510</v>
      </c>
      <c r="C3156" s="1" t="n">
        <v>45852</v>
      </c>
      <c r="D3156" t="inlineStr">
        <is>
          <t>VÄSTERNORRLANDS LÄN</t>
        </is>
      </c>
      <c r="E3156" t="inlineStr">
        <is>
          <t>SOLLEFTEÅ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31880-2024</t>
        </is>
      </c>
      <c r="B3157" s="1" t="n">
        <v>45509</v>
      </c>
      <c r="C3157" s="1" t="n">
        <v>45852</v>
      </c>
      <c r="D3157" t="inlineStr">
        <is>
          <t>VÄSTERNORRLANDS LÄN</t>
        </is>
      </c>
      <c r="E3157" t="inlineStr">
        <is>
          <t>SOLLEFTEÅ</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32062-2024</t>
        </is>
      </c>
      <c r="B3158" s="1" t="n">
        <v>45510</v>
      </c>
      <c r="C3158" s="1" t="n">
        <v>45852</v>
      </c>
      <c r="D3158" t="inlineStr">
        <is>
          <t>VÄSTERNORRLANDS LÄN</t>
        </is>
      </c>
      <c r="E3158" t="inlineStr">
        <is>
          <t>SOLLEFTEÅ</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32071-2024</t>
        </is>
      </c>
      <c r="B3159" s="1" t="n">
        <v>45511</v>
      </c>
      <c r="C3159" s="1" t="n">
        <v>45852</v>
      </c>
      <c r="D3159" t="inlineStr">
        <is>
          <t>VÄSTERNORRLANDS LÄN</t>
        </is>
      </c>
      <c r="E3159" t="inlineStr">
        <is>
          <t>SOLLEFTEÅ</t>
        </is>
      </c>
      <c r="F3159" t="inlineStr">
        <is>
          <t>SCA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32242-2024</t>
        </is>
      </c>
      <c r="B3160" s="1" t="n">
        <v>45512</v>
      </c>
      <c r="C3160" s="1" t="n">
        <v>45852</v>
      </c>
      <c r="D3160" t="inlineStr">
        <is>
          <t>VÄSTERNORRLANDS LÄN</t>
        </is>
      </c>
      <c r="E3160" t="inlineStr">
        <is>
          <t>SOLLEFTEÅ</t>
        </is>
      </c>
      <c r="F3160" t="inlineStr">
        <is>
          <t>SCA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32255-2024</t>
        </is>
      </c>
      <c r="B3161" s="1" t="n">
        <v>45512</v>
      </c>
      <c r="C3161" s="1" t="n">
        <v>45852</v>
      </c>
      <c r="D3161" t="inlineStr">
        <is>
          <t>VÄSTERNORRLANDS LÄN</t>
        </is>
      </c>
      <c r="E3161" t="inlineStr">
        <is>
          <t>SOLLEFTEÅ</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32140-2024</t>
        </is>
      </c>
      <c r="B3162" s="1" t="n">
        <v>45511</v>
      </c>
      <c r="C3162" s="1" t="n">
        <v>45852</v>
      </c>
      <c r="D3162" t="inlineStr">
        <is>
          <t>VÄSTERNORRLANDS LÄN</t>
        </is>
      </c>
      <c r="E3162" t="inlineStr">
        <is>
          <t>SOLLEFTEÅ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32157-2024</t>
        </is>
      </c>
      <c r="B3163" s="1" t="n">
        <v>45511</v>
      </c>
      <c r="C3163" s="1" t="n">
        <v>45852</v>
      </c>
      <c r="D3163" t="inlineStr">
        <is>
          <t>VÄSTERNORRLANDS LÄN</t>
        </is>
      </c>
      <c r="E3163" t="inlineStr">
        <is>
          <t>SOLLEFTEÅ</t>
        </is>
      </c>
      <c r="F3163" t="inlineStr">
        <is>
          <t>Holmen skog AB</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32467-2024</t>
        </is>
      </c>
      <c r="B3164" s="1" t="n">
        <v>45512</v>
      </c>
      <c r="C3164" s="1" t="n">
        <v>45852</v>
      </c>
      <c r="D3164" t="inlineStr">
        <is>
          <t>VÄSTERNORRLANDS LÄN</t>
        </is>
      </c>
      <c r="E3164" t="inlineStr">
        <is>
          <t>SOLLEFTEÅ</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32754-2024</t>
        </is>
      </c>
      <c r="B3165" s="1" t="n">
        <v>45516</v>
      </c>
      <c r="C3165" s="1" t="n">
        <v>45852</v>
      </c>
      <c r="D3165" t="inlineStr">
        <is>
          <t>VÄSTERNORRLANDS LÄN</t>
        </is>
      </c>
      <c r="E3165" t="inlineStr">
        <is>
          <t>SOLLEFTEÅ</t>
        </is>
      </c>
      <c r="F3165" t="inlineStr">
        <is>
          <t>Holmen skog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32924-2024</t>
        </is>
      </c>
      <c r="B3166" s="1" t="n">
        <v>45517</v>
      </c>
      <c r="C3166" s="1" t="n">
        <v>45852</v>
      </c>
      <c r="D3166" t="inlineStr">
        <is>
          <t>VÄSTERNORRLANDS LÄN</t>
        </is>
      </c>
      <c r="E3166" t="inlineStr">
        <is>
          <t>SOLLEFTEÅ</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32812-2024</t>
        </is>
      </c>
      <c r="B3167" s="1" t="n">
        <v>45516</v>
      </c>
      <c r="C3167" s="1" t="n">
        <v>45852</v>
      </c>
      <c r="D3167" t="inlineStr">
        <is>
          <t>VÄSTERNORRLANDS LÄN</t>
        </is>
      </c>
      <c r="E3167" t="inlineStr">
        <is>
          <t>SOLLEFTEÅ</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32702-2024</t>
        </is>
      </c>
      <c r="B3168" s="1" t="n">
        <v>45516</v>
      </c>
      <c r="C3168" s="1" t="n">
        <v>45852</v>
      </c>
      <c r="D3168" t="inlineStr">
        <is>
          <t>VÄSTERNORRLANDS LÄN</t>
        </is>
      </c>
      <c r="E3168" t="inlineStr">
        <is>
          <t>SOLLEFTEÅ</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33110-2024</t>
        </is>
      </c>
      <c r="B3169" s="1" t="n">
        <v>45517</v>
      </c>
      <c r="C3169" s="1" t="n">
        <v>45852</v>
      </c>
      <c r="D3169" t="inlineStr">
        <is>
          <t>VÄSTERNORRLANDS LÄN</t>
        </is>
      </c>
      <c r="E3169" t="inlineStr">
        <is>
          <t>SOLLEFTEÅ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33111-2024</t>
        </is>
      </c>
      <c r="B3170" s="1" t="n">
        <v>45517</v>
      </c>
      <c r="C3170" s="1" t="n">
        <v>45852</v>
      </c>
      <c r="D3170" t="inlineStr">
        <is>
          <t>VÄSTERNORRLANDS LÄN</t>
        </is>
      </c>
      <c r="E3170" t="inlineStr">
        <is>
          <t>SOLLEFTEÅ</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33031-2024</t>
        </is>
      </c>
      <c r="B3171" s="1" t="n">
        <v>45517</v>
      </c>
      <c r="C3171" s="1" t="n">
        <v>45852</v>
      </c>
      <c r="D3171" t="inlineStr">
        <is>
          <t>VÄSTERNORRLANDS LÄN</t>
        </is>
      </c>
      <c r="E3171" t="inlineStr">
        <is>
          <t>SOLLEFTEÅ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33241-2024</t>
        </is>
      </c>
      <c r="B3172" s="1" t="n">
        <v>45518</v>
      </c>
      <c r="C3172" s="1" t="n">
        <v>45852</v>
      </c>
      <c r="D3172" t="inlineStr">
        <is>
          <t>VÄSTERNORRLANDS LÄN</t>
        </is>
      </c>
      <c r="E3172" t="inlineStr">
        <is>
          <t>SOLLEFTEÅ</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33316-2024</t>
        </is>
      </c>
      <c r="B3173" s="1" t="n">
        <v>45519</v>
      </c>
      <c r="C3173" s="1" t="n">
        <v>45852</v>
      </c>
      <c r="D3173" t="inlineStr">
        <is>
          <t>VÄSTERNORRLANDS LÄN</t>
        </is>
      </c>
      <c r="E3173" t="inlineStr">
        <is>
          <t>SOLLEFTEÅ</t>
        </is>
      </c>
      <c r="F3173" t="inlineStr">
        <is>
          <t>SCA</t>
        </is>
      </c>
      <c r="G3173" t="n">
        <v>12.9</v>
      </c>
      <c r="H3173" t="n">
        <v>0</v>
      </c>
      <c r="I3173" t="n">
        <v>0</v>
      </c>
      <c r="J3173" t="n">
        <v>0</v>
      </c>
      <c r="K3173" t="n">
        <v>0</v>
      </c>
      <c r="L3173" t="n">
        <v>0</v>
      </c>
      <c r="M3173" t="n">
        <v>0</v>
      </c>
      <c r="N3173" t="n">
        <v>0</v>
      </c>
      <c r="O3173" t="n">
        <v>0</v>
      </c>
      <c r="P3173" t="n">
        <v>0</v>
      </c>
      <c r="Q3173" t="n">
        <v>0</v>
      </c>
      <c r="R3173" s="2" t="inlineStr"/>
    </row>
    <row r="3174" ht="15" customHeight="1">
      <c r="A3174" t="inlineStr">
        <is>
          <t>A 33312-2024</t>
        </is>
      </c>
      <c r="B3174" s="1" t="n">
        <v>45519</v>
      </c>
      <c r="C3174" s="1" t="n">
        <v>45852</v>
      </c>
      <c r="D3174" t="inlineStr">
        <is>
          <t>VÄSTERNORRLANDS LÄN</t>
        </is>
      </c>
      <c r="E3174" t="inlineStr">
        <is>
          <t>SOLLEFTEÅ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33141-2024</t>
        </is>
      </c>
      <c r="B3175" s="1" t="n">
        <v>45518</v>
      </c>
      <c r="C3175" s="1" t="n">
        <v>45852</v>
      </c>
      <c r="D3175" t="inlineStr">
        <is>
          <t>VÄSTERNORRLANDS LÄN</t>
        </is>
      </c>
      <c r="E3175" t="inlineStr">
        <is>
          <t>SOLLEFTEÅ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33134-2024</t>
        </is>
      </c>
      <c r="B3176" s="1" t="n">
        <v>45518</v>
      </c>
      <c r="C3176" s="1" t="n">
        <v>45852</v>
      </c>
      <c r="D3176" t="inlineStr">
        <is>
          <t>VÄSTERNORRLANDS LÄN</t>
        </is>
      </c>
      <c r="E3176" t="inlineStr">
        <is>
          <t>SOLLEFTEÅ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33314-2024</t>
        </is>
      </c>
      <c r="B3177" s="1" t="n">
        <v>45519</v>
      </c>
      <c r="C3177" s="1" t="n">
        <v>45852</v>
      </c>
      <c r="D3177" t="inlineStr">
        <is>
          <t>VÄSTERNORRLANDS LÄN</t>
        </is>
      </c>
      <c r="E3177" t="inlineStr">
        <is>
          <t>SOLLEFTEÅ</t>
        </is>
      </c>
      <c r="F3177" t="inlineStr">
        <is>
          <t>SCA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33332-2024</t>
        </is>
      </c>
      <c r="B3178" s="1" t="n">
        <v>45519</v>
      </c>
      <c r="C3178" s="1" t="n">
        <v>45852</v>
      </c>
      <c r="D3178" t="inlineStr">
        <is>
          <t>VÄSTERNORRLANDS LÄN</t>
        </is>
      </c>
      <c r="E3178" t="inlineStr">
        <is>
          <t>SOLLEFTEÅ</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33490-2024</t>
        </is>
      </c>
      <c r="B3179" s="1" t="n">
        <v>45519</v>
      </c>
      <c r="C3179" s="1" t="n">
        <v>45852</v>
      </c>
      <c r="D3179" t="inlineStr">
        <is>
          <t>VÄSTERNORRLANDS LÄN</t>
        </is>
      </c>
      <c r="E3179" t="inlineStr">
        <is>
          <t>SOLLEFTEÅ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33617-2024</t>
        </is>
      </c>
      <c r="B3180" s="1" t="n">
        <v>45520</v>
      </c>
      <c r="C3180" s="1" t="n">
        <v>45852</v>
      </c>
      <c r="D3180" t="inlineStr">
        <is>
          <t>VÄSTERNORRLANDS LÄN</t>
        </is>
      </c>
      <c r="E3180" t="inlineStr">
        <is>
          <t>SOLLEFTEÅ</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33628-2024</t>
        </is>
      </c>
      <c r="B3181" s="1" t="n">
        <v>45520</v>
      </c>
      <c r="C3181" s="1" t="n">
        <v>45852</v>
      </c>
      <c r="D3181" t="inlineStr">
        <is>
          <t>VÄSTERNORRLANDS LÄN</t>
        </is>
      </c>
      <c r="E3181" t="inlineStr">
        <is>
          <t>SOLLEFTEÅ</t>
        </is>
      </c>
      <c r="F3181" t="inlineStr">
        <is>
          <t>Holmen skog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33677-2024</t>
        </is>
      </c>
      <c r="B3182" s="1" t="n">
        <v>45520</v>
      </c>
      <c r="C3182" s="1" t="n">
        <v>45852</v>
      </c>
      <c r="D3182" t="inlineStr">
        <is>
          <t>VÄSTERNORRLANDS LÄN</t>
        </is>
      </c>
      <c r="E3182" t="inlineStr">
        <is>
          <t>SOLLEFTEÅ</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33739-2024</t>
        </is>
      </c>
      <c r="B3183" s="1" t="n">
        <v>45520</v>
      </c>
      <c r="C3183" s="1" t="n">
        <v>45852</v>
      </c>
      <c r="D3183" t="inlineStr">
        <is>
          <t>VÄSTERNORRLANDS LÄN</t>
        </is>
      </c>
      <c r="E3183" t="inlineStr">
        <is>
          <t>SOLLEFTEÅ</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33656-2024</t>
        </is>
      </c>
      <c r="B3184" s="1" t="n">
        <v>45520</v>
      </c>
      <c r="C3184" s="1" t="n">
        <v>45852</v>
      </c>
      <c r="D3184" t="inlineStr">
        <is>
          <t>VÄSTERNORRLANDS LÄN</t>
        </is>
      </c>
      <c r="E3184" t="inlineStr">
        <is>
          <t>SOLLEFTEÅ</t>
        </is>
      </c>
      <c r="F3184" t="inlineStr">
        <is>
          <t>Holmen skog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33799-2024</t>
        </is>
      </c>
      <c r="B3185" s="1" t="n">
        <v>45520</v>
      </c>
      <c r="C3185" s="1" t="n">
        <v>45852</v>
      </c>
      <c r="D3185" t="inlineStr">
        <is>
          <t>VÄSTERNORRLANDS LÄN</t>
        </is>
      </c>
      <c r="E3185" t="inlineStr">
        <is>
          <t>SOLLEFTEÅ</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33815-2024</t>
        </is>
      </c>
      <c r="B3186" s="1" t="n">
        <v>45520</v>
      </c>
      <c r="C3186" s="1" t="n">
        <v>45852</v>
      </c>
      <c r="D3186" t="inlineStr">
        <is>
          <t>VÄSTERNORRLANDS LÄN</t>
        </is>
      </c>
      <c r="E3186" t="inlineStr">
        <is>
          <t>SOLLEFTEÅ</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34318-2024</t>
        </is>
      </c>
      <c r="B3187" s="1" t="n">
        <v>45524</v>
      </c>
      <c r="C3187" s="1" t="n">
        <v>45852</v>
      </c>
      <c r="D3187" t="inlineStr">
        <is>
          <t>VÄSTERNORRLANDS LÄN</t>
        </is>
      </c>
      <c r="E3187" t="inlineStr">
        <is>
          <t>SOLLEFTEÅ</t>
        </is>
      </c>
      <c r="F3187" t="inlineStr">
        <is>
          <t>Övriga statliga verk och myndigheter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34216-2024</t>
        </is>
      </c>
      <c r="B3188" s="1" t="n">
        <v>45524</v>
      </c>
      <c r="C3188" s="1" t="n">
        <v>45852</v>
      </c>
      <c r="D3188" t="inlineStr">
        <is>
          <t>VÄSTERNORRLANDS LÄN</t>
        </is>
      </c>
      <c r="E3188" t="inlineStr">
        <is>
          <t>SOLLEFTEÅ</t>
        </is>
      </c>
      <c r="F3188" t="inlineStr">
        <is>
          <t>Kommuner</t>
        </is>
      </c>
      <c r="G3188" t="n">
        <v>11.7</v>
      </c>
      <c r="H3188" t="n">
        <v>0</v>
      </c>
      <c r="I3188" t="n">
        <v>0</v>
      </c>
      <c r="J3188" t="n">
        <v>0</v>
      </c>
      <c r="K3188" t="n">
        <v>0</v>
      </c>
      <c r="L3188" t="n">
        <v>0</v>
      </c>
      <c r="M3188" t="n">
        <v>0</v>
      </c>
      <c r="N3188" t="n">
        <v>0</v>
      </c>
      <c r="O3188" t="n">
        <v>0</v>
      </c>
      <c r="P3188" t="n">
        <v>0</v>
      </c>
      <c r="Q3188" t="n">
        <v>0</v>
      </c>
      <c r="R3188" s="2" t="inlineStr"/>
    </row>
    <row r="3189" ht="15" customHeight="1">
      <c r="A3189" t="inlineStr">
        <is>
          <t>A 34313-2024</t>
        </is>
      </c>
      <c r="B3189" s="1" t="n">
        <v>45524</v>
      </c>
      <c r="C3189" s="1" t="n">
        <v>45852</v>
      </c>
      <c r="D3189" t="inlineStr">
        <is>
          <t>VÄSTERNORRLANDS LÄN</t>
        </is>
      </c>
      <c r="E3189" t="inlineStr">
        <is>
          <t>SOLLEFTEÅ</t>
        </is>
      </c>
      <c r="F3189" t="inlineStr">
        <is>
          <t>Övriga statliga verk och myndigheter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34316-2024</t>
        </is>
      </c>
      <c r="B3190" s="1" t="n">
        <v>45524</v>
      </c>
      <c r="C3190" s="1" t="n">
        <v>45852</v>
      </c>
      <c r="D3190" t="inlineStr">
        <is>
          <t>VÄSTERNORRLANDS LÄN</t>
        </is>
      </c>
      <c r="E3190" t="inlineStr">
        <is>
          <t>SOLLEFTEÅ</t>
        </is>
      </c>
      <c r="F3190" t="inlineStr">
        <is>
          <t>Övriga statliga verk och myndigheter</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34398-2024</t>
        </is>
      </c>
      <c r="B3191" s="1" t="n">
        <v>45525</v>
      </c>
      <c r="C3191" s="1" t="n">
        <v>45852</v>
      </c>
      <c r="D3191" t="inlineStr">
        <is>
          <t>VÄSTERNORRLANDS LÄN</t>
        </is>
      </c>
      <c r="E3191" t="inlineStr">
        <is>
          <t>SOLLEFTEÅ</t>
        </is>
      </c>
      <c r="F3191" t="inlineStr">
        <is>
          <t>Holmen skog AB</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34458-2024</t>
        </is>
      </c>
      <c r="B3192" s="1" t="n">
        <v>45525</v>
      </c>
      <c r="C3192" s="1" t="n">
        <v>45852</v>
      </c>
      <c r="D3192" t="inlineStr">
        <is>
          <t>VÄSTERNORRLANDS LÄN</t>
        </is>
      </c>
      <c r="E3192" t="inlineStr">
        <is>
          <t>SOLLEFTEÅ</t>
        </is>
      </c>
      <c r="F3192" t="inlineStr">
        <is>
          <t>Kommuner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34388-2024</t>
        </is>
      </c>
      <c r="B3193" s="1" t="n">
        <v>45525</v>
      </c>
      <c r="C3193" s="1" t="n">
        <v>45852</v>
      </c>
      <c r="D3193" t="inlineStr">
        <is>
          <t>VÄSTERNORRLANDS LÄN</t>
        </is>
      </c>
      <c r="E3193" t="inlineStr">
        <is>
          <t>SOLLEFTEÅ</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34376-2024</t>
        </is>
      </c>
      <c r="B3194" s="1" t="n">
        <v>45525</v>
      </c>
      <c r="C3194" s="1" t="n">
        <v>45852</v>
      </c>
      <c r="D3194" t="inlineStr">
        <is>
          <t>VÄSTERNORRLANDS LÄN</t>
        </is>
      </c>
      <c r="E3194" t="inlineStr">
        <is>
          <t>SOLLEFTEÅ</t>
        </is>
      </c>
      <c r="F3194" t="inlineStr">
        <is>
          <t>Övriga statliga verk och myndigheter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34460-2024</t>
        </is>
      </c>
      <c r="B3195" s="1" t="n">
        <v>45525</v>
      </c>
      <c r="C3195" s="1" t="n">
        <v>45852</v>
      </c>
      <c r="D3195" t="inlineStr">
        <is>
          <t>VÄSTERNORRLANDS LÄN</t>
        </is>
      </c>
      <c r="E3195" t="inlineStr">
        <is>
          <t>SOLLEFTEÅ</t>
        </is>
      </c>
      <c r="F3195" t="inlineStr">
        <is>
          <t>Kommuner</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34640-2024</t>
        </is>
      </c>
      <c r="B3196" s="1" t="n">
        <v>45526</v>
      </c>
      <c r="C3196" s="1" t="n">
        <v>45852</v>
      </c>
      <c r="D3196" t="inlineStr">
        <is>
          <t>VÄSTERNORRLANDS LÄN</t>
        </is>
      </c>
      <c r="E3196" t="inlineStr">
        <is>
          <t>SOLLEFTEÅ</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34700-2024</t>
        </is>
      </c>
      <c r="B3197" s="1" t="n">
        <v>45526</v>
      </c>
      <c r="C3197" s="1" t="n">
        <v>45852</v>
      </c>
      <c r="D3197" t="inlineStr">
        <is>
          <t>VÄSTERNORRLANDS LÄN</t>
        </is>
      </c>
      <c r="E3197" t="inlineStr">
        <is>
          <t>SOLLEFTEÅ</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34560-2024</t>
        </is>
      </c>
      <c r="B3198" s="1" t="n">
        <v>45526</v>
      </c>
      <c r="C3198" s="1" t="n">
        <v>45852</v>
      </c>
      <c r="D3198" t="inlineStr">
        <is>
          <t>VÄSTERNORRLANDS LÄN</t>
        </is>
      </c>
      <c r="E3198" t="inlineStr">
        <is>
          <t>SOLLEFTEÅ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34765-2024</t>
        </is>
      </c>
      <c r="B3199" s="1" t="n">
        <v>45526</v>
      </c>
      <c r="C3199" s="1" t="n">
        <v>45852</v>
      </c>
      <c r="D3199" t="inlineStr">
        <is>
          <t>VÄSTERNORRLANDS LÄN</t>
        </is>
      </c>
      <c r="E3199" t="inlineStr">
        <is>
          <t>SOLLEFTEÅ</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34638-2024</t>
        </is>
      </c>
      <c r="B3200" s="1" t="n">
        <v>45526</v>
      </c>
      <c r="C3200" s="1" t="n">
        <v>45852</v>
      </c>
      <c r="D3200" t="inlineStr">
        <is>
          <t>VÄSTERNORRLANDS LÄN</t>
        </is>
      </c>
      <c r="E3200" t="inlineStr">
        <is>
          <t>SOLLEFTEÅ</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34878-2024</t>
        </is>
      </c>
      <c r="B3201" s="1" t="n">
        <v>45527</v>
      </c>
      <c r="C3201" s="1" t="n">
        <v>45852</v>
      </c>
      <c r="D3201" t="inlineStr">
        <is>
          <t>VÄSTERNORRLANDS LÄN</t>
        </is>
      </c>
      <c r="E3201" t="inlineStr">
        <is>
          <t>SOLLEFTEÅ</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35217-2024</t>
        </is>
      </c>
      <c r="B3202" s="1" t="n">
        <v>45530</v>
      </c>
      <c r="C3202" s="1" t="n">
        <v>45852</v>
      </c>
      <c r="D3202" t="inlineStr">
        <is>
          <t>VÄSTERNORRLANDS LÄN</t>
        </is>
      </c>
      <c r="E3202" t="inlineStr">
        <is>
          <t>SOLLEFTEÅ</t>
        </is>
      </c>
      <c r="F3202" t="inlineStr">
        <is>
          <t>Kommuner</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35391-2024</t>
        </is>
      </c>
      <c r="B3203" s="1" t="n">
        <v>45531</v>
      </c>
      <c r="C3203" s="1" t="n">
        <v>45852</v>
      </c>
      <c r="D3203" t="inlineStr">
        <is>
          <t>VÄSTERNORRLANDS LÄN</t>
        </is>
      </c>
      <c r="E3203" t="inlineStr">
        <is>
          <t>SOLLEFTEÅ</t>
        </is>
      </c>
      <c r="F3203" t="inlineStr">
        <is>
          <t>SCA</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35417-2024</t>
        </is>
      </c>
      <c r="B3204" s="1" t="n">
        <v>45531</v>
      </c>
      <c r="C3204" s="1" t="n">
        <v>45852</v>
      </c>
      <c r="D3204" t="inlineStr">
        <is>
          <t>VÄSTERNORRLANDS LÄN</t>
        </is>
      </c>
      <c r="E3204" t="inlineStr">
        <is>
          <t>SOLLEFTEÅ</t>
        </is>
      </c>
      <c r="F3204" t="inlineStr">
        <is>
          <t>SCA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35469-2024</t>
        </is>
      </c>
      <c r="B3205" s="1" t="n">
        <v>45531</v>
      </c>
      <c r="C3205" s="1" t="n">
        <v>45852</v>
      </c>
      <c r="D3205" t="inlineStr">
        <is>
          <t>VÄSTERNORRLANDS LÄN</t>
        </is>
      </c>
      <c r="E3205" t="inlineStr">
        <is>
          <t>SOLLEFTEÅ</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35502-2024</t>
        </is>
      </c>
      <c r="B3206" s="1" t="n">
        <v>45531</v>
      </c>
      <c r="C3206" s="1" t="n">
        <v>45852</v>
      </c>
      <c r="D3206" t="inlineStr">
        <is>
          <t>VÄSTERNORRLANDS LÄN</t>
        </is>
      </c>
      <c r="E3206" t="inlineStr">
        <is>
          <t>SOLLEFTEÅ</t>
        </is>
      </c>
      <c r="F3206" t="inlineStr">
        <is>
          <t>Övriga Aktiebolag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35420-2024</t>
        </is>
      </c>
      <c r="B3207" s="1" t="n">
        <v>45531</v>
      </c>
      <c r="C3207" s="1" t="n">
        <v>45852</v>
      </c>
      <c r="D3207" t="inlineStr">
        <is>
          <t>VÄSTERNORRLANDS LÄN</t>
        </is>
      </c>
      <c r="E3207" t="inlineStr">
        <is>
          <t>SOLLEFTEÅ</t>
        </is>
      </c>
      <c r="F3207" t="inlineStr">
        <is>
          <t>SCA</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35509-2024</t>
        </is>
      </c>
      <c r="B3208" s="1" t="n">
        <v>45531</v>
      </c>
      <c r="C3208" s="1" t="n">
        <v>45852</v>
      </c>
      <c r="D3208" t="inlineStr">
        <is>
          <t>VÄSTERNORRLANDS LÄN</t>
        </is>
      </c>
      <c r="E3208" t="inlineStr">
        <is>
          <t>SOLLEFTEÅ</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35513-2024</t>
        </is>
      </c>
      <c r="B3209" s="1" t="n">
        <v>45531</v>
      </c>
      <c r="C3209" s="1" t="n">
        <v>45852</v>
      </c>
      <c r="D3209" t="inlineStr">
        <is>
          <t>VÄSTERNORRLANDS LÄN</t>
        </is>
      </c>
      <c r="E3209" t="inlineStr">
        <is>
          <t>SOLLEFTEÅ</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35463-2024</t>
        </is>
      </c>
      <c r="B3210" s="1" t="n">
        <v>45531</v>
      </c>
      <c r="C3210" s="1" t="n">
        <v>45852</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35508-2024</t>
        </is>
      </c>
      <c r="B3211" s="1" t="n">
        <v>45531</v>
      </c>
      <c r="C3211" s="1" t="n">
        <v>45852</v>
      </c>
      <c r="D3211" t="inlineStr">
        <is>
          <t>VÄSTERNORRLANDS LÄN</t>
        </is>
      </c>
      <c r="E3211" t="inlineStr">
        <is>
          <t>SOLLEFTEÅ</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35673-2024</t>
        </is>
      </c>
      <c r="B3212" s="1" t="n">
        <v>45532</v>
      </c>
      <c r="C3212" s="1" t="n">
        <v>45852</v>
      </c>
      <c r="D3212" t="inlineStr">
        <is>
          <t>VÄSTERNORRLANDS LÄN</t>
        </is>
      </c>
      <c r="E3212" t="inlineStr">
        <is>
          <t>SOLLEFTEÅ</t>
        </is>
      </c>
      <c r="F3212" t="inlineStr">
        <is>
          <t>SCA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35794-2024</t>
        </is>
      </c>
      <c r="B3213" s="1" t="n">
        <v>45532</v>
      </c>
      <c r="C3213" s="1" t="n">
        <v>45852</v>
      </c>
      <c r="D3213" t="inlineStr">
        <is>
          <t>VÄSTERNORRLANDS LÄN</t>
        </is>
      </c>
      <c r="E3213" t="inlineStr">
        <is>
          <t>SOLLEFTEÅ</t>
        </is>
      </c>
      <c r="F3213" t="inlineStr">
        <is>
          <t>SCA</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35795-2024</t>
        </is>
      </c>
      <c r="B3214" s="1" t="n">
        <v>45532</v>
      </c>
      <c r="C3214" s="1" t="n">
        <v>45852</v>
      </c>
      <c r="D3214" t="inlineStr">
        <is>
          <t>VÄSTERNORRLANDS LÄN</t>
        </is>
      </c>
      <c r="E3214" t="inlineStr">
        <is>
          <t>SOLLEFTEÅ</t>
        </is>
      </c>
      <c r="F3214" t="inlineStr">
        <is>
          <t>SCA</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35803-2024</t>
        </is>
      </c>
      <c r="B3215" s="1" t="n">
        <v>45532</v>
      </c>
      <c r="C3215" s="1" t="n">
        <v>45852</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35827-2024</t>
        </is>
      </c>
      <c r="B3216" s="1" t="n">
        <v>45532</v>
      </c>
      <c r="C3216" s="1" t="n">
        <v>45852</v>
      </c>
      <c r="D3216" t="inlineStr">
        <is>
          <t>VÄSTERNORRLANDS LÄN</t>
        </is>
      </c>
      <c r="E3216" t="inlineStr">
        <is>
          <t>SOLLEFTEÅ</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35793-2024</t>
        </is>
      </c>
      <c r="B3217" s="1" t="n">
        <v>45532</v>
      </c>
      <c r="C3217" s="1" t="n">
        <v>45852</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35873-2024</t>
        </is>
      </c>
      <c r="B3218" s="1" t="n">
        <v>45533</v>
      </c>
      <c r="C3218" s="1" t="n">
        <v>45852</v>
      </c>
      <c r="D3218" t="inlineStr">
        <is>
          <t>VÄSTERNORRLANDS LÄN</t>
        </is>
      </c>
      <c r="E3218" t="inlineStr">
        <is>
          <t>SOLLEFTEÅ</t>
        </is>
      </c>
      <c r="F3218" t="inlineStr">
        <is>
          <t>SCA</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35905-2024</t>
        </is>
      </c>
      <c r="B3219" s="1" t="n">
        <v>45533</v>
      </c>
      <c r="C3219" s="1" t="n">
        <v>45852</v>
      </c>
      <c r="D3219" t="inlineStr">
        <is>
          <t>VÄSTERNORRLANDS LÄN</t>
        </is>
      </c>
      <c r="E3219" t="inlineStr">
        <is>
          <t>SOLLEFTEÅ</t>
        </is>
      </c>
      <c r="F3219" t="inlineStr">
        <is>
          <t>SCA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35872-2024</t>
        </is>
      </c>
      <c r="B3220" s="1" t="n">
        <v>45533</v>
      </c>
      <c r="C3220" s="1" t="n">
        <v>45852</v>
      </c>
      <c r="D3220" t="inlineStr">
        <is>
          <t>VÄSTERNORRLANDS LÄN</t>
        </is>
      </c>
      <c r="E3220" t="inlineStr">
        <is>
          <t>SOLLEFTEÅ</t>
        </is>
      </c>
      <c r="F3220" t="inlineStr">
        <is>
          <t>SCA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35875-2024</t>
        </is>
      </c>
      <c r="B3221" s="1" t="n">
        <v>45533</v>
      </c>
      <c r="C3221" s="1" t="n">
        <v>45852</v>
      </c>
      <c r="D3221" t="inlineStr">
        <is>
          <t>VÄSTERNORRLANDS LÄN</t>
        </is>
      </c>
      <c r="E3221" t="inlineStr">
        <is>
          <t>SOLLEFTEÅ</t>
        </is>
      </c>
      <c r="F3221" t="inlineStr">
        <is>
          <t>SCA</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36039-2024</t>
        </is>
      </c>
      <c r="B3222" s="1" t="n">
        <v>45533</v>
      </c>
      <c r="C3222" s="1" t="n">
        <v>45852</v>
      </c>
      <c r="D3222" t="inlineStr">
        <is>
          <t>VÄSTERNORRLANDS LÄN</t>
        </is>
      </c>
      <c r="E3222" t="inlineStr">
        <is>
          <t>SOLLEFTEÅ</t>
        </is>
      </c>
      <c r="F3222" t="inlineStr">
        <is>
          <t>Holmen skog AB</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36009-2024</t>
        </is>
      </c>
      <c r="B3223" s="1" t="n">
        <v>45533</v>
      </c>
      <c r="C3223" s="1" t="n">
        <v>45852</v>
      </c>
      <c r="D3223" t="inlineStr">
        <is>
          <t>VÄSTERNORRLANDS LÄN</t>
        </is>
      </c>
      <c r="E3223" t="inlineStr">
        <is>
          <t>SOLLEFTEÅ</t>
        </is>
      </c>
      <c r="F3223" t="inlineStr">
        <is>
          <t>Holmen skog AB</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36004-2024</t>
        </is>
      </c>
      <c r="B3224" s="1" t="n">
        <v>45533</v>
      </c>
      <c r="C3224" s="1" t="n">
        <v>45852</v>
      </c>
      <c r="D3224" t="inlineStr">
        <is>
          <t>VÄSTERNORRLANDS LÄN</t>
        </is>
      </c>
      <c r="E3224" t="inlineStr">
        <is>
          <t>SOLLEFTEÅ</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36137-2024</t>
        </is>
      </c>
      <c r="B3225" s="1" t="n">
        <v>45534</v>
      </c>
      <c r="C3225" s="1" t="n">
        <v>45852</v>
      </c>
      <c r="D3225" t="inlineStr">
        <is>
          <t>VÄSTERNORRLANDS LÄN</t>
        </is>
      </c>
      <c r="E3225" t="inlineStr">
        <is>
          <t>SOLLEFTEÅ</t>
        </is>
      </c>
      <c r="G3225" t="n">
        <v>17.9</v>
      </c>
      <c r="H3225" t="n">
        <v>0</v>
      </c>
      <c r="I3225" t="n">
        <v>0</v>
      </c>
      <c r="J3225" t="n">
        <v>0</v>
      </c>
      <c r="K3225" t="n">
        <v>0</v>
      </c>
      <c r="L3225" t="n">
        <v>0</v>
      </c>
      <c r="M3225" t="n">
        <v>0</v>
      </c>
      <c r="N3225" t="n">
        <v>0</v>
      </c>
      <c r="O3225" t="n">
        <v>0</v>
      </c>
      <c r="P3225" t="n">
        <v>0</v>
      </c>
      <c r="Q3225" t="n">
        <v>0</v>
      </c>
      <c r="R3225" s="2" t="inlineStr"/>
    </row>
    <row r="3226" ht="15" customHeight="1">
      <c r="A3226" t="inlineStr">
        <is>
          <t>A 36141-2024</t>
        </is>
      </c>
      <c r="B3226" s="1" t="n">
        <v>45534</v>
      </c>
      <c r="C3226" s="1" t="n">
        <v>45852</v>
      </c>
      <c r="D3226" t="inlineStr">
        <is>
          <t>VÄSTERNORRLANDS LÄN</t>
        </is>
      </c>
      <c r="E3226" t="inlineStr">
        <is>
          <t>SOLLEFTEÅ</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36139-2024</t>
        </is>
      </c>
      <c r="B3227" s="1" t="n">
        <v>45534</v>
      </c>
      <c r="C3227" s="1" t="n">
        <v>45852</v>
      </c>
      <c r="D3227" t="inlineStr">
        <is>
          <t>VÄSTERNORRLANDS LÄN</t>
        </is>
      </c>
      <c r="E3227" t="inlineStr">
        <is>
          <t>SOLLEFTEÅ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36142-2024</t>
        </is>
      </c>
      <c r="B3228" s="1" t="n">
        <v>45534</v>
      </c>
      <c r="C3228" s="1" t="n">
        <v>45852</v>
      </c>
      <c r="D3228" t="inlineStr">
        <is>
          <t>VÄSTERNORRLANDS LÄN</t>
        </is>
      </c>
      <c r="E3228" t="inlineStr">
        <is>
          <t>SOLLEFTEÅ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36322-2024</t>
        </is>
      </c>
      <c r="B3229" s="1" t="n">
        <v>45534</v>
      </c>
      <c r="C3229" s="1" t="n">
        <v>45852</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36144-2024</t>
        </is>
      </c>
      <c r="B3230" s="1" t="n">
        <v>45534</v>
      </c>
      <c r="C3230" s="1" t="n">
        <v>45852</v>
      </c>
      <c r="D3230" t="inlineStr">
        <is>
          <t>VÄSTERNORRLANDS LÄN</t>
        </is>
      </c>
      <c r="E3230" t="inlineStr">
        <is>
          <t>SOLLEFTEÅ</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36337-2024</t>
        </is>
      </c>
      <c r="B3231" s="1" t="n">
        <v>45534</v>
      </c>
      <c r="C3231" s="1" t="n">
        <v>45852</v>
      </c>
      <c r="D3231" t="inlineStr">
        <is>
          <t>VÄSTERNORRLANDS LÄN</t>
        </is>
      </c>
      <c r="E3231" t="inlineStr">
        <is>
          <t>SOLLEFTEÅ</t>
        </is>
      </c>
      <c r="F3231" t="inlineStr">
        <is>
          <t>SCA</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36341-2024</t>
        </is>
      </c>
      <c r="B3232" s="1" t="n">
        <v>45534</v>
      </c>
      <c r="C3232" s="1" t="n">
        <v>45852</v>
      </c>
      <c r="D3232" t="inlineStr">
        <is>
          <t>VÄSTERNORRLANDS LÄN</t>
        </is>
      </c>
      <c r="E3232" t="inlineStr">
        <is>
          <t>SOLLEFTEÅ</t>
        </is>
      </c>
      <c r="F3232" t="inlineStr">
        <is>
          <t>SCA</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36319-2024</t>
        </is>
      </c>
      <c r="B3233" s="1" t="n">
        <v>45534</v>
      </c>
      <c r="C3233" s="1" t="n">
        <v>45852</v>
      </c>
      <c r="D3233" t="inlineStr">
        <is>
          <t>VÄSTERNORRLANDS LÄN</t>
        </is>
      </c>
      <c r="E3233" t="inlineStr">
        <is>
          <t>SOLLEFTEÅ</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36352-2024</t>
        </is>
      </c>
      <c r="B3234" s="1" t="n">
        <v>45534</v>
      </c>
      <c r="C3234" s="1" t="n">
        <v>45852</v>
      </c>
      <c r="D3234" t="inlineStr">
        <is>
          <t>VÄSTERNORRLANDS LÄN</t>
        </is>
      </c>
      <c r="E3234" t="inlineStr">
        <is>
          <t>SOLLEFTEÅ</t>
        </is>
      </c>
      <c r="F3234" t="inlineStr">
        <is>
          <t>SCA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36463-2024</t>
        </is>
      </c>
      <c r="B3235" s="1" t="n">
        <v>45537</v>
      </c>
      <c r="C3235" s="1" t="n">
        <v>45852</v>
      </c>
      <c r="D3235" t="inlineStr">
        <is>
          <t>VÄSTERNORRLANDS LÄN</t>
        </is>
      </c>
      <c r="E3235" t="inlineStr">
        <is>
          <t>SOLLEFTEÅ</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36471-2024</t>
        </is>
      </c>
      <c r="B3236" s="1" t="n">
        <v>45537</v>
      </c>
      <c r="C3236" s="1" t="n">
        <v>45852</v>
      </c>
      <c r="D3236" t="inlineStr">
        <is>
          <t>VÄSTERNORRLANDS LÄN</t>
        </is>
      </c>
      <c r="E3236" t="inlineStr">
        <is>
          <t>SOLLEFTEÅ</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36685-2024</t>
        </is>
      </c>
      <c r="B3237" s="1" t="n">
        <v>45537</v>
      </c>
      <c r="C3237" s="1" t="n">
        <v>45852</v>
      </c>
      <c r="D3237" t="inlineStr">
        <is>
          <t>VÄSTERNORRLANDS LÄN</t>
        </is>
      </c>
      <c r="E3237" t="inlineStr">
        <is>
          <t>SOLLEFTEÅ</t>
        </is>
      </c>
      <c r="F3237" t="inlineStr">
        <is>
          <t>Holmen skog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37197-2024</t>
        </is>
      </c>
      <c r="B3238" s="1" t="n">
        <v>45539</v>
      </c>
      <c r="C3238" s="1" t="n">
        <v>45852</v>
      </c>
      <c r="D3238" t="inlineStr">
        <is>
          <t>VÄSTERNORRLANDS LÄN</t>
        </is>
      </c>
      <c r="E3238" t="inlineStr">
        <is>
          <t>SOLLEFTEÅ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37201-2024</t>
        </is>
      </c>
      <c r="B3239" s="1" t="n">
        <v>45539</v>
      </c>
      <c r="C3239" s="1" t="n">
        <v>45852</v>
      </c>
      <c r="D3239" t="inlineStr">
        <is>
          <t>VÄSTERNORRLANDS LÄN</t>
        </is>
      </c>
      <c r="E3239" t="inlineStr">
        <is>
          <t>SOLLEFTEÅ</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37046-2024</t>
        </is>
      </c>
      <c r="B3240" s="1" t="n">
        <v>45539</v>
      </c>
      <c r="C3240" s="1" t="n">
        <v>45852</v>
      </c>
      <c r="D3240" t="inlineStr">
        <is>
          <t>VÄSTERNORRLANDS LÄN</t>
        </is>
      </c>
      <c r="E3240" t="inlineStr">
        <is>
          <t>SOLLEFTEÅ</t>
        </is>
      </c>
      <c r="F3240" t="inlineStr">
        <is>
          <t>SCA</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37269-2024</t>
        </is>
      </c>
      <c r="B3241" s="1" t="n">
        <v>45540</v>
      </c>
      <c r="C3241" s="1" t="n">
        <v>45852</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37354-2024</t>
        </is>
      </c>
      <c r="B3242" s="1" t="n">
        <v>45540</v>
      </c>
      <c r="C3242" s="1" t="n">
        <v>45852</v>
      </c>
      <c r="D3242" t="inlineStr">
        <is>
          <t>VÄSTERNORRLANDS LÄN</t>
        </is>
      </c>
      <c r="E3242" t="inlineStr">
        <is>
          <t>SOLLEFTEÅ</t>
        </is>
      </c>
      <c r="F3242" t="inlineStr">
        <is>
          <t>Holmen skog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38054-2024</t>
        </is>
      </c>
      <c r="B3243" s="1" t="n">
        <v>45544</v>
      </c>
      <c r="C3243" s="1" t="n">
        <v>45852</v>
      </c>
      <c r="D3243" t="inlineStr">
        <is>
          <t>VÄSTERNORRLANDS LÄN</t>
        </is>
      </c>
      <c r="E3243" t="inlineStr">
        <is>
          <t>SOLLEFTEÅ</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38053-2024</t>
        </is>
      </c>
      <c r="B3244" s="1" t="n">
        <v>45544</v>
      </c>
      <c r="C3244" s="1" t="n">
        <v>45852</v>
      </c>
      <c r="D3244" t="inlineStr">
        <is>
          <t>VÄSTERNORRLANDS LÄN</t>
        </is>
      </c>
      <c r="E3244" t="inlineStr">
        <is>
          <t>SOLLEFTEÅ</t>
        </is>
      </c>
      <c r="F3244" t="inlineStr">
        <is>
          <t>SCA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38095-2024</t>
        </is>
      </c>
      <c r="B3245" s="1" t="n">
        <v>45545</v>
      </c>
      <c r="C3245" s="1" t="n">
        <v>45852</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38231-2024</t>
        </is>
      </c>
      <c r="B3246" s="1" t="n">
        <v>45545</v>
      </c>
      <c r="C3246" s="1" t="n">
        <v>45852</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38245-2024</t>
        </is>
      </c>
      <c r="B3247" s="1" t="n">
        <v>45545</v>
      </c>
      <c r="C3247" s="1" t="n">
        <v>45852</v>
      </c>
      <c r="D3247" t="inlineStr">
        <is>
          <t>VÄSTERNORRLANDS LÄN</t>
        </is>
      </c>
      <c r="E3247" t="inlineStr">
        <is>
          <t>SOLLEFTEÅ</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38273-2024</t>
        </is>
      </c>
      <c r="B3248" s="1" t="n">
        <v>45545</v>
      </c>
      <c r="C3248" s="1" t="n">
        <v>45852</v>
      </c>
      <c r="D3248" t="inlineStr">
        <is>
          <t>VÄSTERNORRLANDS LÄN</t>
        </is>
      </c>
      <c r="E3248" t="inlineStr">
        <is>
          <t>SOLLEFTEÅ</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38234-2024</t>
        </is>
      </c>
      <c r="B3249" s="1" t="n">
        <v>45545</v>
      </c>
      <c r="C3249" s="1" t="n">
        <v>45852</v>
      </c>
      <c r="D3249" t="inlineStr">
        <is>
          <t>VÄSTERNORRLANDS LÄN</t>
        </is>
      </c>
      <c r="E3249" t="inlineStr">
        <is>
          <t>SOLLEFTEÅ</t>
        </is>
      </c>
      <c r="F3249" t="inlineStr">
        <is>
          <t>Holmen skog AB</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38250-2024</t>
        </is>
      </c>
      <c r="B3250" s="1" t="n">
        <v>45545</v>
      </c>
      <c r="C3250" s="1" t="n">
        <v>45852</v>
      </c>
      <c r="D3250" t="inlineStr">
        <is>
          <t>VÄSTERNORRLANDS LÄN</t>
        </is>
      </c>
      <c r="E3250" t="inlineStr">
        <is>
          <t>SOLLEFTEÅ</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38275-2024</t>
        </is>
      </c>
      <c r="B3251" s="1" t="n">
        <v>45545</v>
      </c>
      <c r="C3251" s="1" t="n">
        <v>45852</v>
      </c>
      <c r="D3251" t="inlineStr">
        <is>
          <t>VÄSTERNORRLANDS LÄN</t>
        </is>
      </c>
      <c r="E3251" t="inlineStr">
        <is>
          <t>SOLLEFTEÅ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38592-2024</t>
        </is>
      </c>
      <c r="B3252" s="1" t="n">
        <v>45546</v>
      </c>
      <c r="C3252" s="1" t="n">
        <v>45852</v>
      </c>
      <c r="D3252" t="inlineStr">
        <is>
          <t>VÄSTERNORRLANDS LÄN</t>
        </is>
      </c>
      <c r="E3252" t="inlineStr">
        <is>
          <t>SOLLEFTEÅ</t>
        </is>
      </c>
      <c r="F3252" t="inlineStr">
        <is>
          <t>SCA</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41170-2024</t>
        </is>
      </c>
      <c r="B3253" s="1" t="n">
        <v>45546</v>
      </c>
      <c r="C3253" s="1" t="n">
        <v>45852</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38749-2024</t>
        </is>
      </c>
      <c r="B3254" s="1" t="n">
        <v>45547</v>
      </c>
      <c r="C3254" s="1" t="n">
        <v>45852</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38768-2024</t>
        </is>
      </c>
      <c r="B3255" s="1" t="n">
        <v>45547</v>
      </c>
      <c r="C3255" s="1" t="n">
        <v>45852</v>
      </c>
      <c r="D3255" t="inlineStr">
        <is>
          <t>VÄSTERNORRLANDS LÄN</t>
        </is>
      </c>
      <c r="E3255" t="inlineStr">
        <is>
          <t>SOLLEFTEÅ</t>
        </is>
      </c>
      <c r="F3255" t="inlineStr">
        <is>
          <t>SCA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38769-2024</t>
        </is>
      </c>
      <c r="B3256" s="1" t="n">
        <v>45547</v>
      </c>
      <c r="C3256" s="1" t="n">
        <v>45852</v>
      </c>
      <c r="D3256" t="inlineStr">
        <is>
          <t>VÄSTERNORRLANDS LÄN</t>
        </is>
      </c>
      <c r="E3256" t="inlineStr">
        <is>
          <t>SOLLEFTEÅ</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38766-2024</t>
        </is>
      </c>
      <c r="B3257" s="1" t="n">
        <v>45547</v>
      </c>
      <c r="C3257" s="1" t="n">
        <v>45852</v>
      </c>
      <c r="D3257" t="inlineStr">
        <is>
          <t>VÄSTERNORRLANDS LÄN</t>
        </is>
      </c>
      <c r="E3257" t="inlineStr">
        <is>
          <t>SOLLEFTEÅ</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38767-2024</t>
        </is>
      </c>
      <c r="B3258" s="1" t="n">
        <v>45547</v>
      </c>
      <c r="C3258" s="1" t="n">
        <v>45852</v>
      </c>
      <c r="D3258" t="inlineStr">
        <is>
          <t>VÄSTERNORRLANDS LÄN</t>
        </is>
      </c>
      <c r="E3258" t="inlineStr">
        <is>
          <t>SOLLEFTEÅ</t>
        </is>
      </c>
      <c r="F3258" t="inlineStr">
        <is>
          <t>SCA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39142-2024</t>
        </is>
      </c>
      <c r="B3259" s="1" t="n">
        <v>45548</v>
      </c>
      <c r="C3259" s="1" t="n">
        <v>45852</v>
      </c>
      <c r="D3259" t="inlineStr">
        <is>
          <t>VÄSTERNORRLANDS LÄN</t>
        </is>
      </c>
      <c r="E3259" t="inlineStr">
        <is>
          <t>SOLLEFTEÅ</t>
        </is>
      </c>
      <c r="F3259" t="inlineStr">
        <is>
          <t>SCA</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39177-2024</t>
        </is>
      </c>
      <c r="B3260" s="1" t="n">
        <v>45548</v>
      </c>
      <c r="C3260" s="1" t="n">
        <v>45852</v>
      </c>
      <c r="D3260" t="inlineStr">
        <is>
          <t>VÄSTERNORRLANDS LÄN</t>
        </is>
      </c>
      <c r="E3260" t="inlineStr">
        <is>
          <t>SOLLEFTEÅ</t>
        </is>
      </c>
      <c r="F3260" t="inlineStr">
        <is>
          <t>SCA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39271-2024</t>
        </is>
      </c>
      <c r="B3261" s="1" t="n">
        <v>45551</v>
      </c>
      <c r="C3261" s="1" t="n">
        <v>45852</v>
      </c>
      <c r="D3261" t="inlineStr">
        <is>
          <t>VÄSTERNORRLANDS LÄN</t>
        </is>
      </c>
      <c r="E3261" t="inlineStr">
        <is>
          <t>SOLLEFTEÅ</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39429-2024</t>
        </is>
      </c>
      <c r="B3262" s="1" t="n">
        <v>45551</v>
      </c>
      <c r="C3262" s="1" t="n">
        <v>45852</v>
      </c>
      <c r="D3262" t="inlineStr">
        <is>
          <t>VÄSTERNORRLANDS LÄN</t>
        </is>
      </c>
      <c r="E3262" t="inlineStr">
        <is>
          <t>SOLLEFTEÅ</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39449-2024</t>
        </is>
      </c>
      <c r="B3263" s="1" t="n">
        <v>45551</v>
      </c>
      <c r="C3263" s="1" t="n">
        <v>45852</v>
      </c>
      <c r="D3263" t="inlineStr">
        <is>
          <t>VÄSTERNORRLANDS LÄN</t>
        </is>
      </c>
      <c r="E3263" t="inlineStr">
        <is>
          <t>SOLLEFTEÅ</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39469-2024</t>
        </is>
      </c>
      <c r="B3264" s="1" t="n">
        <v>45551</v>
      </c>
      <c r="C3264" s="1" t="n">
        <v>45852</v>
      </c>
      <c r="D3264" t="inlineStr">
        <is>
          <t>VÄSTERNORRLANDS LÄN</t>
        </is>
      </c>
      <c r="E3264" t="inlineStr">
        <is>
          <t>SOLLEFTEÅ</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39446-2024</t>
        </is>
      </c>
      <c r="B3265" s="1" t="n">
        <v>45551</v>
      </c>
      <c r="C3265" s="1" t="n">
        <v>45852</v>
      </c>
      <c r="D3265" t="inlineStr">
        <is>
          <t>VÄSTERNORRLANDS LÄN</t>
        </is>
      </c>
      <c r="E3265" t="inlineStr">
        <is>
          <t>SOLLEFTEÅ</t>
        </is>
      </c>
      <c r="F3265" t="inlineStr">
        <is>
          <t>SCA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39500-2024</t>
        </is>
      </c>
      <c r="B3266" s="1" t="n">
        <v>45551</v>
      </c>
      <c r="C3266" s="1" t="n">
        <v>45852</v>
      </c>
      <c r="D3266" t="inlineStr">
        <is>
          <t>VÄSTERNORRLANDS LÄN</t>
        </is>
      </c>
      <c r="E3266" t="inlineStr">
        <is>
          <t>SOLLEFTEÅ</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39755-2024</t>
        </is>
      </c>
      <c r="B3267" s="1" t="n">
        <v>45552</v>
      </c>
      <c r="C3267" s="1" t="n">
        <v>45852</v>
      </c>
      <c r="D3267" t="inlineStr">
        <is>
          <t>VÄSTERNORRLANDS LÄN</t>
        </is>
      </c>
      <c r="E3267" t="inlineStr">
        <is>
          <t>SOLLEFTEÅ</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39744-2024</t>
        </is>
      </c>
      <c r="B3268" s="1" t="n">
        <v>45552</v>
      </c>
      <c r="C3268" s="1" t="n">
        <v>45852</v>
      </c>
      <c r="D3268" t="inlineStr">
        <is>
          <t>VÄSTERNORRLANDS LÄN</t>
        </is>
      </c>
      <c r="E3268" t="inlineStr">
        <is>
          <t>SOLLEFTEÅ</t>
        </is>
      </c>
      <c r="F3268" t="inlineStr">
        <is>
          <t>SCA</t>
        </is>
      </c>
      <c r="G3268" t="n">
        <v>13.6</v>
      </c>
      <c r="H3268" t="n">
        <v>0</v>
      </c>
      <c r="I3268" t="n">
        <v>0</v>
      </c>
      <c r="J3268" t="n">
        <v>0</v>
      </c>
      <c r="K3268" t="n">
        <v>0</v>
      </c>
      <c r="L3268" t="n">
        <v>0</v>
      </c>
      <c r="M3268" t="n">
        <v>0</v>
      </c>
      <c r="N3268" t="n">
        <v>0</v>
      </c>
      <c r="O3268" t="n">
        <v>0</v>
      </c>
      <c r="P3268" t="n">
        <v>0</v>
      </c>
      <c r="Q3268" t="n">
        <v>0</v>
      </c>
      <c r="R3268" s="2" t="inlineStr"/>
    </row>
    <row r="3269" ht="15" customHeight="1">
      <c r="A3269" t="inlineStr">
        <is>
          <t>A 39801-2024</t>
        </is>
      </c>
      <c r="B3269" s="1" t="n">
        <v>45553</v>
      </c>
      <c r="C3269" s="1" t="n">
        <v>45852</v>
      </c>
      <c r="D3269" t="inlineStr">
        <is>
          <t>VÄSTERNORRLANDS LÄN</t>
        </is>
      </c>
      <c r="E3269" t="inlineStr">
        <is>
          <t>SOLLEFTEÅ</t>
        </is>
      </c>
      <c r="F3269" t="inlineStr">
        <is>
          <t>SCA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39799-2024</t>
        </is>
      </c>
      <c r="B3270" s="1" t="n">
        <v>45553</v>
      </c>
      <c r="C3270" s="1" t="n">
        <v>45852</v>
      </c>
      <c r="D3270" t="inlineStr">
        <is>
          <t>VÄSTERNORRLANDS LÄN</t>
        </is>
      </c>
      <c r="E3270" t="inlineStr">
        <is>
          <t>SOLLEFTEÅ</t>
        </is>
      </c>
      <c r="F3270" t="inlineStr">
        <is>
          <t>SCA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39802-2024</t>
        </is>
      </c>
      <c r="B3271" s="1" t="n">
        <v>45553</v>
      </c>
      <c r="C3271" s="1" t="n">
        <v>45852</v>
      </c>
      <c r="D3271" t="inlineStr">
        <is>
          <t>VÄSTERNORRLANDS LÄN</t>
        </is>
      </c>
      <c r="E3271" t="inlineStr">
        <is>
          <t>SOLLEFTEÅ</t>
        </is>
      </c>
      <c r="F3271" t="inlineStr">
        <is>
          <t>SCA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40028-2024</t>
        </is>
      </c>
      <c r="B3272" s="1" t="n">
        <v>45553</v>
      </c>
      <c r="C3272" s="1" t="n">
        <v>45852</v>
      </c>
      <c r="D3272" t="inlineStr">
        <is>
          <t>VÄSTERNORRLANDS LÄN</t>
        </is>
      </c>
      <c r="E3272" t="inlineStr">
        <is>
          <t>SOLLEFTEÅ</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40086-2024</t>
        </is>
      </c>
      <c r="B3273" s="1" t="n">
        <v>45554</v>
      </c>
      <c r="C3273" s="1" t="n">
        <v>45852</v>
      </c>
      <c r="D3273" t="inlineStr">
        <is>
          <t>VÄSTERNORRLANDS LÄN</t>
        </is>
      </c>
      <c r="E3273" t="inlineStr">
        <is>
          <t>SOLLEFTEÅ</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40211-2024</t>
        </is>
      </c>
      <c r="B3274" s="1" t="n">
        <v>45554</v>
      </c>
      <c r="C3274" s="1" t="n">
        <v>45852</v>
      </c>
      <c r="D3274" t="inlineStr">
        <is>
          <t>VÄSTERNORRLANDS LÄN</t>
        </is>
      </c>
      <c r="E3274" t="inlineStr">
        <is>
          <t>SOLLEFTEÅ</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40241-2024</t>
        </is>
      </c>
      <c r="B3275" s="1" t="n">
        <v>45554</v>
      </c>
      <c r="C3275" s="1" t="n">
        <v>45852</v>
      </c>
      <c r="D3275" t="inlineStr">
        <is>
          <t>VÄSTERNORRLANDS LÄN</t>
        </is>
      </c>
      <c r="E3275" t="inlineStr">
        <is>
          <t>SOLLEFTEÅ</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40258-2024</t>
        </is>
      </c>
      <c r="B3276" s="1" t="n">
        <v>45554</v>
      </c>
      <c r="C3276" s="1" t="n">
        <v>45852</v>
      </c>
      <c r="D3276" t="inlineStr">
        <is>
          <t>VÄSTERNORRLANDS LÄN</t>
        </is>
      </c>
      <c r="E3276" t="inlineStr">
        <is>
          <t>SOLLEFTEÅ</t>
        </is>
      </c>
      <c r="F3276" t="inlineStr">
        <is>
          <t>SCA</t>
        </is>
      </c>
      <c r="G3276" t="n">
        <v>15.1</v>
      </c>
      <c r="H3276" t="n">
        <v>0</v>
      </c>
      <c r="I3276" t="n">
        <v>0</v>
      </c>
      <c r="J3276" t="n">
        <v>0</v>
      </c>
      <c r="K3276" t="n">
        <v>0</v>
      </c>
      <c r="L3276" t="n">
        <v>0</v>
      </c>
      <c r="M3276" t="n">
        <v>0</v>
      </c>
      <c r="N3276" t="n">
        <v>0</v>
      </c>
      <c r="O3276" t="n">
        <v>0</v>
      </c>
      <c r="P3276" t="n">
        <v>0</v>
      </c>
      <c r="Q3276" t="n">
        <v>0</v>
      </c>
      <c r="R3276" s="2" t="inlineStr"/>
    </row>
    <row r="3277" ht="15" customHeight="1">
      <c r="A3277" t="inlineStr">
        <is>
          <t>A 40356-2024</t>
        </is>
      </c>
      <c r="B3277" s="1" t="n">
        <v>45555</v>
      </c>
      <c r="C3277" s="1" t="n">
        <v>45852</v>
      </c>
      <c r="D3277" t="inlineStr">
        <is>
          <t>VÄSTERNORRLANDS LÄN</t>
        </is>
      </c>
      <c r="E3277" t="inlineStr">
        <is>
          <t>SOLLEFTEÅ</t>
        </is>
      </c>
      <c r="F3277" t="inlineStr">
        <is>
          <t>SCA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40355-2024</t>
        </is>
      </c>
      <c r="B3278" s="1" t="n">
        <v>45555</v>
      </c>
      <c r="C3278" s="1" t="n">
        <v>45852</v>
      </c>
      <c r="D3278" t="inlineStr">
        <is>
          <t>VÄSTERNORRLANDS LÄN</t>
        </is>
      </c>
      <c r="E3278" t="inlineStr">
        <is>
          <t>SOLLEFTEÅ</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40354-2024</t>
        </is>
      </c>
      <c r="B3279" s="1" t="n">
        <v>45555</v>
      </c>
      <c r="C3279" s="1" t="n">
        <v>45852</v>
      </c>
      <c r="D3279" t="inlineStr">
        <is>
          <t>VÄSTERNORRLANDS LÄN</t>
        </is>
      </c>
      <c r="E3279" t="inlineStr">
        <is>
          <t>SOLLEFTEÅ</t>
        </is>
      </c>
      <c r="F3279" t="inlineStr">
        <is>
          <t>SCA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40413-2024</t>
        </is>
      </c>
      <c r="B3280" s="1" t="n">
        <v>45555</v>
      </c>
      <c r="C3280" s="1" t="n">
        <v>45852</v>
      </c>
      <c r="D3280" t="inlineStr">
        <is>
          <t>VÄSTERNORRLANDS LÄN</t>
        </is>
      </c>
      <c r="E3280" t="inlineStr">
        <is>
          <t>SOLLEFTEÅ</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40383-2024</t>
        </is>
      </c>
      <c r="B3281" s="1" t="n">
        <v>45555</v>
      </c>
      <c r="C3281" s="1" t="n">
        <v>45852</v>
      </c>
      <c r="D3281" t="inlineStr">
        <is>
          <t>VÄSTERNORRLANDS LÄN</t>
        </is>
      </c>
      <c r="E3281" t="inlineStr">
        <is>
          <t>SOLLEFTEÅ</t>
        </is>
      </c>
      <c r="F3281" t="inlineStr">
        <is>
          <t>SCA</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40403-2024</t>
        </is>
      </c>
      <c r="B3282" s="1" t="n">
        <v>45555</v>
      </c>
      <c r="C3282" s="1" t="n">
        <v>45852</v>
      </c>
      <c r="D3282" t="inlineStr">
        <is>
          <t>VÄSTERNORRLANDS LÄN</t>
        </is>
      </c>
      <c r="E3282" t="inlineStr">
        <is>
          <t>SOLLEFTEÅ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40429-2024</t>
        </is>
      </c>
      <c r="B3283" s="1" t="n">
        <v>45555</v>
      </c>
      <c r="C3283" s="1" t="n">
        <v>45852</v>
      </c>
      <c r="D3283" t="inlineStr">
        <is>
          <t>VÄSTERNORRLANDS LÄN</t>
        </is>
      </c>
      <c r="E3283" t="inlineStr">
        <is>
          <t>SOLLEFTEÅ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40569-2024</t>
        </is>
      </c>
      <c r="B3284" s="1" t="n">
        <v>45555</v>
      </c>
      <c r="C3284" s="1" t="n">
        <v>45852</v>
      </c>
      <c r="D3284" t="inlineStr">
        <is>
          <t>VÄSTERNORRLANDS LÄN</t>
        </is>
      </c>
      <c r="E3284" t="inlineStr">
        <is>
          <t>SOLLEFTEÅ</t>
        </is>
      </c>
      <c r="F3284" t="inlineStr">
        <is>
          <t>SCA</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40570-2024</t>
        </is>
      </c>
      <c r="B3285" s="1" t="n">
        <v>45555</v>
      </c>
      <c r="C3285" s="1" t="n">
        <v>45852</v>
      </c>
      <c r="D3285" t="inlineStr">
        <is>
          <t>VÄSTERNORRLANDS LÄN</t>
        </is>
      </c>
      <c r="E3285" t="inlineStr">
        <is>
          <t>SOLLEFTEÅ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40353-2024</t>
        </is>
      </c>
      <c r="B3286" s="1" t="n">
        <v>45555</v>
      </c>
      <c r="C3286" s="1" t="n">
        <v>45852</v>
      </c>
      <c r="D3286" t="inlineStr">
        <is>
          <t>VÄSTERNORRLANDS LÄN</t>
        </is>
      </c>
      <c r="E3286" t="inlineStr">
        <is>
          <t>SOLLEFTEÅ</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40571-2024</t>
        </is>
      </c>
      <c r="B3287" s="1" t="n">
        <v>45555</v>
      </c>
      <c r="C3287" s="1" t="n">
        <v>45852</v>
      </c>
      <c r="D3287" t="inlineStr">
        <is>
          <t>VÄSTERNORRLANDS LÄN</t>
        </is>
      </c>
      <c r="E3287" t="inlineStr">
        <is>
          <t>SOLLEFTEÅ</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40575-2024</t>
        </is>
      </c>
      <c r="B3288" s="1" t="n">
        <v>45555</v>
      </c>
      <c r="C3288" s="1" t="n">
        <v>45852</v>
      </c>
      <c r="D3288" t="inlineStr">
        <is>
          <t>VÄSTERNORRLANDS LÄN</t>
        </is>
      </c>
      <c r="E3288" t="inlineStr">
        <is>
          <t>SOLLEFTEÅ</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40817-2024</t>
        </is>
      </c>
      <c r="B3289" s="1" t="n">
        <v>45558</v>
      </c>
      <c r="C3289" s="1" t="n">
        <v>45852</v>
      </c>
      <c r="D3289" t="inlineStr">
        <is>
          <t>VÄSTERNORRLANDS LÄN</t>
        </is>
      </c>
      <c r="E3289" t="inlineStr">
        <is>
          <t>SOLLEFTEÅ</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40655-2024</t>
        </is>
      </c>
      <c r="B3290" s="1" t="n">
        <v>45558</v>
      </c>
      <c r="C3290" s="1" t="n">
        <v>45852</v>
      </c>
      <c r="D3290" t="inlineStr">
        <is>
          <t>VÄSTERNORRLANDS LÄN</t>
        </is>
      </c>
      <c r="E3290" t="inlineStr">
        <is>
          <t>SOLLEFTEÅ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40679-2024</t>
        </is>
      </c>
      <c r="B3291" s="1" t="n">
        <v>45558</v>
      </c>
      <c r="C3291" s="1" t="n">
        <v>45852</v>
      </c>
      <c r="D3291" t="inlineStr">
        <is>
          <t>VÄSTERNORRLANDS LÄN</t>
        </is>
      </c>
      <c r="E3291" t="inlineStr">
        <is>
          <t>SOLLEFTEÅ</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40954-2024</t>
        </is>
      </c>
      <c r="B3292" s="1" t="n">
        <v>45558</v>
      </c>
      <c r="C3292" s="1" t="n">
        <v>45852</v>
      </c>
      <c r="D3292" t="inlineStr">
        <is>
          <t>VÄSTERNORRLANDS LÄN</t>
        </is>
      </c>
      <c r="E3292" t="inlineStr">
        <is>
          <t>SOLLEFTEÅ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40921-2024</t>
        </is>
      </c>
      <c r="B3293" s="1" t="n">
        <v>45558</v>
      </c>
      <c r="C3293" s="1" t="n">
        <v>45852</v>
      </c>
      <c r="D3293" t="inlineStr">
        <is>
          <t>VÄSTERNORRLANDS LÄN</t>
        </is>
      </c>
      <c r="E3293" t="inlineStr">
        <is>
          <t>SOLLEFTEÅ</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40819-2024</t>
        </is>
      </c>
      <c r="B3294" s="1" t="n">
        <v>45558</v>
      </c>
      <c r="C3294" s="1" t="n">
        <v>45852</v>
      </c>
      <c r="D3294" t="inlineStr">
        <is>
          <t>VÄSTERNORRLANDS LÄN</t>
        </is>
      </c>
      <c r="E3294" t="inlineStr">
        <is>
          <t>SOLLEFTEÅ</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40859-2024</t>
        </is>
      </c>
      <c r="B3295" s="1" t="n">
        <v>45558</v>
      </c>
      <c r="C3295" s="1" t="n">
        <v>45852</v>
      </c>
      <c r="D3295" t="inlineStr">
        <is>
          <t>VÄSTERNORRLANDS LÄN</t>
        </is>
      </c>
      <c r="E3295" t="inlineStr">
        <is>
          <t>SOLLEFTEÅ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41041-2024</t>
        </is>
      </c>
      <c r="B3296" s="1" t="n">
        <v>45558</v>
      </c>
      <c r="C3296" s="1" t="n">
        <v>45852</v>
      </c>
      <c r="D3296" t="inlineStr">
        <is>
          <t>VÄSTERNORRLANDS LÄN</t>
        </is>
      </c>
      <c r="E3296" t="inlineStr">
        <is>
          <t>SOLLEFTEÅ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41028-2024</t>
        </is>
      </c>
      <c r="B3297" s="1" t="n">
        <v>45559</v>
      </c>
      <c r="C3297" s="1" t="n">
        <v>45852</v>
      </c>
      <c r="D3297" t="inlineStr">
        <is>
          <t>VÄSTERNORRLANDS LÄN</t>
        </is>
      </c>
      <c r="E3297" t="inlineStr">
        <is>
          <t>SOLLEFTEÅ</t>
        </is>
      </c>
      <c r="F3297" t="inlineStr">
        <is>
          <t>SCA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41026-2024</t>
        </is>
      </c>
      <c r="B3298" s="1" t="n">
        <v>45559</v>
      </c>
      <c r="C3298" s="1" t="n">
        <v>45852</v>
      </c>
      <c r="D3298" t="inlineStr">
        <is>
          <t>VÄSTERNORRLANDS LÄN</t>
        </is>
      </c>
      <c r="E3298" t="inlineStr">
        <is>
          <t>SOLLEFTEÅ</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41042-2024</t>
        </is>
      </c>
      <c r="B3299" s="1" t="n">
        <v>45559</v>
      </c>
      <c r="C3299" s="1" t="n">
        <v>45852</v>
      </c>
      <c r="D3299" t="inlineStr">
        <is>
          <t>VÄSTERNORRLANDS LÄN</t>
        </is>
      </c>
      <c r="E3299" t="inlineStr">
        <is>
          <t>SOLLEFTEÅ</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41262-2024</t>
        </is>
      </c>
      <c r="B3300" s="1" t="n">
        <v>45559</v>
      </c>
      <c r="C3300" s="1" t="n">
        <v>45852</v>
      </c>
      <c r="D3300" t="inlineStr">
        <is>
          <t>VÄSTERNORRLANDS LÄN</t>
        </is>
      </c>
      <c r="E3300" t="inlineStr">
        <is>
          <t>SOLLEFTEÅ</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41532-2024</t>
        </is>
      </c>
      <c r="B3301" s="1" t="n">
        <v>45560</v>
      </c>
      <c r="C3301" s="1" t="n">
        <v>45852</v>
      </c>
      <c r="D3301" t="inlineStr">
        <is>
          <t>VÄSTERNORRLANDS LÄN</t>
        </is>
      </c>
      <c r="E3301" t="inlineStr">
        <is>
          <t>SOLLEFTEÅ</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41434-2024</t>
        </is>
      </c>
      <c r="B3302" s="1" t="n">
        <v>45560</v>
      </c>
      <c r="C3302" s="1" t="n">
        <v>45852</v>
      </c>
      <c r="D3302" t="inlineStr">
        <is>
          <t>VÄSTERNORRLANDS LÄN</t>
        </is>
      </c>
      <c r="E3302" t="inlineStr">
        <is>
          <t>SOLLEFTEÅ</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41420-2024</t>
        </is>
      </c>
      <c r="B3303" s="1" t="n">
        <v>45560</v>
      </c>
      <c r="C3303" s="1" t="n">
        <v>45852</v>
      </c>
      <c r="D3303" t="inlineStr">
        <is>
          <t>VÄSTERNORRLANDS LÄN</t>
        </is>
      </c>
      <c r="E3303" t="inlineStr">
        <is>
          <t>SOLLEFTEÅ</t>
        </is>
      </c>
      <c r="F3303" t="inlineStr">
        <is>
          <t>SCA</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41413-2024</t>
        </is>
      </c>
      <c r="B3304" s="1" t="n">
        <v>45560</v>
      </c>
      <c r="C3304" s="1" t="n">
        <v>45852</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41595-2024</t>
        </is>
      </c>
      <c r="B3305" s="1" t="n">
        <v>45560</v>
      </c>
      <c r="C3305" s="1" t="n">
        <v>45852</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41787-2024</t>
        </is>
      </c>
      <c r="B3306" s="1" t="n">
        <v>45561</v>
      </c>
      <c r="C3306" s="1" t="n">
        <v>45852</v>
      </c>
      <c r="D3306" t="inlineStr">
        <is>
          <t>VÄSTERNORRLANDS LÄN</t>
        </is>
      </c>
      <c r="E3306" t="inlineStr">
        <is>
          <t>SOLLEFTEÅ</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41925-2024</t>
        </is>
      </c>
      <c r="B3307" s="1" t="n">
        <v>45561</v>
      </c>
      <c r="C3307" s="1" t="n">
        <v>45852</v>
      </c>
      <c r="D3307" t="inlineStr">
        <is>
          <t>VÄSTERNORRLANDS LÄN</t>
        </is>
      </c>
      <c r="E3307" t="inlineStr">
        <is>
          <t>SOLLEFTEÅ</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41779-2024</t>
        </is>
      </c>
      <c r="B3308" s="1" t="n">
        <v>45561</v>
      </c>
      <c r="C3308" s="1" t="n">
        <v>45852</v>
      </c>
      <c r="D3308" t="inlineStr">
        <is>
          <t>VÄSTERNORRLANDS LÄN</t>
        </is>
      </c>
      <c r="E3308" t="inlineStr">
        <is>
          <t>SOLLEFTEÅ</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41975-2024</t>
        </is>
      </c>
      <c r="B3309" s="1" t="n">
        <v>45561</v>
      </c>
      <c r="C3309" s="1" t="n">
        <v>45852</v>
      </c>
      <c r="D3309" t="inlineStr">
        <is>
          <t>VÄSTERNORRLANDS LÄN</t>
        </is>
      </c>
      <c r="E3309" t="inlineStr">
        <is>
          <t>SOLLEFTEÅ</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41834-2024</t>
        </is>
      </c>
      <c r="B3310" s="1" t="n">
        <v>45561</v>
      </c>
      <c r="C3310" s="1" t="n">
        <v>45852</v>
      </c>
      <c r="D3310" t="inlineStr">
        <is>
          <t>VÄSTERNORRLANDS LÄN</t>
        </is>
      </c>
      <c r="E3310" t="inlineStr">
        <is>
          <t>SOLLEFTEÅ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42093-2024</t>
        </is>
      </c>
      <c r="B3311" s="1" t="n">
        <v>45562</v>
      </c>
      <c r="C3311" s="1" t="n">
        <v>45852</v>
      </c>
      <c r="D3311" t="inlineStr">
        <is>
          <t>VÄSTERNORRLANDS LÄN</t>
        </is>
      </c>
      <c r="E3311" t="inlineStr">
        <is>
          <t>SOLLEFTEÅ</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42154-2024</t>
        </is>
      </c>
      <c r="B3312" s="1" t="n">
        <v>45562</v>
      </c>
      <c r="C3312" s="1" t="n">
        <v>45852</v>
      </c>
      <c r="D3312" t="inlineStr">
        <is>
          <t>VÄSTERNORRLANDS LÄN</t>
        </is>
      </c>
      <c r="E3312" t="inlineStr">
        <is>
          <t>SOLLEFTEÅ</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42115-2024</t>
        </is>
      </c>
      <c r="B3313" s="1" t="n">
        <v>45562</v>
      </c>
      <c r="C3313" s="1" t="n">
        <v>45852</v>
      </c>
      <c r="D3313" t="inlineStr">
        <is>
          <t>VÄSTERNORRLANDS LÄN</t>
        </is>
      </c>
      <c r="E3313" t="inlineStr">
        <is>
          <t>SOLLEFTEÅ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42631-2024</t>
        </is>
      </c>
      <c r="B3314" s="1" t="n">
        <v>45565</v>
      </c>
      <c r="C3314" s="1" t="n">
        <v>45852</v>
      </c>
      <c r="D3314" t="inlineStr">
        <is>
          <t>VÄSTERNORRLANDS LÄN</t>
        </is>
      </c>
      <c r="E3314" t="inlineStr">
        <is>
          <t>SOLLEFTEÅ</t>
        </is>
      </c>
      <c r="F3314" t="inlineStr">
        <is>
          <t>Holmen skog AB</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42486-2024</t>
        </is>
      </c>
      <c r="B3315" s="1" t="n">
        <v>45565</v>
      </c>
      <c r="C3315" s="1" t="n">
        <v>45852</v>
      </c>
      <c r="D3315" t="inlineStr">
        <is>
          <t>VÄSTERNORRLANDS LÄN</t>
        </is>
      </c>
      <c r="E3315" t="inlineStr">
        <is>
          <t>SOLLEFTEÅ</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42482-2024</t>
        </is>
      </c>
      <c r="B3316" s="1" t="n">
        <v>45565</v>
      </c>
      <c r="C3316" s="1" t="n">
        <v>45852</v>
      </c>
      <c r="D3316" t="inlineStr">
        <is>
          <t>VÄSTERNORRLANDS LÄN</t>
        </is>
      </c>
      <c r="E3316" t="inlineStr">
        <is>
          <t>SOLLEFTEÅ</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42474-2024</t>
        </is>
      </c>
      <c r="B3317" s="1" t="n">
        <v>45565</v>
      </c>
      <c r="C3317" s="1" t="n">
        <v>45852</v>
      </c>
      <c r="D3317" t="inlineStr">
        <is>
          <t>VÄSTERNORRLANDS LÄN</t>
        </is>
      </c>
      <c r="E3317" t="inlineStr">
        <is>
          <t>SOLLEFTEÅ</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42915-2024</t>
        </is>
      </c>
      <c r="B3318" s="1" t="n">
        <v>45566</v>
      </c>
      <c r="C3318" s="1" t="n">
        <v>45852</v>
      </c>
      <c r="D3318" t="inlineStr">
        <is>
          <t>VÄSTERNORRLANDS LÄN</t>
        </is>
      </c>
      <c r="E3318" t="inlineStr">
        <is>
          <t>SOLLEFTEÅ</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43049-2024</t>
        </is>
      </c>
      <c r="B3319" s="1" t="n">
        <v>45567</v>
      </c>
      <c r="C3319" s="1" t="n">
        <v>45852</v>
      </c>
      <c r="D3319" t="inlineStr">
        <is>
          <t>VÄSTERNORRLANDS LÄN</t>
        </is>
      </c>
      <c r="E3319" t="inlineStr">
        <is>
          <t>SOLLEFTEÅ</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43008-2024</t>
        </is>
      </c>
      <c r="B3320" s="1" t="n">
        <v>45567</v>
      </c>
      <c r="C3320" s="1" t="n">
        <v>45852</v>
      </c>
      <c r="D3320" t="inlineStr">
        <is>
          <t>VÄSTERNORRLANDS LÄN</t>
        </is>
      </c>
      <c r="E3320" t="inlineStr">
        <is>
          <t>SOLLEFTEÅ</t>
        </is>
      </c>
      <c r="F3320" t="inlineStr">
        <is>
          <t>SCA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42984-2024</t>
        </is>
      </c>
      <c r="B3321" s="1" t="n">
        <v>45567</v>
      </c>
      <c r="C3321" s="1" t="n">
        <v>45852</v>
      </c>
      <c r="D3321" t="inlineStr">
        <is>
          <t>VÄSTERNORRLANDS LÄN</t>
        </is>
      </c>
      <c r="E3321" t="inlineStr">
        <is>
          <t>SOLLEFTEÅ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42964-2024</t>
        </is>
      </c>
      <c r="B3322" s="1" t="n">
        <v>45567</v>
      </c>
      <c r="C3322" s="1" t="n">
        <v>45852</v>
      </c>
      <c r="D3322" t="inlineStr">
        <is>
          <t>VÄSTERNORRLANDS LÄN</t>
        </is>
      </c>
      <c r="E3322" t="inlineStr">
        <is>
          <t>SOLLEFTEÅ</t>
        </is>
      </c>
      <c r="F3322" t="inlineStr">
        <is>
          <t>SCA</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42985-2024</t>
        </is>
      </c>
      <c r="B3323" s="1" t="n">
        <v>45567</v>
      </c>
      <c r="C3323" s="1" t="n">
        <v>45852</v>
      </c>
      <c r="D3323" t="inlineStr">
        <is>
          <t>VÄSTERNORRLANDS LÄN</t>
        </is>
      </c>
      <c r="E3323" t="inlineStr">
        <is>
          <t>SOLLEFTEÅ</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42981-2024</t>
        </is>
      </c>
      <c r="B3324" s="1" t="n">
        <v>45567</v>
      </c>
      <c r="C3324" s="1" t="n">
        <v>45852</v>
      </c>
      <c r="D3324" t="inlineStr">
        <is>
          <t>VÄSTERNORRLANDS LÄN</t>
        </is>
      </c>
      <c r="E3324" t="inlineStr">
        <is>
          <t>SOLLEFTEÅ</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42973-2024</t>
        </is>
      </c>
      <c r="B3325" s="1" t="n">
        <v>45567</v>
      </c>
      <c r="C3325" s="1" t="n">
        <v>45852</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42965-2024</t>
        </is>
      </c>
      <c r="B3326" s="1" t="n">
        <v>45567</v>
      </c>
      <c r="C3326" s="1" t="n">
        <v>45852</v>
      </c>
      <c r="D3326" t="inlineStr">
        <is>
          <t>VÄSTERNORRLANDS LÄN</t>
        </is>
      </c>
      <c r="E3326" t="inlineStr">
        <is>
          <t>SOLLEFTEÅ</t>
        </is>
      </c>
      <c r="F3326" t="inlineStr">
        <is>
          <t>SCA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42987-2024</t>
        </is>
      </c>
      <c r="B3327" s="1" t="n">
        <v>45567</v>
      </c>
      <c r="C3327" s="1" t="n">
        <v>45852</v>
      </c>
      <c r="D3327" t="inlineStr">
        <is>
          <t>VÄSTERNORRLANDS LÄN</t>
        </is>
      </c>
      <c r="E3327" t="inlineStr">
        <is>
          <t>SOLLEFTEÅ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42983-2024</t>
        </is>
      </c>
      <c r="B3328" s="1" t="n">
        <v>45567</v>
      </c>
      <c r="C3328" s="1" t="n">
        <v>45852</v>
      </c>
      <c r="D3328" t="inlineStr">
        <is>
          <t>VÄSTERNORRLANDS LÄN</t>
        </is>
      </c>
      <c r="E3328" t="inlineStr">
        <is>
          <t>SOLLEFTEÅ</t>
        </is>
      </c>
      <c r="F3328" t="inlineStr">
        <is>
          <t>SCA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42979-2024</t>
        </is>
      </c>
      <c r="B3329" s="1" t="n">
        <v>45567</v>
      </c>
      <c r="C3329" s="1" t="n">
        <v>45852</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42975-2024</t>
        </is>
      </c>
      <c r="B3330" s="1" t="n">
        <v>45567</v>
      </c>
      <c r="C3330" s="1" t="n">
        <v>45852</v>
      </c>
      <c r="D3330" t="inlineStr">
        <is>
          <t>VÄSTERNORRLANDS LÄN</t>
        </is>
      </c>
      <c r="E3330" t="inlineStr">
        <is>
          <t>SOLLEFTEÅ</t>
        </is>
      </c>
      <c r="F3330" t="inlineStr">
        <is>
          <t>SCA</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42971-2024</t>
        </is>
      </c>
      <c r="B3331" s="1" t="n">
        <v>45567</v>
      </c>
      <c r="C3331" s="1" t="n">
        <v>45852</v>
      </c>
      <c r="D3331" t="inlineStr">
        <is>
          <t>VÄSTERNORRLANDS LÄN</t>
        </is>
      </c>
      <c r="E3331" t="inlineStr">
        <is>
          <t>SOLLEFTEÅ</t>
        </is>
      </c>
      <c r="F3331" t="inlineStr">
        <is>
          <t>SCA</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42963-2024</t>
        </is>
      </c>
      <c r="B3332" s="1" t="n">
        <v>45567</v>
      </c>
      <c r="C3332" s="1" t="n">
        <v>45852</v>
      </c>
      <c r="D3332" t="inlineStr">
        <is>
          <t>VÄSTERNORRLANDS LÄN</t>
        </is>
      </c>
      <c r="E3332" t="inlineStr">
        <is>
          <t>SOLLEFTEÅ</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42978-2024</t>
        </is>
      </c>
      <c r="B3333" s="1" t="n">
        <v>45567</v>
      </c>
      <c r="C3333" s="1" t="n">
        <v>45852</v>
      </c>
      <c r="D3333" t="inlineStr">
        <is>
          <t>VÄSTERNORRLANDS LÄN</t>
        </is>
      </c>
      <c r="E3333" t="inlineStr">
        <is>
          <t>SOLLEFTEÅ</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42970-2024</t>
        </is>
      </c>
      <c r="B3334" s="1" t="n">
        <v>45567</v>
      </c>
      <c r="C3334" s="1" t="n">
        <v>45852</v>
      </c>
      <c r="D3334" t="inlineStr">
        <is>
          <t>VÄSTERNORRLANDS LÄN</t>
        </is>
      </c>
      <c r="E3334" t="inlineStr">
        <is>
          <t>SOLLEFTEÅ</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42950-2024</t>
        </is>
      </c>
      <c r="B3335" s="1" t="n">
        <v>45567</v>
      </c>
      <c r="C3335" s="1" t="n">
        <v>45852</v>
      </c>
      <c r="D3335" t="inlineStr">
        <is>
          <t>VÄSTERNORRLANDS LÄN</t>
        </is>
      </c>
      <c r="E3335" t="inlineStr">
        <is>
          <t>SOLLEFTEÅ</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43265-2024</t>
        </is>
      </c>
      <c r="B3336" s="1" t="n">
        <v>45568</v>
      </c>
      <c r="C3336" s="1" t="n">
        <v>45852</v>
      </c>
      <c r="D3336" t="inlineStr">
        <is>
          <t>VÄSTERNORRLANDS LÄN</t>
        </is>
      </c>
      <c r="E3336" t="inlineStr">
        <is>
          <t>SOLLEFTEÅ</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43627-2024</t>
        </is>
      </c>
      <c r="B3337" s="1" t="n">
        <v>45569</v>
      </c>
      <c r="C3337" s="1" t="n">
        <v>45852</v>
      </c>
      <c r="D3337" t="inlineStr">
        <is>
          <t>VÄSTERNORRLANDS LÄN</t>
        </is>
      </c>
      <c r="E3337" t="inlineStr">
        <is>
          <t>SOLLEFTEÅ</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43585-2024</t>
        </is>
      </c>
      <c r="B3338" s="1" t="n">
        <v>45569</v>
      </c>
      <c r="C3338" s="1" t="n">
        <v>45852</v>
      </c>
      <c r="D3338" t="inlineStr">
        <is>
          <t>VÄSTERNORRLANDS LÄN</t>
        </is>
      </c>
      <c r="E3338" t="inlineStr">
        <is>
          <t>SOLLEFTEÅ</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43845-2024</t>
        </is>
      </c>
      <c r="B3339" s="1" t="n">
        <v>45572</v>
      </c>
      <c r="C3339" s="1" t="n">
        <v>45852</v>
      </c>
      <c r="D3339" t="inlineStr">
        <is>
          <t>VÄSTERNORRLANDS LÄN</t>
        </is>
      </c>
      <c r="E3339" t="inlineStr">
        <is>
          <t>SOLLEFTEÅ</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43843-2024</t>
        </is>
      </c>
      <c r="B3340" s="1" t="n">
        <v>45572</v>
      </c>
      <c r="C3340" s="1" t="n">
        <v>45852</v>
      </c>
      <c r="D3340" t="inlineStr">
        <is>
          <t>VÄSTERNORRLANDS LÄN</t>
        </is>
      </c>
      <c r="E3340" t="inlineStr">
        <is>
          <t>SOLLEFTEÅ</t>
        </is>
      </c>
      <c r="F3340" t="inlineStr">
        <is>
          <t>SCA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44172-2024</t>
        </is>
      </c>
      <c r="B3341" s="1" t="n">
        <v>45572</v>
      </c>
      <c r="C3341" s="1" t="n">
        <v>45852</v>
      </c>
      <c r="D3341" t="inlineStr">
        <is>
          <t>VÄSTERNORRLANDS LÄN</t>
        </is>
      </c>
      <c r="E3341" t="inlineStr">
        <is>
          <t>SOLLEFTEÅ</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44201-2024</t>
        </is>
      </c>
      <c r="B3342" s="1" t="n">
        <v>45573</v>
      </c>
      <c r="C3342" s="1" t="n">
        <v>45852</v>
      </c>
      <c r="D3342" t="inlineStr">
        <is>
          <t>VÄSTERNORRLANDS LÄN</t>
        </is>
      </c>
      <c r="E3342" t="inlineStr">
        <is>
          <t>SOLLEFTEÅ</t>
        </is>
      </c>
      <c r="F3342" t="inlineStr">
        <is>
          <t>SCA</t>
        </is>
      </c>
      <c r="G3342" t="n">
        <v>3.6</v>
      </c>
      <c r="H3342" t="n">
        <v>0</v>
      </c>
      <c r="I3342" t="n">
        <v>0</v>
      </c>
      <c r="J3342" t="n">
        <v>0</v>
      </c>
      <c r="K3342" t="n">
        <v>0</v>
      </c>
      <c r="L3342" t="n">
        <v>0</v>
      </c>
      <c r="M3342" t="n">
        <v>0</v>
      </c>
      <c r="N3342" t="n">
        <v>0</v>
      </c>
      <c r="O3342" t="n">
        <v>0</v>
      </c>
      <c r="P3342" t="n">
        <v>0</v>
      </c>
      <c r="Q3342" t="n">
        <v>0</v>
      </c>
      <c r="R3342" s="2" t="inlineStr"/>
      <c r="U3342">
        <f>HYPERLINK("https://klasma.github.io/Logging_2283/knärot/A 44201-2024 karta knärot.png", "A 44201-2024")</f>
        <v/>
      </c>
      <c r="V3342">
        <f>HYPERLINK("https://klasma.github.io/Logging_2283/klagomål/A 44201-2024 FSC-klagomål.docx", "A 44201-2024")</f>
        <v/>
      </c>
      <c r="W3342">
        <f>HYPERLINK("https://klasma.github.io/Logging_2283/klagomålsmail/A 44201-2024 FSC-klagomål mail.docx", "A 44201-2024")</f>
        <v/>
      </c>
      <c r="X3342">
        <f>HYPERLINK("https://klasma.github.io/Logging_2283/tillsyn/A 44201-2024 tillsynsbegäran.docx", "A 44201-2024")</f>
        <v/>
      </c>
      <c r="Y3342">
        <f>HYPERLINK("https://klasma.github.io/Logging_2283/tillsynsmail/A 44201-2024 tillsynsbegäran mail.docx", "A 44201-2024")</f>
        <v/>
      </c>
    </row>
    <row r="3343" ht="15" customHeight="1">
      <c r="A3343" t="inlineStr">
        <is>
          <t>A 44299-2024</t>
        </is>
      </c>
      <c r="B3343" s="1" t="n">
        <v>45573</v>
      </c>
      <c r="C3343" s="1" t="n">
        <v>45852</v>
      </c>
      <c r="D3343" t="inlineStr">
        <is>
          <t>VÄSTERNORRLANDS LÄN</t>
        </is>
      </c>
      <c r="E3343" t="inlineStr">
        <is>
          <t>SOLLEFTEÅ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44320-2024</t>
        </is>
      </c>
      <c r="B3344" s="1" t="n">
        <v>45573</v>
      </c>
      <c r="C3344" s="1" t="n">
        <v>45852</v>
      </c>
      <c r="D3344" t="inlineStr">
        <is>
          <t>VÄSTERNORRLANDS LÄN</t>
        </is>
      </c>
      <c r="E3344" t="inlineStr">
        <is>
          <t>SOLLEFTEÅ</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44202-2024</t>
        </is>
      </c>
      <c r="B3345" s="1" t="n">
        <v>45573</v>
      </c>
      <c r="C3345" s="1" t="n">
        <v>45852</v>
      </c>
      <c r="D3345" t="inlineStr">
        <is>
          <t>VÄSTERNORRLANDS LÄN</t>
        </is>
      </c>
      <c r="E3345" t="inlineStr">
        <is>
          <t>SOLLEFTEÅ</t>
        </is>
      </c>
      <c r="F3345" t="inlineStr">
        <is>
          <t>SCA</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44323-2024</t>
        </is>
      </c>
      <c r="B3346" s="1" t="n">
        <v>45573</v>
      </c>
      <c r="C3346" s="1" t="n">
        <v>45852</v>
      </c>
      <c r="D3346" t="inlineStr">
        <is>
          <t>VÄSTERNORRLANDS LÄN</t>
        </is>
      </c>
      <c r="E3346" t="inlineStr">
        <is>
          <t>SOLLEFTEÅ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44302-2024</t>
        </is>
      </c>
      <c r="B3347" s="1" t="n">
        <v>45573</v>
      </c>
      <c r="C3347" s="1" t="n">
        <v>45852</v>
      </c>
      <c r="D3347" t="inlineStr">
        <is>
          <t>VÄSTERNORRLANDS LÄN</t>
        </is>
      </c>
      <c r="E3347" t="inlineStr">
        <is>
          <t>SOLLEFTEÅ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44298-2024</t>
        </is>
      </c>
      <c r="B3348" s="1" t="n">
        <v>45573</v>
      </c>
      <c r="C3348" s="1" t="n">
        <v>45852</v>
      </c>
      <c r="D3348" t="inlineStr">
        <is>
          <t>VÄSTERNORRLANDS LÄN</t>
        </is>
      </c>
      <c r="E3348" t="inlineStr">
        <is>
          <t>SOLLEFTEÅ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44294-2024</t>
        </is>
      </c>
      <c r="B3349" s="1" t="n">
        <v>45573</v>
      </c>
      <c r="C3349" s="1" t="n">
        <v>45852</v>
      </c>
      <c r="D3349" t="inlineStr">
        <is>
          <t>VÄSTERNORRLANDS LÄN</t>
        </is>
      </c>
      <c r="E3349" t="inlineStr">
        <is>
          <t>SOLLEFTEÅ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44200-2024</t>
        </is>
      </c>
      <c r="B3350" s="1" t="n">
        <v>45573</v>
      </c>
      <c r="C3350" s="1" t="n">
        <v>45852</v>
      </c>
      <c r="D3350" t="inlineStr">
        <is>
          <t>VÄSTERNORRLANDS LÄN</t>
        </is>
      </c>
      <c r="E3350" t="inlineStr">
        <is>
          <t>SOLLEFTEÅ</t>
        </is>
      </c>
      <c r="F3350" t="inlineStr">
        <is>
          <t>SCA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44554-2024</t>
        </is>
      </c>
      <c r="B3351" s="1" t="n">
        <v>45574</v>
      </c>
      <c r="C3351" s="1" t="n">
        <v>45852</v>
      </c>
      <c r="D3351" t="inlineStr">
        <is>
          <t>VÄSTERNORRLANDS LÄN</t>
        </is>
      </c>
      <c r="E3351" t="inlineStr">
        <is>
          <t>SOLLEFTEÅ</t>
        </is>
      </c>
      <c r="F3351" t="inlineStr">
        <is>
          <t>SCA</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44591-2024</t>
        </is>
      </c>
      <c r="B3352" s="1" t="n">
        <v>45574</v>
      </c>
      <c r="C3352" s="1" t="n">
        <v>45852</v>
      </c>
      <c r="D3352" t="inlineStr">
        <is>
          <t>VÄSTERNORRLANDS LÄN</t>
        </is>
      </c>
      <c r="E3352" t="inlineStr">
        <is>
          <t>SOLLEFTEÅ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44627-2024</t>
        </is>
      </c>
      <c r="B3353" s="1" t="n">
        <v>45574</v>
      </c>
      <c r="C3353" s="1" t="n">
        <v>45852</v>
      </c>
      <c r="D3353" t="inlineStr">
        <is>
          <t>VÄSTERNORRLANDS LÄN</t>
        </is>
      </c>
      <c r="E3353" t="inlineStr">
        <is>
          <t>SOLLEFTEÅ</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44640-2024</t>
        </is>
      </c>
      <c r="B3354" s="1" t="n">
        <v>45574</v>
      </c>
      <c r="C3354" s="1" t="n">
        <v>45852</v>
      </c>
      <c r="D3354" t="inlineStr">
        <is>
          <t>VÄSTERNORRLANDS LÄN</t>
        </is>
      </c>
      <c r="E3354" t="inlineStr">
        <is>
          <t>SOLLEFTEÅ</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44614-2024</t>
        </is>
      </c>
      <c r="B3355" s="1" t="n">
        <v>45574</v>
      </c>
      <c r="C3355" s="1" t="n">
        <v>45852</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44639-2024</t>
        </is>
      </c>
      <c r="B3356" s="1" t="n">
        <v>45574</v>
      </c>
      <c r="C3356" s="1" t="n">
        <v>45852</v>
      </c>
      <c r="D3356" t="inlineStr">
        <is>
          <t>VÄSTERNORRLANDS LÄN</t>
        </is>
      </c>
      <c r="E3356" t="inlineStr">
        <is>
          <t>SOLLEFTEÅ</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44661-2024</t>
        </is>
      </c>
      <c r="B3357" s="1" t="n">
        <v>45574</v>
      </c>
      <c r="C3357" s="1" t="n">
        <v>45852</v>
      </c>
      <c r="D3357" t="inlineStr">
        <is>
          <t>VÄSTERNORRLANDS LÄN</t>
        </is>
      </c>
      <c r="E3357" t="inlineStr">
        <is>
          <t>SOLLEFTEÅ</t>
        </is>
      </c>
      <c r="F3357" t="inlineStr">
        <is>
          <t>SCA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44621-2024</t>
        </is>
      </c>
      <c r="B3358" s="1" t="n">
        <v>45574</v>
      </c>
      <c r="C3358" s="1" t="n">
        <v>45852</v>
      </c>
      <c r="D3358" t="inlineStr">
        <is>
          <t>VÄSTERNORRLANDS LÄN</t>
        </is>
      </c>
      <c r="E3358" t="inlineStr">
        <is>
          <t>SOLLEFTEÅ</t>
        </is>
      </c>
      <c r="F3358" t="inlineStr">
        <is>
          <t>SCA</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44662-2024</t>
        </is>
      </c>
      <c r="B3359" s="1" t="n">
        <v>45574</v>
      </c>
      <c r="C3359" s="1" t="n">
        <v>45852</v>
      </c>
      <c r="D3359" t="inlineStr">
        <is>
          <t>VÄSTERNORRLANDS LÄN</t>
        </is>
      </c>
      <c r="E3359" t="inlineStr">
        <is>
          <t>SOLLEFTEÅ</t>
        </is>
      </c>
      <c r="F3359" t="inlineStr">
        <is>
          <t>SCA</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45142-2024</t>
        </is>
      </c>
      <c r="B3360" s="1" t="n">
        <v>45575</v>
      </c>
      <c r="C3360" s="1" t="n">
        <v>45852</v>
      </c>
      <c r="D3360" t="inlineStr">
        <is>
          <t>VÄSTERNORRLANDS LÄN</t>
        </is>
      </c>
      <c r="E3360" t="inlineStr">
        <is>
          <t>SOLLEFTEÅ</t>
        </is>
      </c>
      <c r="F3360" t="inlineStr">
        <is>
          <t>SCA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45171-2024</t>
        </is>
      </c>
      <c r="B3361" s="1" t="n">
        <v>45575</v>
      </c>
      <c r="C3361" s="1" t="n">
        <v>45852</v>
      </c>
      <c r="D3361" t="inlineStr">
        <is>
          <t>VÄSTERNORRLANDS LÄN</t>
        </is>
      </c>
      <c r="E3361" t="inlineStr">
        <is>
          <t>SOLLEFTEÅ</t>
        </is>
      </c>
      <c r="F3361" t="inlineStr">
        <is>
          <t>SCA</t>
        </is>
      </c>
      <c r="G3361" t="n">
        <v>12.1</v>
      </c>
      <c r="H3361" t="n">
        <v>0</v>
      </c>
      <c r="I3361" t="n">
        <v>0</v>
      </c>
      <c r="J3361" t="n">
        <v>0</v>
      </c>
      <c r="K3361" t="n">
        <v>0</v>
      </c>
      <c r="L3361" t="n">
        <v>0</v>
      </c>
      <c r="M3361" t="n">
        <v>0</v>
      </c>
      <c r="N3361" t="n">
        <v>0</v>
      </c>
      <c r="O3361" t="n">
        <v>0</v>
      </c>
      <c r="P3361" t="n">
        <v>0</v>
      </c>
      <c r="Q3361" t="n">
        <v>0</v>
      </c>
      <c r="R3361" s="2" t="inlineStr"/>
    </row>
    <row r="3362" ht="15" customHeight="1">
      <c r="A3362" t="inlineStr">
        <is>
          <t>A 44950-2024</t>
        </is>
      </c>
      <c r="B3362" s="1" t="n">
        <v>45575</v>
      </c>
      <c r="C3362" s="1" t="n">
        <v>45852</v>
      </c>
      <c r="D3362" t="inlineStr">
        <is>
          <t>VÄSTERNORRLANDS LÄN</t>
        </is>
      </c>
      <c r="E3362" t="inlineStr">
        <is>
          <t>SOLLEFTEÅ</t>
        </is>
      </c>
      <c r="G3362" t="n">
        <v>11.1</v>
      </c>
      <c r="H3362" t="n">
        <v>0</v>
      </c>
      <c r="I3362" t="n">
        <v>0</v>
      </c>
      <c r="J3362" t="n">
        <v>0</v>
      </c>
      <c r="K3362" t="n">
        <v>0</v>
      </c>
      <c r="L3362" t="n">
        <v>0</v>
      </c>
      <c r="M3362" t="n">
        <v>0</v>
      </c>
      <c r="N3362" t="n">
        <v>0</v>
      </c>
      <c r="O3362" t="n">
        <v>0</v>
      </c>
      <c r="P3362" t="n">
        <v>0</v>
      </c>
      <c r="Q3362" t="n">
        <v>0</v>
      </c>
      <c r="R3362" s="2" t="inlineStr"/>
    </row>
    <row r="3363" ht="15" customHeight="1">
      <c r="A3363" t="inlineStr">
        <is>
          <t>A 45435-2024</t>
        </is>
      </c>
      <c r="B3363" s="1" t="n">
        <v>45576</v>
      </c>
      <c r="C3363" s="1" t="n">
        <v>45852</v>
      </c>
      <c r="D3363" t="inlineStr">
        <is>
          <t>VÄSTERNORRLANDS LÄN</t>
        </is>
      </c>
      <c r="E3363" t="inlineStr">
        <is>
          <t>SOLLEFTEÅ</t>
        </is>
      </c>
      <c r="F3363" t="inlineStr">
        <is>
          <t>SCA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45334-2024</t>
        </is>
      </c>
      <c r="B3364" s="1" t="n">
        <v>45576</v>
      </c>
      <c r="C3364" s="1" t="n">
        <v>45852</v>
      </c>
      <c r="D3364" t="inlineStr">
        <is>
          <t>VÄSTERNORRLANDS LÄN</t>
        </is>
      </c>
      <c r="E3364" t="inlineStr">
        <is>
          <t>SOLLEFTEÅ</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45801-2024</t>
        </is>
      </c>
      <c r="B3365" s="1" t="n">
        <v>45579</v>
      </c>
      <c r="C3365" s="1" t="n">
        <v>45852</v>
      </c>
      <c r="D3365" t="inlineStr">
        <is>
          <t>VÄSTERNORRLANDS LÄN</t>
        </is>
      </c>
      <c r="E3365" t="inlineStr">
        <is>
          <t>SOLLEFTEÅ</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45795-2024</t>
        </is>
      </c>
      <c r="B3366" s="1" t="n">
        <v>45579</v>
      </c>
      <c r="C3366" s="1" t="n">
        <v>45852</v>
      </c>
      <c r="D3366" t="inlineStr">
        <is>
          <t>VÄSTERNORRLANDS LÄN</t>
        </is>
      </c>
      <c r="E3366" t="inlineStr">
        <is>
          <t>SOLLEFTEÅ</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45573-2024</t>
        </is>
      </c>
      <c r="B3367" s="1" t="n">
        <v>45579</v>
      </c>
      <c r="C3367" s="1" t="n">
        <v>45852</v>
      </c>
      <c r="D3367" t="inlineStr">
        <is>
          <t>VÄSTERNORRLANDS LÄN</t>
        </is>
      </c>
      <c r="E3367" t="inlineStr">
        <is>
          <t>SOLLEFTEÅ</t>
        </is>
      </c>
      <c r="F3367" t="inlineStr">
        <is>
          <t>SCA</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45778-2024</t>
        </is>
      </c>
      <c r="B3368" s="1" t="n">
        <v>45579</v>
      </c>
      <c r="C3368" s="1" t="n">
        <v>45852</v>
      </c>
      <c r="D3368" t="inlineStr">
        <is>
          <t>VÄSTERNORRLANDS LÄN</t>
        </is>
      </c>
      <c r="E3368" t="inlineStr">
        <is>
          <t>SOLLEFTEÅ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45802-2024</t>
        </is>
      </c>
      <c r="B3369" s="1" t="n">
        <v>45579</v>
      </c>
      <c r="C3369" s="1" t="n">
        <v>45852</v>
      </c>
      <c r="D3369" t="inlineStr">
        <is>
          <t>VÄSTERNORRLANDS LÄN</t>
        </is>
      </c>
      <c r="E3369" t="inlineStr">
        <is>
          <t>SOLLEFTEÅ</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45748-2024</t>
        </is>
      </c>
      <c r="B3370" s="1" t="n">
        <v>45579</v>
      </c>
      <c r="C3370" s="1" t="n">
        <v>45852</v>
      </c>
      <c r="D3370" t="inlineStr">
        <is>
          <t>VÄSTERNORRLANDS LÄN</t>
        </is>
      </c>
      <c r="E3370" t="inlineStr">
        <is>
          <t>SOLLEFTEÅ</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45975-2024</t>
        </is>
      </c>
      <c r="B3371" s="1" t="n">
        <v>45580</v>
      </c>
      <c r="C3371" s="1" t="n">
        <v>45852</v>
      </c>
      <c r="D3371" t="inlineStr">
        <is>
          <t>VÄSTERNORRLANDS LÄN</t>
        </is>
      </c>
      <c r="E3371" t="inlineStr">
        <is>
          <t>SOLLEFTEÅ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45940-2024</t>
        </is>
      </c>
      <c r="B3372" s="1" t="n">
        <v>45580</v>
      </c>
      <c r="C3372" s="1" t="n">
        <v>45852</v>
      </c>
      <c r="D3372" t="inlineStr">
        <is>
          <t>VÄSTERNORRLANDS LÄN</t>
        </is>
      </c>
      <c r="E3372" t="inlineStr">
        <is>
          <t>SOLLEFTEÅ</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46255-2024</t>
        </is>
      </c>
      <c r="B3373" s="1" t="n">
        <v>45581</v>
      </c>
      <c r="C3373" s="1" t="n">
        <v>45852</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46101-2024</t>
        </is>
      </c>
      <c r="B3374" s="1" t="n">
        <v>45581</v>
      </c>
      <c r="C3374" s="1" t="n">
        <v>45852</v>
      </c>
      <c r="D3374" t="inlineStr">
        <is>
          <t>VÄSTERNORRLANDS LÄN</t>
        </is>
      </c>
      <c r="E3374" t="inlineStr">
        <is>
          <t>SOLLEFTEÅ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46261-2024</t>
        </is>
      </c>
      <c r="B3375" s="1" t="n">
        <v>45581</v>
      </c>
      <c r="C3375" s="1" t="n">
        <v>45852</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46524-2024</t>
        </is>
      </c>
      <c r="B3376" s="1" t="n">
        <v>45582</v>
      </c>
      <c r="C3376" s="1" t="n">
        <v>45852</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46772-2024</t>
        </is>
      </c>
      <c r="B3377" s="1" t="n">
        <v>45583</v>
      </c>
      <c r="C3377" s="1" t="n">
        <v>45852</v>
      </c>
      <c r="D3377" t="inlineStr">
        <is>
          <t>VÄSTERNORRLANDS LÄN</t>
        </is>
      </c>
      <c r="E3377" t="inlineStr">
        <is>
          <t>SOLLEFTEÅ</t>
        </is>
      </c>
      <c r="F3377" t="inlineStr">
        <is>
          <t>SCA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46850-2024</t>
        </is>
      </c>
      <c r="B3378" s="1" t="n">
        <v>45583</v>
      </c>
      <c r="C3378" s="1" t="n">
        <v>45852</v>
      </c>
      <c r="D3378" t="inlineStr">
        <is>
          <t>VÄSTERNORRLANDS LÄN</t>
        </is>
      </c>
      <c r="E3378" t="inlineStr">
        <is>
          <t>SOLLEFTEÅ</t>
        </is>
      </c>
      <c r="F3378" t="inlineStr">
        <is>
          <t>SCA</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46765-2024</t>
        </is>
      </c>
      <c r="B3379" s="1" t="n">
        <v>45583</v>
      </c>
      <c r="C3379" s="1" t="n">
        <v>45852</v>
      </c>
      <c r="D3379" t="inlineStr">
        <is>
          <t>VÄSTERNORRLANDS LÄN</t>
        </is>
      </c>
      <c r="E3379" t="inlineStr">
        <is>
          <t>SOLLEFTEÅ</t>
        </is>
      </c>
      <c r="F3379" t="inlineStr">
        <is>
          <t>SCA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46755-2024</t>
        </is>
      </c>
      <c r="B3380" s="1" t="n">
        <v>45583</v>
      </c>
      <c r="C3380" s="1" t="n">
        <v>45852</v>
      </c>
      <c r="D3380" t="inlineStr">
        <is>
          <t>VÄSTERNORRLANDS LÄN</t>
        </is>
      </c>
      <c r="E3380" t="inlineStr">
        <is>
          <t>SOLLEFTEÅ</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46759-2024</t>
        </is>
      </c>
      <c r="B3381" s="1" t="n">
        <v>45583</v>
      </c>
      <c r="C3381" s="1" t="n">
        <v>45852</v>
      </c>
      <c r="D3381" t="inlineStr">
        <is>
          <t>VÄSTERNORRLANDS LÄN</t>
        </is>
      </c>
      <c r="E3381" t="inlineStr">
        <is>
          <t>SOLLEFTEÅ</t>
        </is>
      </c>
      <c r="F3381" t="inlineStr">
        <is>
          <t>SCA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46767-2024</t>
        </is>
      </c>
      <c r="B3382" s="1" t="n">
        <v>45583</v>
      </c>
      <c r="C3382" s="1" t="n">
        <v>45852</v>
      </c>
      <c r="D3382" t="inlineStr">
        <is>
          <t>VÄSTERNORRLANDS LÄN</t>
        </is>
      </c>
      <c r="E3382" t="inlineStr">
        <is>
          <t>SOLLEFTEÅ</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46770-2024</t>
        </is>
      </c>
      <c r="B3383" s="1" t="n">
        <v>45583</v>
      </c>
      <c r="C3383" s="1" t="n">
        <v>45852</v>
      </c>
      <c r="D3383" t="inlineStr">
        <is>
          <t>VÄSTERNORRLANDS LÄN</t>
        </is>
      </c>
      <c r="E3383" t="inlineStr">
        <is>
          <t>SOLLEFTEÅ</t>
        </is>
      </c>
      <c r="F3383" t="inlineStr">
        <is>
          <t>SCA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46758-2024</t>
        </is>
      </c>
      <c r="B3384" s="1" t="n">
        <v>45583</v>
      </c>
      <c r="C3384" s="1" t="n">
        <v>45852</v>
      </c>
      <c r="D3384" t="inlineStr">
        <is>
          <t>VÄSTERNORRLANDS LÄN</t>
        </is>
      </c>
      <c r="E3384" t="inlineStr">
        <is>
          <t>SOLLEFTEÅ</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47175-2024</t>
        </is>
      </c>
      <c r="B3385" s="1" t="n">
        <v>45586</v>
      </c>
      <c r="C3385" s="1" t="n">
        <v>45852</v>
      </c>
      <c r="D3385" t="inlineStr">
        <is>
          <t>VÄSTERNORRLANDS LÄN</t>
        </is>
      </c>
      <c r="E3385" t="inlineStr">
        <is>
          <t>SOLLEFTEÅ</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47179-2024</t>
        </is>
      </c>
      <c r="B3386" s="1" t="n">
        <v>45586</v>
      </c>
      <c r="C3386" s="1" t="n">
        <v>45852</v>
      </c>
      <c r="D3386" t="inlineStr">
        <is>
          <t>VÄSTERNORRLANDS LÄN</t>
        </is>
      </c>
      <c r="E3386" t="inlineStr">
        <is>
          <t>SOLLEFTEÅ</t>
        </is>
      </c>
      <c r="F3386" t="inlineStr">
        <is>
          <t>SCA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46973-2024</t>
        </is>
      </c>
      <c r="B3387" s="1" t="n">
        <v>45586</v>
      </c>
      <c r="C3387" s="1" t="n">
        <v>45852</v>
      </c>
      <c r="D3387" t="inlineStr">
        <is>
          <t>VÄSTERNORRLANDS LÄN</t>
        </is>
      </c>
      <c r="E3387" t="inlineStr">
        <is>
          <t>SOLLEFTEÅ</t>
        </is>
      </c>
      <c r="F3387" t="inlineStr">
        <is>
          <t>SCA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47471-2024</t>
        </is>
      </c>
      <c r="B3388" s="1" t="n">
        <v>45587</v>
      </c>
      <c r="C3388" s="1" t="n">
        <v>45852</v>
      </c>
      <c r="D3388" t="inlineStr">
        <is>
          <t>VÄSTERNORRLANDS LÄN</t>
        </is>
      </c>
      <c r="E3388" t="inlineStr">
        <is>
          <t>SOLLEFTEÅ</t>
        </is>
      </c>
      <c r="F3388" t="inlineStr">
        <is>
          <t>SCA</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47354-2024</t>
        </is>
      </c>
      <c r="B3389" s="1" t="n">
        <v>45587</v>
      </c>
      <c r="C3389" s="1" t="n">
        <v>45852</v>
      </c>
      <c r="D3389" t="inlineStr">
        <is>
          <t>VÄSTERNORRLANDS LÄN</t>
        </is>
      </c>
      <c r="E3389" t="inlineStr">
        <is>
          <t>SOLLEFTEÅ</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47547-2024</t>
        </is>
      </c>
      <c r="B3390" s="1" t="n">
        <v>45587</v>
      </c>
      <c r="C3390" s="1" t="n">
        <v>45852</v>
      </c>
      <c r="D3390" t="inlineStr">
        <is>
          <t>VÄSTERNORRLANDS LÄN</t>
        </is>
      </c>
      <c r="E3390" t="inlineStr">
        <is>
          <t>SOLLEFTEÅ</t>
        </is>
      </c>
      <c r="F3390" t="inlineStr">
        <is>
          <t>SCA</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47745-2024</t>
        </is>
      </c>
      <c r="B3391" s="1" t="n">
        <v>45588</v>
      </c>
      <c r="C3391" s="1" t="n">
        <v>45852</v>
      </c>
      <c r="D3391" t="inlineStr">
        <is>
          <t>VÄSTERNORRLANDS LÄN</t>
        </is>
      </c>
      <c r="E3391" t="inlineStr">
        <is>
          <t>SOLLEFTEÅ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47641-2024</t>
        </is>
      </c>
      <c r="B3392" s="1" t="n">
        <v>45588</v>
      </c>
      <c r="C3392" s="1" t="n">
        <v>45852</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47631-2024</t>
        </is>
      </c>
      <c r="B3393" s="1" t="n">
        <v>45588</v>
      </c>
      <c r="C3393" s="1" t="n">
        <v>45852</v>
      </c>
      <c r="D3393" t="inlineStr">
        <is>
          <t>VÄSTERNORRLANDS LÄN</t>
        </is>
      </c>
      <c r="E3393" t="inlineStr">
        <is>
          <t>SOLLEFTEÅ</t>
        </is>
      </c>
      <c r="F3393" t="inlineStr">
        <is>
          <t>SCA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47868-2024</t>
        </is>
      </c>
      <c r="B3394" s="1" t="n">
        <v>45588</v>
      </c>
      <c r="C3394" s="1" t="n">
        <v>45852</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48118-2024</t>
        </is>
      </c>
      <c r="B3395" s="1" t="n">
        <v>45589</v>
      </c>
      <c r="C3395" s="1" t="n">
        <v>45852</v>
      </c>
      <c r="D3395" t="inlineStr">
        <is>
          <t>VÄSTERNORRLANDS LÄN</t>
        </is>
      </c>
      <c r="E3395" t="inlineStr">
        <is>
          <t>SOLLEFTEÅ</t>
        </is>
      </c>
      <c r="F3395" t="inlineStr">
        <is>
          <t>SCA</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48038-2024</t>
        </is>
      </c>
      <c r="B3396" s="1" t="n">
        <v>45589</v>
      </c>
      <c r="C3396" s="1" t="n">
        <v>45852</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47955-2024</t>
        </is>
      </c>
      <c r="B3397" s="1" t="n">
        <v>45589</v>
      </c>
      <c r="C3397" s="1" t="n">
        <v>45852</v>
      </c>
      <c r="D3397" t="inlineStr">
        <is>
          <t>VÄSTERNORRLANDS LÄN</t>
        </is>
      </c>
      <c r="E3397" t="inlineStr">
        <is>
          <t>SOLLEFTEÅ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47963-2024</t>
        </is>
      </c>
      <c r="B3398" s="1" t="n">
        <v>45589</v>
      </c>
      <c r="C3398" s="1" t="n">
        <v>45852</v>
      </c>
      <c r="D3398" t="inlineStr">
        <is>
          <t>VÄSTERNORRLANDS LÄN</t>
        </is>
      </c>
      <c r="E3398" t="inlineStr">
        <is>
          <t>SOLLEFTEÅ</t>
        </is>
      </c>
      <c r="F3398" t="inlineStr">
        <is>
          <t>SCA</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47987-2024</t>
        </is>
      </c>
      <c r="B3399" s="1" t="n">
        <v>45589</v>
      </c>
      <c r="C3399" s="1" t="n">
        <v>45852</v>
      </c>
      <c r="D3399" t="inlineStr">
        <is>
          <t>VÄSTERNORRLANDS LÄN</t>
        </is>
      </c>
      <c r="E3399" t="inlineStr">
        <is>
          <t>SOLLEFTEÅ</t>
        </is>
      </c>
      <c r="F3399" t="inlineStr">
        <is>
          <t>SCA</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48019-2024</t>
        </is>
      </c>
      <c r="B3400" s="1" t="n">
        <v>45589</v>
      </c>
      <c r="C3400" s="1" t="n">
        <v>45852</v>
      </c>
      <c r="D3400" t="inlineStr">
        <is>
          <t>VÄSTERNORRLANDS LÄN</t>
        </is>
      </c>
      <c r="E3400" t="inlineStr">
        <is>
          <t>SOLLEFTEÅ</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48081-2024</t>
        </is>
      </c>
      <c r="B3401" s="1" t="n">
        <v>45589</v>
      </c>
      <c r="C3401" s="1" t="n">
        <v>45852</v>
      </c>
      <c r="D3401" t="inlineStr">
        <is>
          <t>VÄSTERNORRLANDS LÄN</t>
        </is>
      </c>
      <c r="E3401" t="inlineStr">
        <is>
          <t>SOLLEFTEÅ</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48049-2024</t>
        </is>
      </c>
      <c r="B3402" s="1" t="n">
        <v>45589</v>
      </c>
      <c r="C3402" s="1" t="n">
        <v>45852</v>
      </c>
      <c r="D3402" t="inlineStr">
        <is>
          <t>VÄSTERNORRLANDS LÄN</t>
        </is>
      </c>
      <c r="E3402" t="inlineStr">
        <is>
          <t>SOLLEFTEÅ</t>
        </is>
      </c>
      <c r="F3402" t="inlineStr">
        <is>
          <t>SCA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48021-2024</t>
        </is>
      </c>
      <c r="B3403" s="1" t="n">
        <v>45589</v>
      </c>
      <c r="C3403" s="1" t="n">
        <v>45852</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48017-2024</t>
        </is>
      </c>
      <c r="B3404" s="1" t="n">
        <v>45589</v>
      </c>
      <c r="C3404" s="1" t="n">
        <v>45852</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48001-2024</t>
        </is>
      </c>
      <c r="B3405" s="1" t="n">
        <v>45589</v>
      </c>
      <c r="C3405" s="1" t="n">
        <v>45852</v>
      </c>
      <c r="D3405" t="inlineStr">
        <is>
          <t>VÄSTERNORRLANDS LÄN</t>
        </is>
      </c>
      <c r="E3405" t="inlineStr">
        <is>
          <t>SOLLEFTEÅ</t>
        </is>
      </c>
      <c r="F3405" t="inlineStr">
        <is>
          <t>SCA</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47965-2024</t>
        </is>
      </c>
      <c r="B3406" s="1" t="n">
        <v>45589</v>
      </c>
      <c r="C3406" s="1" t="n">
        <v>45852</v>
      </c>
      <c r="D3406" t="inlineStr">
        <is>
          <t>VÄSTERNORRLANDS LÄN</t>
        </is>
      </c>
      <c r="E3406" t="inlineStr">
        <is>
          <t>SOLLEFTEÅ</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48020-2024</t>
        </is>
      </c>
      <c r="B3407" s="1" t="n">
        <v>45589</v>
      </c>
      <c r="C3407" s="1" t="n">
        <v>45852</v>
      </c>
      <c r="D3407" t="inlineStr">
        <is>
          <t>VÄSTERNORRLANDS LÄN</t>
        </is>
      </c>
      <c r="E3407" t="inlineStr">
        <is>
          <t>SOLLEFTEÅ</t>
        </is>
      </c>
      <c r="G3407" t="n">
        <v>9.300000000000001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48396-2024</t>
        </is>
      </c>
      <c r="B3408" s="1" t="n">
        <v>45590</v>
      </c>
      <c r="C3408" s="1" t="n">
        <v>45852</v>
      </c>
      <c r="D3408" t="inlineStr">
        <is>
          <t>VÄSTERNORRLANDS LÄN</t>
        </is>
      </c>
      <c r="E3408" t="inlineStr">
        <is>
          <t>SOLLEFTEÅ</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48265-2024</t>
        </is>
      </c>
      <c r="B3409" s="1" t="n">
        <v>45590</v>
      </c>
      <c r="C3409" s="1" t="n">
        <v>45852</v>
      </c>
      <c r="D3409" t="inlineStr">
        <is>
          <t>VÄSTERNORRLANDS LÄN</t>
        </is>
      </c>
      <c r="E3409" t="inlineStr">
        <is>
          <t>SOLLEFTEÅ</t>
        </is>
      </c>
      <c r="F3409" t="inlineStr">
        <is>
          <t>SCA</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48419-2024</t>
        </is>
      </c>
      <c r="B3410" s="1" t="n">
        <v>45590</v>
      </c>
      <c r="C3410" s="1" t="n">
        <v>45852</v>
      </c>
      <c r="D3410" t="inlineStr">
        <is>
          <t>VÄSTERNORRLANDS LÄN</t>
        </is>
      </c>
      <c r="E3410" t="inlineStr">
        <is>
          <t>SOLLEFTEÅ</t>
        </is>
      </c>
      <c r="F3410" t="inlineStr">
        <is>
          <t>SCA</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48235-2024</t>
        </is>
      </c>
      <c r="B3411" s="1" t="n">
        <v>45590</v>
      </c>
      <c r="C3411" s="1" t="n">
        <v>45852</v>
      </c>
      <c r="D3411" t="inlineStr">
        <is>
          <t>VÄSTERNORRLANDS LÄN</t>
        </is>
      </c>
      <c r="E3411" t="inlineStr">
        <is>
          <t>SOLLEFTEÅ</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48490-2024</t>
        </is>
      </c>
      <c r="B3412" s="1" t="n">
        <v>45592</v>
      </c>
      <c r="C3412" s="1" t="n">
        <v>45852</v>
      </c>
      <c r="D3412" t="inlineStr">
        <is>
          <t>VÄSTERNORRLANDS LÄN</t>
        </is>
      </c>
      <c r="E3412" t="inlineStr">
        <is>
          <t>SOLLEFTEÅ</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48489-2024</t>
        </is>
      </c>
      <c r="B3413" s="1" t="n">
        <v>45592</v>
      </c>
      <c r="C3413" s="1" t="n">
        <v>45852</v>
      </c>
      <c r="D3413" t="inlineStr">
        <is>
          <t>VÄSTERNORRLANDS LÄN</t>
        </is>
      </c>
      <c r="E3413" t="inlineStr">
        <is>
          <t>SOLLEFTEÅ</t>
        </is>
      </c>
      <c r="F3413" t="inlineStr">
        <is>
          <t>SCA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48491-2024</t>
        </is>
      </c>
      <c r="B3414" s="1" t="n">
        <v>45592</v>
      </c>
      <c r="C3414" s="1" t="n">
        <v>45852</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48720-2024</t>
        </is>
      </c>
      <c r="B3415" s="1" t="n">
        <v>45593</v>
      </c>
      <c r="C3415" s="1" t="n">
        <v>45852</v>
      </c>
      <c r="D3415" t="inlineStr">
        <is>
          <t>VÄSTERNORRLANDS LÄN</t>
        </is>
      </c>
      <c r="E3415" t="inlineStr">
        <is>
          <t>SOLLEFTEÅ</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48673-2024</t>
        </is>
      </c>
      <c r="B3416" s="1" t="n">
        <v>45593</v>
      </c>
      <c r="C3416" s="1" t="n">
        <v>45852</v>
      </c>
      <c r="D3416" t="inlineStr">
        <is>
          <t>VÄSTERNORRLANDS LÄN</t>
        </is>
      </c>
      <c r="E3416" t="inlineStr">
        <is>
          <t>SOLLEFTEÅ</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48528-2024</t>
        </is>
      </c>
      <c r="B3417" s="1" t="n">
        <v>45593</v>
      </c>
      <c r="C3417" s="1" t="n">
        <v>45852</v>
      </c>
      <c r="D3417" t="inlineStr">
        <is>
          <t>VÄSTERNORRLANDS LÄN</t>
        </is>
      </c>
      <c r="E3417" t="inlineStr">
        <is>
          <t>SOLLEFTEÅ</t>
        </is>
      </c>
      <c r="F3417" t="inlineStr">
        <is>
          <t>SCA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48529-2024</t>
        </is>
      </c>
      <c r="B3418" s="1" t="n">
        <v>45593</v>
      </c>
      <c r="C3418" s="1" t="n">
        <v>45852</v>
      </c>
      <c r="D3418" t="inlineStr">
        <is>
          <t>VÄSTERNORRLANDS LÄN</t>
        </is>
      </c>
      <c r="E3418" t="inlineStr">
        <is>
          <t>SOLLEFTEÅ</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48606-2024</t>
        </is>
      </c>
      <c r="B3419" s="1" t="n">
        <v>45593</v>
      </c>
      <c r="C3419" s="1" t="n">
        <v>45852</v>
      </c>
      <c r="D3419" t="inlineStr">
        <is>
          <t>VÄSTERNORRLANDS LÄN</t>
        </is>
      </c>
      <c r="E3419" t="inlineStr">
        <is>
          <t>SOLLEFTEÅ</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48785-2024</t>
        </is>
      </c>
      <c r="B3420" s="1" t="n">
        <v>45593</v>
      </c>
      <c r="C3420" s="1" t="n">
        <v>45852</v>
      </c>
      <c r="D3420" t="inlineStr">
        <is>
          <t>VÄSTERNORRLANDS LÄN</t>
        </is>
      </c>
      <c r="E3420" t="inlineStr">
        <is>
          <t>SOLLEFTEÅ</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48962-2024</t>
        </is>
      </c>
      <c r="B3421" s="1" t="n">
        <v>45594</v>
      </c>
      <c r="C3421" s="1" t="n">
        <v>45852</v>
      </c>
      <c r="D3421" t="inlineStr">
        <is>
          <t>VÄSTERNORRLANDS LÄN</t>
        </is>
      </c>
      <c r="E3421" t="inlineStr">
        <is>
          <t>SOLLEFTEÅ</t>
        </is>
      </c>
      <c r="F3421" t="inlineStr">
        <is>
          <t>SCA</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49156-2024</t>
        </is>
      </c>
      <c r="B3422" s="1" t="n">
        <v>45594</v>
      </c>
      <c r="C3422" s="1" t="n">
        <v>45852</v>
      </c>
      <c r="D3422" t="inlineStr">
        <is>
          <t>VÄSTERNORRLANDS LÄN</t>
        </is>
      </c>
      <c r="E3422" t="inlineStr">
        <is>
          <t>SOLLEFTEÅ</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48895-2024</t>
        </is>
      </c>
      <c r="B3423" s="1" t="n">
        <v>45594</v>
      </c>
      <c r="C3423" s="1" t="n">
        <v>45852</v>
      </c>
      <c r="D3423" t="inlineStr">
        <is>
          <t>VÄSTERNORRLANDS LÄN</t>
        </is>
      </c>
      <c r="E3423" t="inlineStr">
        <is>
          <t>SOLLEFTEÅ</t>
        </is>
      </c>
      <c r="F3423" t="inlineStr">
        <is>
          <t>SCA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49238-2024</t>
        </is>
      </c>
      <c r="B3424" s="1" t="n">
        <v>45595</v>
      </c>
      <c r="C3424" s="1" t="n">
        <v>45852</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49373-2024</t>
        </is>
      </c>
      <c r="B3425" s="1" t="n">
        <v>45595</v>
      </c>
      <c r="C3425" s="1" t="n">
        <v>45852</v>
      </c>
      <c r="D3425" t="inlineStr">
        <is>
          <t>VÄSTERNORRLANDS LÄN</t>
        </is>
      </c>
      <c r="E3425" t="inlineStr">
        <is>
          <t>SOLLEFTEÅ</t>
        </is>
      </c>
      <c r="F3425" t="inlineStr">
        <is>
          <t>SCA</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49403-2024</t>
        </is>
      </c>
      <c r="B3426" s="1" t="n">
        <v>45595</v>
      </c>
      <c r="C3426" s="1" t="n">
        <v>45852</v>
      </c>
      <c r="D3426" t="inlineStr">
        <is>
          <t>VÄSTERNORRLANDS LÄN</t>
        </is>
      </c>
      <c r="E3426" t="inlineStr">
        <is>
          <t>SOLLEFTEÅ</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49253-2024</t>
        </is>
      </c>
      <c r="B3427" s="1" t="n">
        <v>45595</v>
      </c>
      <c r="C3427" s="1" t="n">
        <v>45852</v>
      </c>
      <c r="D3427" t="inlineStr">
        <is>
          <t>VÄSTERNORRLANDS LÄN</t>
        </is>
      </c>
      <c r="E3427" t="inlineStr">
        <is>
          <t>SOLLEFTEÅ</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49673-2024</t>
        </is>
      </c>
      <c r="B3428" s="1" t="n">
        <v>45596</v>
      </c>
      <c r="C3428" s="1" t="n">
        <v>45852</v>
      </c>
      <c r="D3428" t="inlineStr">
        <is>
          <t>VÄSTERNORRLANDS LÄN</t>
        </is>
      </c>
      <c r="E3428" t="inlineStr">
        <is>
          <t>SOLLEFTEÅ</t>
        </is>
      </c>
      <c r="F3428" t="inlineStr">
        <is>
          <t>SCA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49567-2024</t>
        </is>
      </c>
      <c r="B3429" s="1" t="n">
        <v>45596</v>
      </c>
      <c r="C3429" s="1" t="n">
        <v>45852</v>
      </c>
      <c r="D3429" t="inlineStr">
        <is>
          <t>VÄSTERNORRLANDS LÄN</t>
        </is>
      </c>
      <c r="E3429" t="inlineStr">
        <is>
          <t>SOLLEFTEÅ</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49629-2024</t>
        </is>
      </c>
      <c r="B3430" s="1" t="n">
        <v>45596</v>
      </c>
      <c r="C3430" s="1" t="n">
        <v>45852</v>
      </c>
      <c r="D3430" t="inlineStr">
        <is>
          <t>VÄSTERNORRLANDS LÄN</t>
        </is>
      </c>
      <c r="E3430" t="inlineStr">
        <is>
          <t>SOLLEFTEÅ</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49771-2024</t>
        </is>
      </c>
      <c r="B3431" s="1" t="n">
        <v>45597</v>
      </c>
      <c r="C3431" s="1" t="n">
        <v>45852</v>
      </c>
      <c r="D3431" t="inlineStr">
        <is>
          <t>VÄSTERNORRLANDS LÄN</t>
        </is>
      </c>
      <c r="E3431" t="inlineStr">
        <is>
          <t>SOLLEFTEÅ</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49829-2024</t>
        </is>
      </c>
      <c r="B3432" s="1" t="n">
        <v>45597</v>
      </c>
      <c r="C3432" s="1" t="n">
        <v>45852</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49772-2024</t>
        </is>
      </c>
      <c r="B3433" s="1" t="n">
        <v>45597</v>
      </c>
      <c r="C3433" s="1" t="n">
        <v>45852</v>
      </c>
      <c r="D3433" t="inlineStr">
        <is>
          <t>VÄSTERNORRLANDS LÄN</t>
        </is>
      </c>
      <c r="E3433" t="inlineStr">
        <is>
          <t>SOLLEFTEÅ</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50007-2024</t>
        </is>
      </c>
      <c r="B3434" s="1" t="n">
        <v>45598</v>
      </c>
      <c r="C3434" s="1" t="n">
        <v>45852</v>
      </c>
      <c r="D3434" t="inlineStr">
        <is>
          <t>VÄSTERNORRLANDS LÄN</t>
        </is>
      </c>
      <c r="E3434" t="inlineStr">
        <is>
          <t>SOLLEFTEÅ</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50008-2024</t>
        </is>
      </c>
      <c r="B3435" s="1" t="n">
        <v>45598</v>
      </c>
      <c r="C3435" s="1" t="n">
        <v>45852</v>
      </c>
      <c r="D3435" t="inlineStr">
        <is>
          <t>VÄSTERNORRLANDS LÄN</t>
        </is>
      </c>
      <c r="E3435" t="inlineStr">
        <is>
          <t>SOLLEFTEÅ</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49999-2024</t>
        </is>
      </c>
      <c r="B3436" s="1" t="n">
        <v>45598</v>
      </c>
      <c r="C3436" s="1" t="n">
        <v>45852</v>
      </c>
      <c r="D3436" t="inlineStr">
        <is>
          <t>VÄSTERNORRLANDS LÄN</t>
        </is>
      </c>
      <c r="E3436" t="inlineStr">
        <is>
          <t>SOLLEFTEÅ</t>
        </is>
      </c>
      <c r="F3436" t="inlineStr">
        <is>
          <t>SCA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50006-2024</t>
        </is>
      </c>
      <c r="B3437" s="1" t="n">
        <v>45598</v>
      </c>
      <c r="C3437" s="1" t="n">
        <v>45852</v>
      </c>
      <c r="D3437" t="inlineStr">
        <is>
          <t>VÄSTERNORRLANDS LÄN</t>
        </is>
      </c>
      <c r="E3437" t="inlineStr">
        <is>
          <t>SOLLEFTEÅ</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50036-2024</t>
        </is>
      </c>
      <c r="B3438" s="1" t="n">
        <v>45599</v>
      </c>
      <c r="C3438" s="1" t="n">
        <v>45852</v>
      </c>
      <c r="D3438" t="inlineStr">
        <is>
          <t>VÄSTERNORRLANDS LÄN</t>
        </is>
      </c>
      <c r="E3438" t="inlineStr">
        <is>
          <t>SOLLEFTEÅ</t>
        </is>
      </c>
      <c r="G3438" t="n">
        <v>17.9</v>
      </c>
      <c r="H3438" t="n">
        <v>0</v>
      </c>
      <c r="I3438" t="n">
        <v>0</v>
      </c>
      <c r="J3438" t="n">
        <v>0</v>
      </c>
      <c r="K3438" t="n">
        <v>0</v>
      </c>
      <c r="L3438" t="n">
        <v>0</v>
      </c>
      <c r="M3438" t="n">
        <v>0</v>
      </c>
      <c r="N3438" t="n">
        <v>0</v>
      </c>
      <c r="O3438" t="n">
        <v>0</v>
      </c>
      <c r="P3438" t="n">
        <v>0</v>
      </c>
      <c r="Q3438" t="n">
        <v>0</v>
      </c>
      <c r="R3438" s="2" t="inlineStr"/>
    </row>
    <row r="3439" ht="15" customHeight="1">
      <c r="A3439" t="inlineStr">
        <is>
          <t>A 50089-2024</t>
        </is>
      </c>
      <c r="B3439" s="1" t="n">
        <v>45600</v>
      </c>
      <c r="C3439" s="1" t="n">
        <v>45852</v>
      </c>
      <c r="D3439" t="inlineStr">
        <is>
          <t>VÄSTERNORRLANDS LÄN</t>
        </is>
      </c>
      <c r="E3439" t="inlineStr">
        <is>
          <t>SOLLEFTEÅ</t>
        </is>
      </c>
      <c r="F3439" t="inlineStr">
        <is>
          <t>SCA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50316-2024</t>
        </is>
      </c>
      <c r="B3440" s="1" t="n">
        <v>45600</v>
      </c>
      <c r="C3440" s="1" t="n">
        <v>45852</v>
      </c>
      <c r="D3440" t="inlineStr">
        <is>
          <t>VÄSTERNORRLANDS LÄN</t>
        </is>
      </c>
      <c r="E3440" t="inlineStr">
        <is>
          <t>SOLLEFTEÅ</t>
        </is>
      </c>
      <c r="F3440" t="inlineStr">
        <is>
          <t>SCA</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50090-2024</t>
        </is>
      </c>
      <c r="B3441" s="1" t="n">
        <v>45600</v>
      </c>
      <c r="C3441" s="1" t="n">
        <v>45852</v>
      </c>
      <c r="D3441" t="inlineStr">
        <is>
          <t>VÄSTERNORRLANDS LÄN</t>
        </is>
      </c>
      <c r="E3441" t="inlineStr">
        <is>
          <t>SOLLEFTEÅ</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50624-2024</t>
        </is>
      </c>
      <c r="B3442" s="1" t="n">
        <v>45601</v>
      </c>
      <c r="C3442" s="1" t="n">
        <v>45852</v>
      </c>
      <c r="D3442" t="inlineStr">
        <is>
          <t>VÄSTERNORRLANDS LÄN</t>
        </is>
      </c>
      <c r="E3442" t="inlineStr">
        <is>
          <t>SOLLEFTEÅ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50557-2024</t>
        </is>
      </c>
      <c r="B3443" s="1" t="n">
        <v>45601</v>
      </c>
      <c r="C3443" s="1" t="n">
        <v>45852</v>
      </c>
      <c r="D3443" t="inlineStr">
        <is>
          <t>VÄSTERNORRLANDS LÄN</t>
        </is>
      </c>
      <c r="E3443" t="inlineStr">
        <is>
          <t>SOLLEFTEÅ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50549-2024</t>
        </is>
      </c>
      <c r="B3444" s="1" t="n">
        <v>45601</v>
      </c>
      <c r="C3444" s="1" t="n">
        <v>45852</v>
      </c>
      <c r="D3444" t="inlineStr">
        <is>
          <t>VÄSTERNORRLANDS LÄN</t>
        </is>
      </c>
      <c r="E3444" t="inlineStr">
        <is>
          <t>SOLLEFTEÅ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50430-2024</t>
        </is>
      </c>
      <c r="B3445" s="1" t="n">
        <v>45601</v>
      </c>
      <c r="C3445" s="1" t="n">
        <v>45852</v>
      </c>
      <c r="D3445" t="inlineStr">
        <is>
          <t>VÄSTERNORRLANDS LÄN</t>
        </is>
      </c>
      <c r="E3445" t="inlineStr">
        <is>
          <t>SOLLEFTEÅ</t>
        </is>
      </c>
      <c r="F3445" t="inlineStr">
        <is>
          <t>SCA</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50625-2024</t>
        </is>
      </c>
      <c r="B3446" s="1" t="n">
        <v>45601</v>
      </c>
      <c r="C3446" s="1" t="n">
        <v>45852</v>
      </c>
      <c r="D3446" t="inlineStr">
        <is>
          <t>VÄSTERNORRLANDS LÄN</t>
        </is>
      </c>
      <c r="E3446" t="inlineStr">
        <is>
          <t>SOLLEFTEÅ</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50717-2024</t>
        </is>
      </c>
      <c r="B3447" s="1" t="n">
        <v>45602</v>
      </c>
      <c r="C3447" s="1" t="n">
        <v>45852</v>
      </c>
      <c r="D3447" t="inlineStr">
        <is>
          <t>VÄSTERNORRLANDS LÄN</t>
        </is>
      </c>
      <c r="E3447" t="inlineStr">
        <is>
          <t>SOLLEFTEÅ</t>
        </is>
      </c>
      <c r="F3447" t="inlineStr">
        <is>
          <t>SCA</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50721-2024</t>
        </is>
      </c>
      <c r="B3448" s="1" t="n">
        <v>45602</v>
      </c>
      <c r="C3448" s="1" t="n">
        <v>45852</v>
      </c>
      <c r="D3448" t="inlineStr">
        <is>
          <t>VÄSTERNORRLANDS LÄN</t>
        </is>
      </c>
      <c r="E3448" t="inlineStr">
        <is>
          <t>SOLLEFTEÅ</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50864-2024</t>
        </is>
      </c>
      <c r="B3449" s="1" t="n">
        <v>45602</v>
      </c>
      <c r="C3449" s="1" t="n">
        <v>45852</v>
      </c>
      <c r="D3449" t="inlineStr">
        <is>
          <t>VÄSTERNORRLANDS LÄN</t>
        </is>
      </c>
      <c r="E3449" t="inlineStr">
        <is>
          <t>SOLLEFTEÅ</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50720-2024</t>
        </is>
      </c>
      <c r="B3450" s="1" t="n">
        <v>45602</v>
      </c>
      <c r="C3450" s="1" t="n">
        <v>45852</v>
      </c>
      <c r="D3450" t="inlineStr">
        <is>
          <t>VÄSTERNORRLANDS LÄN</t>
        </is>
      </c>
      <c r="E3450" t="inlineStr">
        <is>
          <t>SOLLEFTEÅ</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50770-2024</t>
        </is>
      </c>
      <c r="B3451" s="1" t="n">
        <v>45602</v>
      </c>
      <c r="C3451" s="1" t="n">
        <v>45852</v>
      </c>
      <c r="D3451" t="inlineStr">
        <is>
          <t>VÄSTERNORRLANDS LÄN</t>
        </is>
      </c>
      <c r="E3451" t="inlineStr">
        <is>
          <t>SOLLEFTEÅ</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50877-2024</t>
        </is>
      </c>
      <c r="B3452" s="1" t="n">
        <v>45602</v>
      </c>
      <c r="C3452" s="1" t="n">
        <v>45852</v>
      </c>
      <c r="D3452" t="inlineStr">
        <is>
          <t>VÄSTERNORRLANDS LÄN</t>
        </is>
      </c>
      <c r="E3452" t="inlineStr">
        <is>
          <t>SOLLEFTEÅ</t>
        </is>
      </c>
      <c r="G3452" t="n">
        <v>15.2</v>
      </c>
      <c r="H3452" t="n">
        <v>0</v>
      </c>
      <c r="I3452" t="n">
        <v>0</v>
      </c>
      <c r="J3452" t="n">
        <v>0</v>
      </c>
      <c r="K3452" t="n">
        <v>0</v>
      </c>
      <c r="L3452" t="n">
        <v>0</v>
      </c>
      <c r="M3452" t="n">
        <v>0</v>
      </c>
      <c r="N3452" t="n">
        <v>0</v>
      </c>
      <c r="O3452" t="n">
        <v>0</v>
      </c>
      <c r="P3452" t="n">
        <v>0</v>
      </c>
      <c r="Q3452" t="n">
        <v>0</v>
      </c>
      <c r="R3452" s="2" t="inlineStr"/>
    </row>
    <row r="3453" ht="15" customHeight="1">
      <c r="A3453" t="inlineStr">
        <is>
          <t>A 51193-2024</t>
        </is>
      </c>
      <c r="B3453" s="1" t="n">
        <v>45603</v>
      </c>
      <c r="C3453" s="1" t="n">
        <v>45852</v>
      </c>
      <c r="D3453" t="inlineStr">
        <is>
          <t>VÄSTERNORRLANDS LÄN</t>
        </is>
      </c>
      <c r="E3453" t="inlineStr">
        <is>
          <t>SOLLEFTEÅ</t>
        </is>
      </c>
      <c r="F3453" t="inlineStr">
        <is>
          <t>SCA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50963-2024</t>
        </is>
      </c>
      <c r="B3454" s="1" t="n">
        <v>45603</v>
      </c>
      <c r="C3454" s="1" t="n">
        <v>45852</v>
      </c>
      <c r="D3454" t="inlineStr">
        <is>
          <t>VÄSTERNORRLANDS LÄN</t>
        </is>
      </c>
      <c r="E3454" t="inlineStr">
        <is>
          <t>SOLLEFTEÅ</t>
        </is>
      </c>
      <c r="F3454" t="inlineStr">
        <is>
          <t>Holmen skog AB</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51224-2024</t>
        </is>
      </c>
      <c r="B3455" s="1" t="n">
        <v>45603</v>
      </c>
      <c r="C3455" s="1" t="n">
        <v>45852</v>
      </c>
      <c r="D3455" t="inlineStr">
        <is>
          <t>VÄSTERNORRLANDS LÄN</t>
        </is>
      </c>
      <c r="E3455" t="inlineStr">
        <is>
          <t>SOLLEFTEÅ</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51055-2024</t>
        </is>
      </c>
      <c r="B3456" s="1" t="n">
        <v>45603</v>
      </c>
      <c r="C3456" s="1" t="n">
        <v>45852</v>
      </c>
      <c r="D3456" t="inlineStr">
        <is>
          <t>VÄSTERNORRLANDS LÄN</t>
        </is>
      </c>
      <c r="E3456" t="inlineStr">
        <is>
          <t>SOLLEFTEÅ</t>
        </is>
      </c>
      <c r="F3456" t="inlineStr">
        <is>
          <t>SCA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51226-2024</t>
        </is>
      </c>
      <c r="B3457" s="1" t="n">
        <v>45603</v>
      </c>
      <c r="C3457" s="1" t="n">
        <v>45852</v>
      </c>
      <c r="D3457" t="inlineStr">
        <is>
          <t>VÄSTERNORRLANDS LÄN</t>
        </is>
      </c>
      <c r="E3457" t="inlineStr">
        <is>
          <t>SOLLEFTEÅ</t>
        </is>
      </c>
      <c r="F3457" t="inlineStr">
        <is>
          <t>SCA</t>
        </is>
      </c>
      <c r="G3457" t="n">
        <v>13.9</v>
      </c>
      <c r="H3457" t="n">
        <v>0</v>
      </c>
      <c r="I3457" t="n">
        <v>0</v>
      </c>
      <c r="J3457" t="n">
        <v>0</v>
      </c>
      <c r="K3457" t="n">
        <v>0</v>
      </c>
      <c r="L3457" t="n">
        <v>0</v>
      </c>
      <c r="M3457" t="n">
        <v>0</v>
      </c>
      <c r="N3457" t="n">
        <v>0</v>
      </c>
      <c r="O3457" t="n">
        <v>0</v>
      </c>
      <c r="P3457" t="n">
        <v>0</v>
      </c>
      <c r="Q3457" t="n">
        <v>0</v>
      </c>
      <c r="R3457" s="2" t="inlineStr"/>
    </row>
    <row r="3458" ht="15" customHeight="1">
      <c r="A3458" t="inlineStr">
        <is>
          <t>A 51132-2024</t>
        </is>
      </c>
      <c r="B3458" s="1" t="n">
        <v>45603</v>
      </c>
      <c r="C3458" s="1" t="n">
        <v>45852</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51264-2024</t>
        </is>
      </c>
      <c r="B3459" s="1" t="n">
        <v>45603</v>
      </c>
      <c r="C3459" s="1" t="n">
        <v>45852</v>
      </c>
      <c r="D3459" t="inlineStr">
        <is>
          <t>VÄSTERNORRLANDS LÄN</t>
        </is>
      </c>
      <c r="E3459" t="inlineStr">
        <is>
          <t>SOLLEFTEÅ</t>
        </is>
      </c>
      <c r="F3459" t="inlineStr">
        <is>
          <t>SCA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51227-2024</t>
        </is>
      </c>
      <c r="B3460" s="1" t="n">
        <v>45603</v>
      </c>
      <c r="C3460" s="1" t="n">
        <v>45852</v>
      </c>
      <c r="D3460" t="inlineStr">
        <is>
          <t>VÄSTERNORRLANDS LÄN</t>
        </is>
      </c>
      <c r="E3460" t="inlineStr">
        <is>
          <t>SOLLEFTEÅ</t>
        </is>
      </c>
      <c r="F3460" t="inlineStr">
        <is>
          <t>SCA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51402-2024</t>
        </is>
      </c>
      <c r="B3461" s="1" t="n">
        <v>45604</v>
      </c>
      <c r="C3461" s="1" t="n">
        <v>45852</v>
      </c>
      <c r="D3461" t="inlineStr">
        <is>
          <t>VÄSTERNORRLANDS LÄN</t>
        </is>
      </c>
      <c r="E3461" t="inlineStr">
        <is>
          <t>SOLLEFTEÅ</t>
        </is>
      </c>
      <c r="F3461" t="inlineStr">
        <is>
          <t>SCA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51527-2024</t>
        </is>
      </c>
      <c r="B3462" s="1" t="n">
        <v>45604</v>
      </c>
      <c r="C3462" s="1" t="n">
        <v>45852</v>
      </c>
      <c r="D3462" t="inlineStr">
        <is>
          <t>VÄSTERNORRLANDS LÄN</t>
        </is>
      </c>
      <c r="E3462" t="inlineStr">
        <is>
          <t>SOLLEFTEÅ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51573-2024</t>
        </is>
      </c>
      <c r="B3463" s="1" t="n">
        <v>45604</v>
      </c>
      <c r="C3463" s="1" t="n">
        <v>45852</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51528-2024</t>
        </is>
      </c>
      <c r="B3464" s="1" t="n">
        <v>45604</v>
      </c>
      <c r="C3464" s="1" t="n">
        <v>45852</v>
      </c>
      <c r="D3464" t="inlineStr">
        <is>
          <t>VÄSTERNORRLANDS LÄN</t>
        </is>
      </c>
      <c r="E3464" t="inlineStr">
        <is>
          <t>SOLLEFTEÅ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51341-2024</t>
        </is>
      </c>
      <c r="B3465" s="1" t="n">
        <v>45604</v>
      </c>
      <c r="C3465" s="1" t="n">
        <v>45852</v>
      </c>
      <c r="D3465" t="inlineStr">
        <is>
          <t>VÄSTERNORRLANDS LÄN</t>
        </is>
      </c>
      <c r="E3465" t="inlineStr">
        <is>
          <t>SOLLEFTEÅ</t>
        </is>
      </c>
      <c r="F3465" t="inlineStr">
        <is>
          <t>SCA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51505-2024</t>
        </is>
      </c>
      <c r="B3466" s="1" t="n">
        <v>45604</v>
      </c>
      <c r="C3466" s="1" t="n">
        <v>45852</v>
      </c>
      <c r="D3466" t="inlineStr">
        <is>
          <t>VÄSTERNORRLANDS LÄN</t>
        </is>
      </c>
      <c r="E3466" t="inlineStr">
        <is>
          <t>SOLLEFTEÅ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51616-2024</t>
        </is>
      </c>
      <c r="B3467" s="1" t="n">
        <v>45604</v>
      </c>
      <c r="C3467" s="1" t="n">
        <v>45852</v>
      </c>
      <c r="D3467" t="inlineStr">
        <is>
          <t>VÄSTERNORRLANDS LÄN</t>
        </is>
      </c>
      <c r="E3467" t="inlineStr">
        <is>
          <t>SOLLEFTEÅ</t>
        </is>
      </c>
      <c r="F3467" t="inlineStr">
        <is>
          <t>SCA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51693-2024</t>
        </is>
      </c>
      <c r="B3468" s="1" t="n">
        <v>45607</v>
      </c>
      <c r="C3468" s="1" t="n">
        <v>45852</v>
      </c>
      <c r="D3468" t="inlineStr">
        <is>
          <t>VÄSTERNORRLANDS LÄN</t>
        </is>
      </c>
      <c r="E3468" t="inlineStr">
        <is>
          <t>SOLLEFTEÅ</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51872-2024</t>
        </is>
      </c>
      <c r="B3469" s="1" t="n">
        <v>45607</v>
      </c>
      <c r="C3469" s="1" t="n">
        <v>45852</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51942-2024</t>
        </is>
      </c>
      <c r="B3470" s="1" t="n">
        <v>45607</v>
      </c>
      <c r="C3470" s="1" t="n">
        <v>45852</v>
      </c>
      <c r="D3470" t="inlineStr">
        <is>
          <t>VÄSTERNORRLANDS LÄN</t>
        </is>
      </c>
      <c r="E3470" t="inlineStr">
        <is>
          <t>SOLLEFTEÅ</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51735-2024</t>
        </is>
      </c>
      <c r="B3471" s="1" t="n">
        <v>45607</v>
      </c>
      <c r="C3471" s="1" t="n">
        <v>45852</v>
      </c>
      <c r="D3471" t="inlineStr">
        <is>
          <t>VÄSTERNORRLANDS LÄN</t>
        </is>
      </c>
      <c r="E3471" t="inlineStr">
        <is>
          <t>SOLLEFTEÅ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51890-2024</t>
        </is>
      </c>
      <c r="B3472" s="1" t="n">
        <v>45607</v>
      </c>
      <c r="C3472" s="1" t="n">
        <v>45852</v>
      </c>
      <c r="D3472" t="inlineStr">
        <is>
          <t>VÄSTERNORRLANDS LÄN</t>
        </is>
      </c>
      <c r="E3472" t="inlineStr">
        <is>
          <t>SOLLEFTEÅ</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51743-2024</t>
        </is>
      </c>
      <c r="B3473" s="1" t="n">
        <v>45607</v>
      </c>
      <c r="C3473" s="1" t="n">
        <v>45852</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52438-2024</t>
        </is>
      </c>
      <c r="B3474" s="1" t="n">
        <v>45609</v>
      </c>
      <c r="C3474" s="1" t="n">
        <v>45852</v>
      </c>
      <c r="D3474" t="inlineStr">
        <is>
          <t>VÄSTERNORRLANDS LÄN</t>
        </is>
      </c>
      <c r="E3474" t="inlineStr">
        <is>
          <t>SOLLEFTEÅ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52455-2024</t>
        </is>
      </c>
      <c r="B3475" s="1" t="n">
        <v>45609</v>
      </c>
      <c r="C3475" s="1" t="n">
        <v>45852</v>
      </c>
      <c r="D3475" t="inlineStr">
        <is>
          <t>VÄSTERNORRLANDS LÄN</t>
        </is>
      </c>
      <c r="E3475" t="inlineStr">
        <is>
          <t>SOLLEFTEÅ</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52471-2024</t>
        </is>
      </c>
      <c r="B3476" s="1" t="n">
        <v>45609</v>
      </c>
      <c r="C3476" s="1" t="n">
        <v>45852</v>
      </c>
      <c r="D3476" t="inlineStr">
        <is>
          <t>VÄSTERNORRLANDS LÄN</t>
        </is>
      </c>
      <c r="E3476" t="inlineStr">
        <is>
          <t>SOLLEFTEÅ</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52406-2024</t>
        </is>
      </c>
      <c r="B3477" s="1" t="n">
        <v>45609</v>
      </c>
      <c r="C3477" s="1" t="n">
        <v>45852</v>
      </c>
      <c r="D3477" t="inlineStr">
        <is>
          <t>VÄSTERNORRLANDS LÄN</t>
        </is>
      </c>
      <c r="E3477" t="inlineStr">
        <is>
          <t>SOLLEFTEÅ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52461-2024</t>
        </is>
      </c>
      <c r="B3478" s="1" t="n">
        <v>45609</v>
      </c>
      <c r="C3478" s="1" t="n">
        <v>45852</v>
      </c>
      <c r="D3478" t="inlineStr">
        <is>
          <t>VÄSTERNORRLANDS LÄN</t>
        </is>
      </c>
      <c r="E3478" t="inlineStr">
        <is>
          <t>SOLLEFTEÅ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52341-2024</t>
        </is>
      </c>
      <c r="B3479" s="1" t="n">
        <v>45609</v>
      </c>
      <c r="C3479" s="1" t="n">
        <v>45852</v>
      </c>
      <c r="D3479" t="inlineStr">
        <is>
          <t>VÄSTERNORRLANDS LÄN</t>
        </is>
      </c>
      <c r="E3479" t="inlineStr">
        <is>
          <t>SOLLEFTEÅ</t>
        </is>
      </c>
      <c r="F3479" t="inlineStr">
        <is>
          <t>Holmen skog AB</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52429-2024</t>
        </is>
      </c>
      <c r="B3480" s="1" t="n">
        <v>45609</v>
      </c>
      <c r="C3480" s="1" t="n">
        <v>45852</v>
      </c>
      <c r="D3480" t="inlineStr">
        <is>
          <t>VÄSTERNORRLANDS LÄN</t>
        </is>
      </c>
      <c r="E3480" t="inlineStr">
        <is>
          <t>SOLLEFTEÅ</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52530-2024</t>
        </is>
      </c>
      <c r="B3481" s="1" t="n">
        <v>45609</v>
      </c>
      <c r="C3481" s="1" t="n">
        <v>45852</v>
      </c>
      <c r="D3481" t="inlineStr">
        <is>
          <t>VÄSTERNORRLANDS LÄN</t>
        </is>
      </c>
      <c r="E3481" t="inlineStr">
        <is>
          <t>SOLLEFTEÅ</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52602-2024</t>
        </is>
      </c>
      <c r="B3482" s="1" t="n">
        <v>45609</v>
      </c>
      <c r="C3482" s="1" t="n">
        <v>45852</v>
      </c>
      <c r="D3482" t="inlineStr">
        <is>
          <t>VÄSTERNORRLANDS LÄN</t>
        </is>
      </c>
      <c r="E3482" t="inlineStr">
        <is>
          <t>SOLLEFTEÅ</t>
        </is>
      </c>
      <c r="G3482" t="n">
        <v>10.8</v>
      </c>
      <c r="H3482" t="n">
        <v>0</v>
      </c>
      <c r="I3482" t="n">
        <v>0</v>
      </c>
      <c r="J3482" t="n">
        <v>0</v>
      </c>
      <c r="K3482" t="n">
        <v>0</v>
      </c>
      <c r="L3482" t="n">
        <v>0</v>
      </c>
      <c r="M3482" t="n">
        <v>0</v>
      </c>
      <c r="N3482" t="n">
        <v>0</v>
      </c>
      <c r="O3482" t="n">
        <v>0</v>
      </c>
      <c r="P3482" t="n">
        <v>0</v>
      </c>
      <c r="Q3482" t="n">
        <v>0</v>
      </c>
      <c r="R3482" s="2" t="inlineStr"/>
    </row>
    <row r="3483" ht="15" customHeight="1">
      <c r="A3483" t="inlineStr">
        <is>
          <t>A 52681-2024</t>
        </is>
      </c>
      <c r="B3483" s="1" t="n">
        <v>45610</v>
      </c>
      <c r="C3483" s="1" t="n">
        <v>45852</v>
      </c>
      <c r="D3483" t="inlineStr">
        <is>
          <t>VÄSTERNORRLANDS LÄN</t>
        </is>
      </c>
      <c r="E3483" t="inlineStr">
        <is>
          <t>SOLLEFTEÅ</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52709-2024</t>
        </is>
      </c>
      <c r="B3484" s="1" t="n">
        <v>45610</v>
      </c>
      <c r="C3484" s="1" t="n">
        <v>45852</v>
      </c>
      <c r="D3484" t="inlineStr">
        <is>
          <t>VÄSTERNORRLANDS LÄN</t>
        </is>
      </c>
      <c r="E3484" t="inlineStr">
        <is>
          <t>SOLLEFTEÅ</t>
        </is>
      </c>
      <c r="F3484" t="inlineStr">
        <is>
          <t>SCA</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52768-2024</t>
        </is>
      </c>
      <c r="B3485" s="1" t="n">
        <v>45610</v>
      </c>
      <c r="C3485" s="1" t="n">
        <v>45852</v>
      </c>
      <c r="D3485" t="inlineStr">
        <is>
          <t>VÄSTERNORRLANDS LÄN</t>
        </is>
      </c>
      <c r="E3485" t="inlineStr">
        <is>
          <t>SOLLEFTEÅ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52663-2024</t>
        </is>
      </c>
      <c r="B3486" s="1" t="n">
        <v>45610</v>
      </c>
      <c r="C3486" s="1" t="n">
        <v>45852</v>
      </c>
      <c r="D3486" t="inlineStr">
        <is>
          <t>VÄSTERNORRLANDS LÄN</t>
        </is>
      </c>
      <c r="E3486" t="inlineStr">
        <is>
          <t>SOLLEFTEÅ</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52702-2024</t>
        </is>
      </c>
      <c r="B3487" s="1" t="n">
        <v>45610</v>
      </c>
      <c r="C3487" s="1" t="n">
        <v>45852</v>
      </c>
      <c r="D3487" t="inlineStr">
        <is>
          <t>VÄSTERNORRLANDS LÄN</t>
        </is>
      </c>
      <c r="E3487" t="inlineStr">
        <is>
          <t>SOLLEFTEÅ</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52662-2024</t>
        </is>
      </c>
      <c r="B3488" s="1" t="n">
        <v>45610</v>
      </c>
      <c r="C3488" s="1" t="n">
        <v>45852</v>
      </c>
      <c r="D3488" t="inlineStr">
        <is>
          <t>VÄSTERNORRLANDS LÄN</t>
        </is>
      </c>
      <c r="E3488" t="inlineStr">
        <is>
          <t>SOLLEFTEÅ</t>
        </is>
      </c>
      <c r="F3488" t="inlineStr">
        <is>
          <t>SCA</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53477-2024</t>
        </is>
      </c>
      <c r="B3489" s="1" t="n">
        <v>45611</v>
      </c>
      <c r="C3489" s="1" t="n">
        <v>45852</v>
      </c>
      <c r="D3489" t="inlineStr">
        <is>
          <t>VÄSTERNORRLANDS LÄN</t>
        </is>
      </c>
      <c r="E3489" t="inlineStr">
        <is>
          <t>SOLLEFTEÅ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53483-2024</t>
        </is>
      </c>
      <c r="B3490" s="1" t="n">
        <v>45611</v>
      </c>
      <c r="C3490" s="1" t="n">
        <v>45852</v>
      </c>
      <c r="D3490" t="inlineStr">
        <is>
          <t>VÄSTERNORRLANDS LÄN</t>
        </is>
      </c>
      <c r="E3490" t="inlineStr">
        <is>
          <t>SOLLEFTEÅ</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53165-2024</t>
        </is>
      </c>
      <c r="B3491" s="1" t="n">
        <v>45611</v>
      </c>
      <c r="C3491" s="1" t="n">
        <v>45852</v>
      </c>
      <c r="D3491" t="inlineStr">
        <is>
          <t>VÄSTERNORRLANDS LÄN</t>
        </is>
      </c>
      <c r="E3491" t="inlineStr">
        <is>
          <t>SOLLEFTEÅ</t>
        </is>
      </c>
      <c r="F3491" t="inlineStr">
        <is>
          <t>Holmen skog AB</t>
        </is>
      </c>
      <c r="G3491" t="n">
        <v>12.2</v>
      </c>
      <c r="H3491" t="n">
        <v>0</v>
      </c>
      <c r="I3491" t="n">
        <v>0</v>
      </c>
      <c r="J3491" t="n">
        <v>0</v>
      </c>
      <c r="K3491" t="n">
        <v>0</v>
      </c>
      <c r="L3491" t="n">
        <v>0</v>
      </c>
      <c r="M3491" t="n">
        <v>0</v>
      </c>
      <c r="N3491" t="n">
        <v>0</v>
      </c>
      <c r="O3491" t="n">
        <v>0</v>
      </c>
      <c r="P3491" t="n">
        <v>0</v>
      </c>
      <c r="Q3491" t="n">
        <v>0</v>
      </c>
      <c r="R3491" s="2" t="inlineStr"/>
    </row>
    <row r="3492" ht="15" customHeight="1">
      <c r="A3492" t="inlineStr">
        <is>
          <t>A 53120-2024</t>
        </is>
      </c>
      <c r="B3492" s="1" t="n">
        <v>45611</v>
      </c>
      <c r="C3492" s="1" t="n">
        <v>45852</v>
      </c>
      <c r="D3492" t="inlineStr">
        <is>
          <t>VÄSTERNORRLANDS LÄN</t>
        </is>
      </c>
      <c r="E3492" t="inlineStr">
        <is>
          <t>SOLLEFTEÅ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53212-2024</t>
        </is>
      </c>
      <c r="B3493" s="1" t="n">
        <v>45612</v>
      </c>
      <c r="C3493" s="1" t="n">
        <v>45852</v>
      </c>
      <c r="D3493" t="inlineStr">
        <is>
          <t>VÄSTERNORRLANDS LÄN</t>
        </is>
      </c>
      <c r="E3493" t="inlineStr">
        <is>
          <t>SOLLEFTEÅ</t>
        </is>
      </c>
      <c r="F3493" t="inlineStr">
        <is>
          <t>SCA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53206-2024</t>
        </is>
      </c>
      <c r="B3494" s="1" t="n">
        <v>45612</v>
      </c>
      <c r="C3494" s="1" t="n">
        <v>45852</v>
      </c>
      <c r="D3494" t="inlineStr">
        <is>
          <t>VÄSTERNORRLANDS LÄN</t>
        </is>
      </c>
      <c r="E3494" t="inlineStr">
        <is>
          <t>SOLLEFTEÅ</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53210-2024</t>
        </is>
      </c>
      <c r="B3495" s="1" t="n">
        <v>45612</v>
      </c>
      <c r="C3495" s="1" t="n">
        <v>45852</v>
      </c>
      <c r="D3495" t="inlineStr">
        <is>
          <t>VÄSTERNORRLANDS LÄN</t>
        </is>
      </c>
      <c r="E3495" t="inlineStr">
        <is>
          <t>SOLLEFTEÅ</t>
        </is>
      </c>
      <c r="F3495" t="inlineStr">
        <is>
          <t>SCA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53327-2024</t>
        </is>
      </c>
      <c r="B3496" s="1" t="n">
        <v>45614</v>
      </c>
      <c r="C3496" s="1" t="n">
        <v>45852</v>
      </c>
      <c r="D3496" t="inlineStr">
        <is>
          <t>VÄSTERNORRLANDS LÄN</t>
        </is>
      </c>
      <c r="E3496" t="inlineStr">
        <is>
          <t>SOLLEFTEÅ</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53332-2024</t>
        </is>
      </c>
      <c r="B3497" s="1" t="n">
        <v>45614</v>
      </c>
      <c r="C3497" s="1" t="n">
        <v>45852</v>
      </c>
      <c r="D3497" t="inlineStr">
        <is>
          <t>VÄSTERNORRLANDS LÄN</t>
        </is>
      </c>
      <c r="E3497" t="inlineStr">
        <is>
          <t>SOLLEFTEÅ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53334-2024</t>
        </is>
      </c>
      <c r="B3498" s="1" t="n">
        <v>45614</v>
      </c>
      <c r="C3498" s="1" t="n">
        <v>45852</v>
      </c>
      <c r="D3498" t="inlineStr">
        <is>
          <t>VÄSTERNORRLANDS LÄN</t>
        </is>
      </c>
      <c r="E3498" t="inlineStr">
        <is>
          <t>SOLLEFTEÅ</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53330-2024</t>
        </is>
      </c>
      <c r="B3499" s="1" t="n">
        <v>45614</v>
      </c>
      <c r="C3499" s="1" t="n">
        <v>45852</v>
      </c>
      <c r="D3499" t="inlineStr">
        <is>
          <t>VÄSTERNORRLANDS LÄN</t>
        </is>
      </c>
      <c r="E3499" t="inlineStr">
        <is>
          <t>SOLLEFTEÅ</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53545-2024</t>
        </is>
      </c>
      <c r="B3500" s="1" t="n">
        <v>45614</v>
      </c>
      <c r="C3500" s="1" t="n">
        <v>45852</v>
      </c>
      <c r="D3500" t="inlineStr">
        <is>
          <t>VÄSTERNORRLANDS LÄN</t>
        </is>
      </c>
      <c r="E3500" t="inlineStr">
        <is>
          <t>SOLLEFTEÅ</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53325-2024</t>
        </is>
      </c>
      <c r="B3501" s="1" t="n">
        <v>45614</v>
      </c>
      <c r="C3501" s="1" t="n">
        <v>45852</v>
      </c>
      <c r="D3501" t="inlineStr">
        <is>
          <t>VÄSTERNORRLANDS LÄN</t>
        </is>
      </c>
      <c r="E3501" t="inlineStr">
        <is>
          <t>SOLLEFTEÅ</t>
        </is>
      </c>
      <c r="G3501" t="n">
        <v>9.6</v>
      </c>
      <c r="H3501" t="n">
        <v>0</v>
      </c>
      <c r="I3501" t="n">
        <v>0</v>
      </c>
      <c r="J3501" t="n">
        <v>0</v>
      </c>
      <c r="K3501" t="n">
        <v>0</v>
      </c>
      <c r="L3501" t="n">
        <v>0</v>
      </c>
      <c r="M3501" t="n">
        <v>0</v>
      </c>
      <c r="N3501" t="n">
        <v>0</v>
      </c>
      <c r="O3501" t="n">
        <v>0</v>
      </c>
      <c r="P3501" t="n">
        <v>0</v>
      </c>
      <c r="Q3501" t="n">
        <v>0</v>
      </c>
      <c r="R3501" s="2" t="inlineStr"/>
    </row>
    <row r="3502" ht="15" customHeight="1">
      <c r="A3502" t="inlineStr">
        <is>
          <t>A 53321-2024</t>
        </is>
      </c>
      <c r="B3502" s="1" t="n">
        <v>45614</v>
      </c>
      <c r="C3502" s="1" t="n">
        <v>45852</v>
      </c>
      <c r="D3502" t="inlineStr">
        <is>
          <t>VÄSTERNORRLANDS LÄN</t>
        </is>
      </c>
      <c r="E3502" t="inlineStr">
        <is>
          <t>SOLLEFTEÅ</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53831-2024</t>
        </is>
      </c>
      <c r="B3503" s="1" t="n">
        <v>45615</v>
      </c>
      <c r="C3503" s="1" t="n">
        <v>45852</v>
      </c>
      <c r="D3503" t="inlineStr">
        <is>
          <t>VÄSTERNORRLANDS LÄN</t>
        </is>
      </c>
      <c r="E3503" t="inlineStr">
        <is>
          <t>SOLLEFTEÅ</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53855-2024</t>
        </is>
      </c>
      <c r="B3504" s="1" t="n">
        <v>45615</v>
      </c>
      <c r="C3504" s="1" t="n">
        <v>45852</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54094-2024</t>
        </is>
      </c>
      <c r="B3505" s="1" t="n">
        <v>45616</v>
      </c>
      <c r="C3505" s="1" t="n">
        <v>45852</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54234-2024</t>
        </is>
      </c>
      <c r="B3506" s="1" t="n">
        <v>45616</v>
      </c>
      <c r="C3506" s="1" t="n">
        <v>45852</v>
      </c>
      <c r="D3506" t="inlineStr">
        <is>
          <t>VÄSTERNORRLANDS LÄN</t>
        </is>
      </c>
      <c r="E3506" t="inlineStr">
        <is>
          <t>SOLLEFTEÅ</t>
        </is>
      </c>
      <c r="F3506" t="inlineStr">
        <is>
          <t>SCA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54238-2024</t>
        </is>
      </c>
      <c r="B3507" s="1" t="n">
        <v>45616</v>
      </c>
      <c r="C3507" s="1" t="n">
        <v>45852</v>
      </c>
      <c r="D3507" t="inlineStr">
        <is>
          <t>VÄSTERNORRLANDS LÄN</t>
        </is>
      </c>
      <c r="E3507" t="inlineStr">
        <is>
          <t>SOLLEFTEÅ</t>
        </is>
      </c>
      <c r="F3507" t="inlineStr">
        <is>
          <t>SCA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54073-2024</t>
        </is>
      </c>
      <c r="B3508" s="1" t="n">
        <v>45616</v>
      </c>
      <c r="C3508" s="1" t="n">
        <v>45852</v>
      </c>
      <c r="D3508" t="inlineStr">
        <is>
          <t>VÄSTERNORRLANDS LÄN</t>
        </is>
      </c>
      <c r="E3508" t="inlineStr">
        <is>
          <t>SOLLEFTEÅ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54241-2024</t>
        </is>
      </c>
      <c r="B3509" s="1" t="n">
        <v>45616</v>
      </c>
      <c r="C3509" s="1" t="n">
        <v>45852</v>
      </c>
      <c r="D3509" t="inlineStr">
        <is>
          <t>VÄSTERNORRLANDS LÄN</t>
        </is>
      </c>
      <c r="E3509" t="inlineStr">
        <is>
          <t>SOLLEFTEÅ</t>
        </is>
      </c>
      <c r="F3509" t="inlineStr">
        <is>
          <t>SCA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54233-2024</t>
        </is>
      </c>
      <c r="B3510" s="1" t="n">
        <v>45616</v>
      </c>
      <c r="C3510" s="1" t="n">
        <v>45852</v>
      </c>
      <c r="D3510" t="inlineStr">
        <is>
          <t>VÄSTERNORRLANDS LÄN</t>
        </is>
      </c>
      <c r="E3510" t="inlineStr">
        <is>
          <t>SOLLEFTEÅ</t>
        </is>
      </c>
      <c r="F3510" t="inlineStr">
        <is>
          <t>SCA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54240-2024</t>
        </is>
      </c>
      <c r="B3511" s="1" t="n">
        <v>45616</v>
      </c>
      <c r="C3511" s="1" t="n">
        <v>45852</v>
      </c>
      <c r="D3511" t="inlineStr">
        <is>
          <t>VÄSTERNORRLANDS LÄN</t>
        </is>
      </c>
      <c r="E3511" t="inlineStr">
        <is>
          <t>SOLLEFTEÅ</t>
        </is>
      </c>
      <c r="F3511" t="inlineStr">
        <is>
          <t>SCA</t>
        </is>
      </c>
      <c r="G3511" t="n">
        <v>38.4</v>
      </c>
      <c r="H3511" t="n">
        <v>0</v>
      </c>
      <c r="I3511" t="n">
        <v>0</v>
      </c>
      <c r="J3511" t="n">
        <v>0</v>
      </c>
      <c r="K3511" t="n">
        <v>0</v>
      </c>
      <c r="L3511" t="n">
        <v>0</v>
      </c>
      <c r="M3511" t="n">
        <v>0</v>
      </c>
      <c r="N3511" t="n">
        <v>0</v>
      </c>
      <c r="O3511" t="n">
        <v>0</v>
      </c>
      <c r="P3511" t="n">
        <v>0</v>
      </c>
      <c r="Q3511" t="n">
        <v>0</v>
      </c>
      <c r="R3511" s="2" t="inlineStr"/>
    </row>
    <row r="3512" ht="15" customHeight="1">
      <c r="A3512" t="inlineStr">
        <is>
          <t>A 54235-2024</t>
        </is>
      </c>
      <c r="B3512" s="1" t="n">
        <v>45616</v>
      </c>
      <c r="C3512" s="1" t="n">
        <v>45852</v>
      </c>
      <c r="D3512" t="inlineStr">
        <is>
          <t>VÄSTERNORRLANDS LÄN</t>
        </is>
      </c>
      <c r="E3512" t="inlineStr">
        <is>
          <t>SOLLEFTEÅ</t>
        </is>
      </c>
      <c r="F3512" t="inlineStr">
        <is>
          <t>SCA</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54231-2024</t>
        </is>
      </c>
      <c r="B3513" s="1" t="n">
        <v>45616</v>
      </c>
      <c r="C3513" s="1" t="n">
        <v>45852</v>
      </c>
      <c r="D3513" t="inlineStr">
        <is>
          <t>VÄSTERNORRLANDS LÄN</t>
        </is>
      </c>
      <c r="E3513" t="inlineStr">
        <is>
          <t>SOLLEFTEÅ</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54458-2024</t>
        </is>
      </c>
      <c r="B3514" s="1" t="n">
        <v>45617</v>
      </c>
      <c r="C3514" s="1" t="n">
        <v>45852</v>
      </c>
      <c r="D3514" t="inlineStr">
        <is>
          <t>VÄSTERNORRLANDS LÄN</t>
        </is>
      </c>
      <c r="E3514" t="inlineStr">
        <is>
          <t>SOLLEFTEÅ</t>
        </is>
      </c>
      <c r="F3514" t="inlineStr">
        <is>
          <t>SCA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54575-2024</t>
        </is>
      </c>
      <c r="B3515" s="1" t="n">
        <v>45617</v>
      </c>
      <c r="C3515" s="1" t="n">
        <v>45852</v>
      </c>
      <c r="D3515" t="inlineStr">
        <is>
          <t>VÄSTERNORRLANDS LÄN</t>
        </is>
      </c>
      <c r="E3515" t="inlineStr">
        <is>
          <t>SOLLEFTEÅ</t>
        </is>
      </c>
      <c r="F3515" t="inlineStr">
        <is>
          <t>Holmen skog AB</t>
        </is>
      </c>
      <c r="G3515" t="n">
        <v>1.7</v>
      </c>
      <c r="H3515" t="n">
        <v>0</v>
      </c>
      <c r="I3515" t="n">
        <v>0</v>
      </c>
      <c r="J3515" t="n">
        <v>0</v>
      </c>
      <c r="K3515" t="n">
        <v>0</v>
      </c>
      <c r="L3515" t="n">
        <v>0</v>
      </c>
      <c r="M3515" t="n">
        <v>0</v>
      </c>
      <c r="N3515" t="n">
        <v>0</v>
      </c>
      <c r="O3515" t="n">
        <v>0</v>
      </c>
      <c r="P3515" t="n">
        <v>0</v>
      </c>
      <c r="Q3515" t="n">
        <v>0</v>
      </c>
      <c r="R3515" s="2" t="inlineStr"/>
      <c r="U3515">
        <f>HYPERLINK("https://klasma.github.io/Logging_2283/knärot/A 54575-2024 karta knärot.png", "A 54575-2024")</f>
        <v/>
      </c>
      <c r="V3515">
        <f>HYPERLINK("https://klasma.github.io/Logging_2283/klagomål/A 54575-2024 FSC-klagomål.docx", "A 54575-2024")</f>
        <v/>
      </c>
      <c r="W3515">
        <f>HYPERLINK("https://klasma.github.io/Logging_2283/klagomålsmail/A 54575-2024 FSC-klagomål mail.docx", "A 54575-2024")</f>
        <v/>
      </c>
      <c r="X3515">
        <f>HYPERLINK("https://klasma.github.io/Logging_2283/tillsyn/A 54575-2024 tillsynsbegäran.docx", "A 54575-2024")</f>
        <v/>
      </c>
      <c r="Y3515">
        <f>HYPERLINK("https://klasma.github.io/Logging_2283/tillsynsmail/A 54575-2024 tillsynsbegäran mail.docx", "A 54575-2024")</f>
        <v/>
      </c>
    </row>
    <row r="3516" ht="15" customHeight="1">
      <c r="A3516" t="inlineStr">
        <is>
          <t>A 54574-2024</t>
        </is>
      </c>
      <c r="B3516" s="1" t="n">
        <v>45617</v>
      </c>
      <c r="C3516" s="1" t="n">
        <v>45852</v>
      </c>
      <c r="D3516" t="inlineStr">
        <is>
          <t>VÄSTERNORRLANDS LÄN</t>
        </is>
      </c>
      <c r="E3516" t="inlineStr">
        <is>
          <t>SOLLEFTEÅ</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54532-2024</t>
        </is>
      </c>
      <c r="B3517" s="1" t="n">
        <v>45617</v>
      </c>
      <c r="C3517" s="1" t="n">
        <v>45852</v>
      </c>
      <c r="D3517" t="inlineStr">
        <is>
          <t>VÄSTERNORRLANDS LÄN</t>
        </is>
      </c>
      <c r="E3517" t="inlineStr">
        <is>
          <t>SOLLEFTEÅ</t>
        </is>
      </c>
      <c r="G3517" t="n">
        <v>8.199999999999999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54548-2024</t>
        </is>
      </c>
      <c r="B3518" s="1" t="n">
        <v>45617</v>
      </c>
      <c r="C3518" s="1" t="n">
        <v>45852</v>
      </c>
      <c r="D3518" t="inlineStr">
        <is>
          <t>VÄSTERNORRLANDS LÄN</t>
        </is>
      </c>
      <c r="E3518" t="inlineStr">
        <is>
          <t>SOLLEFTEÅ</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54572-2024</t>
        </is>
      </c>
      <c r="B3519" s="1" t="n">
        <v>45617</v>
      </c>
      <c r="C3519" s="1" t="n">
        <v>45852</v>
      </c>
      <c r="D3519" t="inlineStr">
        <is>
          <t>VÄSTERNORRLANDS LÄN</t>
        </is>
      </c>
      <c r="E3519" t="inlineStr">
        <is>
          <t>SOLLEFTEÅ</t>
        </is>
      </c>
      <c r="G3519" t="n">
        <v>28.2</v>
      </c>
      <c r="H3519" t="n">
        <v>0</v>
      </c>
      <c r="I3519" t="n">
        <v>0</v>
      </c>
      <c r="J3519" t="n">
        <v>0</v>
      </c>
      <c r="K3519" t="n">
        <v>0</v>
      </c>
      <c r="L3519" t="n">
        <v>0</v>
      </c>
      <c r="M3519" t="n">
        <v>0</v>
      </c>
      <c r="N3519" t="n">
        <v>0</v>
      </c>
      <c r="O3519" t="n">
        <v>0</v>
      </c>
      <c r="P3519" t="n">
        <v>0</v>
      </c>
      <c r="Q3519" t="n">
        <v>0</v>
      </c>
      <c r="R3519" s="2" t="inlineStr"/>
    </row>
    <row r="3520" ht="15" customHeight="1">
      <c r="A3520" t="inlineStr">
        <is>
          <t>A 54485-2024</t>
        </is>
      </c>
      <c r="B3520" s="1" t="n">
        <v>45617</v>
      </c>
      <c r="C3520" s="1" t="n">
        <v>45852</v>
      </c>
      <c r="D3520" t="inlineStr">
        <is>
          <t>VÄSTERNORRLANDS LÄN</t>
        </is>
      </c>
      <c r="E3520" t="inlineStr">
        <is>
          <t>SOLLEFTEÅ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54553-2024</t>
        </is>
      </c>
      <c r="B3521" s="1" t="n">
        <v>45617</v>
      </c>
      <c r="C3521" s="1" t="n">
        <v>45852</v>
      </c>
      <c r="D3521" t="inlineStr">
        <is>
          <t>VÄSTERNORRLANDS LÄN</t>
        </is>
      </c>
      <c r="E3521" t="inlineStr">
        <is>
          <t>SOLLEFTEÅ</t>
        </is>
      </c>
      <c r="F3521" t="inlineStr">
        <is>
          <t>SCA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54725-2024</t>
        </is>
      </c>
      <c r="B3522" s="1" t="n">
        <v>45618</v>
      </c>
      <c r="C3522" s="1" t="n">
        <v>45852</v>
      </c>
      <c r="D3522" t="inlineStr">
        <is>
          <t>VÄSTERNORRLANDS LÄN</t>
        </is>
      </c>
      <c r="E3522" t="inlineStr">
        <is>
          <t>SOLLEFTEÅ</t>
        </is>
      </c>
      <c r="F3522" t="inlineStr">
        <is>
          <t>SCA</t>
        </is>
      </c>
      <c r="G3522" t="n">
        <v>35.2</v>
      </c>
      <c r="H3522" t="n">
        <v>0</v>
      </c>
      <c r="I3522" t="n">
        <v>0</v>
      </c>
      <c r="J3522" t="n">
        <v>0</v>
      </c>
      <c r="K3522" t="n">
        <v>0</v>
      </c>
      <c r="L3522" t="n">
        <v>0</v>
      </c>
      <c r="M3522" t="n">
        <v>0</v>
      </c>
      <c r="N3522" t="n">
        <v>0</v>
      </c>
      <c r="O3522" t="n">
        <v>0</v>
      </c>
      <c r="P3522" t="n">
        <v>0</v>
      </c>
      <c r="Q3522" t="n">
        <v>0</v>
      </c>
      <c r="R3522" s="2" t="inlineStr"/>
    </row>
    <row r="3523" ht="15" customHeight="1">
      <c r="A3523" t="inlineStr">
        <is>
          <t>A 54726-2024</t>
        </is>
      </c>
      <c r="B3523" s="1" t="n">
        <v>45618</v>
      </c>
      <c r="C3523" s="1" t="n">
        <v>45852</v>
      </c>
      <c r="D3523" t="inlineStr">
        <is>
          <t>VÄSTERNORRLANDS LÄN</t>
        </is>
      </c>
      <c r="E3523" t="inlineStr">
        <is>
          <t>SOLLEFTEÅ</t>
        </is>
      </c>
      <c r="F3523" t="inlineStr">
        <is>
          <t>SCA</t>
        </is>
      </c>
      <c r="G3523" t="n">
        <v>28.2</v>
      </c>
      <c r="H3523" t="n">
        <v>0</v>
      </c>
      <c r="I3523" t="n">
        <v>0</v>
      </c>
      <c r="J3523" t="n">
        <v>0</v>
      </c>
      <c r="K3523" t="n">
        <v>0</v>
      </c>
      <c r="L3523" t="n">
        <v>0</v>
      </c>
      <c r="M3523" t="n">
        <v>0</v>
      </c>
      <c r="N3523" t="n">
        <v>0</v>
      </c>
      <c r="O3523" t="n">
        <v>0</v>
      </c>
      <c r="P3523" t="n">
        <v>0</v>
      </c>
      <c r="Q3523" t="n">
        <v>0</v>
      </c>
      <c r="R3523" s="2" t="inlineStr"/>
    </row>
    <row r="3524" ht="15" customHeight="1">
      <c r="A3524" t="inlineStr">
        <is>
          <t>A 54923-2024</t>
        </is>
      </c>
      <c r="B3524" s="1" t="n">
        <v>45618</v>
      </c>
      <c r="C3524" s="1" t="n">
        <v>45852</v>
      </c>
      <c r="D3524" t="inlineStr">
        <is>
          <t>VÄSTERNORRLANDS LÄN</t>
        </is>
      </c>
      <c r="E3524" t="inlineStr">
        <is>
          <t>SOLLEFTEÅ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54806-2024</t>
        </is>
      </c>
      <c r="B3525" s="1" t="n">
        <v>45618</v>
      </c>
      <c r="C3525" s="1" t="n">
        <v>45852</v>
      </c>
      <c r="D3525" t="inlineStr">
        <is>
          <t>VÄSTERNORRLANDS LÄN</t>
        </is>
      </c>
      <c r="E3525" t="inlineStr">
        <is>
          <t>SOLLEFTEÅ</t>
        </is>
      </c>
      <c r="F3525" t="inlineStr">
        <is>
          <t>SCA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55149-2024</t>
        </is>
      </c>
      <c r="B3526" s="1" t="n">
        <v>45621</v>
      </c>
      <c r="C3526" s="1" t="n">
        <v>45852</v>
      </c>
      <c r="D3526" t="inlineStr">
        <is>
          <t>VÄSTERNORRLANDS LÄN</t>
        </is>
      </c>
      <c r="E3526" t="inlineStr">
        <is>
          <t>SOLLEFTEÅ</t>
        </is>
      </c>
      <c r="F3526" t="inlineStr">
        <is>
          <t>SCA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55272-2024</t>
        </is>
      </c>
      <c r="B3527" s="1" t="n">
        <v>45621</v>
      </c>
      <c r="C3527" s="1" t="n">
        <v>45852</v>
      </c>
      <c r="D3527" t="inlineStr">
        <is>
          <t>VÄSTERNORRLANDS LÄN</t>
        </is>
      </c>
      <c r="E3527" t="inlineStr">
        <is>
          <t>SOLLEFTEÅ</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55420-2024</t>
        </is>
      </c>
      <c r="B3528" s="1" t="n">
        <v>45622</v>
      </c>
      <c r="C3528" s="1" t="n">
        <v>45852</v>
      </c>
      <c r="D3528" t="inlineStr">
        <is>
          <t>VÄSTERNORRLANDS LÄN</t>
        </is>
      </c>
      <c r="E3528" t="inlineStr">
        <is>
          <t>SOLLEFTEÅ</t>
        </is>
      </c>
      <c r="F3528" t="inlineStr">
        <is>
          <t>SCA</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55439-2024</t>
        </is>
      </c>
      <c r="B3529" s="1" t="n">
        <v>45622</v>
      </c>
      <c r="C3529" s="1" t="n">
        <v>45852</v>
      </c>
      <c r="D3529" t="inlineStr">
        <is>
          <t>VÄSTERNORRLANDS LÄN</t>
        </is>
      </c>
      <c r="E3529" t="inlineStr">
        <is>
          <t>SOLLEFTEÅ</t>
        </is>
      </c>
      <c r="F3529" t="inlineStr">
        <is>
          <t>SCA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55542-2024</t>
        </is>
      </c>
      <c r="B3530" s="1" t="n">
        <v>45622</v>
      </c>
      <c r="C3530" s="1" t="n">
        <v>45852</v>
      </c>
      <c r="D3530" t="inlineStr">
        <is>
          <t>VÄSTERNORRLANDS LÄN</t>
        </is>
      </c>
      <c r="E3530" t="inlineStr">
        <is>
          <t>SOLLEFTEÅ</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55440-2024</t>
        </is>
      </c>
      <c r="B3531" s="1" t="n">
        <v>45622</v>
      </c>
      <c r="C3531" s="1" t="n">
        <v>45852</v>
      </c>
      <c r="D3531" t="inlineStr">
        <is>
          <t>VÄSTERNORRLANDS LÄN</t>
        </is>
      </c>
      <c r="E3531" t="inlineStr">
        <is>
          <t>SOLLEFTEÅ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55691-2024</t>
        </is>
      </c>
      <c r="B3532" s="1" t="n">
        <v>45622</v>
      </c>
      <c r="C3532" s="1" t="n">
        <v>45852</v>
      </c>
      <c r="D3532" t="inlineStr">
        <is>
          <t>VÄSTERNORRLANDS LÄN</t>
        </is>
      </c>
      <c r="E3532" t="inlineStr">
        <is>
          <t>SOLLEFTEÅ</t>
        </is>
      </c>
      <c r="F3532" t="inlineStr">
        <is>
          <t>SCA</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55707-2024</t>
        </is>
      </c>
      <c r="B3533" s="1" t="n">
        <v>45622</v>
      </c>
      <c r="C3533" s="1" t="n">
        <v>45852</v>
      </c>
      <c r="D3533" t="inlineStr">
        <is>
          <t>VÄSTERNORRLANDS LÄN</t>
        </is>
      </c>
      <c r="E3533" t="inlineStr">
        <is>
          <t>SOLLEFTEÅ</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55692-2024</t>
        </is>
      </c>
      <c r="B3534" s="1" t="n">
        <v>45622</v>
      </c>
      <c r="C3534" s="1" t="n">
        <v>45852</v>
      </c>
      <c r="D3534" t="inlineStr">
        <is>
          <t>VÄSTERNORRLANDS LÄN</t>
        </is>
      </c>
      <c r="E3534" t="inlineStr">
        <is>
          <t>SOLLEFTEÅ</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55710-2024</t>
        </is>
      </c>
      <c r="B3535" s="1" t="n">
        <v>45622</v>
      </c>
      <c r="C3535" s="1" t="n">
        <v>45852</v>
      </c>
      <c r="D3535" t="inlineStr">
        <is>
          <t>VÄSTERNORRLANDS LÄN</t>
        </is>
      </c>
      <c r="E3535" t="inlineStr">
        <is>
          <t>SOLLEFTEÅ</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55726-2024</t>
        </is>
      </c>
      <c r="B3536" s="1" t="n">
        <v>45622</v>
      </c>
      <c r="C3536" s="1" t="n">
        <v>45852</v>
      </c>
      <c r="D3536" t="inlineStr">
        <is>
          <t>VÄSTERNORRLANDS LÄN</t>
        </is>
      </c>
      <c r="E3536" t="inlineStr">
        <is>
          <t>SOLLEFTEÅ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55769-2024</t>
        </is>
      </c>
      <c r="B3537" s="1" t="n">
        <v>45623</v>
      </c>
      <c r="C3537" s="1" t="n">
        <v>45852</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55792-2024</t>
        </is>
      </c>
      <c r="B3538" s="1" t="n">
        <v>45623</v>
      </c>
      <c r="C3538" s="1" t="n">
        <v>45852</v>
      </c>
      <c r="D3538" t="inlineStr">
        <is>
          <t>VÄSTERNORRLANDS LÄN</t>
        </is>
      </c>
      <c r="E3538" t="inlineStr">
        <is>
          <t>SOLLEFTEÅ</t>
        </is>
      </c>
      <c r="F3538" t="inlineStr">
        <is>
          <t>SCA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55759-2024</t>
        </is>
      </c>
      <c r="B3539" s="1" t="n">
        <v>45623</v>
      </c>
      <c r="C3539" s="1" t="n">
        <v>45852</v>
      </c>
      <c r="D3539" t="inlineStr">
        <is>
          <t>VÄSTERNORRLANDS LÄN</t>
        </is>
      </c>
      <c r="E3539" t="inlineStr">
        <is>
          <t>SOLLEFTEÅ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55848-2024</t>
        </is>
      </c>
      <c r="B3540" s="1" t="n">
        <v>45623</v>
      </c>
      <c r="C3540" s="1" t="n">
        <v>45852</v>
      </c>
      <c r="D3540" t="inlineStr">
        <is>
          <t>VÄSTERNORRLANDS LÄN</t>
        </is>
      </c>
      <c r="E3540" t="inlineStr">
        <is>
          <t>SOLLEFTEÅ</t>
        </is>
      </c>
      <c r="F3540" t="inlineStr">
        <is>
          <t>SCA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55756-2024</t>
        </is>
      </c>
      <c r="B3541" s="1" t="n">
        <v>45623</v>
      </c>
      <c r="C3541" s="1" t="n">
        <v>45852</v>
      </c>
      <c r="D3541" t="inlineStr">
        <is>
          <t>VÄSTERNORRLANDS LÄN</t>
        </is>
      </c>
      <c r="E3541" t="inlineStr">
        <is>
          <t>SOLLEFTEÅ</t>
        </is>
      </c>
      <c r="F3541" t="inlineStr">
        <is>
          <t>Holmen skog AB</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55824-2024</t>
        </is>
      </c>
      <c r="B3542" s="1" t="n">
        <v>45623</v>
      </c>
      <c r="C3542" s="1" t="n">
        <v>45852</v>
      </c>
      <c r="D3542" t="inlineStr">
        <is>
          <t>VÄSTERNORRLANDS LÄN</t>
        </is>
      </c>
      <c r="E3542" t="inlineStr">
        <is>
          <t>SOLLEFTEÅ</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55872-2024</t>
        </is>
      </c>
      <c r="B3543" s="1" t="n">
        <v>45623</v>
      </c>
      <c r="C3543" s="1" t="n">
        <v>45852</v>
      </c>
      <c r="D3543" t="inlineStr">
        <is>
          <t>VÄSTERNORRLANDS LÄN</t>
        </is>
      </c>
      <c r="E3543" t="inlineStr">
        <is>
          <t>SOLLEFTEÅ</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55851-2024</t>
        </is>
      </c>
      <c r="B3544" s="1" t="n">
        <v>45623</v>
      </c>
      <c r="C3544" s="1" t="n">
        <v>45852</v>
      </c>
      <c r="D3544" t="inlineStr">
        <is>
          <t>VÄSTERNORRLANDS LÄN</t>
        </is>
      </c>
      <c r="E3544" t="inlineStr">
        <is>
          <t>SOLLEFTEÅ</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56033-2024</t>
        </is>
      </c>
      <c r="B3545" s="1" t="n">
        <v>45624</v>
      </c>
      <c r="C3545" s="1" t="n">
        <v>45852</v>
      </c>
      <c r="D3545" t="inlineStr">
        <is>
          <t>VÄSTERNORRLANDS LÄN</t>
        </is>
      </c>
      <c r="E3545" t="inlineStr">
        <is>
          <t>SOLLEFTEÅ</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56037-2024</t>
        </is>
      </c>
      <c r="B3546" s="1" t="n">
        <v>45624</v>
      </c>
      <c r="C3546" s="1" t="n">
        <v>45852</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56190-2024</t>
        </is>
      </c>
      <c r="B3547" s="1" t="n">
        <v>45624</v>
      </c>
      <c r="C3547" s="1" t="n">
        <v>45852</v>
      </c>
      <c r="D3547" t="inlineStr">
        <is>
          <t>VÄSTERNORRLANDS LÄN</t>
        </is>
      </c>
      <c r="E3547" t="inlineStr">
        <is>
          <t>SOLLEFTEÅ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56207-2024</t>
        </is>
      </c>
      <c r="B3548" s="1" t="n">
        <v>45624</v>
      </c>
      <c r="C3548" s="1" t="n">
        <v>45852</v>
      </c>
      <c r="D3548" t="inlineStr">
        <is>
          <t>VÄSTERNORRLANDS LÄN</t>
        </is>
      </c>
      <c r="E3548" t="inlineStr">
        <is>
          <t>SOLLEFTEÅ</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56204-2024</t>
        </is>
      </c>
      <c r="B3549" s="1" t="n">
        <v>45624</v>
      </c>
      <c r="C3549" s="1" t="n">
        <v>45852</v>
      </c>
      <c r="D3549" t="inlineStr">
        <is>
          <t>VÄSTERNORRLANDS LÄN</t>
        </is>
      </c>
      <c r="E3549" t="inlineStr">
        <is>
          <t>SOLLEFTEÅ</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56248-2024</t>
        </is>
      </c>
      <c r="B3550" s="1" t="n">
        <v>45624</v>
      </c>
      <c r="C3550" s="1" t="n">
        <v>45852</v>
      </c>
      <c r="D3550" t="inlineStr">
        <is>
          <t>VÄSTERNORRLANDS LÄN</t>
        </is>
      </c>
      <c r="E3550" t="inlineStr">
        <is>
          <t>SOLLEFTEÅ</t>
        </is>
      </c>
      <c r="F3550" t="inlineStr">
        <is>
          <t>SCA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56252-2024</t>
        </is>
      </c>
      <c r="B3551" s="1" t="n">
        <v>45624</v>
      </c>
      <c r="C3551" s="1" t="n">
        <v>45852</v>
      </c>
      <c r="D3551" t="inlineStr">
        <is>
          <t>VÄSTERNORRLANDS LÄN</t>
        </is>
      </c>
      <c r="E3551" t="inlineStr">
        <is>
          <t>SOLLEFTEÅ</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56206-2024</t>
        </is>
      </c>
      <c r="B3552" s="1" t="n">
        <v>45624</v>
      </c>
      <c r="C3552" s="1" t="n">
        <v>45852</v>
      </c>
      <c r="D3552" t="inlineStr">
        <is>
          <t>VÄSTERNORRLANDS LÄN</t>
        </is>
      </c>
      <c r="E3552" t="inlineStr">
        <is>
          <t>SOLLEFTEÅ</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56249-2024</t>
        </is>
      </c>
      <c r="B3553" s="1" t="n">
        <v>45624</v>
      </c>
      <c r="C3553" s="1" t="n">
        <v>45852</v>
      </c>
      <c r="D3553" t="inlineStr">
        <is>
          <t>VÄSTERNORRLANDS LÄN</t>
        </is>
      </c>
      <c r="E3553" t="inlineStr">
        <is>
          <t>SOLLEFTEÅ</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56257-2024</t>
        </is>
      </c>
      <c r="B3554" s="1" t="n">
        <v>45624</v>
      </c>
      <c r="C3554" s="1" t="n">
        <v>45852</v>
      </c>
      <c r="D3554" t="inlineStr">
        <is>
          <t>VÄSTERNORRLANDS LÄN</t>
        </is>
      </c>
      <c r="E3554" t="inlineStr">
        <is>
          <t>SOLLEFTEÅ</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56265-2024</t>
        </is>
      </c>
      <c r="B3555" s="1" t="n">
        <v>45624</v>
      </c>
      <c r="C3555" s="1" t="n">
        <v>45852</v>
      </c>
      <c r="D3555" t="inlineStr">
        <is>
          <t>VÄSTERNORRLANDS LÄN</t>
        </is>
      </c>
      <c r="E3555" t="inlineStr">
        <is>
          <t>SOLLEFTEÅ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56273-2024</t>
        </is>
      </c>
      <c r="B3556" s="1" t="n">
        <v>45624</v>
      </c>
      <c r="C3556" s="1" t="n">
        <v>45852</v>
      </c>
      <c r="D3556" t="inlineStr">
        <is>
          <t>VÄSTERNORRLANDS LÄN</t>
        </is>
      </c>
      <c r="E3556" t="inlineStr">
        <is>
          <t>SOLLEFTEÅ</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56387-2024</t>
        </is>
      </c>
      <c r="B3557" s="1" t="n">
        <v>45625</v>
      </c>
      <c r="C3557" s="1" t="n">
        <v>45852</v>
      </c>
      <c r="D3557" t="inlineStr">
        <is>
          <t>VÄSTERNORRLANDS LÄN</t>
        </is>
      </c>
      <c r="E3557" t="inlineStr">
        <is>
          <t>SOLLEFTEÅ</t>
        </is>
      </c>
      <c r="F3557" t="inlineStr">
        <is>
          <t>SCA</t>
        </is>
      </c>
      <c r="G3557" t="n">
        <v>10.6</v>
      </c>
      <c r="H3557" t="n">
        <v>0</v>
      </c>
      <c r="I3557" t="n">
        <v>0</v>
      </c>
      <c r="J3557" t="n">
        <v>0</v>
      </c>
      <c r="K3557" t="n">
        <v>0</v>
      </c>
      <c r="L3557" t="n">
        <v>0</v>
      </c>
      <c r="M3557" t="n">
        <v>0</v>
      </c>
      <c r="N3557" t="n">
        <v>0</v>
      </c>
      <c r="O3557" t="n">
        <v>0</v>
      </c>
      <c r="P3557" t="n">
        <v>0</v>
      </c>
      <c r="Q3557" t="n">
        <v>0</v>
      </c>
      <c r="R3557" s="2" t="inlineStr"/>
    </row>
    <row r="3558" ht="15" customHeight="1">
      <c r="A3558" t="inlineStr">
        <is>
          <t>A 56408-2024</t>
        </is>
      </c>
      <c r="B3558" s="1" t="n">
        <v>45625</v>
      </c>
      <c r="C3558" s="1" t="n">
        <v>45852</v>
      </c>
      <c r="D3558" t="inlineStr">
        <is>
          <t>VÄSTERNORRLANDS LÄN</t>
        </is>
      </c>
      <c r="E3558" t="inlineStr">
        <is>
          <t>SOLLEFTEÅ</t>
        </is>
      </c>
      <c r="F3558" t="inlineStr">
        <is>
          <t>SCA</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56433-2024</t>
        </is>
      </c>
      <c r="B3559" s="1" t="n">
        <v>45625</v>
      </c>
      <c r="C3559" s="1" t="n">
        <v>45852</v>
      </c>
      <c r="D3559" t="inlineStr">
        <is>
          <t>VÄSTERNORRLANDS LÄN</t>
        </is>
      </c>
      <c r="E3559" t="inlineStr">
        <is>
          <t>SOLLEFTEÅ</t>
        </is>
      </c>
      <c r="F3559" t="inlineStr">
        <is>
          <t>SCA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56388-2024</t>
        </is>
      </c>
      <c r="B3560" s="1" t="n">
        <v>45625</v>
      </c>
      <c r="C3560" s="1" t="n">
        <v>45852</v>
      </c>
      <c r="D3560" t="inlineStr">
        <is>
          <t>VÄSTERNORRLANDS LÄN</t>
        </is>
      </c>
      <c r="E3560" t="inlineStr">
        <is>
          <t>SOLLEFTEÅ</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56398-2024</t>
        </is>
      </c>
      <c r="B3561" s="1" t="n">
        <v>45625</v>
      </c>
      <c r="C3561" s="1" t="n">
        <v>45852</v>
      </c>
      <c r="D3561" t="inlineStr">
        <is>
          <t>VÄSTERNORRLANDS LÄN</t>
        </is>
      </c>
      <c r="E3561" t="inlineStr">
        <is>
          <t>SOLLEFTEÅ</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56431-2024</t>
        </is>
      </c>
      <c r="B3562" s="1" t="n">
        <v>45625</v>
      </c>
      <c r="C3562" s="1" t="n">
        <v>45852</v>
      </c>
      <c r="D3562" t="inlineStr">
        <is>
          <t>VÄSTERNORRLANDS LÄN</t>
        </is>
      </c>
      <c r="E3562" t="inlineStr">
        <is>
          <t>SOLLEFTEÅ</t>
        </is>
      </c>
      <c r="F3562" t="inlineStr">
        <is>
          <t>SCA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56390-2024</t>
        </is>
      </c>
      <c r="B3563" s="1" t="n">
        <v>45625</v>
      </c>
      <c r="C3563" s="1" t="n">
        <v>45852</v>
      </c>
      <c r="D3563" t="inlineStr">
        <is>
          <t>VÄSTERNORRLANDS LÄN</t>
        </is>
      </c>
      <c r="E3563" t="inlineStr">
        <is>
          <t>SOLLEFTEÅ</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56503-2024</t>
        </is>
      </c>
      <c r="B3564" s="1" t="n">
        <v>45625</v>
      </c>
      <c r="C3564" s="1" t="n">
        <v>45852</v>
      </c>
      <c r="D3564" t="inlineStr">
        <is>
          <t>VÄSTERNORRLANDS LÄN</t>
        </is>
      </c>
      <c r="E3564" t="inlineStr">
        <is>
          <t>SOLLEFTEÅ</t>
        </is>
      </c>
      <c r="F3564" t="inlineStr">
        <is>
          <t>Holmen skog AB</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56871-2024</t>
        </is>
      </c>
      <c r="B3565" s="1" t="n">
        <v>45628</v>
      </c>
      <c r="C3565" s="1" t="n">
        <v>45852</v>
      </c>
      <c r="D3565" t="inlineStr">
        <is>
          <t>VÄSTERNORRLANDS LÄN</t>
        </is>
      </c>
      <c r="E3565" t="inlineStr">
        <is>
          <t>SOLLEFTEÅ</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56861-2024</t>
        </is>
      </c>
      <c r="B3566" s="1" t="n">
        <v>45628</v>
      </c>
      <c r="C3566" s="1" t="n">
        <v>45852</v>
      </c>
      <c r="D3566" t="inlineStr">
        <is>
          <t>VÄSTERNORRLANDS LÄN</t>
        </is>
      </c>
      <c r="E3566" t="inlineStr">
        <is>
          <t>SOLLEFTEÅ</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57078-2024</t>
        </is>
      </c>
      <c r="B3567" s="1" t="n">
        <v>45629</v>
      </c>
      <c r="C3567" s="1" t="n">
        <v>45852</v>
      </c>
      <c r="D3567" t="inlineStr">
        <is>
          <t>VÄSTERNORRLANDS LÄN</t>
        </is>
      </c>
      <c r="E3567" t="inlineStr">
        <is>
          <t>SOLLEFTEÅ</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57377-2024</t>
        </is>
      </c>
      <c r="B3568" s="1" t="n">
        <v>45629</v>
      </c>
      <c r="C3568" s="1" t="n">
        <v>45852</v>
      </c>
      <c r="D3568" t="inlineStr">
        <is>
          <t>VÄSTERNORRLANDS LÄN</t>
        </is>
      </c>
      <c r="E3568" t="inlineStr">
        <is>
          <t>SOLLEFTEÅ</t>
        </is>
      </c>
      <c r="F3568" t="inlineStr">
        <is>
          <t>SCA</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57094-2024</t>
        </is>
      </c>
      <c r="B3569" s="1" t="n">
        <v>45629</v>
      </c>
      <c r="C3569" s="1" t="n">
        <v>45852</v>
      </c>
      <c r="D3569" t="inlineStr">
        <is>
          <t>VÄSTERNORRLANDS LÄN</t>
        </is>
      </c>
      <c r="E3569" t="inlineStr">
        <is>
          <t>SOLLEFTEÅ</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57107-2024</t>
        </is>
      </c>
      <c r="B3570" s="1" t="n">
        <v>45629</v>
      </c>
      <c r="C3570" s="1" t="n">
        <v>45852</v>
      </c>
      <c r="D3570" t="inlineStr">
        <is>
          <t>VÄSTERNORRLANDS LÄN</t>
        </is>
      </c>
      <c r="E3570" t="inlineStr">
        <is>
          <t>SOLLEFTEÅ</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57492-2024</t>
        </is>
      </c>
      <c r="B3571" s="1" t="n">
        <v>45630</v>
      </c>
      <c r="C3571" s="1" t="n">
        <v>45852</v>
      </c>
      <c r="D3571" t="inlineStr">
        <is>
          <t>VÄSTERNORRLANDS LÄN</t>
        </is>
      </c>
      <c r="E3571" t="inlineStr">
        <is>
          <t>SOLLEFTEÅ</t>
        </is>
      </c>
      <c r="F3571" t="inlineStr">
        <is>
          <t>Holmen skog AB</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57639-2024</t>
        </is>
      </c>
      <c r="B3572" s="1" t="n">
        <v>45630</v>
      </c>
      <c r="C3572" s="1" t="n">
        <v>45852</v>
      </c>
      <c r="D3572" t="inlineStr">
        <is>
          <t>VÄSTERNORRLANDS LÄN</t>
        </is>
      </c>
      <c r="E3572" t="inlineStr">
        <is>
          <t>SOLLEFTEÅ</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57487-2024</t>
        </is>
      </c>
      <c r="B3573" s="1" t="n">
        <v>45630</v>
      </c>
      <c r="C3573" s="1" t="n">
        <v>45852</v>
      </c>
      <c r="D3573" t="inlineStr">
        <is>
          <t>VÄSTERNORRLANDS LÄN</t>
        </is>
      </c>
      <c r="E3573" t="inlineStr">
        <is>
          <t>SOLLEFTEÅ</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57677-2024</t>
        </is>
      </c>
      <c r="B3574" s="1" t="n">
        <v>45630</v>
      </c>
      <c r="C3574" s="1" t="n">
        <v>45852</v>
      </c>
      <c r="D3574" t="inlineStr">
        <is>
          <t>VÄSTERNORRLANDS LÄN</t>
        </is>
      </c>
      <c r="E3574" t="inlineStr">
        <is>
          <t>SOLLEFTEÅ</t>
        </is>
      </c>
      <c r="F3574" t="inlineStr">
        <is>
          <t>SCA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57800-2024</t>
        </is>
      </c>
      <c r="B3575" s="1" t="n">
        <v>45631</v>
      </c>
      <c r="C3575" s="1" t="n">
        <v>45852</v>
      </c>
      <c r="D3575" t="inlineStr">
        <is>
          <t>VÄSTERNORRLANDS LÄN</t>
        </is>
      </c>
      <c r="E3575" t="inlineStr">
        <is>
          <t>SOLLEFTEÅ</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57847-2024</t>
        </is>
      </c>
      <c r="B3576" s="1" t="n">
        <v>45631</v>
      </c>
      <c r="C3576" s="1" t="n">
        <v>45852</v>
      </c>
      <c r="D3576" t="inlineStr">
        <is>
          <t>VÄSTERNORRLANDS LÄN</t>
        </is>
      </c>
      <c r="E3576" t="inlineStr">
        <is>
          <t>SOLLEFTEÅ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57892-2024</t>
        </is>
      </c>
      <c r="B3577" s="1" t="n">
        <v>45631</v>
      </c>
      <c r="C3577" s="1" t="n">
        <v>45852</v>
      </c>
      <c r="D3577" t="inlineStr">
        <is>
          <t>VÄSTERNORRLANDS LÄN</t>
        </is>
      </c>
      <c r="E3577" t="inlineStr">
        <is>
          <t>SOLLEFTEÅ</t>
        </is>
      </c>
      <c r="F3577" t="inlineStr">
        <is>
          <t>SCA</t>
        </is>
      </c>
      <c r="G3577" t="n">
        <v>13.8</v>
      </c>
      <c r="H3577" t="n">
        <v>0</v>
      </c>
      <c r="I3577" t="n">
        <v>0</v>
      </c>
      <c r="J3577" t="n">
        <v>0</v>
      </c>
      <c r="K3577" t="n">
        <v>0</v>
      </c>
      <c r="L3577" t="n">
        <v>0</v>
      </c>
      <c r="M3577" t="n">
        <v>0</v>
      </c>
      <c r="N3577" t="n">
        <v>0</v>
      </c>
      <c r="O3577" t="n">
        <v>0</v>
      </c>
      <c r="P3577" t="n">
        <v>0</v>
      </c>
      <c r="Q3577" t="n">
        <v>0</v>
      </c>
      <c r="R3577" s="2" t="inlineStr"/>
    </row>
    <row r="3578" ht="15" customHeight="1">
      <c r="A3578" t="inlineStr">
        <is>
          <t>A 57846-2024</t>
        </is>
      </c>
      <c r="B3578" s="1" t="n">
        <v>45631</v>
      </c>
      <c r="C3578" s="1" t="n">
        <v>45852</v>
      </c>
      <c r="D3578" t="inlineStr">
        <is>
          <t>VÄSTERNORRLANDS LÄN</t>
        </is>
      </c>
      <c r="E3578" t="inlineStr">
        <is>
          <t>SOLLEFTEÅ</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57922-2024</t>
        </is>
      </c>
      <c r="B3579" s="1" t="n">
        <v>45631</v>
      </c>
      <c r="C3579" s="1" t="n">
        <v>45852</v>
      </c>
      <c r="D3579" t="inlineStr">
        <is>
          <t>VÄSTERNORRLANDS LÄN</t>
        </is>
      </c>
      <c r="E3579" t="inlineStr">
        <is>
          <t>SOLLEFTEÅ</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58226-2024</t>
        </is>
      </c>
      <c r="B3580" s="1" t="n">
        <v>45632</v>
      </c>
      <c r="C3580" s="1" t="n">
        <v>45852</v>
      </c>
      <c r="D3580" t="inlineStr">
        <is>
          <t>VÄSTERNORRLANDS LÄN</t>
        </is>
      </c>
      <c r="E3580" t="inlineStr">
        <is>
          <t>SOLLEFTEÅ</t>
        </is>
      </c>
      <c r="F3580" t="inlineStr">
        <is>
          <t>SCA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58360-2024</t>
        </is>
      </c>
      <c r="B3581" s="1" t="n">
        <v>45632</v>
      </c>
      <c r="C3581" s="1" t="n">
        <v>45852</v>
      </c>
      <c r="D3581" t="inlineStr">
        <is>
          <t>VÄSTERNORRLANDS LÄN</t>
        </is>
      </c>
      <c r="E3581" t="inlineStr">
        <is>
          <t>SOLLEFTEÅ</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58357-2024</t>
        </is>
      </c>
      <c r="B3582" s="1" t="n">
        <v>45632</v>
      </c>
      <c r="C3582" s="1" t="n">
        <v>45852</v>
      </c>
      <c r="D3582" t="inlineStr">
        <is>
          <t>VÄSTERNORRLANDS LÄN</t>
        </is>
      </c>
      <c r="E3582" t="inlineStr">
        <is>
          <t>SOLLEFTEÅ</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58461-2024</t>
        </is>
      </c>
      <c r="B3583" s="1" t="n">
        <v>45635</v>
      </c>
      <c r="C3583" s="1" t="n">
        <v>45852</v>
      </c>
      <c r="D3583" t="inlineStr">
        <is>
          <t>VÄSTERNORRLANDS LÄN</t>
        </is>
      </c>
      <c r="E3583" t="inlineStr">
        <is>
          <t>SOLLEFTEÅ</t>
        </is>
      </c>
      <c r="F3583" t="inlineStr">
        <is>
          <t>SCA</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58478-2024</t>
        </is>
      </c>
      <c r="B3584" s="1" t="n">
        <v>45635</v>
      </c>
      <c r="C3584" s="1" t="n">
        <v>45852</v>
      </c>
      <c r="D3584" t="inlineStr">
        <is>
          <t>VÄSTERNORRLANDS LÄN</t>
        </is>
      </c>
      <c r="E3584" t="inlineStr">
        <is>
          <t>SOLLEFTEÅ</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58463-2024</t>
        </is>
      </c>
      <c r="B3585" s="1" t="n">
        <v>45635</v>
      </c>
      <c r="C3585" s="1" t="n">
        <v>45852</v>
      </c>
      <c r="D3585" t="inlineStr">
        <is>
          <t>VÄSTERNORRLANDS LÄN</t>
        </is>
      </c>
      <c r="E3585" t="inlineStr">
        <is>
          <t>SOLLEFTEÅ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58531-2024</t>
        </is>
      </c>
      <c r="B3586" s="1" t="n">
        <v>45635</v>
      </c>
      <c r="C3586" s="1" t="n">
        <v>45852</v>
      </c>
      <c r="D3586" t="inlineStr">
        <is>
          <t>VÄSTERNORRLANDS LÄN</t>
        </is>
      </c>
      <c r="E3586" t="inlineStr">
        <is>
          <t>SOLLEFTEÅ</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58578-2024</t>
        </is>
      </c>
      <c r="B3587" s="1" t="n">
        <v>45635</v>
      </c>
      <c r="C3587" s="1" t="n">
        <v>45852</v>
      </c>
      <c r="D3587" t="inlineStr">
        <is>
          <t>VÄSTERNORRLANDS LÄN</t>
        </is>
      </c>
      <c r="E3587" t="inlineStr">
        <is>
          <t>SOLLEFTEÅ</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58588-2024</t>
        </is>
      </c>
      <c r="B3588" s="1" t="n">
        <v>45635</v>
      </c>
      <c r="C3588" s="1" t="n">
        <v>45852</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58462-2024</t>
        </is>
      </c>
      <c r="B3589" s="1" t="n">
        <v>45635</v>
      </c>
      <c r="C3589" s="1" t="n">
        <v>45852</v>
      </c>
      <c r="D3589" t="inlineStr">
        <is>
          <t>VÄSTERNORRLANDS LÄN</t>
        </is>
      </c>
      <c r="E3589" t="inlineStr">
        <is>
          <t>SOLLEFTEÅ</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58694-2024</t>
        </is>
      </c>
      <c r="B3590" s="1" t="n">
        <v>45635</v>
      </c>
      <c r="C3590" s="1" t="n">
        <v>45852</v>
      </c>
      <c r="D3590" t="inlineStr">
        <is>
          <t>VÄSTERNORRLANDS LÄN</t>
        </is>
      </c>
      <c r="E3590" t="inlineStr">
        <is>
          <t>SOLLEFTEÅ</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58979-2024</t>
        </is>
      </c>
      <c r="B3591" s="1" t="n">
        <v>45636</v>
      </c>
      <c r="C3591" s="1" t="n">
        <v>45852</v>
      </c>
      <c r="D3591" t="inlineStr">
        <is>
          <t>VÄSTERNORRLANDS LÄN</t>
        </is>
      </c>
      <c r="E3591" t="inlineStr">
        <is>
          <t>SOLLEFTEÅ</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58995-2024</t>
        </is>
      </c>
      <c r="B3592" s="1" t="n">
        <v>45636</v>
      </c>
      <c r="C3592" s="1" t="n">
        <v>45852</v>
      </c>
      <c r="D3592" t="inlineStr">
        <is>
          <t>VÄSTERNORRLANDS LÄN</t>
        </is>
      </c>
      <c r="E3592" t="inlineStr">
        <is>
          <t>SOLLEFTEÅ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58931-2024</t>
        </is>
      </c>
      <c r="B3593" s="1" t="n">
        <v>45636</v>
      </c>
      <c r="C3593" s="1" t="n">
        <v>45852</v>
      </c>
      <c r="D3593" t="inlineStr">
        <is>
          <t>VÄSTERNORRLANDS LÄN</t>
        </is>
      </c>
      <c r="E3593" t="inlineStr">
        <is>
          <t>SOLLEFTEÅ</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58994-2024</t>
        </is>
      </c>
      <c r="B3594" s="1" t="n">
        <v>45636</v>
      </c>
      <c r="C3594" s="1" t="n">
        <v>45852</v>
      </c>
      <c r="D3594" t="inlineStr">
        <is>
          <t>VÄSTERNORRLANDS LÄN</t>
        </is>
      </c>
      <c r="E3594" t="inlineStr">
        <is>
          <t>SOLLEFTEÅ</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58845-2024</t>
        </is>
      </c>
      <c r="B3595" s="1" t="n">
        <v>45636</v>
      </c>
      <c r="C3595" s="1" t="n">
        <v>45852</v>
      </c>
      <c r="D3595" t="inlineStr">
        <is>
          <t>VÄSTERNORRLANDS LÄN</t>
        </is>
      </c>
      <c r="E3595" t="inlineStr">
        <is>
          <t>SOLLEFTEÅ</t>
        </is>
      </c>
      <c r="F3595" t="inlineStr">
        <is>
          <t>SCA</t>
        </is>
      </c>
      <c r="G3595" t="n">
        <v>11.3</v>
      </c>
      <c r="H3595" t="n">
        <v>0</v>
      </c>
      <c r="I3595" t="n">
        <v>0</v>
      </c>
      <c r="J3595" t="n">
        <v>0</v>
      </c>
      <c r="K3595" t="n">
        <v>0</v>
      </c>
      <c r="L3595" t="n">
        <v>0</v>
      </c>
      <c r="M3595" t="n">
        <v>0</v>
      </c>
      <c r="N3595" t="n">
        <v>0</v>
      </c>
      <c r="O3595" t="n">
        <v>0</v>
      </c>
      <c r="P3595" t="n">
        <v>0</v>
      </c>
      <c r="Q3595" t="n">
        <v>0</v>
      </c>
      <c r="R3595" s="2" t="inlineStr"/>
    </row>
    <row r="3596" ht="15" customHeight="1">
      <c r="A3596" t="inlineStr">
        <is>
          <t>A 58841-2024</t>
        </is>
      </c>
      <c r="B3596" s="1" t="n">
        <v>45636</v>
      </c>
      <c r="C3596" s="1" t="n">
        <v>45852</v>
      </c>
      <c r="D3596" t="inlineStr">
        <is>
          <t>VÄSTERNORRLANDS LÄN</t>
        </is>
      </c>
      <c r="E3596" t="inlineStr">
        <is>
          <t>SOLLEFTEÅ</t>
        </is>
      </c>
      <c r="F3596" t="inlineStr">
        <is>
          <t>SCA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58808-2024</t>
        </is>
      </c>
      <c r="B3597" s="1" t="n">
        <v>45636</v>
      </c>
      <c r="C3597" s="1" t="n">
        <v>45852</v>
      </c>
      <c r="D3597" t="inlineStr">
        <is>
          <t>VÄSTERNORRLANDS LÄN</t>
        </is>
      </c>
      <c r="E3597" t="inlineStr">
        <is>
          <t>SOLLEFTEÅ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59105-2024</t>
        </is>
      </c>
      <c r="B3598" s="1" t="n">
        <v>45637</v>
      </c>
      <c r="C3598" s="1" t="n">
        <v>45852</v>
      </c>
      <c r="D3598" t="inlineStr">
        <is>
          <t>VÄSTERNORRLANDS LÄN</t>
        </is>
      </c>
      <c r="E3598" t="inlineStr">
        <is>
          <t>SOLLEFTEÅ</t>
        </is>
      </c>
      <c r="F3598" t="inlineStr">
        <is>
          <t>SCA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59144-2024</t>
        </is>
      </c>
      <c r="B3599" s="1" t="n">
        <v>45637</v>
      </c>
      <c r="C3599" s="1" t="n">
        <v>45852</v>
      </c>
      <c r="D3599" t="inlineStr">
        <is>
          <t>VÄSTERNORRLANDS LÄN</t>
        </is>
      </c>
      <c r="E3599" t="inlineStr">
        <is>
          <t>SOLLEFTEÅ</t>
        </is>
      </c>
      <c r="F3599" t="inlineStr">
        <is>
          <t>SCA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59179-2024</t>
        </is>
      </c>
      <c r="B3600" s="1" t="n">
        <v>45637</v>
      </c>
      <c r="C3600" s="1" t="n">
        <v>45852</v>
      </c>
      <c r="D3600" t="inlineStr">
        <is>
          <t>VÄSTERNORRLANDS LÄN</t>
        </is>
      </c>
      <c r="E3600" t="inlineStr">
        <is>
          <t>SOLLEFTEÅ</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59308-2024</t>
        </is>
      </c>
      <c r="B3601" s="1" t="n">
        <v>45637</v>
      </c>
      <c r="C3601" s="1" t="n">
        <v>45852</v>
      </c>
      <c r="D3601" t="inlineStr">
        <is>
          <t>VÄSTERNORRLANDS LÄN</t>
        </is>
      </c>
      <c r="E3601" t="inlineStr">
        <is>
          <t>SOLLEFTEÅ</t>
        </is>
      </c>
      <c r="F3601" t="inlineStr">
        <is>
          <t>SCA</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59317-2024</t>
        </is>
      </c>
      <c r="B3602" s="1" t="n">
        <v>45637</v>
      </c>
      <c r="C3602" s="1" t="n">
        <v>45852</v>
      </c>
      <c r="D3602" t="inlineStr">
        <is>
          <t>VÄSTERNORRLANDS LÄN</t>
        </is>
      </c>
      <c r="E3602" t="inlineStr">
        <is>
          <t>SOLLEFTEÅ</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59491-2024</t>
        </is>
      </c>
      <c r="B3603" s="1" t="n">
        <v>45637</v>
      </c>
      <c r="C3603" s="1" t="n">
        <v>45852</v>
      </c>
      <c r="D3603" t="inlineStr">
        <is>
          <t>VÄSTERNORRLANDS LÄN</t>
        </is>
      </c>
      <c r="E3603" t="inlineStr">
        <is>
          <t>SOLLEFTEÅ</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59563-2024</t>
        </is>
      </c>
      <c r="B3604" s="1" t="n">
        <v>45638</v>
      </c>
      <c r="C3604" s="1" t="n">
        <v>45852</v>
      </c>
      <c r="D3604" t="inlineStr">
        <is>
          <t>VÄSTERNORRLANDS LÄN</t>
        </is>
      </c>
      <c r="E3604" t="inlineStr">
        <is>
          <t>SOLLEFTEÅ</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59567-2024</t>
        </is>
      </c>
      <c r="B3605" s="1" t="n">
        <v>45638</v>
      </c>
      <c r="C3605" s="1" t="n">
        <v>45852</v>
      </c>
      <c r="D3605" t="inlineStr">
        <is>
          <t>VÄSTERNORRLANDS LÄN</t>
        </is>
      </c>
      <c r="E3605" t="inlineStr">
        <is>
          <t>SOLLEFTEÅ</t>
        </is>
      </c>
      <c r="F3605" t="inlineStr">
        <is>
          <t>SCA</t>
        </is>
      </c>
      <c r="G3605" t="n">
        <v>13.8</v>
      </c>
      <c r="H3605" t="n">
        <v>0</v>
      </c>
      <c r="I3605" t="n">
        <v>0</v>
      </c>
      <c r="J3605" t="n">
        <v>0</v>
      </c>
      <c r="K3605" t="n">
        <v>0</v>
      </c>
      <c r="L3605" t="n">
        <v>0</v>
      </c>
      <c r="M3605" t="n">
        <v>0</v>
      </c>
      <c r="N3605" t="n">
        <v>0</v>
      </c>
      <c r="O3605" t="n">
        <v>0</v>
      </c>
      <c r="P3605" t="n">
        <v>0</v>
      </c>
      <c r="Q3605" t="n">
        <v>0</v>
      </c>
      <c r="R3605" s="2" t="inlineStr"/>
    </row>
    <row r="3606" ht="15" customHeight="1">
      <c r="A3606" t="inlineStr">
        <is>
          <t>A 59564-2024</t>
        </is>
      </c>
      <c r="B3606" s="1" t="n">
        <v>45638</v>
      </c>
      <c r="C3606" s="1" t="n">
        <v>45852</v>
      </c>
      <c r="D3606" t="inlineStr">
        <is>
          <t>VÄSTERNORRLANDS LÄN</t>
        </is>
      </c>
      <c r="E3606" t="inlineStr">
        <is>
          <t>SOLLEFTEÅ</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59558-2024</t>
        </is>
      </c>
      <c r="B3607" s="1" t="n">
        <v>45638</v>
      </c>
      <c r="C3607" s="1" t="n">
        <v>45852</v>
      </c>
      <c r="D3607" t="inlineStr">
        <is>
          <t>VÄSTERNORRLANDS LÄN</t>
        </is>
      </c>
      <c r="E3607" t="inlineStr">
        <is>
          <t>SOLLEFTEÅ</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59566-2024</t>
        </is>
      </c>
      <c r="B3608" s="1" t="n">
        <v>45638</v>
      </c>
      <c r="C3608" s="1" t="n">
        <v>45852</v>
      </c>
      <c r="D3608" t="inlineStr">
        <is>
          <t>VÄSTERNORRLANDS LÄN</t>
        </is>
      </c>
      <c r="E3608" t="inlineStr">
        <is>
          <t>SOLLEFTEÅ</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59434-2024</t>
        </is>
      </c>
      <c r="B3609" s="1" t="n">
        <v>45638</v>
      </c>
      <c r="C3609" s="1" t="n">
        <v>45852</v>
      </c>
      <c r="D3609" t="inlineStr">
        <is>
          <t>VÄSTERNORRLANDS LÄN</t>
        </is>
      </c>
      <c r="E3609" t="inlineStr">
        <is>
          <t>SOLLEFTEÅ</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59426-2024</t>
        </is>
      </c>
      <c r="B3610" s="1" t="n">
        <v>45638</v>
      </c>
      <c r="C3610" s="1" t="n">
        <v>45852</v>
      </c>
      <c r="D3610" t="inlineStr">
        <is>
          <t>VÄSTERNORRLANDS LÄN</t>
        </is>
      </c>
      <c r="E3610" t="inlineStr">
        <is>
          <t>SOLLEFTEÅ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59422-2024</t>
        </is>
      </c>
      <c r="B3611" s="1" t="n">
        <v>45638</v>
      </c>
      <c r="C3611" s="1" t="n">
        <v>45852</v>
      </c>
      <c r="D3611" t="inlineStr">
        <is>
          <t>VÄSTERNORRLANDS LÄN</t>
        </is>
      </c>
      <c r="E3611" t="inlineStr">
        <is>
          <t>SOLLEFTEÅ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59418-2024</t>
        </is>
      </c>
      <c r="B3612" s="1" t="n">
        <v>45638</v>
      </c>
      <c r="C3612" s="1" t="n">
        <v>45852</v>
      </c>
      <c r="D3612" t="inlineStr">
        <is>
          <t>VÄSTERNORRLANDS LÄN</t>
        </is>
      </c>
      <c r="E3612" t="inlineStr">
        <is>
          <t>SOLLEFTEÅ</t>
        </is>
      </c>
      <c r="F3612" t="inlineStr">
        <is>
          <t>SCA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59407-2024</t>
        </is>
      </c>
      <c r="B3613" s="1" t="n">
        <v>45638</v>
      </c>
      <c r="C3613" s="1" t="n">
        <v>45852</v>
      </c>
      <c r="D3613" t="inlineStr">
        <is>
          <t>VÄSTERNORRLANDS LÄN</t>
        </is>
      </c>
      <c r="E3613" t="inlineStr">
        <is>
          <t>SOLLEFTEÅ</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59455-2024</t>
        </is>
      </c>
      <c r="B3614" s="1" t="n">
        <v>45638</v>
      </c>
      <c r="C3614" s="1" t="n">
        <v>45852</v>
      </c>
      <c r="D3614" t="inlineStr">
        <is>
          <t>VÄSTERNORRLANDS LÄN</t>
        </is>
      </c>
      <c r="E3614" t="inlineStr">
        <is>
          <t>SOLLEFTEÅ</t>
        </is>
      </c>
      <c r="F3614" t="inlineStr">
        <is>
          <t>SCA</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59389-2024</t>
        </is>
      </c>
      <c r="B3615" s="1" t="n">
        <v>45638</v>
      </c>
      <c r="C3615" s="1" t="n">
        <v>45852</v>
      </c>
      <c r="D3615" t="inlineStr">
        <is>
          <t>VÄSTERNORRLANDS LÄN</t>
        </is>
      </c>
      <c r="E3615" t="inlineStr">
        <is>
          <t>SOLLEFTEÅ</t>
        </is>
      </c>
      <c r="F3615" t="inlineStr">
        <is>
          <t>SCA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59559-2024</t>
        </is>
      </c>
      <c r="B3616" s="1" t="n">
        <v>45638</v>
      </c>
      <c r="C3616" s="1" t="n">
        <v>45852</v>
      </c>
      <c r="D3616" t="inlineStr">
        <is>
          <t>VÄSTERNORRLANDS LÄN</t>
        </is>
      </c>
      <c r="E3616" t="inlineStr">
        <is>
          <t>SOLLEFTEÅ</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59415-2024</t>
        </is>
      </c>
      <c r="B3617" s="1" t="n">
        <v>45638</v>
      </c>
      <c r="C3617" s="1" t="n">
        <v>45852</v>
      </c>
      <c r="D3617" t="inlineStr">
        <is>
          <t>VÄSTERNORRLANDS LÄN</t>
        </is>
      </c>
      <c r="E3617" t="inlineStr">
        <is>
          <t>SOLLEFTEÅ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59473-2024</t>
        </is>
      </c>
      <c r="B3618" s="1" t="n">
        <v>45638</v>
      </c>
      <c r="C3618" s="1" t="n">
        <v>45852</v>
      </c>
      <c r="D3618" t="inlineStr">
        <is>
          <t>VÄSTERNORRLANDS LÄN</t>
        </is>
      </c>
      <c r="E3618" t="inlineStr">
        <is>
          <t>SOLLEFTEÅ</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59424-2024</t>
        </is>
      </c>
      <c r="B3619" s="1" t="n">
        <v>45638</v>
      </c>
      <c r="C3619" s="1" t="n">
        <v>45852</v>
      </c>
      <c r="D3619" t="inlineStr">
        <is>
          <t>VÄSTERNORRLANDS LÄN</t>
        </is>
      </c>
      <c r="E3619" t="inlineStr">
        <is>
          <t>SOLLEFTEÅ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59416-2024</t>
        </is>
      </c>
      <c r="B3620" s="1" t="n">
        <v>45638</v>
      </c>
      <c r="C3620" s="1" t="n">
        <v>45852</v>
      </c>
      <c r="D3620" t="inlineStr">
        <is>
          <t>VÄSTERNORRLANDS LÄN</t>
        </is>
      </c>
      <c r="E3620" t="inlineStr">
        <is>
          <t>SOLLEFTEÅ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59474-2024</t>
        </is>
      </c>
      <c r="B3621" s="1" t="n">
        <v>45638</v>
      </c>
      <c r="C3621" s="1" t="n">
        <v>45852</v>
      </c>
      <c r="D3621" t="inlineStr">
        <is>
          <t>VÄSTERNORRLANDS LÄN</t>
        </is>
      </c>
      <c r="E3621" t="inlineStr">
        <is>
          <t>SOLLEFTEÅ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59421-2024</t>
        </is>
      </c>
      <c r="B3622" s="1" t="n">
        <v>45638</v>
      </c>
      <c r="C3622" s="1" t="n">
        <v>45852</v>
      </c>
      <c r="D3622" t="inlineStr">
        <is>
          <t>VÄSTERNORRLANDS LÄN</t>
        </is>
      </c>
      <c r="E3622" t="inlineStr">
        <is>
          <t>SOLLEFTEÅ</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59388-2024</t>
        </is>
      </c>
      <c r="B3623" s="1" t="n">
        <v>45638</v>
      </c>
      <c r="C3623" s="1" t="n">
        <v>45852</v>
      </c>
      <c r="D3623" t="inlineStr">
        <is>
          <t>VÄSTERNORRLANDS LÄN</t>
        </is>
      </c>
      <c r="E3623" t="inlineStr">
        <is>
          <t>SOLLEFTEÅ</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59725-2024</t>
        </is>
      </c>
      <c r="B3624" s="1" t="n">
        <v>45639</v>
      </c>
      <c r="C3624" s="1" t="n">
        <v>45852</v>
      </c>
      <c r="D3624" t="inlineStr">
        <is>
          <t>VÄSTERNORRLANDS LÄN</t>
        </is>
      </c>
      <c r="E3624" t="inlineStr">
        <is>
          <t>SOLLEFTEÅ</t>
        </is>
      </c>
      <c r="F3624" t="inlineStr">
        <is>
          <t>SCA</t>
        </is>
      </c>
      <c r="G3624" t="n">
        <v>16.3</v>
      </c>
      <c r="H3624" t="n">
        <v>0</v>
      </c>
      <c r="I3624" t="n">
        <v>0</v>
      </c>
      <c r="J3624" t="n">
        <v>0</v>
      </c>
      <c r="K3624" t="n">
        <v>0</v>
      </c>
      <c r="L3624" t="n">
        <v>0</v>
      </c>
      <c r="M3624" t="n">
        <v>0</v>
      </c>
      <c r="N3624" t="n">
        <v>0</v>
      </c>
      <c r="O3624" t="n">
        <v>0</v>
      </c>
      <c r="P3624" t="n">
        <v>0</v>
      </c>
      <c r="Q3624" t="n">
        <v>0</v>
      </c>
      <c r="R3624" s="2" t="inlineStr"/>
    </row>
    <row r="3625" ht="15" customHeight="1">
      <c r="A3625" t="inlineStr">
        <is>
          <t>A 59724-2024</t>
        </is>
      </c>
      <c r="B3625" s="1" t="n">
        <v>45639</v>
      </c>
      <c r="C3625" s="1" t="n">
        <v>45852</v>
      </c>
      <c r="D3625" t="inlineStr">
        <is>
          <t>VÄSTERNORRLANDS LÄN</t>
        </is>
      </c>
      <c r="E3625" t="inlineStr">
        <is>
          <t>SOLLEFTEÅ</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60748-2024</t>
        </is>
      </c>
      <c r="B3626" s="1" t="n">
        <v>45642</v>
      </c>
      <c r="C3626" s="1" t="n">
        <v>45852</v>
      </c>
      <c r="D3626" t="inlineStr">
        <is>
          <t>VÄSTERNORRLANDS LÄN</t>
        </is>
      </c>
      <c r="E3626" t="inlineStr">
        <is>
          <t>SOLLEFTEÅ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60174-2024</t>
        </is>
      </c>
      <c r="B3627" s="1" t="n">
        <v>45642</v>
      </c>
      <c r="C3627" s="1" t="n">
        <v>45852</v>
      </c>
      <c r="D3627" t="inlineStr">
        <is>
          <t>VÄSTERNORRLANDS LÄN</t>
        </is>
      </c>
      <c r="E3627" t="inlineStr">
        <is>
          <t>SOLLEFTEÅ</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60077-2024</t>
        </is>
      </c>
      <c r="B3628" s="1" t="n">
        <v>45642</v>
      </c>
      <c r="C3628" s="1" t="n">
        <v>45852</v>
      </c>
      <c r="D3628" t="inlineStr">
        <is>
          <t>VÄSTERNORRLANDS LÄN</t>
        </is>
      </c>
      <c r="E3628" t="inlineStr">
        <is>
          <t>SOLLEFTEÅ</t>
        </is>
      </c>
      <c r="F3628" t="inlineStr">
        <is>
          <t>SCA</t>
        </is>
      </c>
      <c r="G3628" t="n">
        <v>21.5</v>
      </c>
      <c r="H3628" t="n">
        <v>0</v>
      </c>
      <c r="I3628" t="n">
        <v>0</v>
      </c>
      <c r="J3628" t="n">
        <v>0</v>
      </c>
      <c r="K3628" t="n">
        <v>0</v>
      </c>
      <c r="L3628" t="n">
        <v>0</v>
      </c>
      <c r="M3628" t="n">
        <v>0</v>
      </c>
      <c r="N3628" t="n">
        <v>0</v>
      </c>
      <c r="O3628" t="n">
        <v>0</v>
      </c>
      <c r="P3628" t="n">
        <v>0</v>
      </c>
      <c r="Q3628" t="n">
        <v>0</v>
      </c>
      <c r="R3628" s="2" t="inlineStr"/>
    </row>
    <row r="3629" ht="15" customHeight="1">
      <c r="A3629" t="inlineStr">
        <is>
          <t>A 60024-2024</t>
        </is>
      </c>
      <c r="B3629" s="1" t="n">
        <v>45642</v>
      </c>
      <c r="C3629" s="1" t="n">
        <v>45852</v>
      </c>
      <c r="D3629" t="inlineStr">
        <is>
          <t>VÄSTERNORRLANDS LÄN</t>
        </is>
      </c>
      <c r="E3629" t="inlineStr">
        <is>
          <t>SOLLEFTEÅ</t>
        </is>
      </c>
      <c r="F3629" t="inlineStr">
        <is>
          <t>SCA</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60131-2024</t>
        </is>
      </c>
      <c r="B3630" s="1" t="n">
        <v>45642</v>
      </c>
      <c r="C3630" s="1" t="n">
        <v>45852</v>
      </c>
      <c r="D3630" t="inlineStr">
        <is>
          <t>VÄSTERNORRLANDS LÄN</t>
        </is>
      </c>
      <c r="E3630" t="inlineStr">
        <is>
          <t>SOLLEFTEÅ</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59985-2024</t>
        </is>
      </c>
      <c r="B3631" s="1" t="n">
        <v>45642</v>
      </c>
      <c r="C3631" s="1" t="n">
        <v>45852</v>
      </c>
      <c r="D3631" t="inlineStr">
        <is>
          <t>VÄSTERNORRLANDS LÄN</t>
        </is>
      </c>
      <c r="E3631" t="inlineStr">
        <is>
          <t>SOLLEFTEÅ</t>
        </is>
      </c>
      <c r="F3631" t="inlineStr">
        <is>
          <t>SCA</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60177-2024</t>
        </is>
      </c>
      <c r="B3632" s="1" t="n">
        <v>45642</v>
      </c>
      <c r="C3632" s="1" t="n">
        <v>45852</v>
      </c>
      <c r="D3632" t="inlineStr">
        <is>
          <t>VÄSTERNORRLANDS LÄN</t>
        </is>
      </c>
      <c r="E3632" t="inlineStr">
        <is>
          <t>SOLLEFTEÅ</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60154-2024</t>
        </is>
      </c>
      <c r="B3633" s="1" t="n">
        <v>45642</v>
      </c>
      <c r="C3633" s="1" t="n">
        <v>45852</v>
      </c>
      <c r="D3633" t="inlineStr">
        <is>
          <t>VÄSTERNORRLANDS LÄN</t>
        </is>
      </c>
      <c r="E3633" t="inlineStr">
        <is>
          <t>SOLLEFTEÅ</t>
        </is>
      </c>
      <c r="G3633" t="n">
        <v>15.1</v>
      </c>
      <c r="H3633" t="n">
        <v>0</v>
      </c>
      <c r="I3633" t="n">
        <v>0</v>
      </c>
      <c r="J3633" t="n">
        <v>0</v>
      </c>
      <c r="K3633" t="n">
        <v>0</v>
      </c>
      <c r="L3633" t="n">
        <v>0</v>
      </c>
      <c r="M3633" t="n">
        <v>0</v>
      </c>
      <c r="N3633" t="n">
        <v>0</v>
      </c>
      <c r="O3633" t="n">
        <v>0</v>
      </c>
      <c r="P3633" t="n">
        <v>0</v>
      </c>
      <c r="Q3633" t="n">
        <v>0</v>
      </c>
      <c r="R3633" s="2" t="inlineStr"/>
    </row>
    <row r="3634" ht="15" customHeight="1">
      <c r="A3634" t="inlineStr">
        <is>
          <t>A 59949-2024</t>
        </is>
      </c>
      <c r="B3634" s="1" t="n">
        <v>45642</v>
      </c>
      <c r="C3634" s="1" t="n">
        <v>45852</v>
      </c>
      <c r="D3634" t="inlineStr">
        <is>
          <t>VÄSTERNORRLANDS LÄN</t>
        </is>
      </c>
      <c r="E3634" t="inlineStr">
        <is>
          <t>SOLLEFTEÅ</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60741-2024</t>
        </is>
      </c>
      <c r="B3635" s="1" t="n">
        <v>45642</v>
      </c>
      <c r="C3635" s="1" t="n">
        <v>45852</v>
      </c>
      <c r="D3635" t="inlineStr">
        <is>
          <t>VÄSTERNORRLANDS LÄN</t>
        </is>
      </c>
      <c r="E3635" t="inlineStr">
        <is>
          <t>SOLLEFTEÅ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59939-2024</t>
        </is>
      </c>
      <c r="B3636" s="1" t="n">
        <v>45642</v>
      </c>
      <c r="C3636" s="1" t="n">
        <v>45852</v>
      </c>
      <c r="D3636" t="inlineStr">
        <is>
          <t>VÄSTERNORRLANDS LÄN</t>
        </is>
      </c>
      <c r="E3636" t="inlineStr">
        <is>
          <t>SOLLEFTEÅ</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60361-2024</t>
        </is>
      </c>
      <c r="B3637" s="1" t="n">
        <v>45643</v>
      </c>
      <c r="C3637" s="1" t="n">
        <v>45852</v>
      </c>
      <c r="D3637" t="inlineStr">
        <is>
          <t>VÄSTERNORRLANDS LÄN</t>
        </is>
      </c>
      <c r="E3637" t="inlineStr">
        <is>
          <t>SOLLEFTEÅ</t>
        </is>
      </c>
      <c r="F3637" t="inlineStr">
        <is>
          <t>SCA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60389-2024</t>
        </is>
      </c>
      <c r="B3638" s="1" t="n">
        <v>45643</v>
      </c>
      <c r="C3638" s="1" t="n">
        <v>45852</v>
      </c>
      <c r="D3638" t="inlineStr">
        <is>
          <t>VÄSTERNORRLANDS LÄN</t>
        </is>
      </c>
      <c r="E3638" t="inlineStr">
        <is>
          <t>SOLLEFTEÅ</t>
        </is>
      </c>
      <c r="F3638" t="inlineStr">
        <is>
          <t>SCA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60460-2024</t>
        </is>
      </c>
      <c r="B3639" s="1" t="n">
        <v>45643</v>
      </c>
      <c r="C3639" s="1" t="n">
        <v>45852</v>
      </c>
      <c r="D3639" t="inlineStr">
        <is>
          <t>VÄSTERNORRLANDS LÄN</t>
        </is>
      </c>
      <c r="E3639" t="inlineStr">
        <is>
          <t>SOLLEFTEÅ</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60495-2024</t>
        </is>
      </c>
      <c r="B3640" s="1" t="n">
        <v>45643</v>
      </c>
      <c r="C3640" s="1" t="n">
        <v>45852</v>
      </c>
      <c r="D3640" t="inlineStr">
        <is>
          <t>VÄSTERNORRLANDS LÄN</t>
        </is>
      </c>
      <c r="E3640" t="inlineStr">
        <is>
          <t>SOLLEFTEÅ</t>
        </is>
      </c>
      <c r="F3640" t="inlineStr">
        <is>
          <t>SCA</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60360-2024</t>
        </is>
      </c>
      <c r="B3641" s="1" t="n">
        <v>45643</v>
      </c>
      <c r="C3641" s="1" t="n">
        <v>45852</v>
      </c>
      <c r="D3641" t="inlineStr">
        <is>
          <t>VÄSTERNORRLANDS LÄN</t>
        </is>
      </c>
      <c r="E3641" t="inlineStr">
        <is>
          <t>SOLLEFTEÅ</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60714-2024</t>
        </is>
      </c>
      <c r="B3642" s="1" t="n">
        <v>45644</v>
      </c>
      <c r="C3642" s="1" t="n">
        <v>45852</v>
      </c>
      <c r="D3642" t="inlineStr">
        <is>
          <t>VÄSTERNORRLANDS LÄN</t>
        </is>
      </c>
      <c r="E3642" t="inlineStr">
        <is>
          <t>SOLLEFTEÅ</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60632-2024</t>
        </is>
      </c>
      <c r="B3643" s="1" t="n">
        <v>45644</v>
      </c>
      <c r="C3643" s="1" t="n">
        <v>45852</v>
      </c>
      <c r="D3643" t="inlineStr">
        <is>
          <t>VÄSTERNORRLANDS LÄN</t>
        </is>
      </c>
      <c r="E3643" t="inlineStr">
        <is>
          <t>SOLLEFTEÅ</t>
        </is>
      </c>
      <c r="F3643" t="inlineStr">
        <is>
          <t>SCA</t>
        </is>
      </c>
      <c r="G3643" t="n">
        <v>9</v>
      </c>
      <c r="H3643" t="n">
        <v>0</v>
      </c>
      <c r="I3643" t="n">
        <v>0</v>
      </c>
      <c r="J3643" t="n">
        <v>0</v>
      </c>
      <c r="K3643" t="n">
        <v>0</v>
      </c>
      <c r="L3643" t="n">
        <v>0</v>
      </c>
      <c r="M3643" t="n">
        <v>0</v>
      </c>
      <c r="N3643" t="n">
        <v>0</v>
      </c>
      <c r="O3643" t="n">
        <v>0</v>
      </c>
      <c r="P3643" t="n">
        <v>0</v>
      </c>
      <c r="Q3643" t="n">
        <v>0</v>
      </c>
      <c r="R3643" s="2" t="inlineStr"/>
    </row>
    <row r="3644" ht="15" customHeight="1">
      <c r="A3644" t="inlineStr">
        <is>
          <t>A 60630-2024</t>
        </is>
      </c>
      <c r="B3644" s="1" t="n">
        <v>45644</v>
      </c>
      <c r="C3644" s="1" t="n">
        <v>45852</v>
      </c>
      <c r="D3644" t="inlineStr">
        <is>
          <t>VÄSTERNORRLANDS LÄN</t>
        </is>
      </c>
      <c r="E3644" t="inlineStr">
        <is>
          <t>SOLLEFTEÅ</t>
        </is>
      </c>
      <c r="F3644" t="inlineStr">
        <is>
          <t>SCA</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61089-2024</t>
        </is>
      </c>
      <c r="B3645" s="1" t="n">
        <v>45644</v>
      </c>
      <c r="C3645" s="1" t="n">
        <v>45852</v>
      </c>
      <c r="D3645" t="inlineStr">
        <is>
          <t>VÄSTERNORRLANDS LÄN</t>
        </is>
      </c>
      <c r="E3645" t="inlineStr">
        <is>
          <t>SOLLEFTEÅ</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60612-2024</t>
        </is>
      </c>
      <c r="B3646" s="1" t="n">
        <v>45644</v>
      </c>
      <c r="C3646" s="1" t="n">
        <v>45852</v>
      </c>
      <c r="D3646" t="inlineStr">
        <is>
          <t>VÄSTERNORRLANDS LÄN</t>
        </is>
      </c>
      <c r="E3646" t="inlineStr">
        <is>
          <t>SOLLEFTEÅ</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60583-2024</t>
        </is>
      </c>
      <c r="B3647" s="1" t="n">
        <v>45644</v>
      </c>
      <c r="C3647" s="1" t="n">
        <v>45852</v>
      </c>
      <c r="D3647" t="inlineStr">
        <is>
          <t>VÄSTERNORRLANDS LÄN</t>
        </is>
      </c>
      <c r="E3647" t="inlineStr">
        <is>
          <t>SOLLEFTEÅ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60827-2024</t>
        </is>
      </c>
      <c r="B3648" s="1" t="n">
        <v>45644</v>
      </c>
      <c r="C3648" s="1" t="n">
        <v>45852</v>
      </c>
      <c r="D3648" t="inlineStr">
        <is>
          <t>VÄSTERNORRLANDS LÄN</t>
        </is>
      </c>
      <c r="E3648" t="inlineStr">
        <is>
          <t>SOLLEFTEÅ</t>
        </is>
      </c>
      <c r="F3648" t="inlineStr">
        <is>
          <t>SCA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60831-2024</t>
        </is>
      </c>
      <c r="B3649" s="1" t="n">
        <v>45644</v>
      </c>
      <c r="C3649" s="1" t="n">
        <v>45852</v>
      </c>
      <c r="D3649" t="inlineStr">
        <is>
          <t>VÄSTERNORRLANDS LÄN</t>
        </is>
      </c>
      <c r="E3649" t="inlineStr">
        <is>
          <t>SOLLEFTEÅ</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60867-2024</t>
        </is>
      </c>
      <c r="B3650" s="1" t="n">
        <v>45644</v>
      </c>
      <c r="C3650" s="1" t="n">
        <v>45852</v>
      </c>
      <c r="D3650" t="inlineStr">
        <is>
          <t>VÄSTERNORRLANDS LÄN</t>
        </is>
      </c>
      <c r="E3650" t="inlineStr">
        <is>
          <t>SOLLEFTEÅ</t>
        </is>
      </c>
      <c r="F3650" t="inlineStr">
        <is>
          <t>SCA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60837-2024</t>
        </is>
      </c>
      <c r="B3651" s="1" t="n">
        <v>45644</v>
      </c>
      <c r="C3651" s="1" t="n">
        <v>45852</v>
      </c>
      <c r="D3651" t="inlineStr">
        <is>
          <t>VÄSTERNORRLANDS LÄN</t>
        </is>
      </c>
      <c r="E3651" t="inlineStr">
        <is>
          <t>SOLLEFTEÅ</t>
        </is>
      </c>
      <c r="F3651" t="inlineStr">
        <is>
          <t>SCA</t>
        </is>
      </c>
      <c r="G3651" t="n">
        <v>12.5</v>
      </c>
      <c r="H3651" t="n">
        <v>0</v>
      </c>
      <c r="I3651" t="n">
        <v>0</v>
      </c>
      <c r="J3651" t="n">
        <v>0</v>
      </c>
      <c r="K3651" t="n">
        <v>0</v>
      </c>
      <c r="L3651" t="n">
        <v>0</v>
      </c>
      <c r="M3651" t="n">
        <v>0</v>
      </c>
      <c r="N3651" t="n">
        <v>0</v>
      </c>
      <c r="O3651" t="n">
        <v>0</v>
      </c>
      <c r="P3651" t="n">
        <v>0</v>
      </c>
      <c r="Q3651" t="n">
        <v>0</v>
      </c>
      <c r="R3651" s="2" t="inlineStr"/>
    </row>
    <row r="3652" ht="15" customHeight="1">
      <c r="A3652" t="inlineStr">
        <is>
          <t>A 60631-2024</t>
        </is>
      </c>
      <c r="B3652" s="1" t="n">
        <v>45644</v>
      </c>
      <c r="C3652" s="1" t="n">
        <v>45852</v>
      </c>
      <c r="D3652" t="inlineStr">
        <is>
          <t>VÄSTERNORRLANDS LÄN</t>
        </is>
      </c>
      <c r="E3652" t="inlineStr">
        <is>
          <t>SOLLEFTEÅ</t>
        </is>
      </c>
      <c r="F3652" t="inlineStr">
        <is>
          <t>SCA</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60713-2024</t>
        </is>
      </c>
      <c r="B3653" s="1" t="n">
        <v>45644</v>
      </c>
      <c r="C3653" s="1" t="n">
        <v>45852</v>
      </c>
      <c r="D3653" t="inlineStr">
        <is>
          <t>VÄSTERNORRLANDS LÄN</t>
        </is>
      </c>
      <c r="E3653" t="inlineStr">
        <is>
          <t>SOLLEFTEÅ</t>
        </is>
      </c>
      <c r="F3653" t="inlineStr">
        <is>
          <t>SCA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60958-2024</t>
        </is>
      </c>
      <c r="B3654" s="1" t="n">
        <v>45645</v>
      </c>
      <c r="C3654" s="1" t="n">
        <v>45852</v>
      </c>
      <c r="D3654" t="inlineStr">
        <is>
          <t>VÄSTERNORRLANDS LÄN</t>
        </is>
      </c>
      <c r="E3654" t="inlineStr">
        <is>
          <t>SOLLEFTEÅ</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61168-2024</t>
        </is>
      </c>
      <c r="B3655" s="1" t="n">
        <v>45645</v>
      </c>
      <c r="C3655" s="1" t="n">
        <v>45852</v>
      </c>
      <c r="D3655" t="inlineStr">
        <is>
          <t>VÄSTERNORRLANDS LÄN</t>
        </is>
      </c>
      <c r="E3655" t="inlineStr">
        <is>
          <t>SOLLEFTEÅ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61200-2024</t>
        </is>
      </c>
      <c r="B3656" s="1" t="n">
        <v>45645</v>
      </c>
      <c r="C3656" s="1" t="n">
        <v>45852</v>
      </c>
      <c r="D3656" t="inlineStr">
        <is>
          <t>VÄSTERNORRLANDS LÄN</t>
        </is>
      </c>
      <c r="E3656" t="inlineStr">
        <is>
          <t>SOLLEFTEÅ</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61126-2024</t>
        </is>
      </c>
      <c r="B3657" s="1" t="n">
        <v>45645</v>
      </c>
      <c r="C3657" s="1" t="n">
        <v>45852</v>
      </c>
      <c r="D3657" t="inlineStr">
        <is>
          <t>VÄSTERNORRLANDS LÄN</t>
        </is>
      </c>
      <c r="E3657" t="inlineStr">
        <is>
          <t>SOLLEFTEÅ</t>
        </is>
      </c>
      <c r="G3657" t="n">
        <v>13.8</v>
      </c>
      <c r="H3657" t="n">
        <v>0</v>
      </c>
      <c r="I3657" t="n">
        <v>0</v>
      </c>
      <c r="J3657" t="n">
        <v>0</v>
      </c>
      <c r="K3657" t="n">
        <v>0</v>
      </c>
      <c r="L3657" t="n">
        <v>0</v>
      </c>
      <c r="M3657" t="n">
        <v>0</v>
      </c>
      <c r="N3657" t="n">
        <v>0</v>
      </c>
      <c r="O3657" t="n">
        <v>0</v>
      </c>
      <c r="P3657" t="n">
        <v>0</v>
      </c>
      <c r="Q3657" t="n">
        <v>0</v>
      </c>
      <c r="R3657" s="2" t="inlineStr"/>
    </row>
    <row r="3658" ht="15" customHeight="1">
      <c r="A3658" t="inlineStr">
        <is>
          <t>A 61611-2024</t>
        </is>
      </c>
      <c r="B3658" s="1" t="n">
        <v>45645</v>
      </c>
      <c r="C3658" s="1" t="n">
        <v>45852</v>
      </c>
      <c r="D3658" t="inlineStr">
        <is>
          <t>VÄSTERNORRLANDS LÄN</t>
        </is>
      </c>
      <c r="E3658" t="inlineStr">
        <is>
          <t>SOLLEFTEÅ</t>
        </is>
      </c>
      <c r="G3658" t="n">
        <v>13.9</v>
      </c>
      <c r="H3658" t="n">
        <v>0</v>
      </c>
      <c r="I3658" t="n">
        <v>0</v>
      </c>
      <c r="J3658" t="n">
        <v>0</v>
      </c>
      <c r="K3658" t="n">
        <v>0</v>
      </c>
      <c r="L3658" t="n">
        <v>0</v>
      </c>
      <c r="M3658" t="n">
        <v>0</v>
      </c>
      <c r="N3658" t="n">
        <v>0</v>
      </c>
      <c r="O3658" t="n">
        <v>0</v>
      </c>
      <c r="P3658" t="n">
        <v>0</v>
      </c>
      <c r="Q3658" t="n">
        <v>0</v>
      </c>
      <c r="R3658" s="2" t="inlineStr"/>
    </row>
    <row r="3659" ht="15" customHeight="1">
      <c r="A3659" t="inlineStr">
        <is>
          <t>A 61616-2024</t>
        </is>
      </c>
      <c r="B3659" s="1" t="n">
        <v>45645</v>
      </c>
      <c r="C3659" s="1" t="n">
        <v>45852</v>
      </c>
      <c r="D3659" t="inlineStr">
        <is>
          <t>VÄSTERNORRLANDS LÄN</t>
        </is>
      </c>
      <c r="E3659" t="inlineStr">
        <is>
          <t>SOLLEFTEÅ</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61201-2024</t>
        </is>
      </c>
      <c r="B3660" s="1" t="n">
        <v>45645</v>
      </c>
      <c r="C3660" s="1" t="n">
        <v>45852</v>
      </c>
      <c r="D3660" t="inlineStr">
        <is>
          <t>VÄSTERNORRLANDS LÄN</t>
        </is>
      </c>
      <c r="E3660" t="inlineStr">
        <is>
          <t>SOLLEFTEÅ</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61623-2024</t>
        </is>
      </c>
      <c r="B3661" s="1" t="n">
        <v>45645</v>
      </c>
      <c r="C3661" s="1" t="n">
        <v>45852</v>
      </c>
      <c r="D3661" t="inlineStr">
        <is>
          <t>VÄSTERNORRLANDS LÄN</t>
        </is>
      </c>
      <c r="E3661" t="inlineStr">
        <is>
          <t>SOLLEFTEÅ</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61452-2024</t>
        </is>
      </c>
      <c r="B3662" s="1" t="n">
        <v>45646</v>
      </c>
      <c r="C3662" s="1" t="n">
        <v>45852</v>
      </c>
      <c r="D3662" t="inlineStr">
        <is>
          <t>VÄSTERNORRLANDS LÄN</t>
        </is>
      </c>
      <c r="E3662" t="inlineStr">
        <is>
          <t>SOLLEFTEÅ</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61849-2024</t>
        </is>
      </c>
      <c r="B3663" s="1" t="n">
        <v>45646</v>
      </c>
      <c r="C3663" s="1" t="n">
        <v>45852</v>
      </c>
      <c r="D3663" t="inlineStr">
        <is>
          <t>VÄSTERNORRLANDS LÄN</t>
        </is>
      </c>
      <c r="E3663" t="inlineStr">
        <is>
          <t>SOLLEFTEÅ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62094-2024</t>
        </is>
      </c>
      <c r="B3664" s="1" t="n">
        <v>45646</v>
      </c>
      <c r="C3664" s="1" t="n">
        <v>45852</v>
      </c>
      <c r="D3664" t="inlineStr">
        <is>
          <t>VÄSTERNORRLANDS LÄN</t>
        </is>
      </c>
      <c r="E3664" t="inlineStr">
        <is>
          <t>SOLLEFTEÅ</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61845-2024</t>
        </is>
      </c>
      <c r="B3665" s="1" t="n">
        <v>45646</v>
      </c>
      <c r="C3665" s="1" t="n">
        <v>45852</v>
      </c>
      <c r="D3665" t="inlineStr">
        <is>
          <t>VÄSTERNORRLANDS LÄN</t>
        </is>
      </c>
      <c r="E3665" t="inlineStr">
        <is>
          <t>SOLLEFTEÅ</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61485-2024</t>
        </is>
      </c>
      <c r="B3666" s="1" t="n">
        <v>45646</v>
      </c>
      <c r="C3666" s="1" t="n">
        <v>45852</v>
      </c>
      <c r="D3666" t="inlineStr">
        <is>
          <t>VÄSTERNORRLANDS LÄN</t>
        </is>
      </c>
      <c r="E3666" t="inlineStr">
        <is>
          <t>SOLLEFTEÅ</t>
        </is>
      </c>
      <c r="F3666" t="inlineStr">
        <is>
          <t>SCA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62144-2024</t>
        </is>
      </c>
      <c r="B3667" s="1" t="n">
        <v>45646</v>
      </c>
      <c r="C3667" s="1" t="n">
        <v>45852</v>
      </c>
      <c r="D3667" t="inlineStr">
        <is>
          <t>VÄSTERNORRLANDS LÄN</t>
        </is>
      </c>
      <c r="E3667" t="inlineStr">
        <is>
          <t>SOLLEFTEÅ</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61847-2024</t>
        </is>
      </c>
      <c r="B3668" s="1" t="n">
        <v>45646</v>
      </c>
      <c r="C3668" s="1" t="n">
        <v>45852</v>
      </c>
      <c r="D3668" t="inlineStr">
        <is>
          <t>VÄSTERNORRLANDS LÄN</t>
        </is>
      </c>
      <c r="E3668" t="inlineStr">
        <is>
          <t>SOLLEFTEÅ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61779-2024</t>
        </is>
      </c>
      <c r="B3669" s="1" t="n">
        <v>45649</v>
      </c>
      <c r="C3669" s="1" t="n">
        <v>45852</v>
      </c>
      <c r="D3669" t="inlineStr">
        <is>
          <t>VÄSTERNORRLANDS LÄN</t>
        </is>
      </c>
      <c r="E3669" t="inlineStr">
        <is>
          <t>SOLLEFTEÅ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61784-2024</t>
        </is>
      </c>
      <c r="B3670" s="1" t="n">
        <v>45649</v>
      </c>
      <c r="C3670" s="1" t="n">
        <v>45852</v>
      </c>
      <c r="D3670" t="inlineStr">
        <is>
          <t>VÄSTERNORRLANDS LÄN</t>
        </is>
      </c>
      <c r="E3670" t="inlineStr">
        <is>
          <t>SOLLEFTEÅ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61781-2024</t>
        </is>
      </c>
      <c r="B3671" s="1" t="n">
        <v>45649</v>
      </c>
      <c r="C3671" s="1" t="n">
        <v>45852</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174-2025</t>
        </is>
      </c>
      <c r="B3672" s="1" t="n">
        <v>45649</v>
      </c>
      <c r="C3672" s="1" t="n">
        <v>45852</v>
      </c>
      <c r="D3672" t="inlineStr">
        <is>
          <t>VÄSTERNORRLANDS LÄN</t>
        </is>
      </c>
      <c r="E3672" t="inlineStr">
        <is>
          <t>SOLLEFTEÅ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61778-2024</t>
        </is>
      </c>
      <c r="B3673" s="1" t="n">
        <v>45649</v>
      </c>
      <c r="C3673" s="1" t="n">
        <v>45852</v>
      </c>
      <c r="D3673" t="inlineStr">
        <is>
          <t>VÄSTERNORRLANDS LÄN</t>
        </is>
      </c>
      <c r="E3673" t="inlineStr">
        <is>
          <t>SOLLEFTEÅ</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61790-2024</t>
        </is>
      </c>
      <c r="B3674" s="1" t="n">
        <v>45649</v>
      </c>
      <c r="C3674" s="1" t="n">
        <v>45852</v>
      </c>
      <c r="D3674" t="inlineStr">
        <is>
          <t>VÄSTERNORRLANDS LÄN</t>
        </is>
      </c>
      <c r="E3674" t="inlineStr">
        <is>
          <t>SOLLEFTEÅ</t>
        </is>
      </c>
      <c r="F3674" t="inlineStr">
        <is>
          <t>Övriga statliga verk och myndigheter</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62038-2024</t>
        </is>
      </c>
      <c r="B3675" s="1" t="n">
        <v>45656</v>
      </c>
      <c r="C3675" s="1" t="n">
        <v>45852</v>
      </c>
      <c r="D3675" t="inlineStr">
        <is>
          <t>VÄSTERNORRLANDS LÄN</t>
        </is>
      </c>
      <c r="E3675" t="inlineStr">
        <is>
          <t>SOLLEFTEÅ</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62171-2024</t>
        </is>
      </c>
      <c r="B3676" s="1" t="n">
        <v>45657</v>
      </c>
      <c r="C3676" s="1" t="n">
        <v>45852</v>
      </c>
      <c r="D3676" t="inlineStr">
        <is>
          <t>VÄSTERNORRLANDS LÄN</t>
        </is>
      </c>
      <c r="E3676" t="inlineStr">
        <is>
          <t>SOLLEFTEÅ</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154-2025</t>
        </is>
      </c>
      <c r="B3677" s="1" t="n">
        <v>45659</v>
      </c>
      <c r="C3677" s="1" t="n">
        <v>45852</v>
      </c>
      <c r="D3677" t="inlineStr">
        <is>
          <t>VÄSTERNORRLANDS LÄN</t>
        </is>
      </c>
      <c r="E3677" t="inlineStr">
        <is>
          <t>SOLLEFTEÅ</t>
        </is>
      </c>
      <c r="F3677" t="inlineStr">
        <is>
          <t>Holmen skog AB</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774-2025</t>
        </is>
      </c>
      <c r="B3678" s="1" t="n">
        <v>45659</v>
      </c>
      <c r="C3678" s="1" t="n">
        <v>45852</v>
      </c>
      <c r="D3678" t="inlineStr">
        <is>
          <t>VÄSTERNORRLANDS LÄN</t>
        </is>
      </c>
      <c r="E3678" t="inlineStr">
        <is>
          <t>SOLLEFTEÅ</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769-2025</t>
        </is>
      </c>
      <c r="B3679" s="1" t="n">
        <v>45659</v>
      </c>
      <c r="C3679" s="1" t="n">
        <v>45852</v>
      </c>
      <c r="D3679" t="inlineStr">
        <is>
          <t>VÄSTERNORRLANDS LÄN</t>
        </is>
      </c>
      <c r="E3679" t="inlineStr">
        <is>
          <t>SOLLEFTEÅ</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775-2025</t>
        </is>
      </c>
      <c r="B3680" s="1" t="n">
        <v>45659</v>
      </c>
      <c r="C3680" s="1" t="n">
        <v>45852</v>
      </c>
      <c r="D3680" t="inlineStr">
        <is>
          <t>VÄSTERNORRLANDS LÄN</t>
        </is>
      </c>
      <c r="E3680" t="inlineStr">
        <is>
          <t>SOLLEFTEÅ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326-2025</t>
        </is>
      </c>
      <c r="B3681" s="1" t="n">
        <v>45660</v>
      </c>
      <c r="C3681" s="1" t="n">
        <v>45852</v>
      </c>
      <c r="D3681" t="inlineStr">
        <is>
          <t>VÄSTERNORRLANDS LÄN</t>
        </is>
      </c>
      <c r="E3681" t="inlineStr">
        <is>
          <t>SOLLEFTEÅ</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291-2025</t>
        </is>
      </c>
      <c r="B3682" s="1" t="n">
        <v>45660</v>
      </c>
      <c r="C3682" s="1" t="n">
        <v>45852</v>
      </c>
      <c r="D3682" t="inlineStr">
        <is>
          <t>VÄSTERNORRLANDS LÄN</t>
        </is>
      </c>
      <c r="E3682" t="inlineStr">
        <is>
          <t>SOLLEFTEÅ</t>
        </is>
      </c>
      <c r="F3682" t="inlineStr">
        <is>
          <t>SCA</t>
        </is>
      </c>
      <c r="G3682" t="n">
        <v>24.7</v>
      </c>
      <c r="H3682" t="n">
        <v>0</v>
      </c>
      <c r="I3682" t="n">
        <v>0</v>
      </c>
      <c r="J3682" t="n">
        <v>0</v>
      </c>
      <c r="K3682" t="n">
        <v>0</v>
      </c>
      <c r="L3682" t="n">
        <v>0</v>
      </c>
      <c r="M3682" t="n">
        <v>0</v>
      </c>
      <c r="N3682" t="n">
        <v>0</v>
      </c>
      <c r="O3682" t="n">
        <v>0</v>
      </c>
      <c r="P3682" t="n">
        <v>0</v>
      </c>
      <c r="Q3682" t="n">
        <v>0</v>
      </c>
      <c r="R3682" s="2" t="inlineStr"/>
    </row>
    <row r="3683" ht="15" customHeight="1">
      <c r="A3683" t="inlineStr">
        <is>
          <t>A 218-2025</t>
        </is>
      </c>
      <c r="B3683" s="1" t="n">
        <v>45660</v>
      </c>
      <c r="C3683" s="1" t="n">
        <v>45852</v>
      </c>
      <c r="D3683" t="inlineStr">
        <is>
          <t>VÄSTERNORRLANDS LÄN</t>
        </is>
      </c>
      <c r="E3683" t="inlineStr">
        <is>
          <t>SOLLEFTEÅ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295-2025</t>
        </is>
      </c>
      <c r="B3684" s="1" t="n">
        <v>45660</v>
      </c>
      <c r="C3684" s="1" t="n">
        <v>45852</v>
      </c>
      <c r="D3684" t="inlineStr">
        <is>
          <t>VÄSTERNORRLANDS LÄN</t>
        </is>
      </c>
      <c r="E3684" t="inlineStr">
        <is>
          <t>SOLLEFTEÅ</t>
        </is>
      </c>
      <c r="F3684" t="inlineStr">
        <is>
          <t>SCA</t>
        </is>
      </c>
      <c r="G3684" t="n">
        <v>30.7</v>
      </c>
      <c r="H3684" t="n">
        <v>0</v>
      </c>
      <c r="I3684" t="n">
        <v>0</v>
      </c>
      <c r="J3684" t="n">
        <v>0</v>
      </c>
      <c r="K3684" t="n">
        <v>0</v>
      </c>
      <c r="L3684" t="n">
        <v>0</v>
      </c>
      <c r="M3684" t="n">
        <v>0</v>
      </c>
      <c r="N3684" t="n">
        <v>0</v>
      </c>
      <c r="O3684" t="n">
        <v>0</v>
      </c>
      <c r="P3684" t="n">
        <v>0</v>
      </c>
      <c r="Q3684" t="n">
        <v>0</v>
      </c>
      <c r="R3684" s="2" t="inlineStr"/>
    </row>
    <row r="3685" ht="15" customHeight="1">
      <c r="A3685" t="inlineStr">
        <is>
          <t>A 635-2025</t>
        </is>
      </c>
      <c r="B3685" s="1" t="n">
        <v>45664</v>
      </c>
      <c r="C3685" s="1" t="n">
        <v>45852</v>
      </c>
      <c r="D3685" t="inlineStr">
        <is>
          <t>VÄSTERNORRLANDS LÄN</t>
        </is>
      </c>
      <c r="E3685" t="inlineStr">
        <is>
          <t>SOLLEFTEÅ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439-2025</t>
        </is>
      </c>
      <c r="B3686" s="1" t="n">
        <v>45664</v>
      </c>
      <c r="C3686" s="1" t="n">
        <v>45852</v>
      </c>
      <c r="D3686" t="inlineStr">
        <is>
          <t>VÄSTERNORRLANDS LÄN</t>
        </is>
      </c>
      <c r="E3686" t="inlineStr">
        <is>
          <t>SOLLEFTEÅ</t>
        </is>
      </c>
      <c r="F3686" t="inlineStr">
        <is>
          <t>SCA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583-2025</t>
        </is>
      </c>
      <c r="B3687" s="1" t="n">
        <v>45664</v>
      </c>
      <c r="C3687" s="1" t="n">
        <v>45852</v>
      </c>
      <c r="D3687" t="inlineStr">
        <is>
          <t>VÄSTERNORRLANDS LÄN</t>
        </is>
      </c>
      <c r="E3687" t="inlineStr">
        <is>
          <t>SOLLEFTEÅ</t>
        </is>
      </c>
      <c r="G3687" t="n">
        <v>47.2</v>
      </c>
      <c r="H3687" t="n">
        <v>0</v>
      </c>
      <c r="I3687" t="n">
        <v>0</v>
      </c>
      <c r="J3687" t="n">
        <v>0</v>
      </c>
      <c r="K3687" t="n">
        <v>0</v>
      </c>
      <c r="L3687" t="n">
        <v>0</v>
      </c>
      <c r="M3687" t="n">
        <v>0</v>
      </c>
      <c r="N3687" t="n">
        <v>0</v>
      </c>
      <c r="O3687" t="n">
        <v>0</v>
      </c>
      <c r="P3687" t="n">
        <v>0</v>
      </c>
      <c r="Q3687" t="n">
        <v>0</v>
      </c>
      <c r="R3687" s="2" t="inlineStr"/>
    </row>
    <row r="3688" ht="15" customHeight="1">
      <c r="A3688" t="inlineStr">
        <is>
          <t>A 600-2025</t>
        </is>
      </c>
      <c r="B3688" s="1" t="n">
        <v>45664</v>
      </c>
      <c r="C3688" s="1" t="n">
        <v>45852</v>
      </c>
      <c r="D3688" t="inlineStr">
        <is>
          <t>VÄSTERNORRLANDS LÄN</t>
        </is>
      </c>
      <c r="E3688" t="inlineStr">
        <is>
          <t>SOLLEFTEÅ</t>
        </is>
      </c>
      <c r="F3688" t="inlineStr">
        <is>
          <t>SCA</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469-2025</t>
        </is>
      </c>
      <c r="B3689" s="1" t="n">
        <v>45664</v>
      </c>
      <c r="C3689" s="1" t="n">
        <v>45852</v>
      </c>
      <c r="D3689" t="inlineStr">
        <is>
          <t>VÄSTERNORRLANDS LÄN</t>
        </is>
      </c>
      <c r="E3689" t="inlineStr">
        <is>
          <t>SOLLEFTEÅ</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657-2025</t>
        </is>
      </c>
      <c r="B3690" s="1" t="n">
        <v>45664</v>
      </c>
      <c r="C3690" s="1" t="n">
        <v>45852</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800-2025</t>
        </is>
      </c>
      <c r="B3691" s="1" t="n">
        <v>45664</v>
      </c>
      <c r="C3691" s="1" t="n">
        <v>45852</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892-2025</t>
        </is>
      </c>
      <c r="B3692" s="1" t="n">
        <v>45665</v>
      </c>
      <c r="C3692" s="1" t="n">
        <v>45852</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757-2025</t>
        </is>
      </c>
      <c r="B3693" s="1" t="n">
        <v>45665</v>
      </c>
      <c r="C3693" s="1" t="n">
        <v>45852</v>
      </c>
      <c r="D3693" t="inlineStr">
        <is>
          <t>VÄSTERNORRLANDS LÄN</t>
        </is>
      </c>
      <c r="E3693" t="inlineStr">
        <is>
          <t>SOLLEFTEÅ</t>
        </is>
      </c>
      <c r="F3693" t="inlineStr">
        <is>
          <t>SCA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1089-2025</t>
        </is>
      </c>
      <c r="B3694" s="1" t="n">
        <v>45665</v>
      </c>
      <c r="C3694" s="1" t="n">
        <v>45852</v>
      </c>
      <c r="D3694" t="inlineStr">
        <is>
          <t>VÄSTERNORRLANDS LÄN</t>
        </is>
      </c>
      <c r="E3694" t="inlineStr">
        <is>
          <t>SOLLEFTEÅ</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1030-2025</t>
        </is>
      </c>
      <c r="B3695" s="1" t="n">
        <v>45666</v>
      </c>
      <c r="C3695" s="1" t="n">
        <v>45852</v>
      </c>
      <c r="D3695" t="inlineStr">
        <is>
          <t>VÄSTERNORRLANDS LÄN</t>
        </is>
      </c>
      <c r="E3695" t="inlineStr">
        <is>
          <t>SOLLEFTEÅ</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1114-2025</t>
        </is>
      </c>
      <c r="B3696" s="1" t="n">
        <v>45666</v>
      </c>
      <c r="C3696" s="1" t="n">
        <v>45852</v>
      </c>
      <c r="D3696" t="inlineStr">
        <is>
          <t>VÄSTERNORRLANDS LÄN</t>
        </is>
      </c>
      <c r="E3696" t="inlineStr">
        <is>
          <t>SOLLEFTEÅ</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1096-2025</t>
        </is>
      </c>
      <c r="B3697" s="1" t="n">
        <v>45666</v>
      </c>
      <c r="C3697" s="1" t="n">
        <v>45852</v>
      </c>
      <c r="D3697" t="inlineStr">
        <is>
          <t>VÄSTERNORRLANDS LÄN</t>
        </is>
      </c>
      <c r="E3697" t="inlineStr">
        <is>
          <t>SOLLEFTEÅ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1082-2025</t>
        </is>
      </c>
      <c r="B3698" s="1" t="n">
        <v>45666</v>
      </c>
      <c r="C3698" s="1" t="n">
        <v>45852</v>
      </c>
      <c r="D3698" t="inlineStr">
        <is>
          <t>VÄSTERNORRLANDS LÄN</t>
        </is>
      </c>
      <c r="E3698" t="inlineStr">
        <is>
          <t>SOLLEFTEÅ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1029-2025</t>
        </is>
      </c>
      <c r="B3699" s="1" t="n">
        <v>45666</v>
      </c>
      <c r="C3699" s="1" t="n">
        <v>45852</v>
      </c>
      <c r="D3699" t="inlineStr">
        <is>
          <t>VÄSTERNORRLANDS LÄN</t>
        </is>
      </c>
      <c r="E3699" t="inlineStr">
        <is>
          <t>SOLLEFTEÅ</t>
        </is>
      </c>
      <c r="F3699" t="inlineStr">
        <is>
          <t>SCA</t>
        </is>
      </c>
      <c r="G3699" t="n">
        <v>9.4</v>
      </c>
      <c r="H3699" t="n">
        <v>0</v>
      </c>
      <c r="I3699" t="n">
        <v>0</v>
      </c>
      <c r="J3699" t="n">
        <v>0</v>
      </c>
      <c r="K3699" t="n">
        <v>0</v>
      </c>
      <c r="L3699" t="n">
        <v>0</v>
      </c>
      <c r="M3699" t="n">
        <v>0</v>
      </c>
      <c r="N3699" t="n">
        <v>0</v>
      </c>
      <c r="O3699" t="n">
        <v>0</v>
      </c>
      <c r="P3699" t="n">
        <v>0</v>
      </c>
      <c r="Q3699" t="n">
        <v>0</v>
      </c>
      <c r="R3699" s="2" t="inlineStr"/>
    </row>
    <row r="3700" ht="15" customHeight="1">
      <c r="A3700" t="inlineStr">
        <is>
          <t>A 966-2025</t>
        </is>
      </c>
      <c r="B3700" s="1" t="n">
        <v>45666</v>
      </c>
      <c r="C3700" s="1" t="n">
        <v>45852</v>
      </c>
      <c r="D3700" t="inlineStr">
        <is>
          <t>VÄSTERNORRLANDS LÄN</t>
        </is>
      </c>
      <c r="E3700" t="inlineStr">
        <is>
          <t>SOLLEFTEÅ</t>
        </is>
      </c>
      <c r="F3700" t="inlineStr">
        <is>
          <t>SCA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967-2025</t>
        </is>
      </c>
      <c r="B3701" s="1" t="n">
        <v>45666</v>
      </c>
      <c r="C3701" s="1" t="n">
        <v>45852</v>
      </c>
      <c r="D3701" t="inlineStr">
        <is>
          <t>VÄSTERNORRLANDS LÄN</t>
        </is>
      </c>
      <c r="E3701" t="inlineStr">
        <is>
          <t>SOLLEFTEÅ</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945-2025</t>
        </is>
      </c>
      <c r="B3702" s="1" t="n">
        <v>45666</v>
      </c>
      <c r="C3702" s="1" t="n">
        <v>45852</v>
      </c>
      <c r="D3702" t="inlineStr">
        <is>
          <t>VÄSTERNORRLANDS LÄN</t>
        </is>
      </c>
      <c r="E3702" t="inlineStr">
        <is>
          <t>SOLLEFTEÅ</t>
        </is>
      </c>
      <c r="F3702" t="inlineStr">
        <is>
          <t>SCA</t>
        </is>
      </c>
      <c r="G3702" t="n">
        <v>36.6</v>
      </c>
      <c r="H3702" t="n">
        <v>0</v>
      </c>
      <c r="I3702" t="n">
        <v>0</v>
      </c>
      <c r="J3702" t="n">
        <v>0</v>
      </c>
      <c r="K3702" t="n">
        <v>0</v>
      </c>
      <c r="L3702" t="n">
        <v>0</v>
      </c>
      <c r="M3702" t="n">
        <v>0</v>
      </c>
      <c r="N3702" t="n">
        <v>0</v>
      </c>
      <c r="O3702" t="n">
        <v>0</v>
      </c>
      <c r="P3702" t="n">
        <v>0</v>
      </c>
      <c r="Q3702" t="n">
        <v>0</v>
      </c>
      <c r="R3702" s="2" t="inlineStr"/>
    </row>
    <row r="3703" ht="15" customHeight="1">
      <c r="A3703" t="inlineStr">
        <is>
          <t>A 1014-2025</t>
        </is>
      </c>
      <c r="B3703" s="1" t="n">
        <v>45666</v>
      </c>
      <c r="C3703" s="1" t="n">
        <v>45852</v>
      </c>
      <c r="D3703" t="inlineStr">
        <is>
          <t>VÄSTERNORRLANDS LÄN</t>
        </is>
      </c>
      <c r="E3703" t="inlineStr">
        <is>
          <t>SOLLEFTEÅ</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1200-2025</t>
        </is>
      </c>
      <c r="B3704" s="1" t="n">
        <v>45667</v>
      </c>
      <c r="C3704" s="1" t="n">
        <v>45852</v>
      </c>
      <c r="D3704" t="inlineStr">
        <is>
          <t>VÄSTERNORRLANDS LÄN</t>
        </is>
      </c>
      <c r="E3704" t="inlineStr">
        <is>
          <t>SOLLEFTEÅ</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1216-2025</t>
        </is>
      </c>
      <c r="B3705" s="1" t="n">
        <v>45667</v>
      </c>
      <c r="C3705" s="1" t="n">
        <v>45852</v>
      </c>
      <c r="D3705" t="inlineStr">
        <is>
          <t>VÄSTERNORRLANDS LÄN</t>
        </is>
      </c>
      <c r="E3705" t="inlineStr">
        <is>
          <t>SOLLEFTEÅ</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1248-2025</t>
        </is>
      </c>
      <c r="B3706" s="1" t="n">
        <v>45667</v>
      </c>
      <c r="C3706" s="1" t="n">
        <v>45852</v>
      </c>
      <c r="D3706" t="inlineStr">
        <is>
          <t>VÄSTERNORRLANDS LÄN</t>
        </is>
      </c>
      <c r="E3706" t="inlineStr">
        <is>
          <t>SOLLEFTEÅ</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1176-2025</t>
        </is>
      </c>
      <c r="B3707" s="1" t="n">
        <v>45667</v>
      </c>
      <c r="C3707" s="1" t="n">
        <v>45852</v>
      </c>
      <c r="D3707" t="inlineStr">
        <is>
          <t>VÄSTERNORRLANDS LÄN</t>
        </is>
      </c>
      <c r="E3707" t="inlineStr">
        <is>
          <t>SOLLEFTEÅ</t>
        </is>
      </c>
      <c r="F3707" t="inlineStr">
        <is>
          <t>Kyrkan</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1348-2025</t>
        </is>
      </c>
      <c r="B3708" s="1" t="n">
        <v>45667</v>
      </c>
      <c r="C3708" s="1" t="n">
        <v>45852</v>
      </c>
      <c r="D3708" t="inlineStr">
        <is>
          <t>VÄSTERNORRLANDS LÄN</t>
        </is>
      </c>
      <c r="E3708" t="inlineStr">
        <is>
          <t>SOLLEFTEÅ</t>
        </is>
      </c>
      <c r="F3708" t="inlineStr">
        <is>
          <t>SCA</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1218-2025</t>
        </is>
      </c>
      <c r="B3709" s="1" t="n">
        <v>45667</v>
      </c>
      <c r="C3709" s="1" t="n">
        <v>45852</v>
      </c>
      <c r="D3709" t="inlineStr">
        <is>
          <t>VÄSTERNORRLANDS LÄN</t>
        </is>
      </c>
      <c r="E3709" t="inlineStr">
        <is>
          <t>SOLLEFTEÅ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1361-2025</t>
        </is>
      </c>
      <c r="B3710" s="1" t="n">
        <v>45667</v>
      </c>
      <c r="C3710" s="1" t="n">
        <v>45852</v>
      </c>
      <c r="D3710" t="inlineStr">
        <is>
          <t>VÄSTERNORRLANDS LÄN</t>
        </is>
      </c>
      <c r="E3710" t="inlineStr">
        <is>
          <t>SOLLEFTEÅ</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1416-2025</t>
        </is>
      </c>
      <c r="B3711" s="1" t="n">
        <v>45668</v>
      </c>
      <c r="C3711" s="1" t="n">
        <v>45852</v>
      </c>
      <c r="D3711" t="inlineStr">
        <is>
          <t>VÄSTERNORRLANDS LÄN</t>
        </is>
      </c>
      <c r="E3711" t="inlineStr">
        <is>
          <t>SOLLEFTEÅ</t>
        </is>
      </c>
      <c r="G3711" t="n">
        <v>21.3</v>
      </c>
      <c r="H3711" t="n">
        <v>0</v>
      </c>
      <c r="I3711" t="n">
        <v>0</v>
      </c>
      <c r="J3711" t="n">
        <v>0</v>
      </c>
      <c r="K3711" t="n">
        <v>0</v>
      </c>
      <c r="L3711" t="n">
        <v>0</v>
      </c>
      <c r="M3711" t="n">
        <v>0</v>
      </c>
      <c r="N3711" t="n">
        <v>0</v>
      </c>
      <c r="O3711" t="n">
        <v>0</v>
      </c>
      <c r="P3711" t="n">
        <v>0</v>
      </c>
      <c r="Q3711" t="n">
        <v>0</v>
      </c>
      <c r="R3711" s="2" t="inlineStr"/>
    </row>
    <row r="3712" ht="15" customHeight="1">
      <c r="A3712" t="inlineStr">
        <is>
          <t>A 1480-2025</t>
        </is>
      </c>
      <c r="B3712" s="1" t="n">
        <v>45670</v>
      </c>
      <c r="C3712" s="1" t="n">
        <v>45852</v>
      </c>
      <c r="D3712" t="inlineStr">
        <is>
          <t>VÄSTERNORRLANDS LÄN</t>
        </is>
      </c>
      <c r="E3712" t="inlineStr">
        <is>
          <t>SOLLEFTEÅ</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1465-2025</t>
        </is>
      </c>
      <c r="B3713" s="1" t="n">
        <v>45670</v>
      </c>
      <c r="C3713" s="1" t="n">
        <v>45852</v>
      </c>
      <c r="D3713" t="inlineStr">
        <is>
          <t>VÄSTERNORRLANDS LÄN</t>
        </is>
      </c>
      <c r="E3713" t="inlineStr">
        <is>
          <t>SOLLEFTEÅ</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1637-2025</t>
        </is>
      </c>
      <c r="B3714" s="1" t="n">
        <v>45670</v>
      </c>
      <c r="C3714" s="1" t="n">
        <v>45852</v>
      </c>
      <c r="D3714" t="inlineStr">
        <is>
          <t>VÄSTERNORRLANDS LÄN</t>
        </is>
      </c>
      <c r="E3714" t="inlineStr">
        <is>
          <t>SOLLEFTEÅ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1550-2025</t>
        </is>
      </c>
      <c r="B3715" s="1" t="n">
        <v>45670</v>
      </c>
      <c r="C3715" s="1" t="n">
        <v>45852</v>
      </c>
      <c r="D3715" t="inlineStr">
        <is>
          <t>VÄSTERNORRLANDS LÄN</t>
        </is>
      </c>
      <c r="E3715" t="inlineStr">
        <is>
          <t>SOLLEFTEÅ</t>
        </is>
      </c>
      <c r="F3715" t="inlineStr">
        <is>
          <t>SCA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1623-2025</t>
        </is>
      </c>
      <c r="B3716" s="1" t="n">
        <v>45670</v>
      </c>
      <c r="C3716" s="1" t="n">
        <v>45852</v>
      </c>
      <c r="D3716" t="inlineStr">
        <is>
          <t>VÄSTERNORRLANDS LÄN</t>
        </is>
      </c>
      <c r="E3716" t="inlineStr">
        <is>
          <t>SOLLEFTEÅ</t>
        </is>
      </c>
      <c r="F3716" t="inlineStr">
        <is>
          <t>SCA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1464-2025</t>
        </is>
      </c>
      <c r="B3717" s="1" t="n">
        <v>45670</v>
      </c>
      <c r="C3717" s="1" t="n">
        <v>45852</v>
      </c>
      <c r="D3717" t="inlineStr">
        <is>
          <t>VÄSTERNORRLANDS LÄN</t>
        </is>
      </c>
      <c r="E3717" t="inlineStr">
        <is>
          <t>SOLLEFTEÅ</t>
        </is>
      </c>
      <c r="F3717" t="inlineStr">
        <is>
          <t>SCA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1466-2025</t>
        </is>
      </c>
      <c r="B3718" s="1" t="n">
        <v>45670</v>
      </c>
      <c r="C3718" s="1" t="n">
        <v>45852</v>
      </c>
      <c r="D3718" t="inlineStr">
        <is>
          <t>VÄSTERNORRLANDS LÄN</t>
        </is>
      </c>
      <c r="E3718" t="inlineStr">
        <is>
          <t>SOLLEFTEÅ</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1909-2025</t>
        </is>
      </c>
      <c r="B3719" s="1" t="n">
        <v>45671</v>
      </c>
      <c r="C3719" s="1" t="n">
        <v>45852</v>
      </c>
      <c r="D3719" t="inlineStr">
        <is>
          <t>VÄSTERNORRLANDS LÄN</t>
        </is>
      </c>
      <c r="E3719" t="inlineStr">
        <is>
          <t>SOLLEFTEÅ</t>
        </is>
      </c>
      <c r="F3719" t="inlineStr">
        <is>
          <t>SCA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2048-2025</t>
        </is>
      </c>
      <c r="B3720" s="1" t="n">
        <v>45671</v>
      </c>
      <c r="C3720" s="1" t="n">
        <v>45852</v>
      </c>
      <c r="D3720" t="inlineStr">
        <is>
          <t>VÄSTERNORRLANDS LÄN</t>
        </is>
      </c>
      <c r="E3720" t="inlineStr">
        <is>
          <t>SOLLEFTEÅ</t>
        </is>
      </c>
      <c r="G3720" t="n">
        <v>13.5</v>
      </c>
      <c r="H3720" t="n">
        <v>0</v>
      </c>
      <c r="I3720" t="n">
        <v>0</v>
      </c>
      <c r="J3720" t="n">
        <v>0</v>
      </c>
      <c r="K3720" t="n">
        <v>0</v>
      </c>
      <c r="L3720" t="n">
        <v>0</v>
      </c>
      <c r="M3720" t="n">
        <v>0</v>
      </c>
      <c r="N3720" t="n">
        <v>0</v>
      </c>
      <c r="O3720" t="n">
        <v>0</v>
      </c>
      <c r="P3720" t="n">
        <v>0</v>
      </c>
      <c r="Q3720" t="n">
        <v>0</v>
      </c>
      <c r="R3720" s="2" t="inlineStr"/>
    </row>
    <row r="3721" ht="15" customHeight="1">
      <c r="A3721" t="inlineStr">
        <is>
          <t>A 1910-2025</t>
        </is>
      </c>
      <c r="B3721" s="1" t="n">
        <v>45671</v>
      </c>
      <c r="C3721" s="1" t="n">
        <v>45852</v>
      </c>
      <c r="D3721" t="inlineStr">
        <is>
          <t>VÄSTERNORRLANDS LÄN</t>
        </is>
      </c>
      <c r="E3721" t="inlineStr">
        <is>
          <t>SOLLEFTEÅ</t>
        </is>
      </c>
      <c r="F3721" t="inlineStr">
        <is>
          <t>SCA</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1927-2025</t>
        </is>
      </c>
      <c r="B3722" s="1" t="n">
        <v>45671</v>
      </c>
      <c r="C3722" s="1" t="n">
        <v>45852</v>
      </c>
      <c r="D3722" t="inlineStr">
        <is>
          <t>VÄSTERNORRLANDS LÄN</t>
        </is>
      </c>
      <c r="E3722" t="inlineStr">
        <is>
          <t>SOLLEFTEÅ</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1928-2025</t>
        </is>
      </c>
      <c r="B3723" s="1" t="n">
        <v>45671</v>
      </c>
      <c r="C3723" s="1" t="n">
        <v>45852</v>
      </c>
      <c r="D3723" t="inlineStr">
        <is>
          <t>VÄSTERNORRLANDS LÄN</t>
        </is>
      </c>
      <c r="E3723" t="inlineStr">
        <is>
          <t>SOLLEFTEÅ</t>
        </is>
      </c>
      <c r="F3723" t="inlineStr">
        <is>
          <t>SCA</t>
        </is>
      </c>
      <c r="G3723" t="n">
        <v>12.9</v>
      </c>
      <c r="H3723" t="n">
        <v>0</v>
      </c>
      <c r="I3723" t="n">
        <v>0</v>
      </c>
      <c r="J3723" t="n">
        <v>0</v>
      </c>
      <c r="K3723" t="n">
        <v>0</v>
      </c>
      <c r="L3723" t="n">
        <v>0</v>
      </c>
      <c r="M3723" t="n">
        <v>0</v>
      </c>
      <c r="N3723" t="n">
        <v>0</v>
      </c>
      <c r="O3723" t="n">
        <v>0</v>
      </c>
      <c r="P3723" t="n">
        <v>0</v>
      </c>
      <c r="Q3723" t="n">
        <v>0</v>
      </c>
      <c r="R3723" s="2" t="inlineStr"/>
    </row>
    <row r="3724" ht="15" customHeight="1">
      <c r="A3724" t="inlineStr">
        <is>
          <t>A 2044-2025</t>
        </is>
      </c>
      <c r="B3724" s="1" t="n">
        <v>45672</v>
      </c>
      <c r="C3724" s="1" t="n">
        <v>45852</v>
      </c>
      <c r="D3724" t="inlineStr">
        <is>
          <t>VÄSTERNORRLANDS LÄN</t>
        </is>
      </c>
      <c r="E3724" t="inlineStr">
        <is>
          <t>SOLLEFTEÅ</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2045-2025</t>
        </is>
      </c>
      <c r="B3725" s="1" t="n">
        <v>45672</v>
      </c>
      <c r="C3725" s="1" t="n">
        <v>45852</v>
      </c>
      <c r="D3725" t="inlineStr">
        <is>
          <t>VÄSTERNORRLANDS LÄN</t>
        </is>
      </c>
      <c r="E3725" t="inlineStr">
        <is>
          <t>SOLLEFTEÅ</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2140-2025</t>
        </is>
      </c>
      <c r="B3726" s="1" t="n">
        <v>45672</v>
      </c>
      <c r="C3726" s="1" t="n">
        <v>45852</v>
      </c>
      <c r="D3726" t="inlineStr">
        <is>
          <t>VÄSTERNORRLANDS LÄN</t>
        </is>
      </c>
      <c r="E3726" t="inlineStr">
        <is>
          <t>SOLLEFTEÅ</t>
        </is>
      </c>
      <c r="F3726" t="inlineStr">
        <is>
          <t>SCA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1986-2025</t>
        </is>
      </c>
      <c r="B3727" s="1" t="n">
        <v>45672</v>
      </c>
      <c r="C3727" s="1" t="n">
        <v>45852</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2000-2025</t>
        </is>
      </c>
      <c r="B3728" s="1" t="n">
        <v>45672</v>
      </c>
      <c r="C3728" s="1" t="n">
        <v>45852</v>
      </c>
      <c r="D3728" t="inlineStr">
        <is>
          <t>VÄSTERNORRLANDS LÄN</t>
        </is>
      </c>
      <c r="E3728" t="inlineStr">
        <is>
          <t>SOLLEFTEÅ</t>
        </is>
      </c>
      <c r="F3728" t="inlineStr">
        <is>
          <t>SCA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2188-2025</t>
        </is>
      </c>
      <c r="B3729" s="1" t="n">
        <v>45673</v>
      </c>
      <c r="C3729" s="1" t="n">
        <v>45852</v>
      </c>
      <c r="D3729" t="inlineStr">
        <is>
          <t>VÄSTERNORRLANDS LÄN</t>
        </is>
      </c>
      <c r="E3729" t="inlineStr">
        <is>
          <t>SOLLEFTEÅ</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2198-2025</t>
        </is>
      </c>
      <c r="B3730" s="1" t="n">
        <v>45673</v>
      </c>
      <c r="C3730" s="1" t="n">
        <v>45852</v>
      </c>
      <c r="D3730" t="inlineStr">
        <is>
          <t>VÄSTERNORRLANDS LÄN</t>
        </is>
      </c>
      <c r="E3730" t="inlineStr">
        <is>
          <t>SOLLEFTEÅ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2185-2025</t>
        </is>
      </c>
      <c r="B3731" s="1" t="n">
        <v>45673</v>
      </c>
      <c r="C3731" s="1" t="n">
        <v>45852</v>
      </c>
      <c r="D3731" t="inlineStr">
        <is>
          <t>VÄSTERNORRLANDS LÄN</t>
        </is>
      </c>
      <c r="E3731" t="inlineStr">
        <is>
          <t>SOLLEFTEÅ</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2348-2025</t>
        </is>
      </c>
      <c r="B3732" s="1" t="n">
        <v>45673</v>
      </c>
      <c r="C3732" s="1" t="n">
        <v>45852</v>
      </c>
      <c r="D3732" t="inlineStr">
        <is>
          <t>VÄSTERNORRLANDS LÄN</t>
        </is>
      </c>
      <c r="E3732" t="inlineStr">
        <is>
          <t>SOLLEFTEÅ</t>
        </is>
      </c>
      <c r="F3732" t="inlineStr">
        <is>
          <t>SCA</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2345-2025</t>
        </is>
      </c>
      <c r="B3733" s="1" t="n">
        <v>45673</v>
      </c>
      <c r="C3733" s="1" t="n">
        <v>45852</v>
      </c>
      <c r="D3733" t="inlineStr">
        <is>
          <t>VÄSTERNORRLANDS LÄN</t>
        </is>
      </c>
      <c r="E3733" t="inlineStr">
        <is>
          <t>SOLLEFTEÅ</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2346-2025</t>
        </is>
      </c>
      <c r="B3734" s="1" t="n">
        <v>45673</v>
      </c>
      <c r="C3734" s="1" t="n">
        <v>45852</v>
      </c>
      <c r="D3734" t="inlineStr">
        <is>
          <t>VÄSTERNORRLANDS LÄN</t>
        </is>
      </c>
      <c r="E3734" t="inlineStr">
        <is>
          <t>SOLLEFTEÅ</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2456-2025</t>
        </is>
      </c>
      <c r="B3735" s="1" t="n">
        <v>45673</v>
      </c>
      <c r="C3735" s="1" t="n">
        <v>45852</v>
      </c>
      <c r="D3735" t="inlineStr">
        <is>
          <t>VÄSTERNORRLANDS LÄN</t>
        </is>
      </c>
      <c r="E3735" t="inlineStr">
        <is>
          <t>SOLLEFTEÅ</t>
        </is>
      </c>
      <c r="F3735" t="inlineStr">
        <is>
          <t>Kommuner</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2582-2025</t>
        </is>
      </c>
      <c r="B3736" s="1" t="n">
        <v>45674</v>
      </c>
      <c r="C3736" s="1" t="n">
        <v>45852</v>
      </c>
      <c r="D3736" t="inlineStr">
        <is>
          <t>VÄSTERNORRLANDS LÄN</t>
        </is>
      </c>
      <c r="E3736" t="inlineStr">
        <is>
          <t>SOLLEFTEÅ</t>
        </is>
      </c>
      <c r="F3736" t="inlineStr">
        <is>
          <t>SCA</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2580-2025</t>
        </is>
      </c>
      <c r="B3737" s="1" t="n">
        <v>45674</v>
      </c>
      <c r="C3737" s="1" t="n">
        <v>45852</v>
      </c>
      <c r="D3737" t="inlineStr">
        <is>
          <t>VÄSTERNORRLANDS LÄN</t>
        </is>
      </c>
      <c r="E3737" t="inlineStr">
        <is>
          <t>SOLLEFTEÅ</t>
        </is>
      </c>
      <c r="F3737" t="inlineStr">
        <is>
          <t>SCA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2583-2025</t>
        </is>
      </c>
      <c r="B3738" s="1" t="n">
        <v>45674</v>
      </c>
      <c r="C3738" s="1" t="n">
        <v>45852</v>
      </c>
      <c r="D3738" t="inlineStr">
        <is>
          <t>VÄSTERNORRLANDS LÄN</t>
        </is>
      </c>
      <c r="E3738" t="inlineStr">
        <is>
          <t>SOLLEFTEÅ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2502-2025</t>
        </is>
      </c>
      <c r="B3739" s="1" t="n">
        <v>45674</v>
      </c>
      <c r="C3739" s="1" t="n">
        <v>45852</v>
      </c>
      <c r="D3739" t="inlineStr">
        <is>
          <t>VÄSTERNORRLANDS LÄN</t>
        </is>
      </c>
      <c r="E3739" t="inlineStr">
        <is>
          <t>SOLLEFTEÅ</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2481-2025</t>
        </is>
      </c>
      <c r="B3740" s="1" t="n">
        <v>45674</v>
      </c>
      <c r="C3740" s="1" t="n">
        <v>45852</v>
      </c>
      <c r="D3740" t="inlineStr">
        <is>
          <t>VÄSTERNORRLANDS LÄN</t>
        </is>
      </c>
      <c r="E3740" t="inlineStr">
        <is>
          <t>SOLLEFTEÅ</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2446-2025</t>
        </is>
      </c>
      <c r="B3741" s="1" t="n">
        <v>45674</v>
      </c>
      <c r="C3741" s="1" t="n">
        <v>45852</v>
      </c>
      <c r="D3741" t="inlineStr">
        <is>
          <t>VÄSTERNORRLANDS LÄN</t>
        </is>
      </c>
      <c r="E3741" t="inlineStr">
        <is>
          <t>SOLLEFTEÅ</t>
        </is>
      </c>
      <c r="F3741" t="inlineStr">
        <is>
          <t>SCA</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2438-2025</t>
        </is>
      </c>
      <c r="B3742" s="1" t="n">
        <v>45674</v>
      </c>
      <c r="C3742" s="1" t="n">
        <v>45852</v>
      </c>
      <c r="D3742" t="inlineStr">
        <is>
          <t>VÄSTERNORRLANDS LÄN</t>
        </is>
      </c>
      <c r="E3742" t="inlineStr">
        <is>
          <t>SOLLEFTEÅ</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2431-2025</t>
        </is>
      </c>
      <c r="B3743" s="1" t="n">
        <v>45674</v>
      </c>
      <c r="C3743" s="1" t="n">
        <v>45852</v>
      </c>
      <c r="D3743" t="inlineStr">
        <is>
          <t>VÄSTERNORRLANDS LÄN</t>
        </is>
      </c>
      <c r="E3743" t="inlineStr">
        <is>
          <t>SOLLEFTEÅ</t>
        </is>
      </c>
      <c r="F3743" t="inlineStr">
        <is>
          <t>SCA</t>
        </is>
      </c>
      <c r="G3743" t="n">
        <v>19.2</v>
      </c>
      <c r="H3743" t="n">
        <v>0</v>
      </c>
      <c r="I3743" t="n">
        <v>0</v>
      </c>
      <c r="J3743" t="n">
        <v>0</v>
      </c>
      <c r="K3743" t="n">
        <v>0</v>
      </c>
      <c r="L3743" t="n">
        <v>0</v>
      </c>
      <c r="M3743" t="n">
        <v>0</v>
      </c>
      <c r="N3743" t="n">
        <v>0</v>
      </c>
      <c r="O3743" t="n">
        <v>0</v>
      </c>
      <c r="P3743" t="n">
        <v>0</v>
      </c>
      <c r="Q3743" t="n">
        <v>0</v>
      </c>
      <c r="R3743" s="2" t="inlineStr"/>
    </row>
    <row r="3744" ht="15" customHeight="1">
      <c r="A3744" t="inlineStr">
        <is>
          <t>A 2422-2025</t>
        </is>
      </c>
      <c r="B3744" s="1" t="n">
        <v>45674</v>
      </c>
      <c r="C3744" s="1" t="n">
        <v>45852</v>
      </c>
      <c r="D3744" t="inlineStr">
        <is>
          <t>VÄSTERNORRLANDS LÄN</t>
        </is>
      </c>
      <c r="E3744" t="inlineStr">
        <is>
          <t>SOLLEFTEÅ</t>
        </is>
      </c>
      <c r="F3744" t="inlineStr">
        <is>
          <t>SCA</t>
        </is>
      </c>
      <c r="G3744" t="n">
        <v>27.9</v>
      </c>
      <c r="H3744" t="n">
        <v>0</v>
      </c>
      <c r="I3744" t="n">
        <v>0</v>
      </c>
      <c r="J3744" t="n">
        <v>0</v>
      </c>
      <c r="K3744" t="n">
        <v>0</v>
      </c>
      <c r="L3744" t="n">
        <v>0</v>
      </c>
      <c r="M3744" t="n">
        <v>0</v>
      </c>
      <c r="N3744" t="n">
        <v>0</v>
      </c>
      <c r="O3744" t="n">
        <v>0</v>
      </c>
      <c r="P3744" t="n">
        <v>0</v>
      </c>
      <c r="Q3744" t="n">
        <v>0</v>
      </c>
      <c r="R3744" s="2" t="inlineStr"/>
    </row>
    <row r="3745" ht="15" customHeight="1">
      <c r="A3745" t="inlineStr">
        <is>
          <t>A 2677-2025</t>
        </is>
      </c>
      <c r="B3745" s="1" t="n">
        <v>45677</v>
      </c>
      <c r="C3745" s="1" t="n">
        <v>45852</v>
      </c>
      <c r="D3745" t="inlineStr">
        <is>
          <t>VÄSTERNORRLANDS LÄN</t>
        </is>
      </c>
      <c r="E3745" t="inlineStr">
        <is>
          <t>SOLLEFTEÅ</t>
        </is>
      </c>
      <c r="F3745" t="inlineStr">
        <is>
          <t>SCA</t>
        </is>
      </c>
      <c r="G3745" t="n">
        <v>11.9</v>
      </c>
      <c r="H3745" t="n">
        <v>0</v>
      </c>
      <c r="I3745" t="n">
        <v>0</v>
      </c>
      <c r="J3745" t="n">
        <v>0</v>
      </c>
      <c r="K3745" t="n">
        <v>0</v>
      </c>
      <c r="L3745" t="n">
        <v>0</v>
      </c>
      <c r="M3745" t="n">
        <v>0</v>
      </c>
      <c r="N3745" t="n">
        <v>0</v>
      </c>
      <c r="O3745" t="n">
        <v>0</v>
      </c>
      <c r="P3745" t="n">
        <v>0</v>
      </c>
      <c r="Q3745" t="n">
        <v>0</v>
      </c>
      <c r="R3745" s="2" t="inlineStr"/>
    </row>
    <row r="3746" ht="15" customHeight="1">
      <c r="A3746" t="inlineStr">
        <is>
          <t>A 2699-2025</t>
        </is>
      </c>
      <c r="B3746" s="1" t="n">
        <v>45677</v>
      </c>
      <c r="C3746" s="1" t="n">
        <v>45852</v>
      </c>
      <c r="D3746" t="inlineStr">
        <is>
          <t>VÄSTERNORRLANDS LÄN</t>
        </is>
      </c>
      <c r="E3746" t="inlineStr">
        <is>
          <t>SOLLEFTEÅ</t>
        </is>
      </c>
      <c r="F3746" t="inlineStr">
        <is>
          <t>SCA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2883-2025</t>
        </is>
      </c>
      <c r="B3747" s="1" t="n">
        <v>45677</v>
      </c>
      <c r="C3747" s="1" t="n">
        <v>45852</v>
      </c>
      <c r="D3747" t="inlineStr">
        <is>
          <t>VÄSTERNORRLANDS LÄN</t>
        </is>
      </c>
      <c r="E3747" t="inlineStr">
        <is>
          <t>SOLLEFTEÅ</t>
        </is>
      </c>
      <c r="F3747" t="inlineStr">
        <is>
          <t>SCA</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2685-2025</t>
        </is>
      </c>
      <c r="B3748" s="1" t="n">
        <v>45677</v>
      </c>
      <c r="C3748" s="1" t="n">
        <v>45852</v>
      </c>
      <c r="D3748" t="inlineStr">
        <is>
          <t>VÄSTERNORRLANDS LÄN</t>
        </is>
      </c>
      <c r="E3748" t="inlineStr">
        <is>
          <t>SOLLEFTEÅ</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2969-2025</t>
        </is>
      </c>
      <c r="B3749" s="1" t="n">
        <v>45678</v>
      </c>
      <c r="C3749" s="1" t="n">
        <v>45852</v>
      </c>
      <c r="D3749" t="inlineStr">
        <is>
          <t>VÄSTERNORRLANDS LÄN</t>
        </is>
      </c>
      <c r="E3749" t="inlineStr">
        <is>
          <t>SOLLEFTEÅ</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3096-2025</t>
        </is>
      </c>
      <c r="B3750" s="1" t="n">
        <v>45678</v>
      </c>
      <c r="C3750" s="1" t="n">
        <v>45852</v>
      </c>
      <c r="D3750" t="inlineStr">
        <is>
          <t>VÄSTERNORRLANDS LÄN</t>
        </is>
      </c>
      <c r="E3750" t="inlineStr">
        <is>
          <t>SOLLEFTEÅ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3080-2025</t>
        </is>
      </c>
      <c r="B3751" s="1" t="n">
        <v>45678</v>
      </c>
      <c r="C3751" s="1" t="n">
        <v>45852</v>
      </c>
      <c r="D3751" t="inlineStr">
        <is>
          <t>VÄSTERNORRLANDS LÄN</t>
        </is>
      </c>
      <c r="E3751" t="inlineStr">
        <is>
          <t>SOLLEFTEÅ</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2983-2025</t>
        </is>
      </c>
      <c r="B3752" s="1" t="n">
        <v>45678</v>
      </c>
      <c r="C3752" s="1" t="n">
        <v>45852</v>
      </c>
      <c r="D3752" t="inlineStr">
        <is>
          <t>VÄSTERNORRLANDS LÄN</t>
        </is>
      </c>
      <c r="E3752" t="inlineStr">
        <is>
          <t>SOLLEFTEÅ</t>
        </is>
      </c>
      <c r="F3752" t="inlineStr">
        <is>
          <t>SCA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3082-2025</t>
        </is>
      </c>
      <c r="B3753" s="1" t="n">
        <v>45678</v>
      </c>
      <c r="C3753" s="1" t="n">
        <v>45852</v>
      </c>
      <c r="D3753" t="inlineStr">
        <is>
          <t>VÄSTERNORRLANDS LÄN</t>
        </is>
      </c>
      <c r="E3753" t="inlineStr">
        <is>
          <t>SOLLEFTEÅ</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3081-2025</t>
        </is>
      </c>
      <c r="B3754" s="1" t="n">
        <v>45678</v>
      </c>
      <c r="C3754" s="1" t="n">
        <v>45852</v>
      </c>
      <c r="D3754" t="inlineStr">
        <is>
          <t>VÄSTERNORRLANDS LÄN</t>
        </is>
      </c>
      <c r="E3754" t="inlineStr">
        <is>
          <t>SOLLEFTEÅ</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3095-2025</t>
        </is>
      </c>
      <c r="B3755" s="1" t="n">
        <v>45678</v>
      </c>
      <c r="C3755" s="1" t="n">
        <v>45852</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3103-2025</t>
        </is>
      </c>
      <c r="B3756" s="1" t="n">
        <v>45678</v>
      </c>
      <c r="C3756" s="1" t="n">
        <v>45852</v>
      </c>
      <c r="D3756" t="inlineStr">
        <is>
          <t>VÄSTERNORRLANDS LÄN</t>
        </is>
      </c>
      <c r="E3756" t="inlineStr">
        <is>
          <t>SOLLEFTEÅ</t>
        </is>
      </c>
      <c r="F3756" t="inlineStr">
        <is>
          <t>SCA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3054-2025</t>
        </is>
      </c>
      <c r="B3757" s="1" t="n">
        <v>45678</v>
      </c>
      <c r="C3757" s="1" t="n">
        <v>45852</v>
      </c>
      <c r="D3757" t="inlineStr">
        <is>
          <t>VÄSTERNORRLANDS LÄN</t>
        </is>
      </c>
      <c r="E3757" t="inlineStr">
        <is>
          <t>SOLLEFTEÅ</t>
        </is>
      </c>
      <c r="F3757" t="inlineStr">
        <is>
          <t>SCA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2939-2025</t>
        </is>
      </c>
      <c r="B3758" s="1" t="n">
        <v>45678</v>
      </c>
      <c r="C3758" s="1" t="n">
        <v>45852</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3319-2025</t>
        </is>
      </c>
      <c r="B3759" s="1" t="n">
        <v>45679</v>
      </c>
      <c r="C3759" s="1" t="n">
        <v>45852</v>
      </c>
      <c r="D3759" t="inlineStr">
        <is>
          <t>VÄSTERNORRLANDS LÄN</t>
        </is>
      </c>
      <c r="E3759" t="inlineStr">
        <is>
          <t>SOLLEFTEÅ</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3323-2025</t>
        </is>
      </c>
      <c r="B3760" s="1" t="n">
        <v>45679</v>
      </c>
      <c r="C3760" s="1" t="n">
        <v>45852</v>
      </c>
      <c r="D3760" t="inlineStr">
        <is>
          <t>VÄSTERNORRLANDS LÄN</t>
        </is>
      </c>
      <c r="E3760" t="inlineStr">
        <is>
          <t>SOLLEFTEÅ</t>
        </is>
      </c>
      <c r="F3760" t="inlineStr">
        <is>
          <t>SCA</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3321-2025</t>
        </is>
      </c>
      <c r="B3761" s="1" t="n">
        <v>45679</v>
      </c>
      <c r="C3761" s="1" t="n">
        <v>45852</v>
      </c>
      <c r="D3761" t="inlineStr">
        <is>
          <t>VÄSTERNORRLANDS LÄN</t>
        </is>
      </c>
      <c r="E3761" t="inlineStr">
        <is>
          <t>SOLLEFTEÅ</t>
        </is>
      </c>
      <c r="F3761" t="inlineStr">
        <is>
          <t>SCA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3368-2025</t>
        </is>
      </c>
      <c r="B3762" s="1" t="n">
        <v>45679</v>
      </c>
      <c r="C3762" s="1" t="n">
        <v>45852</v>
      </c>
      <c r="D3762" t="inlineStr">
        <is>
          <t>VÄSTERNORRLANDS LÄN</t>
        </is>
      </c>
      <c r="E3762" t="inlineStr">
        <is>
          <t>SOLLEFTEÅ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3275-2025</t>
        </is>
      </c>
      <c r="B3763" s="1" t="n">
        <v>45679</v>
      </c>
      <c r="C3763" s="1" t="n">
        <v>45852</v>
      </c>
      <c r="D3763" t="inlineStr">
        <is>
          <t>VÄSTERNORRLANDS LÄN</t>
        </is>
      </c>
      <c r="E3763" t="inlineStr">
        <is>
          <t>SOLLEFTEÅ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3207-2025</t>
        </is>
      </c>
      <c r="B3764" s="1" t="n">
        <v>45679</v>
      </c>
      <c r="C3764" s="1" t="n">
        <v>45852</v>
      </c>
      <c r="D3764" t="inlineStr">
        <is>
          <t>VÄSTERNORRLANDS LÄN</t>
        </is>
      </c>
      <c r="E3764" t="inlineStr">
        <is>
          <t>SOLLEFTEÅ</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3203-2025</t>
        </is>
      </c>
      <c r="B3765" s="1" t="n">
        <v>45679</v>
      </c>
      <c r="C3765" s="1" t="n">
        <v>45852</v>
      </c>
      <c r="D3765" t="inlineStr">
        <is>
          <t>VÄSTERNORRLANDS LÄN</t>
        </is>
      </c>
      <c r="E3765" t="inlineStr">
        <is>
          <t>SOLLEFTEÅ</t>
        </is>
      </c>
      <c r="F3765" t="inlineStr">
        <is>
          <t>SCA</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3208-2025</t>
        </is>
      </c>
      <c r="B3766" s="1" t="n">
        <v>45679</v>
      </c>
      <c r="C3766" s="1" t="n">
        <v>45852</v>
      </c>
      <c r="D3766" t="inlineStr">
        <is>
          <t>VÄSTERNORRLANDS LÄN</t>
        </is>
      </c>
      <c r="E3766" t="inlineStr">
        <is>
          <t>SOLLEFTEÅ</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3194-2025</t>
        </is>
      </c>
      <c r="B3767" s="1" t="n">
        <v>45679</v>
      </c>
      <c r="C3767" s="1" t="n">
        <v>45852</v>
      </c>
      <c r="D3767" t="inlineStr">
        <is>
          <t>VÄSTERNORRLANDS LÄN</t>
        </is>
      </c>
      <c r="E3767" t="inlineStr">
        <is>
          <t>SOLLEFTEÅ</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3276-2025</t>
        </is>
      </c>
      <c r="B3768" s="1" t="n">
        <v>45679</v>
      </c>
      <c r="C3768" s="1" t="n">
        <v>45852</v>
      </c>
      <c r="D3768" t="inlineStr">
        <is>
          <t>VÄSTERNORRLANDS LÄN</t>
        </is>
      </c>
      <c r="E3768" t="inlineStr">
        <is>
          <t>SOLLEFTEÅ</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3324-2025</t>
        </is>
      </c>
      <c r="B3769" s="1" t="n">
        <v>45679</v>
      </c>
      <c r="C3769" s="1" t="n">
        <v>45852</v>
      </c>
      <c r="D3769" t="inlineStr">
        <is>
          <t>VÄSTERNORRLANDS LÄN</t>
        </is>
      </c>
      <c r="E3769" t="inlineStr">
        <is>
          <t>SOLLEFTEÅ</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3435-2025</t>
        </is>
      </c>
      <c r="B3770" s="1" t="n">
        <v>45680</v>
      </c>
      <c r="C3770" s="1" t="n">
        <v>45852</v>
      </c>
      <c r="D3770" t="inlineStr">
        <is>
          <t>VÄSTERNORRLANDS LÄN</t>
        </is>
      </c>
      <c r="E3770" t="inlineStr">
        <is>
          <t>SOLLEFTEÅ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3424-2025</t>
        </is>
      </c>
      <c r="B3771" s="1" t="n">
        <v>45680</v>
      </c>
      <c r="C3771" s="1" t="n">
        <v>45852</v>
      </c>
      <c r="D3771" t="inlineStr">
        <is>
          <t>VÄSTERNORRLANDS LÄN</t>
        </is>
      </c>
      <c r="E3771" t="inlineStr">
        <is>
          <t>SOLLEFTEÅ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3432-2025</t>
        </is>
      </c>
      <c r="B3772" s="1" t="n">
        <v>45680</v>
      </c>
      <c r="C3772" s="1" t="n">
        <v>45852</v>
      </c>
      <c r="D3772" t="inlineStr">
        <is>
          <t>VÄSTERNORRLANDS LÄN</t>
        </is>
      </c>
      <c r="E3772" t="inlineStr">
        <is>
          <t>SOLLEFTEÅ</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3537-2025</t>
        </is>
      </c>
      <c r="B3773" s="1" t="n">
        <v>45680</v>
      </c>
      <c r="C3773" s="1" t="n">
        <v>45852</v>
      </c>
      <c r="D3773" t="inlineStr">
        <is>
          <t>VÄSTERNORRLANDS LÄN</t>
        </is>
      </c>
      <c r="E3773" t="inlineStr">
        <is>
          <t>SOLLEFTEÅ</t>
        </is>
      </c>
      <c r="F3773" t="inlineStr">
        <is>
          <t>SCA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3414-2025</t>
        </is>
      </c>
      <c r="B3774" s="1" t="n">
        <v>45680</v>
      </c>
      <c r="C3774" s="1" t="n">
        <v>45852</v>
      </c>
      <c r="D3774" t="inlineStr">
        <is>
          <t>VÄSTERNORRLANDS LÄN</t>
        </is>
      </c>
      <c r="E3774" t="inlineStr">
        <is>
          <t>SOLLEFTEÅ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3786-2025</t>
        </is>
      </c>
      <c r="B3775" s="1" t="n">
        <v>45681</v>
      </c>
      <c r="C3775" s="1" t="n">
        <v>45852</v>
      </c>
      <c r="D3775" t="inlineStr">
        <is>
          <t>VÄSTERNORRLANDS LÄN</t>
        </is>
      </c>
      <c r="E3775" t="inlineStr">
        <is>
          <t>SOLLEFTEÅ</t>
        </is>
      </c>
      <c r="F3775" t="inlineStr">
        <is>
          <t>SCA</t>
        </is>
      </c>
      <c r="G3775" t="n">
        <v>31.9</v>
      </c>
      <c r="H3775" t="n">
        <v>0</v>
      </c>
      <c r="I3775" t="n">
        <v>0</v>
      </c>
      <c r="J3775" t="n">
        <v>0</v>
      </c>
      <c r="K3775" t="n">
        <v>0</v>
      </c>
      <c r="L3775" t="n">
        <v>0</v>
      </c>
      <c r="M3775" t="n">
        <v>0</v>
      </c>
      <c r="N3775" t="n">
        <v>0</v>
      </c>
      <c r="O3775" t="n">
        <v>0</v>
      </c>
      <c r="P3775" t="n">
        <v>0</v>
      </c>
      <c r="Q3775" t="n">
        <v>0</v>
      </c>
      <c r="R3775" s="2" t="inlineStr"/>
    </row>
    <row r="3776" ht="15" customHeight="1">
      <c r="A3776" t="inlineStr">
        <is>
          <t>A 3725-2025</t>
        </is>
      </c>
      <c r="B3776" s="1" t="n">
        <v>45681</v>
      </c>
      <c r="C3776" s="1" t="n">
        <v>45852</v>
      </c>
      <c r="D3776" t="inlineStr">
        <is>
          <t>VÄSTERNORRLANDS LÄN</t>
        </is>
      </c>
      <c r="E3776" t="inlineStr">
        <is>
          <t>SOLLEFTEÅ</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3808-2025</t>
        </is>
      </c>
      <c r="B3777" s="1" t="n">
        <v>45681</v>
      </c>
      <c r="C3777" s="1" t="n">
        <v>45852</v>
      </c>
      <c r="D3777" t="inlineStr">
        <is>
          <t>VÄSTERNORRLANDS LÄN</t>
        </is>
      </c>
      <c r="E3777" t="inlineStr">
        <is>
          <t>SOLLEFTEÅ</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3712-2025</t>
        </is>
      </c>
      <c r="B3778" s="1" t="n">
        <v>45681</v>
      </c>
      <c r="C3778" s="1" t="n">
        <v>45852</v>
      </c>
      <c r="D3778" t="inlineStr">
        <is>
          <t>VÄSTERNORRLANDS LÄN</t>
        </is>
      </c>
      <c r="E3778" t="inlineStr">
        <is>
          <t>SOLLEFTEÅ</t>
        </is>
      </c>
      <c r="F3778" t="inlineStr">
        <is>
          <t>SCA</t>
        </is>
      </c>
      <c r="G3778" t="n">
        <v>11.2</v>
      </c>
      <c r="H3778" t="n">
        <v>0</v>
      </c>
      <c r="I3778" t="n">
        <v>0</v>
      </c>
      <c r="J3778" t="n">
        <v>0</v>
      </c>
      <c r="K3778" t="n">
        <v>0</v>
      </c>
      <c r="L3778" t="n">
        <v>0</v>
      </c>
      <c r="M3778" t="n">
        <v>0</v>
      </c>
      <c r="N3778" t="n">
        <v>0</v>
      </c>
      <c r="O3778" t="n">
        <v>0</v>
      </c>
      <c r="P3778" t="n">
        <v>0</v>
      </c>
      <c r="Q3778" t="n">
        <v>0</v>
      </c>
      <c r="R3778" s="2" t="inlineStr"/>
    </row>
    <row r="3779" ht="15" customHeight="1">
      <c r="A3779" t="inlineStr">
        <is>
          <t>A 3750-2025</t>
        </is>
      </c>
      <c r="B3779" s="1" t="n">
        <v>45681</v>
      </c>
      <c r="C3779" s="1" t="n">
        <v>45852</v>
      </c>
      <c r="D3779" t="inlineStr">
        <is>
          <t>VÄSTERNORRLANDS LÄN</t>
        </is>
      </c>
      <c r="E3779" t="inlineStr">
        <is>
          <t>SOLLEFTEÅ</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3714-2025</t>
        </is>
      </c>
      <c r="B3780" s="1" t="n">
        <v>45681</v>
      </c>
      <c r="C3780" s="1" t="n">
        <v>45852</v>
      </c>
      <c r="D3780" t="inlineStr">
        <is>
          <t>VÄSTERNORRLANDS LÄN</t>
        </is>
      </c>
      <c r="E3780" t="inlineStr">
        <is>
          <t>SOLLEFTEÅ</t>
        </is>
      </c>
      <c r="F3780" t="inlineStr">
        <is>
          <t>SCA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4031-2025</t>
        </is>
      </c>
      <c r="B3781" s="1" t="n">
        <v>45684</v>
      </c>
      <c r="C3781" s="1" t="n">
        <v>45852</v>
      </c>
      <c r="D3781" t="inlineStr">
        <is>
          <t>VÄSTERNORRLANDS LÄN</t>
        </is>
      </c>
      <c r="E3781" t="inlineStr">
        <is>
          <t>SOLLEFTEÅ</t>
        </is>
      </c>
      <c r="F3781" t="inlineStr">
        <is>
          <t>SCA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3873-2025</t>
        </is>
      </c>
      <c r="B3782" s="1" t="n">
        <v>45684</v>
      </c>
      <c r="C3782" s="1" t="n">
        <v>45852</v>
      </c>
      <c r="D3782" t="inlineStr">
        <is>
          <t>VÄSTERNORRLANDS LÄN</t>
        </is>
      </c>
      <c r="E3782" t="inlineStr">
        <is>
          <t>SOLLEFTEÅ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4158-2025</t>
        </is>
      </c>
      <c r="B3783" s="1" t="n">
        <v>45685</v>
      </c>
      <c r="C3783" s="1" t="n">
        <v>45852</v>
      </c>
      <c r="D3783" t="inlineStr">
        <is>
          <t>VÄSTERNORRLANDS LÄN</t>
        </is>
      </c>
      <c r="E3783" t="inlineStr">
        <is>
          <t>SOLLEFTEÅ</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4253-2025</t>
        </is>
      </c>
      <c r="B3784" s="1" t="n">
        <v>45685</v>
      </c>
      <c r="C3784" s="1" t="n">
        <v>45852</v>
      </c>
      <c r="D3784" t="inlineStr">
        <is>
          <t>VÄSTERNORRLANDS LÄN</t>
        </is>
      </c>
      <c r="E3784" t="inlineStr">
        <is>
          <t>SOLLEFTEÅ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4133-2025</t>
        </is>
      </c>
      <c r="B3785" s="1" t="n">
        <v>45685</v>
      </c>
      <c r="C3785" s="1" t="n">
        <v>45852</v>
      </c>
      <c r="D3785" t="inlineStr">
        <is>
          <t>VÄSTERNORRLANDS LÄN</t>
        </is>
      </c>
      <c r="E3785" t="inlineStr">
        <is>
          <t>SOLLEFTEÅ</t>
        </is>
      </c>
      <c r="F3785" t="inlineStr">
        <is>
          <t>SCA</t>
        </is>
      </c>
      <c r="G3785" t="n">
        <v>37.2</v>
      </c>
      <c r="H3785" t="n">
        <v>0</v>
      </c>
      <c r="I3785" t="n">
        <v>0</v>
      </c>
      <c r="J3785" t="n">
        <v>0</v>
      </c>
      <c r="K3785" t="n">
        <v>0</v>
      </c>
      <c r="L3785" t="n">
        <v>0</v>
      </c>
      <c r="M3785" t="n">
        <v>0</v>
      </c>
      <c r="N3785" t="n">
        <v>0</v>
      </c>
      <c r="O3785" t="n">
        <v>0</v>
      </c>
      <c r="P3785" t="n">
        <v>0</v>
      </c>
      <c r="Q3785" t="n">
        <v>0</v>
      </c>
      <c r="R3785" s="2" t="inlineStr"/>
    </row>
    <row r="3786" ht="15" customHeight="1">
      <c r="A3786" t="inlineStr">
        <is>
          <t>A 4131-2025</t>
        </is>
      </c>
      <c r="B3786" s="1" t="n">
        <v>45685</v>
      </c>
      <c r="C3786" s="1" t="n">
        <v>45852</v>
      </c>
      <c r="D3786" t="inlineStr">
        <is>
          <t>VÄSTERNORRLANDS LÄN</t>
        </is>
      </c>
      <c r="E3786" t="inlineStr">
        <is>
          <t>SOLLEFTEÅ</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4129-2025</t>
        </is>
      </c>
      <c r="B3787" s="1" t="n">
        <v>45685</v>
      </c>
      <c r="C3787" s="1" t="n">
        <v>45852</v>
      </c>
      <c r="D3787" t="inlineStr">
        <is>
          <t>VÄSTERNORRLANDS LÄN</t>
        </is>
      </c>
      <c r="E3787" t="inlineStr">
        <is>
          <t>SOLLEFTEÅ</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4261-2025</t>
        </is>
      </c>
      <c r="B3788" s="1" t="n">
        <v>45685</v>
      </c>
      <c r="C3788" s="1" t="n">
        <v>45852</v>
      </c>
      <c r="D3788" t="inlineStr">
        <is>
          <t>VÄSTERNORRLANDS LÄN</t>
        </is>
      </c>
      <c r="E3788" t="inlineStr">
        <is>
          <t>SOLLEFTEÅ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4407-2025</t>
        </is>
      </c>
      <c r="B3789" s="1" t="n">
        <v>45686</v>
      </c>
      <c r="C3789" s="1" t="n">
        <v>45852</v>
      </c>
      <c r="D3789" t="inlineStr">
        <is>
          <t>VÄSTERNORRLANDS LÄN</t>
        </is>
      </c>
      <c r="E3789" t="inlineStr">
        <is>
          <t>SOLLEFTEÅ</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4859-2025</t>
        </is>
      </c>
      <c r="B3790" s="1" t="n">
        <v>45688</v>
      </c>
      <c r="C3790" s="1" t="n">
        <v>45852</v>
      </c>
      <c r="D3790" t="inlineStr">
        <is>
          <t>VÄSTERNORRLANDS LÄN</t>
        </is>
      </c>
      <c r="E3790" t="inlineStr">
        <is>
          <t>SOLLEFTEÅ</t>
        </is>
      </c>
      <c r="F3790" t="inlineStr">
        <is>
          <t>SCA</t>
        </is>
      </c>
      <c r="G3790" t="n">
        <v>11.8</v>
      </c>
      <c r="H3790" t="n">
        <v>0</v>
      </c>
      <c r="I3790" t="n">
        <v>0</v>
      </c>
      <c r="J3790" t="n">
        <v>0</v>
      </c>
      <c r="K3790" t="n">
        <v>0</v>
      </c>
      <c r="L3790" t="n">
        <v>0</v>
      </c>
      <c r="M3790" t="n">
        <v>0</v>
      </c>
      <c r="N3790" t="n">
        <v>0</v>
      </c>
      <c r="O3790" t="n">
        <v>0</v>
      </c>
      <c r="P3790" t="n">
        <v>0</v>
      </c>
      <c r="Q3790" t="n">
        <v>0</v>
      </c>
      <c r="R3790" s="2" t="inlineStr"/>
    </row>
    <row r="3791" ht="15" customHeight="1">
      <c r="A3791" t="inlineStr">
        <is>
          <t>A 4722-2025</t>
        </is>
      </c>
      <c r="B3791" s="1" t="n">
        <v>45688</v>
      </c>
      <c r="C3791" s="1" t="n">
        <v>45852</v>
      </c>
      <c r="D3791" t="inlineStr">
        <is>
          <t>VÄSTERNORRLANDS LÄN</t>
        </is>
      </c>
      <c r="E3791" t="inlineStr">
        <is>
          <t>SOLLEFTEÅ</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4838-2025</t>
        </is>
      </c>
      <c r="B3792" s="1" t="n">
        <v>45688</v>
      </c>
      <c r="C3792" s="1" t="n">
        <v>45852</v>
      </c>
      <c r="D3792" t="inlineStr">
        <is>
          <t>VÄSTERNORRLANDS LÄN</t>
        </is>
      </c>
      <c r="E3792" t="inlineStr">
        <is>
          <t>SOLLEFTEÅ</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4870-2025</t>
        </is>
      </c>
      <c r="B3793" s="1" t="n">
        <v>45688</v>
      </c>
      <c r="C3793" s="1" t="n">
        <v>45852</v>
      </c>
      <c r="D3793" t="inlineStr">
        <is>
          <t>VÄSTERNORRLANDS LÄN</t>
        </is>
      </c>
      <c r="E3793" t="inlineStr">
        <is>
          <t>SOLLEFTEÅ</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4894-2025</t>
        </is>
      </c>
      <c r="B3794" s="1" t="n">
        <v>45688</v>
      </c>
      <c r="C3794" s="1" t="n">
        <v>45852</v>
      </c>
      <c r="D3794" t="inlineStr">
        <is>
          <t>VÄSTERNORRLANDS LÄN</t>
        </is>
      </c>
      <c r="E3794" t="inlineStr">
        <is>
          <t>SOLLEFTEÅ</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4934-2025</t>
        </is>
      </c>
      <c r="B3795" s="1" t="n">
        <v>45688</v>
      </c>
      <c r="C3795" s="1" t="n">
        <v>45852</v>
      </c>
      <c r="D3795" t="inlineStr">
        <is>
          <t>VÄSTERNORRLANDS LÄN</t>
        </is>
      </c>
      <c r="E3795" t="inlineStr">
        <is>
          <t>SOLLEFTEÅ</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4931-2025</t>
        </is>
      </c>
      <c r="B3796" s="1" t="n">
        <v>45688</v>
      </c>
      <c r="C3796" s="1" t="n">
        <v>45852</v>
      </c>
      <c r="D3796" t="inlineStr">
        <is>
          <t>VÄSTERNORRLANDS LÄN</t>
        </is>
      </c>
      <c r="E3796" t="inlineStr">
        <is>
          <t>SOLLEFTEÅ</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4935-2025</t>
        </is>
      </c>
      <c r="B3797" s="1" t="n">
        <v>45688</v>
      </c>
      <c r="C3797" s="1" t="n">
        <v>45852</v>
      </c>
      <c r="D3797" t="inlineStr">
        <is>
          <t>VÄSTERNORRLANDS LÄN</t>
        </is>
      </c>
      <c r="E3797" t="inlineStr">
        <is>
          <t>SOLLEFTEÅ</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4897-2025</t>
        </is>
      </c>
      <c r="B3798" s="1" t="n">
        <v>45688</v>
      </c>
      <c r="C3798" s="1" t="n">
        <v>45852</v>
      </c>
      <c r="D3798" t="inlineStr">
        <is>
          <t>VÄSTERNORRLANDS LÄN</t>
        </is>
      </c>
      <c r="E3798" t="inlineStr">
        <is>
          <t>SOLLEFTEÅ</t>
        </is>
      </c>
      <c r="F3798" t="inlineStr">
        <is>
          <t>SCA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4905-2025</t>
        </is>
      </c>
      <c r="B3799" s="1" t="n">
        <v>45688</v>
      </c>
      <c r="C3799" s="1" t="n">
        <v>45852</v>
      </c>
      <c r="D3799" t="inlineStr">
        <is>
          <t>VÄSTERNORRLANDS LÄN</t>
        </is>
      </c>
      <c r="E3799" t="inlineStr">
        <is>
          <t>SOLLEFTEÅ</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4909-2025</t>
        </is>
      </c>
      <c r="B3800" s="1" t="n">
        <v>45688</v>
      </c>
      <c r="C3800" s="1" t="n">
        <v>45852</v>
      </c>
      <c r="D3800" t="inlineStr">
        <is>
          <t>VÄSTERNORRLANDS LÄN</t>
        </is>
      </c>
      <c r="E3800" t="inlineStr">
        <is>
          <t>SOLLEFTEÅ</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4895-2025</t>
        </is>
      </c>
      <c r="B3801" s="1" t="n">
        <v>45688</v>
      </c>
      <c r="C3801" s="1" t="n">
        <v>45852</v>
      </c>
      <c r="D3801" t="inlineStr">
        <is>
          <t>VÄSTERNORRLANDS LÄN</t>
        </is>
      </c>
      <c r="E3801" t="inlineStr">
        <is>
          <t>SOLLEFTEÅ</t>
        </is>
      </c>
      <c r="F3801" t="inlineStr">
        <is>
          <t>SCA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4726-2025</t>
        </is>
      </c>
      <c r="B3802" s="1" t="n">
        <v>45688</v>
      </c>
      <c r="C3802" s="1" t="n">
        <v>45852</v>
      </c>
      <c r="D3802" t="inlineStr">
        <is>
          <t>VÄSTERNORRLANDS LÄN</t>
        </is>
      </c>
      <c r="E3802" t="inlineStr">
        <is>
          <t>SOLLEFTEÅ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4843-2025</t>
        </is>
      </c>
      <c r="B3803" s="1" t="n">
        <v>45688</v>
      </c>
      <c r="C3803" s="1" t="n">
        <v>45852</v>
      </c>
      <c r="D3803" t="inlineStr">
        <is>
          <t>VÄSTERNORRLANDS LÄN</t>
        </is>
      </c>
      <c r="E3803" t="inlineStr">
        <is>
          <t>SOLLEFTEÅ</t>
        </is>
      </c>
      <c r="F3803" t="inlineStr">
        <is>
          <t>SCA</t>
        </is>
      </c>
      <c r="G3803" t="n">
        <v>20.2</v>
      </c>
      <c r="H3803" t="n">
        <v>0</v>
      </c>
      <c r="I3803" t="n">
        <v>0</v>
      </c>
      <c r="J3803" t="n">
        <v>0</v>
      </c>
      <c r="K3803" t="n">
        <v>0</v>
      </c>
      <c r="L3803" t="n">
        <v>0</v>
      </c>
      <c r="M3803" t="n">
        <v>0</v>
      </c>
      <c r="N3803" t="n">
        <v>0</v>
      </c>
      <c r="O3803" t="n">
        <v>0</v>
      </c>
      <c r="P3803" t="n">
        <v>0</v>
      </c>
      <c r="Q3803" t="n">
        <v>0</v>
      </c>
      <c r="R3803" s="2" t="inlineStr"/>
    </row>
    <row r="3804" ht="15" customHeight="1">
      <c r="A3804" t="inlineStr">
        <is>
          <t>A 4968-2025</t>
        </is>
      </c>
      <c r="B3804" s="1" t="n">
        <v>45690</v>
      </c>
      <c r="C3804" s="1" t="n">
        <v>45852</v>
      </c>
      <c r="D3804" t="inlineStr">
        <is>
          <t>VÄSTERNORRLANDS LÄN</t>
        </is>
      </c>
      <c r="E3804" t="inlineStr">
        <is>
          <t>SOLLEFTEÅ</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5021-2025</t>
        </is>
      </c>
      <c r="B3805" s="1" t="n">
        <v>45691</v>
      </c>
      <c r="C3805" s="1" t="n">
        <v>45852</v>
      </c>
      <c r="D3805" t="inlineStr">
        <is>
          <t>VÄSTERNORRLANDS LÄN</t>
        </is>
      </c>
      <c r="E3805" t="inlineStr">
        <is>
          <t>SOLLEFTEÅ</t>
        </is>
      </c>
      <c r="F3805" t="inlineStr">
        <is>
          <t>SCA</t>
        </is>
      </c>
      <c r="G3805" t="n">
        <v>9.300000000000001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5165-2025</t>
        </is>
      </c>
      <c r="B3806" s="1" t="n">
        <v>45691</v>
      </c>
      <c r="C3806" s="1" t="n">
        <v>45852</v>
      </c>
      <c r="D3806" t="inlineStr">
        <is>
          <t>VÄSTERNORRLANDS LÄN</t>
        </is>
      </c>
      <c r="E3806" t="inlineStr">
        <is>
          <t>SOLLEFTEÅ</t>
        </is>
      </c>
      <c r="F3806" t="inlineStr">
        <is>
          <t>SCA</t>
        </is>
      </c>
      <c r="G3806" t="n">
        <v>18.7</v>
      </c>
      <c r="H3806" t="n">
        <v>0</v>
      </c>
      <c r="I3806" t="n">
        <v>0</v>
      </c>
      <c r="J3806" t="n">
        <v>0</v>
      </c>
      <c r="K3806" t="n">
        <v>0</v>
      </c>
      <c r="L3806" t="n">
        <v>0</v>
      </c>
      <c r="M3806" t="n">
        <v>0</v>
      </c>
      <c r="N3806" t="n">
        <v>0</v>
      </c>
      <c r="O3806" t="n">
        <v>0</v>
      </c>
      <c r="P3806" t="n">
        <v>0</v>
      </c>
      <c r="Q3806" t="n">
        <v>0</v>
      </c>
      <c r="R3806" s="2" t="inlineStr"/>
    </row>
    <row r="3807" ht="15" customHeight="1">
      <c r="A3807" t="inlineStr">
        <is>
          <t>A 5196-2025</t>
        </is>
      </c>
      <c r="B3807" s="1" t="n">
        <v>45691</v>
      </c>
      <c r="C3807" s="1" t="n">
        <v>45852</v>
      </c>
      <c r="D3807" t="inlineStr">
        <is>
          <t>VÄSTERNORRLANDS LÄN</t>
        </is>
      </c>
      <c r="E3807" t="inlineStr">
        <is>
          <t>SOLLEFTEÅ</t>
        </is>
      </c>
      <c r="F3807" t="inlineStr">
        <is>
          <t>SCA</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5359-2025</t>
        </is>
      </c>
      <c r="B3808" s="1" t="n">
        <v>45692</v>
      </c>
      <c r="C3808" s="1" t="n">
        <v>45852</v>
      </c>
      <c r="D3808" t="inlineStr">
        <is>
          <t>VÄSTERNORRLANDS LÄN</t>
        </is>
      </c>
      <c r="E3808" t="inlineStr">
        <is>
          <t>SOLLEFTEÅ</t>
        </is>
      </c>
      <c r="F3808" t="inlineStr">
        <is>
          <t>Övriga statliga verk och myndigheter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5258-2025</t>
        </is>
      </c>
      <c r="B3809" s="1" t="n">
        <v>45692</v>
      </c>
      <c r="C3809" s="1" t="n">
        <v>45852</v>
      </c>
      <c r="D3809" t="inlineStr">
        <is>
          <t>VÄSTERNORRLANDS LÄN</t>
        </is>
      </c>
      <c r="E3809" t="inlineStr">
        <is>
          <t>SOLLEFTEÅ</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5375-2025</t>
        </is>
      </c>
      <c r="B3810" s="1" t="n">
        <v>45692</v>
      </c>
      <c r="C3810" s="1" t="n">
        <v>45852</v>
      </c>
      <c r="D3810" t="inlineStr">
        <is>
          <t>VÄSTERNORRLANDS LÄN</t>
        </is>
      </c>
      <c r="E3810" t="inlineStr">
        <is>
          <t>SOLLEFTEÅ</t>
        </is>
      </c>
      <c r="F3810" t="inlineStr">
        <is>
          <t>Övriga statliga verk och myndigheter</t>
        </is>
      </c>
      <c r="G3810" t="n">
        <v>12.2</v>
      </c>
      <c r="H3810" t="n">
        <v>0</v>
      </c>
      <c r="I3810" t="n">
        <v>0</v>
      </c>
      <c r="J3810" t="n">
        <v>0</v>
      </c>
      <c r="K3810" t="n">
        <v>0</v>
      </c>
      <c r="L3810" t="n">
        <v>0</v>
      </c>
      <c r="M3810" t="n">
        <v>0</v>
      </c>
      <c r="N3810" t="n">
        <v>0</v>
      </c>
      <c r="O3810" t="n">
        <v>0</v>
      </c>
      <c r="P3810" t="n">
        <v>0</v>
      </c>
      <c r="Q3810" t="n">
        <v>0</v>
      </c>
      <c r="R3810" s="2" t="inlineStr"/>
    </row>
    <row r="3811" ht="15" customHeight="1">
      <c r="A3811" t="inlineStr">
        <is>
          <t>A 5259-2025</t>
        </is>
      </c>
      <c r="B3811" s="1" t="n">
        <v>45692</v>
      </c>
      <c r="C3811" s="1" t="n">
        <v>45852</v>
      </c>
      <c r="D3811" t="inlineStr">
        <is>
          <t>VÄSTERNORRLANDS LÄN</t>
        </is>
      </c>
      <c r="E3811" t="inlineStr">
        <is>
          <t>SOLLEFTEÅ</t>
        </is>
      </c>
      <c r="F3811" t="inlineStr">
        <is>
          <t>SCA</t>
        </is>
      </c>
      <c r="G3811" t="n">
        <v>13.5</v>
      </c>
      <c r="H3811" t="n">
        <v>0</v>
      </c>
      <c r="I3811" t="n">
        <v>0</v>
      </c>
      <c r="J3811" t="n">
        <v>0</v>
      </c>
      <c r="K3811" t="n">
        <v>0</v>
      </c>
      <c r="L3811" t="n">
        <v>0</v>
      </c>
      <c r="M3811" t="n">
        <v>0</v>
      </c>
      <c r="N3811" t="n">
        <v>0</v>
      </c>
      <c r="O3811" t="n">
        <v>0</v>
      </c>
      <c r="P3811" t="n">
        <v>0</v>
      </c>
      <c r="Q3811" t="n">
        <v>0</v>
      </c>
      <c r="R3811" s="2" t="inlineStr"/>
    </row>
    <row r="3812" ht="15" customHeight="1">
      <c r="A3812" t="inlineStr">
        <is>
          <t>A 5394-2025</t>
        </is>
      </c>
      <c r="B3812" s="1" t="n">
        <v>45692</v>
      </c>
      <c r="C3812" s="1" t="n">
        <v>45852</v>
      </c>
      <c r="D3812" t="inlineStr">
        <is>
          <t>VÄSTERNORRLANDS LÄN</t>
        </is>
      </c>
      <c r="E3812" t="inlineStr">
        <is>
          <t>SOLLEFTEÅ</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5445-2025</t>
        </is>
      </c>
      <c r="B3813" s="1" t="n">
        <v>45692</v>
      </c>
      <c r="C3813" s="1" t="n">
        <v>45852</v>
      </c>
      <c r="D3813" t="inlineStr">
        <is>
          <t>VÄSTERNORRLANDS LÄN</t>
        </is>
      </c>
      <c r="E3813" t="inlineStr">
        <is>
          <t>SOLLEFTEÅ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5447-2025</t>
        </is>
      </c>
      <c r="B3814" s="1" t="n">
        <v>45692</v>
      </c>
      <c r="C3814" s="1" t="n">
        <v>45852</v>
      </c>
      <c r="D3814" t="inlineStr">
        <is>
          <t>VÄSTERNORRLANDS LÄN</t>
        </is>
      </c>
      <c r="E3814" t="inlineStr">
        <is>
          <t>SOLLEFTEÅ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5383-2025</t>
        </is>
      </c>
      <c r="B3815" s="1" t="n">
        <v>45692</v>
      </c>
      <c r="C3815" s="1" t="n">
        <v>45852</v>
      </c>
      <c r="D3815" t="inlineStr">
        <is>
          <t>VÄSTERNORRLANDS LÄN</t>
        </is>
      </c>
      <c r="E3815" t="inlineStr">
        <is>
          <t>SOLLEFTEÅ</t>
        </is>
      </c>
      <c r="F3815" t="inlineStr">
        <is>
          <t>SCA</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5293-2025</t>
        </is>
      </c>
      <c r="B3816" s="1" t="n">
        <v>45692</v>
      </c>
      <c r="C3816" s="1" t="n">
        <v>45852</v>
      </c>
      <c r="D3816" t="inlineStr">
        <is>
          <t>VÄSTERNORRLANDS LÄN</t>
        </is>
      </c>
      <c r="E3816" t="inlineStr">
        <is>
          <t>SOLLEFTEÅ</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5548-2025</t>
        </is>
      </c>
      <c r="B3817" s="1" t="n">
        <v>45693</v>
      </c>
      <c r="C3817" s="1" t="n">
        <v>45852</v>
      </c>
      <c r="D3817" t="inlineStr">
        <is>
          <t>VÄSTERNORRLANDS LÄN</t>
        </is>
      </c>
      <c r="E3817" t="inlineStr">
        <is>
          <t>SOLLEFTEÅ</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5485-2025</t>
        </is>
      </c>
      <c r="B3818" s="1" t="n">
        <v>45693</v>
      </c>
      <c r="C3818" s="1" t="n">
        <v>45852</v>
      </c>
      <c r="D3818" t="inlineStr">
        <is>
          <t>VÄSTERNORRLANDS LÄN</t>
        </is>
      </c>
      <c r="E3818" t="inlineStr">
        <is>
          <t>SOLLEFTEÅ</t>
        </is>
      </c>
      <c r="F3818" t="inlineStr">
        <is>
          <t>SCA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5862-2025</t>
        </is>
      </c>
      <c r="B3819" s="1" t="n">
        <v>45695</v>
      </c>
      <c r="C3819" s="1" t="n">
        <v>45852</v>
      </c>
      <c r="D3819" t="inlineStr">
        <is>
          <t>VÄSTERNORRLANDS LÄN</t>
        </is>
      </c>
      <c r="E3819" t="inlineStr">
        <is>
          <t>SOLLEFTEÅ</t>
        </is>
      </c>
      <c r="F3819" t="inlineStr">
        <is>
          <t>Holmen skog AB</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6009-2025</t>
        </is>
      </c>
      <c r="B3820" s="1" t="n">
        <v>45695</v>
      </c>
      <c r="C3820" s="1" t="n">
        <v>45852</v>
      </c>
      <c r="D3820" t="inlineStr">
        <is>
          <t>VÄSTERNORRLANDS LÄN</t>
        </is>
      </c>
      <c r="E3820" t="inlineStr">
        <is>
          <t>SOLLEFTEÅ</t>
        </is>
      </c>
      <c r="F3820" t="inlineStr">
        <is>
          <t>SCA</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5944-2025</t>
        </is>
      </c>
      <c r="B3821" s="1" t="n">
        <v>45695</v>
      </c>
      <c r="C3821" s="1" t="n">
        <v>45852</v>
      </c>
      <c r="D3821" t="inlineStr">
        <is>
          <t>VÄSTERNORRLANDS LÄN</t>
        </is>
      </c>
      <c r="E3821" t="inlineStr">
        <is>
          <t>SOLLEFTEÅ</t>
        </is>
      </c>
      <c r="F3821" t="inlineStr">
        <is>
          <t>SCA</t>
        </is>
      </c>
      <c r="G3821" t="n">
        <v>14.6</v>
      </c>
      <c r="H3821" t="n">
        <v>0</v>
      </c>
      <c r="I3821" t="n">
        <v>0</v>
      </c>
      <c r="J3821" t="n">
        <v>0</v>
      </c>
      <c r="K3821" t="n">
        <v>0</v>
      </c>
      <c r="L3821" t="n">
        <v>0</v>
      </c>
      <c r="M3821" t="n">
        <v>0</v>
      </c>
      <c r="N3821" t="n">
        <v>0</v>
      </c>
      <c r="O3821" t="n">
        <v>0</v>
      </c>
      <c r="P3821" t="n">
        <v>0</v>
      </c>
      <c r="Q3821" t="n">
        <v>0</v>
      </c>
      <c r="R3821" s="2" t="inlineStr"/>
    </row>
    <row r="3822" ht="15" customHeight="1">
      <c r="A3822" t="inlineStr">
        <is>
          <t>A 6285-2025</t>
        </is>
      </c>
      <c r="B3822" s="1" t="n">
        <v>45698</v>
      </c>
      <c r="C3822" s="1" t="n">
        <v>45852</v>
      </c>
      <c r="D3822" t="inlineStr">
        <is>
          <t>VÄSTERNORRLANDS LÄN</t>
        </is>
      </c>
      <c r="E3822" t="inlineStr">
        <is>
          <t>SOLLEFTEÅ</t>
        </is>
      </c>
      <c r="F3822" t="inlineStr">
        <is>
          <t>SCA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6284-2025</t>
        </is>
      </c>
      <c r="B3823" s="1" t="n">
        <v>45698</v>
      </c>
      <c r="C3823" s="1" t="n">
        <v>45852</v>
      </c>
      <c r="D3823" t="inlineStr">
        <is>
          <t>VÄSTERNORRLANDS LÄN</t>
        </is>
      </c>
      <c r="E3823" t="inlineStr">
        <is>
          <t>SOLLEFTEÅ</t>
        </is>
      </c>
      <c r="F3823" t="inlineStr">
        <is>
          <t>SCA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6287-2025</t>
        </is>
      </c>
      <c r="B3824" s="1" t="n">
        <v>45698</v>
      </c>
      <c r="C3824" s="1" t="n">
        <v>45852</v>
      </c>
      <c r="D3824" t="inlineStr">
        <is>
          <t>VÄSTERNORRLANDS LÄN</t>
        </is>
      </c>
      <c r="E3824" t="inlineStr">
        <is>
          <t>SOLLEFTEÅ</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6376-2025</t>
        </is>
      </c>
      <c r="B3825" s="1" t="n">
        <v>45699</v>
      </c>
      <c r="C3825" s="1" t="n">
        <v>45852</v>
      </c>
      <c r="D3825" t="inlineStr">
        <is>
          <t>VÄSTERNORRLANDS LÄN</t>
        </is>
      </c>
      <c r="E3825" t="inlineStr">
        <is>
          <t>SOLLEFTEÅ</t>
        </is>
      </c>
      <c r="F3825" t="inlineStr">
        <is>
          <t>SCA</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6441-2025</t>
        </is>
      </c>
      <c r="B3826" s="1" t="n">
        <v>45699</v>
      </c>
      <c r="C3826" s="1" t="n">
        <v>45852</v>
      </c>
      <c r="D3826" t="inlineStr">
        <is>
          <t>VÄSTERNORRLANDS LÄN</t>
        </is>
      </c>
      <c r="E3826" t="inlineStr">
        <is>
          <t>SOLLEFTEÅ</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6445-2025</t>
        </is>
      </c>
      <c r="B3827" s="1" t="n">
        <v>45699</v>
      </c>
      <c r="C3827" s="1" t="n">
        <v>45852</v>
      </c>
      <c r="D3827" t="inlineStr">
        <is>
          <t>VÄSTERNORRLANDS LÄN</t>
        </is>
      </c>
      <c r="E3827" t="inlineStr">
        <is>
          <t>SOLLEFTEÅ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6467-2025</t>
        </is>
      </c>
      <c r="B3828" s="1" t="n">
        <v>45699</v>
      </c>
      <c r="C3828" s="1" t="n">
        <v>45852</v>
      </c>
      <c r="D3828" t="inlineStr">
        <is>
          <t>VÄSTERNORRLANDS LÄN</t>
        </is>
      </c>
      <c r="E3828" t="inlineStr">
        <is>
          <t>SOLLEFTEÅ</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6444-2025</t>
        </is>
      </c>
      <c r="B3829" s="1" t="n">
        <v>45699</v>
      </c>
      <c r="C3829" s="1" t="n">
        <v>45852</v>
      </c>
      <c r="D3829" t="inlineStr">
        <is>
          <t>VÄSTERNORRLANDS LÄN</t>
        </is>
      </c>
      <c r="E3829" t="inlineStr">
        <is>
          <t>SOLLEFTEÅ</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6440-2025</t>
        </is>
      </c>
      <c r="B3830" s="1" t="n">
        <v>45699</v>
      </c>
      <c r="C3830" s="1" t="n">
        <v>45852</v>
      </c>
      <c r="D3830" t="inlineStr">
        <is>
          <t>VÄSTERNORRLANDS LÄN</t>
        </is>
      </c>
      <c r="E3830" t="inlineStr">
        <is>
          <t>SOLLEFTEÅ</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6737-2025</t>
        </is>
      </c>
      <c r="B3831" s="1" t="n">
        <v>45700</v>
      </c>
      <c r="C3831" s="1" t="n">
        <v>45852</v>
      </c>
      <c r="D3831" t="inlineStr">
        <is>
          <t>VÄSTERNORRLANDS LÄN</t>
        </is>
      </c>
      <c r="E3831" t="inlineStr">
        <is>
          <t>SOLLEFTEÅ</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6733-2025</t>
        </is>
      </c>
      <c r="B3832" s="1" t="n">
        <v>45700</v>
      </c>
      <c r="C3832" s="1" t="n">
        <v>45852</v>
      </c>
      <c r="D3832" t="inlineStr">
        <is>
          <t>VÄSTERNORRLANDS LÄN</t>
        </is>
      </c>
      <c r="E3832" t="inlineStr">
        <is>
          <t>SOLLEFTEÅ</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6621-2025</t>
        </is>
      </c>
      <c r="B3833" s="1" t="n">
        <v>45700</v>
      </c>
      <c r="C3833" s="1" t="n">
        <v>45852</v>
      </c>
      <c r="D3833" t="inlineStr">
        <is>
          <t>VÄSTERNORRLANDS LÄN</t>
        </is>
      </c>
      <c r="E3833" t="inlineStr">
        <is>
          <t>SOLLEFTEÅ</t>
        </is>
      </c>
      <c r="F3833" t="inlineStr">
        <is>
          <t>SCA</t>
        </is>
      </c>
      <c r="G3833" t="n">
        <v>14.8</v>
      </c>
      <c r="H3833" t="n">
        <v>0</v>
      </c>
      <c r="I3833" t="n">
        <v>0</v>
      </c>
      <c r="J3833" t="n">
        <v>0</v>
      </c>
      <c r="K3833" t="n">
        <v>0</v>
      </c>
      <c r="L3833" t="n">
        <v>0</v>
      </c>
      <c r="M3833" t="n">
        <v>0</v>
      </c>
      <c r="N3833" t="n">
        <v>0</v>
      </c>
      <c r="O3833" t="n">
        <v>0</v>
      </c>
      <c r="P3833" t="n">
        <v>0</v>
      </c>
      <c r="Q3833" t="n">
        <v>0</v>
      </c>
      <c r="R3833" s="2" t="inlineStr"/>
    </row>
    <row r="3834" ht="15" customHeight="1">
      <c r="A3834" t="inlineStr">
        <is>
          <t>A 6736-2025</t>
        </is>
      </c>
      <c r="B3834" s="1" t="n">
        <v>45700</v>
      </c>
      <c r="C3834" s="1" t="n">
        <v>45852</v>
      </c>
      <c r="D3834" t="inlineStr">
        <is>
          <t>VÄSTERNORRLANDS LÄN</t>
        </is>
      </c>
      <c r="E3834" t="inlineStr">
        <is>
          <t>SOLLEFTEÅ</t>
        </is>
      </c>
      <c r="F3834" t="inlineStr">
        <is>
          <t>SCA</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6732-2025</t>
        </is>
      </c>
      <c r="B3835" s="1" t="n">
        <v>45700</v>
      </c>
      <c r="C3835" s="1" t="n">
        <v>45852</v>
      </c>
      <c r="D3835" t="inlineStr">
        <is>
          <t>VÄSTERNORRLANDS LÄN</t>
        </is>
      </c>
      <c r="E3835" t="inlineStr">
        <is>
          <t>SOLLEFTEÅ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6735-2025</t>
        </is>
      </c>
      <c r="B3836" s="1" t="n">
        <v>45700</v>
      </c>
      <c r="C3836" s="1" t="n">
        <v>45852</v>
      </c>
      <c r="D3836" t="inlineStr">
        <is>
          <t>VÄSTERNORRLANDS LÄN</t>
        </is>
      </c>
      <c r="E3836" t="inlineStr">
        <is>
          <t>SOLLEFTEÅ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6876-2025</t>
        </is>
      </c>
      <c r="B3837" s="1" t="n">
        <v>45701</v>
      </c>
      <c r="C3837" s="1" t="n">
        <v>45852</v>
      </c>
      <c r="D3837" t="inlineStr">
        <is>
          <t>VÄSTERNORRLANDS LÄN</t>
        </is>
      </c>
      <c r="E3837" t="inlineStr">
        <is>
          <t>SOLLEFTEÅ</t>
        </is>
      </c>
      <c r="F3837" t="inlineStr">
        <is>
          <t>SCA</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6884-2025</t>
        </is>
      </c>
      <c r="B3838" s="1" t="n">
        <v>45701</v>
      </c>
      <c r="C3838" s="1" t="n">
        <v>45852</v>
      </c>
      <c r="D3838" t="inlineStr">
        <is>
          <t>VÄSTERNORRLANDS LÄN</t>
        </is>
      </c>
      <c r="E3838" t="inlineStr">
        <is>
          <t>SOLLEFTEÅ</t>
        </is>
      </c>
      <c r="F3838" t="inlineStr">
        <is>
          <t>SCA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6896-2025</t>
        </is>
      </c>
      <c r="B3839" s="1" t="n">
        <v>45701</v>
      </c>
      <c r="C3839" s="1" t="n">
        <v>45852</v>
      </c>
      <c r="D3839" t="inlineStr">
        <is>
          <t>VÄSTERNORRLANDS LÄN</t>
        </is>
      </c>
      <c r="E3839" t="inlineStr">
        <is>
          <t>SOLLEFTEÅ</t>
        </is>
      </c>
      <c r="F3839" t="inlineStr">
        <is>
          <t>SCA</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7003-2025</t>
        </is>
      </c>
      <c r="B3840" s="1" t="n">
        <v>45701</v>
      </c>
      <c r="C3840" s="1" t="n">
        <v>45852</v>
      </c>
      <c r="D3840" t="inlineStr">
        <is>
          <t>VÄSTERNORRLANDS LÄN</t>
        </is>
      </c>
      <c r="E3840" t="inlineStr">
        <is>
          <t>SOLLEFTEÅ</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7007-2025</t>
        </is>
      </c>
      <c r="B3841" s="1" t="n">
        <v>45701</v>
      </c>
      <c r="C3841" s="1" t="n">
        <v>45852</v>
      </c>
      <c r="D3841" t="inlineStr">
        <is>
          <t>VÄSTERNORRLANDS LÄN</t>
        </is>
      </c>
      <c r="E3841" t="inlineStr">
        <is>
          <t>SOLLEFTEÅ</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7036-2025</t>
        </is>
      </c>
      <c r="B3842" s="1" t="n">
        <v>45701</v>
      </c>
      <c r="C3842" s="1" t="n">
        <v>45852</v>
      </c>
      <c r="D3842" t="inlineStr">
        <is>
          <t>VÄSTERNORRLANDS LÄN</t>
        </is>
      </c>
      <c r="E3842" t="inlineStr">
        <is>
          <t>SOLLEFTEÅ</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7014-2025</t>
        </is>
      </c>
      <c r="B3843" s="1" t="n">
        <v>45701</v>
      </c>
      <c r="C3843" s="1" t="n">
        <v>45852</v>
      </c>
      <c r="D3843" t="inlineStr">
        <is>
          <t>VÄSTERNORRLANDS LÄN</t>
        </is>
      </c>
      <c r="E3843" t="inlineStr">
        <is>
          <t>SOLLEFTEÅ</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6875-2025</t>
        </is>
      </c>
      <c r="B3844" s="1" t="n">
        <v>45701</v>
      </c>
      <c r="C3844" s="1" t="n">
        <v>45852</v>
      </c>
      <c r="D3844" t="inlineStr">
        <is>
          <t>VÄSTERNORRLANDS LÄN</t>
        </is>
      </c>
      <c r="E3844" t="inlineStr">
        <is>
          <t>SOLLEFTEÅ</t>
        </is>
      </c>
      <c r="F3844" t="inlineStr">
        <is>
          <t>SCA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6877-2025</t>
        </is>
      </c>
      <c r="B3845" s="1" t="n">
        <v>45701</v>
      </c>
      <c r="C3845" s="1" t="n">
        <v>45852</v>
      </c>
      <c r="D3845" t="inlineStr">
        <is>
          <t>VÄSTERNORRLANDS LÄN</t>
        </is>
      </c>
      <c r="E3845" t="inlineStr">
        <is>
          <t>SOLLEFTEÅ</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7184-2025</t>
        </is>
      </c>
      <c r="B3846" s="1" t="n">
        <v>45702</v>
      </c>
      <c r="C3846" s="1" t="n">
        <v>45852</v>
      </c>
      <c r="D3846" t="inlineStr">
        <is>
          <t>VÄSTERNORRLANDS LÄN</t>
        </is>
      </c>
      <c r="E3846" t="inlineStr">
        <is>
          <t>SOLLEFTEÅ</t>
        </is>
      </c>
      <c r="F3846" t="inlineStr">
        <is>
          <t>SCA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7157-2025</t>
        </is>
      </c>
      <c r="B3847" s="1" t="n">
        <v>45702</v>
      </c>
      <c r="C3847" s="1" t="n">
        <v>45852</v>
      </c>
      <c r="D3847" t="inlineStr">
        <is>
          <t>VÄSTERNORRLANDS LÄN</t>
        </is>
      </c>
      <c r="E3847" t="inlineStr">
        <is>
          <t>SOLLEFTEÅ</t>
        </is>
      </c>
      <c r="G3847" t="n">
        <v>12.5</v>
      </c>
      <c r="H3847" t="n">
        <v>0</v>
      </c>
      <c r="I3847" t="n">
        <v>0</v>
      </c>
      <c r="J3847" t="n">
        <v>0</v>
      </c>
      <c r="K3847" t="n">
        <v>0</v>
      </c>
      <c r="L3847" t="n">
        <v>0</v>
      </c>
      <c r="M3847" t="n">
        <v>0</v>
      </c>
      <c r="N3847" t="n">
        <v>0</v>
      </c>
      <c r="O3847" t="n">
        <v>0</v>
      </c>
      <c r="P3847" t="n">
        <v>0</v>
      </c>
      <c r="Q3847" t="n">
        <v>0</v>
      </c>
      <c r="R3847" s="2" t="inlineStr"/>
    </row>
    <row r="3848" ht="15" customHeight="1">
      <c r="A3848" t="inlineStr">
        <is>
          <t>A 7182-2025</t>
        </is>
      </c>
      <c r="B3848" s="1" t="n">
        <v>45702</v>
      </c>
      <c r="C3848" s="1" t="n">
        <v>45852</v>
      </c>
      <c r="D3848" t="inlineStr">
        <is>
          <t>VÄSTERNORRLANDS LÄN</t>
        </is>
      </c>
      <c r="E3848" t="inlineStr">
        <is>
          <t>SOLLEFTEÅ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7342-2025</t>
        </is>
      </c>
      <c r="B3849" s="1" t="n">
        <v>45703</v>
      </c>
      <c r="C3849" s="1" t="n">
        <v>45852</v>
      </c>
      <c r="D3849" t="inlineStr">
        <is>
          <t>VÄSTERNORRLANDS LÄN</t>
        </is>
      </c>
      <c r="E3849" t="inlineStr">
        <is>
          <t>SOLLEFTEÅ</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7341-2025</t>
        </is>
      </c>
      <c r="B3850" s="1" t="n">
        <v>45703</v>
      </c>
      <c r="C3850" s="1" t="n">
        <v>45852</v>
      </c>
      <c r="D3850" t="inlineStr">
        <is>
          <t>VÄSTERNORRLANDS LÄN</t>
        </is>
      </c>
      <c r="E3850" t="inlineStr">
        <is>
          <t>SOLLEFTEÅ</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7589-2025</t>
        </is>
      </c>
      <c r="B3851" s="1" t="n">
        <v>45705</v>
      </c>
      <c r="C3851" s="1" t="n">
        <v>45852</v>
      </c>
      <c r="D3851" t="inlineStr">
        <is>
          <t>VÄSTERNORRLANDS LÄN</t>
        </is>
      </c>
      <c r="E3851" t="inlineStr">
        <is>
          <t>SOLLEFTEÅ</t>
        </is>
      </c>
      <c r="F3851" t="inlineStr">
        <is>
          <t>SCA</t>
        </is>
      </c>
      <c r="G3851" t="n">
        <v>12.5</v>
      </c>
      <c r="H3851" t="n">
        <v>0</v>
      </c>
      <c r="I3851" t="n">
        <v>0</v>
      </c>
      <c r="J3851" t="n">
        <v>0</v>
      </c>
      <c r="K3851" t="n">
        <v>0</v>
      </c>
      <c r="L3851" t="n">
        <v>0</v>
      </c>
      <c r="M3851" t="n">
        <v>0</v>
      </c>
      <c r="N3851" t="n">
        <v>0</v>
      </c>
      <c r="O3851" t="n">
        <v>0</v>
      </c>
      <c r="P3851" t="n">
        <v>0</v>
      </c>
      <c r="Q3851" t="n">
        <v>0</v>
      </c>
      <c r="R3851" s="2" t="inlineStr"/>
    </row>
    <row r="3852" ht="15" customHeight="1">
      <c r="A3852" t="inlineStr">
        <is>
          <t>A 7611-2025</t>
        </is>
      </c>
      <c r="B3852" s="1" t="n">
        <v>45705</v>
      </c>
      <c r="C3852" s="1" t="n">
        <v>45852</v>
      </c>
      <c r="D3852" t="inlineStr">
        <is>
          <t>VÄSTERNORRLANDS LÄN</t>
        </is>
      </c>
      <c r="E3852" t="inlineStr">
        <is>
          <t>SOLLEFTEÅ</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7569-2025</t>
        </is>
      </c>
      <c r="B3853" s="1" t="n">
        <v>45705</v>
      </c>
      <c r="C3853" s="1" t="n">
        <v>45852</v>
      </c>
      <c r="D3853" t="inlineStr">
        <is>
          <t>VÄSTERNORRLANDS LÄN</t>
        </is>
      </c>
      <c r="E3853" t="inlineStr">
        <is>
          <t>SOLLEFTEÅ</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7430-2025</t>
        </is>
      </c>
      <c r="B3854" s="1" t="n">
        <v>45705</v>
      </c>
      <c r="C3854" s="1" t="n">
        <v>45852</v>
      </c>
      <c r="D3854" t="inlineStr">
        <is>
          <t>VÄSTERNORRLANDS LÄN</t>
        </is>
      </c>
      <c r="E3854" t="inlineStr">
        <is>
          <t>SOLLEFTEÅ</t>
        </is>
      </c>
      <c r="F3854" t="inlineStr">
        <is>
          <t>SCA</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7570-2025</t>
        </is>
      </c>
      <c r="B3855" s="1" t="n">
        <v>45705</v>
      </c>
      <c r="C3855" s="1" t="n">
        <v>45852</v>
      </c>
      <c r="D3855" t="inlineStr">
        <is>
          <t>VÄSTERNORRLANDS LÄN</t>
        </is>
      </c>
      <c r="E3855" t="inlineStr">
        <is>
          <t>SOLLEFTEÅ</t>
        </is>
      </c>
      <c r="F3855" t="inlineStr">
        <is>
          <t>SCA</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7868-2025</t>
        </is>
      </c>
      <c r="B3856" s="1" t="n">
        <v>45706</v>
      </c>
      <c r="C3856" s="1" t="n">
        <v>45852</v>
      </c>
      <c r="D3856" t="inlineStr">
        <is>
          <t>VÄSTERNORRLANDS LÄN</t>
        </is>
      </c>
      <c r="E3856" t="inlineStr">
        <is>
          <t>SOLLEFTEÅ</t>
        </is>
      </c>
      <c r="F3856" t="inlineStr">
        <is>
          <t>SCA</t>
        </is>
      </c>
      <c r="G3856" t="n">
        <v>12.5</v>
      </c>
      <c r="H3856" t="n">
        <v>0</v>
      </c>
      <c r="I3856" t="n">
        <v>0</v>
      </c>
      <c r="J3856" t="n">
        <v>0</v>
      </c>
      <c r="K3856" t="n">
        <v>0</v>
      </c>
      <c r="L3856" t="n">
        <v>0</v>
      </c>
      <c r="M3856" t="n">
        <v>0</v>
      </c>
      <c r="N3856" t="n">
        <v>0</v>
      </c>
      <c r="O3856" t="n">
        <v>0</v>
      </c>
      <c r="P3856" t="n">
        <v>0</v>
      </c>
      <c r="Q3856" t="n">
        <v>0</v>
      </c>
      <c r="R3856" s="2" t="inlineStr"/>
    </row>
    <row r="3857" ht="15" customHeight="1">
      <c r="A3857" t="inlineStr">
        <is>
          <t>A 7667-2025</t>
        </is>
      </c>
      <c r="B3857" s="1" t="n">
        <v>45706</v>
      </c>
      <c r="C3857" s="1" t="n">
        <v>45852</v>
      </c>
      <c r="D3857" t="inlineStr">
        <is>
          <t>VÄSTERNORRLANDS LÄN</t>
        </is>
      </c>
      <c r="E3857" t="inlineStr">
        <is>
          <t>SOLLEFTEÅ</t>
        </is>
      </c>
      <c r="F3857" t="inlineStr">
        <is>
          <t>SCA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8105-2025</t>
        </is>
      </c>
      <c r="B3858" s="1" t="n">
        <v>45707</v>
      </c>
      <c r="C3858" s="1" t="n">
        <v>45852</v>
      </c>
      <c r="D3858" t="inlineStr">
        <is>
          <t>VÄSTERNORRLANDS LÄN</t>
        </is>
      </c>
      <c r="E3858" t="inlineStr">
        <is>
          <t>SOLLEFTEÅ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7926-2025</t>
        </is>
      </c>
      <c r="B3859" s="1" t="n">
        <v>45707</v>
      </c>
      <c r="C3859" s="1" t="n">
        <v>45852</v>
      </c>
      <c r="D3859" t="inlineStr">
        <is>
          <t>VÄSTERNORRLANDS LÄN</t>
        </is>
      </c>
      <c r="E3859" t="inlineStr">
        <is>
          <t>SOLLEFTEÅ</t>
        </is>
      </c>
      <c r="F3859" t="inlineStr">
        <is>
          <t>SCA</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8099-2025</t>
        </is>
      </c>
      <c r="B3860" s="1" t="n">
        <v>45707</v>
      </c>
      <c r="C3860" s="1" t="n">
        <v>45852</v>
      </c>
      <c r="D3860" t="inlineStr">
        <is>
          <t>VÄSTERNORRLANDS LÄN</t>
        </is>
      </c>
      <c r="E3860" t="inlineStr">
        <is>
          <t>SOLLEFTEÅ</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8124-2025</t>
        </is>
      </c>
      <c r="B3861" s="1" t="n">
        <v>45707</v>
      </c>
      <c r="C3861" s="1" t="n">
        <v>45852</v>
      </c>
      <c r="D3861" t="inlineStr">
        <is>
          <t>VÄSTERNORRLANDS LÄN</t>
        </is>
      </c>
      <c r="E3861" t="inlineStr">
        <is>
          <t>SOLLEFTEÅ</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7942-2025</t>
        </is>
      </c>
      <c r="B3862" s="1" t="n">
        <v>45707</v>
      </c>
      <c r="C3862" s="1" t="n">
        <v>45852</v>
      </c>
      <c r="D3862" t="inlineStr">
        <is>
          <t>VÄSTERNORRLANDS LÄN</t>
        </is>
      </c>
      <c r="E3862" t="inlineStr">
        <is>
          <t>SOLLEFTEÅ</t>
        </is>
      </c>
      <c r="F3862" t="inlineStr">
        <is>
          <t>SCA</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8100-2025</t>
        </is>
      </c>
      <c r="B3863" s="1" t="n">
        <v>45707</v>
      </c>
      <c r="C3863" s="1" t="n">
        <v>45852</v>
      </c>
      <c r="D3863" t="inlineStr">
        <is>
          <t>VÄSTERNORRLANDS LÄN</t>
        </is>
      </c>
      <c r="E3863" t="inlineStr">
        <is>
          <t>SOLLEFTEÅ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8104-2025</t>
        </is>
      </c>
      <c r="B3864" s="1" t="n">
        <v>45707</v>
      </c>
      <c r="C3864" s="1" t="n">
        <v>45852</v>
      </c>
      <c r="D3864" t="inlineStr">
        <is>
          <t>VÄSTERNORRLANDS LÄN</t>
        </is>
      </c>
      <c r="E3864" t="inlineStr">
        <is>
          <t>SOLLEFTEÅ</t>
        </is>
      </c>
      <c r="F3864" t="inlineStr">
        <is>
          <t>SCA</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8084-2025</t>
        </is>
      </c>
      <c r="B3865" s="1" t="n">
        <v>45707</v>
      </c>
      <c r="C3865" s="1" t="n">
        <v>45852</v>
      </c>
      <c r="D3865" t="inlineStr">
        <is>
          <t>VÄSTERNORRLANDS LÄN</t>
        </is>
      </c>
      <c r="E3865" t="inlineStr">
        <is>
          <t>SOLLEFTEÅ</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8195-2025</t>
        </is>
      </c>
      <c r="B3866" s="1" t="n">
        <v>45708</v>
      </c>
      <c r="C3866" s="1" t="n">
        <v>45852</v>
      </c>
      <c r="D3866" t="inlineStr">
        <is>
          <t>VÄSTERNORRLANDS LÄN</t>
        </is>
      </c>
      <c r="E3866" t="inlineStr">
        <is>
          <t>SOLLEFTEÅ</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8169-2025</t>
        </is>
      </c>
      <c r="B3867" s="1" t="n">
        <v>45708</v>
      </c>
      <c r="C3867" s="1" t="n">
        <v>45852</v>
      </c>
      <c r="D3867" t="inlineStr">
        <is>
          <t>VÄSTERNORRLANDS LÄN</t>
        </is>
      </c>
      <c r="E3867" t="inlineStr">
        <is>
          <t>SOLLEFTEÅ</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8337-2025</t>
        </is>
      </c>
      <c r="B3868" s="1" t="n">
        <v>45708</v>
      </c>
      <c r="C3868" s="1" t="n">
        <v>45852</v>
      </c>
      <c r="D3868" t="inlineStr">
        <is>
          <t>VÄSTERNORRLANDS LÄN</t>
        </is>
      </c>
      <c r="E3868" t="inlineStr">
        <is>
          <t>SOLLEFTEÅ</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8476-2025</t>
        </is>
      </c>
      <c r="B3869" s="1" t="n">
        <v>45709</v>
      </c>
      <c r="C3869" s="1" t="n">
        <v>45852</v>
      </c>
      <c r="D3869" t="inlineStr">
        <is>
          <t>VÄSTERNORRLANDS LÄN</t>
        </is>
      </c>
      <c r="E3869" t="inlineStr">
        <is>
          <t>SOLLEFTEÅ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8703-2025</t>
        </is>
      </c>
      <c r="B3870" s="1" t="n">
        <v>45712</v>
      </c>
      <c r="C3870" s="1" t="n">
        <v>45852</v>
      </c>
      <c r="D3870" t="inlineStr">
        <is>
          <t>VÄSTERNORRLANDS LÄN</t>
        </is>
      </c>
      <c r="E3870" t="inlineStr">
        <is>
          <t>SOLLEFTEÅ</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8653-2025</t>
        </is>
      </c>
      <c r="B3871" s="1" t="n">
        <v>45712</v>
      </c>
      <c r="C3871" s="1" t="n">
        <v>45852</v>
      </c>
      <c r="D3871" t="inlineStr">
        <is>
          <t>VÄSTERNORRLANDS LÄN</t>
        </is>
      </c>
      <c r="E3871" t="inlineStr">
        <is>
          <t>SOLLEFTEÅ</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8814-2025</t>
        </is>
      </c>
      <c r="B3872" s="1" t="n">
        <v>45712</v>
      </c>
      <c r="C3872" s="1" t="n">
        <v>45852</v>
      </c>
      <c r="D3872" t="inlineStr">
        <is>
          <t>VÄSTERNORRLANDS LÄN</t>
        </is>
      </c>
      <c r="E3872" t="inlineStr">
        <is>
          <t>SOLLEFTEÅ</t>
        </is>
      </c>
      <c r="F3872" t="inlineStr">
        <is>
          <t>Kyrkan</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8712-2025</t>
        </is>
      </c>
      <c r="B3873" s="1" t="n">
        <v>45712</v>
      </c>
      <c r="C3873" s="1" t="n">
        <v>45852</v>
      </c>
      <c r="D3873" t="inlineStr">
        <is>
          <t>VÄSTERNORRLANDS LÄN</t>
        </is>
      </c>
      <c r="E3873" t="inlineStr">
        <is>
          <t>SOLLEFTEÅ</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8657-2025</t>
        </is>
      </c>
      <c r="B3874" s="1" t="n">
        <v>45712</v>
      </c>
      <c r="C3874" s="1" t="n">
        <v>45852</v>
      </c>
      <c r="D3874" t="inlineStr">
        <is>
          <t>VÄSTERNORRLANDS LÄN</t>
        </is>
      </c>
      <c r="E3874" t="inlineStr">
        <is>
          <t>SOLLEFTEÅ</t>
        </is>
      </c>
      <c r="F3874" t="inlineStr">
        <is>
          <t>SCA</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8851-2025</t>
        </is>
      </c>
      <c r="B3875" s="1" t="n">
        <v>45713</v>
      </c>
      <c r="C3875" s="1" t="n">
        <v>45852</v>
      </c>
      <c r="D3875" t="inlineStr">
        <is>
          <t>VÄSTERNORRLANDS LÄN</t>
        </is>
      </c>
      <c r="E3875" t="inlineStr">
        <is>
          <t>SOLLEFTEÅ</t>
        </is>
      </c>
      <c r="F3875" t="inlineStr">
        <is>
          <t>SCA</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8852-2025</t>
        </is>
      </c>
      <c r="B3876" s="1" t="n">
        <v>45713</v>
      </c>
      <c r="C3876" s="1" t="n">
        <v>45852</v>
      </c>
      <c r="D3876" t="inlineStr">
        <is>
          <t>VÄSTERNORRLANDS LÄN</t>
        </is>
      </c>
      <c r="E3876" t="inlineStr">
        <is>
          <t>SOLLEFTEÅ</t>
        </is>
      </c>
      <c r="F3876" t="inlineStr">
        <is>
          <t>SCA</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8895-2025</t>
        </is>
      </c>
      <c r="B3877" s="1" t="n">
        <v>45713</v>
      </c>
      <c r="C3877" s="1" t="n">
        <v>45852</v>
      </c>
      <c r="D3877" t="inlineStr">
        <is>
          <t>VÄSTERNORRLANDS LÄN</t>
        </is>
      </c>
      <c r="E3877" t="inlineStr">
        <is>
          <t>SOLLEFTEÅ</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8854-2025</t>
        </is>
      </c>
      <c r="B3878" s="1" t="n">
        <v>45713</v>
      </c>
      <c r="C3878" s="1" t="n">
        <v>45852</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9070-2025</t>
        </is>
      </c>
      <c r="B3879" s="1" t="n">
        <v>45713</v>
      </c>
      <c r="C3879" s="1" t="n">
        <v>45852</v>
      </c>
      <c r="D3879" t="inlineStr">
        <is>
          <t>VÄSTERNORRLANDS LÄN</t>
        </is>
      </c>
      <c r="E3879" t="inlineStr">
        <is>
          <t>SOLLEFTEÅ</t>
        </is>
      </c>
      <c r="F3879" t="inlineStr">
        <is>
          <t>SCA</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8893-2025</t>
        </is>
      </c>
      <c r="B3880" s="1" t="n">
        <v>45713</v>
      </c>
      <c r="C3880" s="1" t="n">
        <v>45852</v>
      </c>
      <c r="D3880" t="inlineStr">
        <is>
          <t>VÄSTERNORRLANDS LÄN</t>
        </is>
      </c>
      <c r="E3880" t="inlineStr">
        <is>
          <t>SOLLEFTEÅ</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9072-2025</t>
        </is>
      </c>
      <c r="B3881" s="1" t="n">
        <v>45713</v>
      </c>
      <c r="C3881" s="1" t="n">
        <v>45852</v>
      </c>
      <c r="D3881" t="inlineStr">
        <is>
          <t>VÄSTERNORRLANDS LÄN</t>
        </is>
      </c>
      <c r="E3881" t="inlineStr">
        <is>
          <t>SOLLEFTEÅ</t>
        </is>
      </c>
      <c r="F3881" t="inlineStr">
        <is>
          <t>SCA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8894-2025</t>
        </is>
      </c>
      <c r="B3882" s="1" t="n">
        <v>45713</v>
      </c>
      <c r="C3882" s="1" t="n">
        <v>45852</v>
      </c>
      <c r="D3882" t="inlineStr">
        <is>
          <t>VÄSTERNORRLANDS LÄN</t>
        </is>
      </c>
      <c r="E3882" t="inlineStr">
        <is>
          <t>SOLLEFTEÅ</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8914-2025</t>
        </is>
      </c>
      <c r="B3883" s="1" t="n">
        <v>45713</v>
      </c>
      <c r="C3883" s="1" t="n">
        <v>45852</v>
      </c>
      <c r="D3883" t="inlineStr">
        <is>
          <t>VÄSTERNORRLANDS LÄN</t>
        </is>
      </c>
      <c r="E3883" t="inlineStr">
        <is>
          <t>SOLLEFTEÅ</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9089-2025</t>
        </is>
      </c>
      <c r="B3884" s="1" t="n">
        <v>45713</v>
      </c>
      <c r="C3884" s="1" t="n">
        <v>45852</v>
      </c>
      <c r="D3884" t="inlineStr">
        <is>
          <t>VÄSTERNORRLANDS LÄN</t>
        </is>
      </c>
      <c r="E3884" t="inlineStr">
        <is>
          <t>SOLLEFTEÅ</t>
        </is>
      </c>
      <c r="F3884" t="inlineStr">
        <is>
          <t>SCA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9151-2025</t>
        </is>
      </c>
      <c r="B3885" s="1" t="n">
        <v>45714</v>
      </c>
      <c r="C3885" s="1" t="n">
        <v>45852</v>
      </c>
      <c r="D3885" t="inlineStr">
        <is>
          <t>VÄSTERNORRLANDS LÄN</t>
        </is>
      </c>
      <c r="E3885" t="inlineStr">
        <is>
          <t>SOLLEFTEÅ</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9163-2025</t>
        </is>
      </c>
      <c r="B3886" s="1" t="n">
        <v>45714</v>
      </c>
      <c r="C3886" s="1" t="n">
        <v>45852</v>
      </c>
      <c r="D3886" t="inlineStr">
        <is>
          <t>VÄSTERNORRLANDS LÄN</t>
        </is>
      </c>
      <c r="E3886" t="inlineStr">
        <is>
          <t>SOLLEFTEÅ</t>
        </is>
      </c>
      <c r="F3886" t="inlineStr">
        <is>
          <t>SCA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9254-2025</t>
        </is>
      </c>
      <c r="B3887" s="1" t="n">
        <v>45714</v>
      </c>
      <c r="C3887" s="1" t="n">
        <v>45852</v>
      </c>
      <c r="D3887" t="inlineStr">
        <is>
          <t>VÄSTERNORRLANDS LÄN</t>
        </is>
      </c>
      <c r="E3887" t="inlineStr">
        <is>
          <t>SOLLEFTEÅ</t>
        </is>
      </c>
      <c r="F3887" t="inlineStr">
        <is>
          <t>SCA</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9237-2025</t>
        </is>
      </c>
      <c r="B3888" s="1" t="n">
        <v>45714</v>
      </c>
      <c r="C3888" s="1" t="n">
        <v>45852</v>
      </c>
      <c r="D3888" t="inlineStr">
        <is>
          <t>VÄSTERNORRLANDS LÄN</t>
        </is>
      </c>
      <c r="E3888" t="inlineStr">
        <is>
          <t>SOLLEFTEÅ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9245-2025</t>
        </is>
      </c>
      <c r="B3889" s="1" t="n">
        <v>45714</v>
      </c>
      <c r="C3889" s="1" t="n">
        <v>45852</v>
      </c>
      <c r="D3889" t="inlineStr">
        <is>
          <t>VÄSTERNORRLANDS LÄN</t>
        </is>
      </c>
      <c r="E3889" t="inlineStr">
        <is>
          <t>SOLLEFTEÅ</t>
        </is>
      </c>
      <c r="G3889" t="n">
        <v>13.7</v>
      </c>
      <c r="H3889" t="n">
        <v>0</v>
      </c>
      <c r="I3889" t="n">
        <v>0</v>
      </c>
      <c r="J3889" t="n">
        <v>0</v>
      </c>
      <c r="K3889" t="n">
        <v>0</v>
      </c>
      <c r="L3889" t="n">
        <v>0</v>
      </c>
      <c r="M3889" t="n">
        <v>0</v>
      </c>
      <c r="N3889" t="n">
        <v>0</v>
      </c>
      <c r="O3889" t="n">
        <v>0</v>
      </c>
      <c r="P3889" t="n">
        <v>0</v>
      </c>
      <c r="Q3889" t="n">
        <v>0</v>
      </c>
      <c r="R3889" s="2" t="inlineStr"/>
    </row>
    <row r="3890" ht="15" customHeight="1">
      <c r="A3890" t="inlineStr">
        <is>
          <t>A 9253-2025</t>
        </is>
      </c>
      <c r="B3890" s="1" t="n">
        <v>45714</v>
      </c>
      <c r="C3890" s="1" t="n">
        <v>45852</v>
      </c>
      <c r="D3890" t="inlineStr">
        <is>
          <t>VÄSTERNORRLANDS LÄN</t>
        </is>
      </c>
      <c r="E3890" t="inlineStr">
        <is>
          <t>SOLLEFTEÅ</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9305-2025</t>
        </is>
      </c>
      <c r="B3891" s="1" t="n">
        <v>45714</v>
      </c>
      <c r="C3891" s="1" t="n">
        <v>45852</v>
      </c>
      <c r="D3891" t="inlineStr">
        <is>
          <t>VÄSTERNORRLANDS LÄN</t>
        </is>
      </c>
      <c r="E3891" t="inlineStr">
        <is>
          <t>SOLLEFTEÅ</t>
        </is>
      </c>
      <c r="F3891" t="inlineStr">
        <is>
          <t>SCA</t>
        </is>
      </c>
      <c r="G3891" t="n">
        <v>11.9</v>
      </c>
      <c r="H3891" t="n">
        <v>0</v>
      </c>
      <c r="I3891" t="n">
        <v>0</v>
      </c>
      <c r="J3891" t="n">
        <v>0</v>
      </c>
      <c r="K3891" t="n">
        <v>0</v>
      </c>
      <c r="L3891" t="n">
        <v>0</v>
      </c>
      <c r="M3891" t="n">
        <v>0</v>
      </c>
      <c r="N3891" t="n">
        <v>0</v>
      </c>
      <c r="O3891" t="n">
        <v>0</v>
      </c>
      <c r="P3891" t="n">
        <v>0</v>
      </c>
      <c r="Q3891" t="n">
        <v>0</v>
      </c>
      <c r="R3891" s="2" t="inlineStr"/>
    </row>
    <row r="3892" ht="15" customHeight="1">
      <c r="A3892" t="inlineStr">
        <is>
          <t>A 9606-2025</t>
        </is>
      </c>
      <c r="B3892" s="1" t="n">
        <v>45715</v>
      </c>
      <c r="C3892" s="1" t="n">
        <v>45852</v>
      </c>
      <c r="D3892" t="inlineStr">
        <is>
          <t>VÄSTERNORRLANDS LÄN</t>
        </is>
      </c>
      <c r="E3892" t="inlineStr">
        <is>
          <t>SOLLEFTEÅ</t>
        </is>
      </c>
      <c r="F3892" t="inlineStr">
        <is>
          <t>SCA</t>
        </is>
      </c>
      <c r="G3892" t="n">
        <v>15.4</v>
      </c>
      <c r="H3892" t="n">
        <v>0</v>
      </c>
      <c r="I3892" t="n">
        <v>0</v>
      </c>
      <c r="J3892" t="n">
        <v>0</v>
      </c>
      <c r="K3892" t="n">
        <v>0</v>
      </c>
      <c r="L3892" t="n">
        <v>0</v>
      </c>
      <c r="M3892" t="n">
        <v>0</v>
      </c>
      <c r="N3892" t="n">
        <v>0</v>
      </c>
      <c r="O3892" t="n">
        <v>0</v>
      </c>
      <c r="P3892" t="n">
        <v>0</v>
      </c>
      <c r="Q3892" t="n">
        <v>0</v>
      </c>
      <c r="R3892" s="2" t="inlineStr"/>
    </row>
    <row r="3893" ht="15" customHeight="1">
      <c r="A3893" t="inlineStr">
        <is>
          <t>A 9608-2025</t>
        </is>
      </c>
      <c r="B3893" s="1" t="n">
        <v>45715</v>
      </c>
      <c r="C3893" s="1" t="n">
        <v>45852</v>
      </c>
      <c r="D3893" t="inlineStr">
        <is>
          <t>VÄSTERNORRLANDS LÄN</t>
        </is>
      </c>
      <c r="E3893" t="inlineStr">
        <is>
          <t>SOLLEFTEÅ</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9632-2025</t>
        </is>
      </c>
      <c r="B3894" s="1" t="n">
        <v>45715</v>
      </c>
      <c r="C3894" s="1" t="n">
        <v>45852</v>
      </c>
      <c r="D3894" t="inlineStr">
        <is>
          <t>VÄSTERNORRLANDS LÄN</t>
        </is>
      </c>
      <c r="E3894" t="inlineStr">
        <is>
          <t>SOLLEFTEÅ</t>
        </is>
      </c>
      <c r="F3894" t="inlineStr">
        <is>
          <t>SCA</t>
        </is>
      </c>
      <c r="G3894" t="n">
        <v>21.6</v>
      </c>
      <c r="H3894" t="n">
        <v>0</v>
      </c>
      <c r="I3894" t="n">
        <v>0</v>
      </c>
      <c r="J3894" t="n">
        <v>0</v>
      </c>
      <c r="K3894" t="n">
        <v>0</v>
      </c>
      <c r="L3894" t="n">
        <v>0</v>
      </c>
      <c r="M3894" t="n">
        <v>0</v>
      </c>
      <c r="N3894" t="n">
        <v>0</v>
      </c>
      <c r="O3894" t="n">
        <v>0</v>
      </c>
      <c r="P3894" t="n">
        <v>0</v>
      </c>
      <c r="Q3894" t="n">
        <v>0</v>
      </c>
      <c r="R3894" s="2" t="inlineStr"/>
    </row>
    <row r="3895" ht="15" customHeight="1">
      <c r="A3895" t="inlineStr">
        <is>
          <t>A 9607-2025</t>
        </is>
      </c>
      <c r="B3895" s="1" t="n">
        <v>45715</v>
      </c>
      <c r="C3895" s="1" t="n">
        <v>45852</v>
      </c>
      <c r="D3895" t="inlineStr">
        <is>
          <t>VÄSTERNORRLANDS LÄN</t>
        </is>
      </c>
      <c r="E3895" t="inlineStr">
        <is>
          <t>SOLLEFTEÅ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9754-2025</t>
        </is>
      </c>
      <c r="B3896" s="1" t="n">
        <v>45716</v>
      </c>
      <c r="C3896" s="1" t="n">
        <v>45852</v>
      </c>
      <c r="D3896" t="inlineStr">
        <is>
          <t>VÄSTERNORRLANDS LÄN</t>
        </is>
      </c>
      <c r="E3896" t="inlineStr">
        <is>
          <t>SOLLEFTEÅ</t>
        </is>
      </c>
      <c r="F3896" t="inlineStr">
        <is>
          <t>SCA</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9720-2025</t>
        </is>
      </c>
      <c r="B3897" s="1" t="n">
        <v>45716</v>
      </c>
      <c r="C3897" s="1" t="n">
        <v>45852</v>
      </c>
      <c r="D3897" t="inlineStr">
        <is>
          <t>VÄSTERNORRLANDS LÄN</t>
        </is>
      </c>
      <c r="E3897" t="inlineStr">
        <is>
          <t>SOLLEFTEÅ</t>
        </is>
      </c>
      <c r="F3897" t="inlineStr">
        <is>
          <t>SCA</t>
        </is>
      </c>
      <c r="G3897" t="n">
        <v>21.9</v>
      </c>
      <c r="H3897" t="n">
        <v>0</v>
      </c>
      <c r="I3897" t="n">
        <v>0</v>
      </c>
      <c r="J3897" t="n">
        <v>0</v>
      </c>
      <c r="K3897" t="n">
        <v>0</v>
      </c>
      <c r="L3897" t="n">
        <v>0</v>
      </c>
      <c r="M3897" t="n">
        <v>0</v>
      </c>
      <c r="N3897" t="n">
        <v>0</v>
      </c>
      <c r="O3897" t="n">
        <v>0</v>
      </c>
      <c r="P3897" t="n">
        <v>0</v>
      </c>
      <c r="Q3897" t="n">
        <v>0</v>
      </c>
      <c r="R3897" s="2" t="inlineStr"/>
    </row>
    <row r="3898" ht="15" customHeight="1">
      <c r="A3898" t="inlineStr">
        <is>
          <t>A 9834-2025</t>
        </is>
      </c>
      <c r="B3898" s="1" t="n">
        <v>45716</v>
      </c>
      <c r="C3898" s="1" t="n">
        <v>45852</v>
      </c>
      <c r="D3898" t="inlineStr">
        <is>
          <t>VÄSTERNORRLANDS LÄN</t>
        </is>
      </c>
      <c r="E3898" t="inlineStr">
        <is>
          <t>SOLLEFTEÅ</t>
        </is>
      </c>
      <c r="G3898" t="n">
        <v>17.3</v>
      </c>
      <c r="H3898" t="n">
        <v>0</v>
      </c>
      <c r="I3898" t="n">
        <v>0</v>
      </c>
      <c r="J3898" t="n">
        <v>0</v>
      </c>
      <c r="K3898" t="n">
        <v>0</v>
      </c>
      <c r="L3898" t="n">
        <v>0</v>
      </c>
      <c r="M3898" t="n">
        <v>0</v>
      </c>
      <c r="N3898" t="n">
        <v>0</v>
      </c>
      <c r="O3898" t="n">
        <v>0</v>
      </c>
      <c r="P3898" t="n">
        <v>0</v>
      </c>
      <c r="Q3898" t="n">
        <v>0</v>
      </c>
      <c r="R3898" s="2" t="inlineStr"/>
    </row>
    <row r="3899" ht="15" customHeight="1">
      <c r="A3899" t="inlineStr">
        <is>
          <t>A 9708-2025</t>
        </is>
      </c>
      <c r="B3899" s="1" t="n">
        <v>45716</v>
      </c>
      <c r="C3899" s="1" t="n">
        <v>45852</v>
      </c>
      <c r="D3899" t="inlineStr">
        <is>
          <t>VÄSTERNORRLANDS LÄN</t>
        </is>
      </c>
      <c r="E3899" t="inlineStr">
        <is>
          <t>SOLLEFTEÅ</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9967-2025</t>
        </is>
      </c>
      <c r="B3900" s="1" t="n">
        <v>45719</v>
      </c>
      <c r="C3900" s="1" t="n">
        <v>45852</v>
      </c>
      <c r="D3900" t="inlineStr">
        <is>
          <t>VÄSTERNORRLANDS LÄN</t>
        </is>
      </c>
      <c r="E3900" t="inlineStr">
        <is>
          <t>SOLLEFTEÅ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9950-2025</t>
        </is>
      </c>
      <c r="B3901" s="1" t="n">
        <v>45719</v>
      </c>
      <c r="C3901" s="1" t="n">
        <v>45852</v>
      </c>
      <c r="D3901" t="inlineStr">
        <is>
          <t>VÄSTERNORRLANDS LÄN</t>
        </is>
      </c>
      <c r="E3901" t="inlineStr">
        <is>
          <t>SOLLEFTEÅ</t>
        </is>
      </c>
      <c r="F3901" t="inlineStr">
        <is>
          <t>SCA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9966-2025</t>
        </is>
      </c>
      <c r="B3902" s="1" t="n">
        <v>45719</v>
      </c>
      <c r="C3902" s="1" t="n">
        <v>45852</v>
      </c>
      <c r="D3902" t="inlineStr">
        <is>
          <t>VÄSTERNORRLANDS LÄN</t>
        </is>
      </c>
      <c r="E3902" t="inlineStr">
        <is>
          <t>SOLLEFTEÅ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10403-2025</t>
        </is>
      </c>
      <c r="B3903" s="1" t="n">
        <v>45720</v>
      </c>
      <c r="C3903" s="1" t="n">
        <v>45852</v>
      </c>
      <c r="D3903" t="inlineStr">
        <is>
          <t>VÄSTERNORRLANDS LÄN</t>
        </is>
      </c>
      <c r="E3903" t="inlineStr">
        <is>
          <t>SOLLEFTEÅ</t>
        </is>
      </c>
      <c r="F3903" t="inlineStr">
        <is>
          <t>SCA</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10240-2025</t>
        </is>
      </c>
      <c r="B3904" s="1" t="n">
        <v>45720</v>
      </c>
      <c r="C3904" s="1" t="n">
        <v>45852</v>
      </c>
      <c r="D3904" t="inlineStr">
        <is>
          <t>VÄSTERNORRLANDS LÄN</t>
        </is>
      </c>
      <c r="E3904" t="inlineStr">
        <is>
          <t>SOLLEFTEÅ</t>
        </is>
      </c>
      <c r="F3904" t="inlineStr">
        <is>
          <t>SCA</t>
        </is>
      </c>
      <c r="G3904" t="n">
        <v>18.8</v>
      </c>
      <c r="H3904" t="n">
        <v>0</v>
      </c>
      <c r="I3904" t="n">
        <v>0</v>
      </c>
      <c r="J3904" t="n">
        <v>0</v>
      </c>
      <c r="K3904" t="n">
        <v>0</v>
      </c>
      <c r="L3904" t="n">
        <v>0</v>
      </c>
      <c r="M3904" t="n">
        <v>0</v>
      </c>
      <c r="N3904" t="n">
        <v>0</v>
      </c>
      <c r="O3904" t="n">
        <v>0</v>
      </c>
      <c r="P3904" t="n">
        <v>0</v>
      </c>
      <c r="Q3904" t="n">
        <v>0</v>
      </c>
      <c r="R3904" s="2" t="inlineStr"/>
    </row>
    <row r="3905" ht="15" customHeight="1">
      <c r="A3905" t="inlineStr">
        <is>
          <t>A 10437-2025</t>
        </is>
      </c>
      <c r="B3905" s="1" t="n">
        <v>45720</v>
      </c>
      <c r="C3905" s="1" t="n">
        <v>45852</v>
      </c>
      <c r="D3905" t="inlineStr">
        <is>
          <t>VÄSTERNORRLANDS LÄN</t>
        </is>
      </c>
      <c r="E3905" t="inlineStr">
        <is>
          <t>SOLLEFTEÅ</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10438-2025</t>
        </is>
      </c>
      <c r="B3906" s="1" t="n">
        <v>45720</v>
      </c>
      <c r="C3906" s="1" t="n">
        <v>45852</v>
      </c>
      <c r="D3906" t="inlineStr">
        <is>
          <t>VÄSTERNORRLANDS LÄN</t>
        </is>
      </c>
      <c r="E3906" t="inlineStr">
        <is>
          <t>SOLLEFTEÅ</t>
        </is>
      </c>
      <c r="F3906" t="inlineStr">
        <is>
          <t>SCA</t>
        </is>
      </c>
      <c r="G3906" t="n">
        <v>14.6</v>
      </c>
      <c r="H3906" t="n">
        <v>0</v>
      </c>
      <c r="I3906" t="n">
        <v>0</v>
      </c>
      <c r="J3906" t="n">
        <v>0</v>
      </c>
      <c r="K3906" t="n">
        <v>0</v>
      </c>
      <c r="L3906" t="n">
        <v>0</v>
      </c>
      <c r="M3906" t="n">
        <v>0</v>
      </c>
      <c r="N3906" t="n">
        <v>0</v>
      </c>
      <c r="O3906" t="n">
        <v>0</v>
      </c>
      <c r="P3906" t="n">
        <v>0</v>
      </c>
      <c r="Q3906" t="n">
        <v>0</v>
      </c>
      <c r="R3906" s="2" t="inlineStr"/>
    </row>
    <row r="3907" ht="15" customHeight="1">
      <c r="A3907" t="inlineStr">
        <is>
          <t>A 10237-2025</t>
        </is>
      </c>
      <c r="B3907" s="1" t="n">
        <v>45720</v>
      </c>
      <c r="C3907" s="1" t="n">
        <v>45852</v>
      </c>
      <c r="D3907" t="inlineStr">
        <is>
          <t>VÄSTERNORRLANDS LÄN</t>
        </is>
      </c>
      <c r="E3907" t="inlineStr">
        <is>
          <t>SOLLEFTEÅ</t>
        </is>
      </c>
      <c r="F3907" t="inlineStr">
        <is>
          <t>SCA</t>
        </is>
      </c>
      <c r="G3907" t="n">
        <v>13.5</v>
      </c>
      <c r="H3907" t="n">
        <v>0</v>
      </c>
      <c r="I3907" t="n">
        <v>0</v>
      </c>
      <c r="J3907" t="n">
        <v>0</v>
      </c>
      <c r="K3907" t="n">
        <v>0</v>
      </c>
      <c r="L3907" t="n">
        <v>0</v>
      </c>
      <c r="M3907" t="n">
        <v>0</v>
      </c>
      <c r="N3907" t="n">
        <v>0</v>
      </c>
      <c r="O3907" t="n">
        <v>0</v>
      </c>
      <c r="P3907" t="n">
        <v>0</v>
      </c>
      <c r="Q3907" t="n">
        <v>0</v>
      </c>
      <c r="R3907" s="2" t="inlineStr"/>
    </row>
    <row r="3908" ht="15" customHeight="1">
      <c r="A3908" t="inlineStr">
        <is>
          <t>A 10726-2025</t>
        </is>
      </c>
      <c r="B3908" s="1" t="n">
        <v>45722</v>
      </c>
      <c r="C3908" s="1" t="n">
        <v>45852</v>
      </c>
      <c r="D3908" t="inlineStr">
        <is>
          <t>VÄSTERNORRLANDS LÄN</t>
        </is>
      </c>
      <c r="E3908" t="inlineStr">
        <is>
          <t>SOLLEFTEÅ</t>
        </is>
      </c>
      <c r="F3908" t="inlineStr">
        <is>
          <t>SCA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10737-2025</t>
        </is>
      </c>
      <c r="B3909" s="1" t="n">
        <v>45722</v>
      </c>
      <c r="C3909" s="1" t="n">
        <v>45852</v>
      </c>
      <c r="D3909" t="inlineStr">
        <is>
          <t>VÄSTERNORRLANDS LÄN</t>
        </is>
      </c>
      <c r="E3909" t="inlineStr">
        <is>
          <t>SOLLEFTEÅ</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10738-2025</t>
        </is>
      </c>
      <c r="B3910" s="1" t="n">
        <v>45722</v>
      </c>
      <c r="C3910" s="1" t="n">
        <v>45852</v>
      </c>
      <c r="D3910" t="inlineStr">
        <is>
          <t>VÄSTERNORRLANDS LÄN</t>
        </is>
      </c>
      <c r="E3910" t="inlineStr">
        <is>
          <t>SOLLEFTEÅ</t>
        </is>
      </c>
      <c r="F3910" t="inlineStr">
        <is>
          <t>SCA</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10725-2025</t>
        </is>
      </c>
      <c r="B3911" s="1" t="n">
        <v>45722</v>
      </c>
      <c r="C3911" s="1" t="n">
        <v>45852</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10865-2025</t>
        </is>
      </c>
      <c r="B3912" s="1" t="n">
        <v>45722</v>
      </c>
      <c r="C3912" s="1" t="n">
        <v>45852</v>
      </c>
      <c r="D3912" t="inlineStr">
        <is>
          <t>VÄSTERNORRLANDS LÄN</t>
        </is>
      </c>
      <c r="E3912" t="inlineStr">
        <is>
          <t>SOLLEFTEÅ</t>
        </is>
      </c>
      <c r="F3912" t="inlineStr">
        <is>
          <t>SCA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10970-2025</t>
        </is>
      </c>
      <c r="B3913" s="1" t="n">
        <v>45723</v>
      </c>
      <c r="C3913" s="1" t="n">
        <v>45852</v>
      </c>
      <c r="D3913" t="inlineStr">
        <is>
          <t>VÄSTERNORRLANDS LÄN</t>
        </is>
      </c>
      <c r="E3913" t="inlineStr">
        <is>
          <t>SOLLEFTEÅ</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11026-2025</t>
        </is>
      </c>
      <c r="B3914" s="1" t="n">
        <v>45723</v>
      </c>
      <c r="C3914" s="1" t="n">
        <v>45852</v>
      </c>
      <c r="D3914" t="inlineStr">
        <is>
          <t>VÄSTERNORRLANDS LÄN</t>
        </is>
      </c>
      <c r="E3914" t="inlineStr">
        <is>
          <t>SOLLEFTEÅ</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11108-2025</t>
        </is>
      </c>
      <c r="B3915" s="1" t="n">
        <v>45723</v>
      </c>
      <c r="C3915" s="1" t="n">
        <v>45852</v>
      </c>
      <c r="D3915" t="inlineStr">
        <is>
          <t>VÄSTERNORRLANDS LÄN</t>
        </is>
      </c>
      <c r="E3915" t="inlineStr">
        <is>
          <t>SOLLEFTEÅ</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11134-2025</t>
        </is>
      </c>
      <c r="B3916" s="1" t="n">
        <v>45723</v>
      </c>
      <c r="C3916" s="1" t="n">
        <v>45852</v>
      </c>
      <c r="D3916" t="inlineStr">
        <is>
          <t>VÄSTERNORRLANDS LÄN</t>
        </is>
      </c>
      <c r="E3916" t="inlineStr">
        <is>
          <t>SOLLEFTEÅ</t>
        </is>
      </c>
      <c r="F3916" t="inlineStr">
        <is>
          <t>SCA</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10950-2025</t>
        </is>
      </c>
      <c r="B3917" s="1" t="n">
        <v>45723</v>
      </c>
      <c r="C3917" s="1" t="n">
        <v>45852</v>
      </c>
      <c r="D3917" t="inlineStr">
        <is>
          <t>VÄSTERNORRLANDS LÄN</t>
        </is>
      </c>
      <c r="E3917" t="inlineStr">
        <is>
          <t>SOLLEFTEÅ</t>
        </is>
      </c>
      <c r="F3917" t="inlineStr">
        <is>
          <t>SCA</t>
        </is>
      </c>
      <c r="G3917" t="n">
        <v>32.3</v>
      </c>
      <c r="H3917" t="n">
        <v>0</v>
      </c>
      <c r="I3917" t="n">
        <v>0</v>
      </c>
      <c r="J3917" t="n">
        <v>0</v>
      </c>
      <c r="K3917" t="n">
        <v>0</v>
      </c>
      <c r="L3917" t="n">
        <v>0</v>
      </c>
      <c r="M3917" t="n">
        <v>0</v>
      </c>
      <c r="N3917" t="n">
        <v>0</v>
      </c>
      <c r="O3917" t="n">
        <v>0</v>
      </c>
      <c r="P3917" t="n">
        <v>0</v>
      </c>
      <c r="Q3917" t="n">
        <v>0</v>
      </c>
      <c r="R3917" s="2" t="inlineStr"/>
    </row>
    <row r="3918" ht="15" customHeight="1">
      <c r="A3918" t="inlineStr">
        <is>
          <t>A 10983-2025</t>
        </is>
      </c>
      <c r="B3918" s="1" t="n">
        <v>45723</v>
      </c>
      <c r="C3918" s="1" t="n">
        <v>45852</v>
      </c>
      <c r="D3918" t="inlineStr">
        <is>
          <t>VÄSTERNORRLANDS LÄN</t>
        </is>
      </c>
      <c r="E3918" t="inlineStr">
        <is>
          <t>SOLLEFTEÅ</t>
        </is>
      </c>
      <c r="F3918" t="inlineStr">
        <is>
          <t>SCA</t>
        </is>
      </c>
      <c r="G3918" t="n">
        <v>16.8</v>
      </c>
      <c r="H3918" t="n">
        <v>0</v>
      </c>
      <c r="I3918" t="n">
        <v>0</v>
      </c>
      <c r="J3918" t="n">
        <v>0</v>
      </c>
      <c r="K3918" t="n">
        <v>0</v>
      </c>
      <c r="L3918" t="n">
        <v>0</v>
      </c>
      <c r="M3918" t="n">
        <v>0</v>
      </c>
      <c r="N3918" t="n">
        <v>0</v>
      </c>
      <c r="O3918" t="n">
        <v>0</v>
      </c>
      <c r="P3918" t="n">
        <v>0</v>
      </c>
      <c r="Q3918" t="n">
        <v>0</v>
      </c>
      <c r="R3918" s="2" t="inlineStr"/>
    </row>
    <row r="3919" ht="15" customHeight="1">
      <c r="A3919" t="inlineStr">
        <is>
          <t>A 10981-2025</t>
        </is>
      </c>
      <c r="B3919" s="1" t="n">
        <v>45723</v>
      </c>
      <c r="C3919" s="1" t="n">
        <v>45852</v>
      </c>
      <c r="D3919" t="inlineStr">
        <is>
          <t>VÄSTERNORRLANDS LÄN</t>
        </is>
      </c>
      <c r="E3919" t="inlineStr">
        <is>
          <t>SOLLEFTEÅ</t>
        </is>
      </c>
      <c r="F3919" t="inlineStr">
        <is>
          <t>SCA</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11057-2025</t>
        </is>
      </c>
      <c r="B3920" s="1" t="n">
        <v>45723</v>
      </c>
      <c r="C3920" s="1" t="n">
        <v>45852</v>
      </c>
      <c r="D3920" t="inlineStr">
        <is>
          <t>VÄSTERNORRLANDS LÄN</t>
        </is>
      </c>
      <c r="E3920" t="inlineStr">
        <is>
          <t>SOLLEFTEÅ</t>
        </is>
      </c>
      <c r="F3920" t="inlineStr">
        <is>
          <t>SCA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10968-2025</t>
        </is>
      </c>
      <c r="B3921" s="1" t="n">
        <v>45723</v>
      </c>
      <c r="C3921" s="1" t="n">
        <v>45852</v>
      </c>
      <c r="D3921" t="inlineStr">
        <is>
          <t>VÄSTERNORRLANDS LÄN</t>
        </is>
      </c>
      <c r="E3921" t="inlineStr">
        <is>
          <t>SOLLEFTEÅ</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10967-2025</t>
        </is>
      </c>
      <c r="B3922" s="1" t="n">
        <v>45723</v>
      </c>
      <c r="C3922" s="1" t="n">
        <v>45852</v>
      </c>
      <c r="D3922" t="inlineStr">
        <is>
          <t>VÄSTERNORRLANDS LÄN</t>
        </is>
      </c>
      <c r="E3922" t="inlineStr">
        <is>
          <t>SOLLEFTEÅ</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10971-2025</t>
        </is>
      </c>
      <c r="B3923" s="1" t="n">
        <v>45723</v>
      </c>
      <c r="C3923" s="1" t="n">
        <v>45852</v>
      </c>
      <c r="D3923" t="inlineStr">
        <is>
          <t>VÄSTERNORRLANDS LÄN</t>
        </is>
      </c>
      <c r="E3923" t="inlineStr">
        <is>
          <t>SOLLEFTEÅ</t>
        </is>
      </c>
      <c r="F3923" t="inlineStr">
        <is>
          <t>SCA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11338-2025</t>
        </is>
      </c>
      <c r="B3924" s="1" t="n">
        <v>45726</v>
      </c>
      <c r="C3924" s="1" t="n">
        <v>45852</v>
      </c>
      <c r="D3924" t="inlineStr">
        <is>
          <t>VÄSTERNORRLANDS LÄN</t>
        </is>
      </c>
      <c r="E3924" t="inlineStr">
        <is>
          <t>SOLLEFTEÅ</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11449-2025</t>
        </is>
      </c>
      <c r="B3925" s="1" t="n">
        <v>45726</v>
      </c>
      <c r="C3925" s="1" t="n">
        <v>45852</v>
      </c>
      <c r="D3925" t="inlineStr">
        <is>
          <t>VÄSTERNORRLANDS LÄN</t>
        </is>
      </c>
      <c r="E3925" t="inlineStr">
        <is>
          <t>SOLLEFTEÅ</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11455-2025</t>
        </is>
      </c>
      <c r="B3926" s="1" t="n">
        <v>45726</v>
      </c>
      <c r="C3926" s="1" t="n">
        <v>45852</v>
      </c>
      <c r="D3926" t="inlineStr">
        <is>
          <t>VÄSTERNORRLANDS LÄN</t>
        </is>
      </c>
      <c r="E3926" t="inlineStr">
        <is>
          <t>SOLLEFTEÅ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11697-2025</t>
        </is>
      </c>
      <c r="B3927" s="1" t="n">
        <v>45727</v>
      </c>
      <c r="C3927" s="1" t="n">
        <v>45852</v>
      </c>
      <c r="D3927" t="inlineStr">
        <is>
          <t>VÄSTERNORRLANDS LÄN</t>
        </is>
      </c>
      <c r="E3927" t="inlineStr">
        <is>
          <t>SOLLEFTEÅ</t>
        </is>
      </c>
      <c r="F3927" t="inlineStr">
        <is>
          <t>SCA</t>
        </is>
      </c>
      <c r="G3927" t="n">
        <v>26.6</v>
      </c>
      <c r="H3927" t="n">
        <v>0</v>
      </c>
      <c r="I3927" t="n">
        <v>0</v>
      </c>
      <c r="J3927" t="n">
        <v>0</v>
      </c>
      <c r="K3927" t="n">
        <v>0</v>
      </c>
      <c r="L3927" t="n">
        <v>0</v>
      </c>
      <c r="M3927" t="n">
        <v>0</v>
      </c>
      <c r="N3927" t="n">
        <v>0</v>
      </c>
      <c r="O3927" t="n">
        <v>0</v>
      </c>
      <c r="P3927" t="n">
        <v>0</v>
      </c>
      <c r="Q3927" t="n">
        <v>0</v>
      </c>
      <c r="R3927" s="2" t="inlineStr"/>
    </row>
    <row r="3928" ht="15" customHeight="1">
      <c r="A3928" t="inlineStr">
        <is>
          <t>A 11698-2025</t>
        </is>
      </c>
      <c r="B3928" s="1" t="n">
        <v>45727</v>
      </c>
      <c r="C3928" s="1" t="n">
        <v>45852</v>
      </c>
      <c r="D3928" t="inlineStr">
        <is>
          <t>VÄSTERNORRLANDS LÄN</t>
        </is>
      </c>
      <c r="E3928" t="inlineStr">
        <is>
          <t>SOLLEFTEÅ</t>
        </is>
      </c>
      <c r="F3928" t="inlineStr">
        <is>
          <t>SCA</t>
        </is>
      </c>
      <c r="G3928" t="n">
        <v>12.5</v>
      </c>
      <c r="H3928" t="n">
        <v>0</v>
      </c>
      <c r="I3928" t="n">
        <v>0</v>
      </c>
      <c r="J3928" t="n">
        <v>0</v>
      </c>
      <c r="K3928" t="n">
        <v>0</v>
      </c>
      <c r="L3928" t="n">
        <v>0</v>
      </c>
      <c r="M3928" t="n">
        <v>0</v>
      </c>
      <c r="N3928" t="n">
        <v>0</v>
      </c>
      <c r="O3928" t="n">
        <v>0</v>
      </c>
      <c r="P3928" t="n">
        <v>0</v>
      </c>
      <c r="Q3928" t="n">
        <v>0</v>
      </c>
      <c r="R3928" s="2" t="inlineStr"/>
    </row>
    <row r="3929" ht="15" customHeight="1">
      <c r="A3929" t="inlineStr">
        <is>
          <t>A 11711-2025</t>
        </is>
      </c>
      <c r="B3929" s="1" t="n">
        <v>45727</v>
      </c>
      <c r="C3929" s="1" t="n">
        <v>45852</v>
      </c>
      <c r="D3929" t="inlineStr">
        <is>
          <t>VÄSTERNORRLANDS LÄN</t>
        </is>
      </c>
      <c r="E3929" t="inlineStr">
        <is>
          <t>SOLLEFTEÅ</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11746-2025</t>
        </is>
      </c>
      <c r="B3930" s="1" t="n">
        <v>45727</v>
      </c>
      <c r="C3930" s="1" t="n">
        <v>45852</v>
      </c>
      <c r="D3930" t="inlineStr">
        <is>
          <t>VÄSTERNORRLANDS LÄN</t>
        </is>
      </c>
      <c r="E3930" t="inlineStr">
        <is>
          <t>SOLLEFTEÅ</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11727-2025</t>
        </is>
      </c>
      <c r="B3931" s="1" t="n">
        <v>45727</v>
      </c>
      <c r="C3931" s="1" t="n">
        <v>45852</v>
      </c>
      <c r="D3931" t="inlineStr">
        <is>
          <t>VÄSTERNORRLANDS LÄN</t>
        </is>
      </c>
      <c r="E3931" t="inlineStr">
        <is>
          <t>SOLLEFTEÅ</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12063-2025</t>
        </is>
      </c>
      <c r="B3932" s="1" t="n">
        <v>45728</v>
      </c>
      <c r="C3932" s="1" t="n">
        <v>45852</v>
      </c>
      <c r="D3932" t="inlineStr">
        <is>
          <t>VÄSTERNORRLANDS LÄN</t>
        </is>
      </c>
      <c r="E3932" t="inlineStr">
        <is>
          <t>SOLLEFTEÅ</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11982-2025</t>
        </is>
      </c>
      <c r="B3933" s="1" t="n">
        <v>45728</v>
      </c>
      <c r="C3933" s="1" t="n">
        <v>45852</v>
      </c>
      <c r="D3933" t="inlineStr">
        <is>
          <t>VÄSTERNORRLANDS LÄN</t>
        </is>
      </c>
      <c r="E3933" t="inlineStr">
        <is>
          <t>SOLLEFTEÅ</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12061-2025</t>
        </is>
      </c>
      <c r="B3934" s="1" t="n">
        <v>45728</v>
      </c>
      <c r="C3934" s="1" t="n">
        <v>45852</v>
      </c>
      <c r="D3934" t="inlineStr">
        <is>
          <t>VÄSTERNORRLANDS LÄN</t>
        </is>
      </c>
      <c r="E3934" t="inlineStr">
        <is>
          <t>SOLLEFTEÅ</t>
        </is>
      </c>
      <c r="F3934" t="inlineStr">
        <is>
          <t>SCA</t>
        </is>
      </c>
      <c r="G3934" t="n">
        <v>10.7</v>
      </c>
      <c r="H3934" t="n">
        <v>0</v>
      </c>
      <c r="I3934" t="n">
        <v>0</v>
      </c>
      <c r="J3934" t="n">
        <v>0</v>
      </c>
      <c r="K3934" t="n">
        <v>0</v>
      </c>
      <c r="L3934" t="n">
        <v>0</v>
      </c>
      <c r="M3934" t="n">
        <v>0</v>
      </c>
      <c r="N3934" t="n">
        <v>0</v>
      </c>
      <c r="O3934" t="n">
        <v>0</v>
      </c>
      <c r="P3934" t="n">
        <v>0</v>
      </c>
      <c r="Q3934" t="n">
        <v>0</v>
      </c>
      <c r="R3934" s="2" t="inlineStr"/>
    </row>
    <row r="3935" ht="15" customHeight="1">
      <c r="A3935" t="inlineStr">
        <is>
          <t>A 12064-2025</t>
        </is>
      </c>
      <c r="B3935" s="1" t="n">
        <v>45728</v>
      </c>
      <c r="C3935" s="1" t="n">
        <v>45852</v>
      </c>
      <c r="D3935" t="inlineStr">
        <is>
          <t>VÄSTERNORRLANDS LÄN</t>
        </is>
      </c>
      <c r="E3935" t="inlineStr">
        <is>
          <t>SOLLEFTEÅ</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12062-2025</t>
        </is>
      </c>
      <c r="B3936" s="1" t="n">
        <v>45728</v>
      </c>
      <c r="C3936" s="1" t="n">
        <v>45852</v>
      </c>
      <c r="D3936" t="inlineStr">
        <is>
          <t>VÄSTERNORRLANDS LÄN</t>
        </is>
      </c>
      <c r="E3936" t="inlineStr">
        <is>
          <t>SOLLEFTEÅ</t>
        </is>
      </c>
      <c r="F3936" t="inlineStr">
        <is>
          <t>SCA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12361-2025</t>
        </is>
      </c>
      <c r="B3937" s="1" t="n">
        <v>45730</v>
      </c>
      <c r="C3937" s="1" t="n">
        <v>45852</v>
      </c>
      <c r="D3937" t="inlineStr">
        <is>
          <t>VÄSTERNORRLANDS LÄN</t>
        </is>
      </c>
      <c r="E3937" t="inlineStr">
        <is>
          <t>SOLLEFTEÅ</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12384-2025</t>
        </is>
      </c>
      <c r="B3938" s="1" t="n">
        <v>45730</v>
      </c>
      <c r="C3938" s="1" t="n">
        <v>45852</v>
      </c>
      <c r="D3938" t="inlineStr">
        <is>
          <t>VÄSTERNORRLANDS LÄN</t>
        </is>
      </c>
      <c r="E3938" t="inlineStr">
        <is>
          <t>SOLLEFTEÅ</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12461-2025</t>
        </is>
      </c>
      <c r="B3939" s="1" t="n">
        <v>45730</v>
      </c>
      <c r="C3939" s="1" t="n">
        <v>45852</v>
      </c>
      <c r="D3939" t="inlineStr">
        <is>
          <t>VÄSTERNORRLANDS LÄN</t>
        </is>
      </c>
      <c r="E3939" t="inlineStr">
        <is>
          <t>SOLLEFTEÅ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12355-2025</t>
        </is>
      </c>
      <c r="B3940" s="1" t="n">
        <v>45730</v>
      </c>
      <c r="C3940" s="1" t="n">
        <v>45852</v>
      </c>
      <c r="D3940" t="inlineStr">
        <is>
          <t>VÄSTERNORRLANDS LÄN</t>
        </is>
      </c>
      <c r="E3940" t="inlineStr">
        <is>
          <t>SOLLEFTEÅ</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12379-2025</t>
        </is>
      </c>
      <c r="B3941" s="1" t="n">
        <v>45730</v>
      </c>
      <c r="C3941" s="1" t="n">
        <v>45852</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12632-2025</t>
        </is>
      </c>
      <c r="B3942" s="1" t="n">
        <v>45733</v>
      </c>
      <c r="C3942" s="1" t="n">
        <v>45852</v>
      </c>
      <c r="D3942" t="inlineStr">
        <is>
          <t>VÄSTERNORRLANDS LÄN</t>
        </is>
      </c>
      <c r="E3942" t="inlineStr">
        <is>
          <t>SOLLEFTEÅ</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12683-2025</t>
        </is>
      </c>
      <c r="B3943" s="1" t="n">
        <v>45733</v>
      </c>
      <c r="C3943" s="1" t="n">
        <v>45852</v>
      </c>
      <c r="D3943" t="inlineStr">
        <is>
          <t>VÄSTERNORRLANDS LÄN</t>
        </is>
      </c>
      <c r="E3943" t="inlineStr">
        <is>
          <t>SOLLEFTEÅ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12706-2025</t>
        </is>
      </c>
      <c r="B3944" s="1" t="n">
        <v>45733</v>
      </c>
      <c r="C3944" s="1" t="n">
        <v>45852</v>
      </c>
      <c r="D3944" t="inlineStr">
        <is>
          <t>VÄSTERNORRLANDS LÄN</t>
        </is>
      </c>
      <c r="E3944" t="inlineStr">
        <is>
          <t>SOLLEFTEÅ</t>
        </is>
      </c>
      <c r="F3944" t="inlineStr">
        <is>
          <t>SCA</t>
        </is>
      </c>
      <c r="G3944" t="n">
        <v>21.7</v>
      </c>
      <c r="H3944" t="n">
        <v>0</v>
      </c>
      <c r="I3944" t="n">
        <v>0</v>
      </c>
      <c r="J3944" t="n">
        <v>0</v>
      </c>
      <c r="K3944" t="n">
        <v>0</v>
      </c>
      <c r="L3944" t="n">
        <v>0</v>
      </c>
      <c r="M3944" t="n">
        <v>0</v>
      </c>
      <c r="N3944" t="n">
        <v>0</v>
      </c>
      <c r="O3944" t="n">
        <v>0</v>
      </c>
      <c r="P3944" t="n">
        <v>0</v>
      </c>
      <c r="Q3944" t="n">
        <v>0</v>
      </c>
      <c r="R3944" s="2" t="inlineStr"/>
    </row>
    <row r="3945" ht="15" customHeight="1">
      <c r="A3945" t="inlineStr">
        <is>
          <t>A 12614-2025</t>
        </is>
      </c>
      <c r="B3945" s="1" t="n">
        <v>45733</v>
      </c>
      <c r="C3945" s="1" t="n">
        <v>45852</v>
      </c>
      <c r="D3945" t="inlineStr">
        <is>
          <t>VÄSTERNORRLANDS LÄN</t>
        </is>
      </c>
      <c r="E3945" t="inlineStr">
        <is>
          <t>SOLLEFTEÅ</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12644-2025</t>
        </is>
      </c>
      <c r="B3946" s="1" t="n">
        <v>45733</v>
      </c>
      <c r="C3946" s="1" t="n">
        <v>45852</v>
      </c>
      <c r="D3946" t="inlineStr">
        <is>
          <t>VÄSTERNORRLANDS LÄN</t>
        </is>
      </c>
      <c r="E3946" t="inlineStr">
        <is>
          <t>SOLLEFTEÅ</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12730-2025</t>
        </is>
      </c>
      <c r="B3947" s="1" t="n">
        <v>45733</v>
      </c>
      <c r="C3947" s="1" t="n">
        <v>45852</v>
      </c>
      <c r="D3947" t="inlineStr">
        <is>
          <t>VÄSTERNORRLANDS LÄN</t>
        </is>
      </c>
      <c r="E3947" t="inlineStr">
        <is>
          <t>SOLLEFTEÅ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12673-2025</t>
        </is>
      </c>
      <c r="B3948" s="1" t="n">
        <v>45733</v>
      </c>
      <c r="C3948" s="1" t="n">
        <v>45852</v>
      </c>
      <c r="D3948" t="inlineStr">
        <is>
          <t>VÄSTERNORRLANDS LÄN</t>
        </is>
      </c>
      <c r="E3948" t="inlineStr">
        <is>
          <t>SOLLEFTEÅ</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12834-2025</t>
        </is>
      </c>
      <c r="B3949" s="1" t="n">
        <v>45733</v>
      </c>
      <c r="C3949" s="1" t="n">
        <v>45852</v>
      </c>
      <c r="D3949" t="inlineStr">
        <is>
          <t>VÄSTERNORRLANDS LÄN</t>
        </is>
      </c>
      <c r="E3949" t="inlineStr">
        <is>
          <t>SOLLEFTEÅ</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12627-2025</t>
        </is>
      </c>
      <c r="B3950" s="1" t="n">
        <v>45733</v>
      </c>
      <c r="C3950" s="1" t="n">
        <v>45852</v>
      </c>
      <c r="D3950" t="inlineStr">
        <is>
          <t>VÄSTERNORRLANDS LÄN</t>
        </is>
      </c>
      <c r="E3950" t="inlineStr">
        <is>
          <t>SOLLEFTEÅ</t>
        </is>
      </c>
      <c r="G3950" t="n">
        <v>12.9</v>
      </c>
      <c r="H3950" t="n">
        <v>0</v>
      </c>
      <c r="I3950" t="n">
        <v>0</v>
      </c>
      <c r="J3950" t="n">
        <v>0</v>
      </c>
      <c r="K3950" t="n">
        <v>0</v>
      </c>
      <c r="L3950" t="n">
        <v>0</v>
      </c>
      <c r="M3950" t="n">
        <v>0</v>
      </c>
      <c r="N3950" t="n">
        <v>0</v>
      </c>
      <c r="O3950" t="n">
        <v>0</v>
      </c>
      <c r="P3950" t="n">
        <v>0</v>
      </c>
      <c r="Q3950" t="n">
        <v>0</v>
      </c>
      <c r="R3950" s="2" t="inlineStr"/>
    </row>
    <row r="3951" ht="15" customHeight="1">
      <c r="A3951" t="inlineStr">
        <is>
          <t>A 12617-2025</t>
        </is>
      </c>
      <c r="B3951" s="1" t="n">
        <v>45733</v>
      </c>
      <c r="C3951" s="1" t="n">
        <v>45852</v>
      </c>
      <c r="D3951" t="inlineStr">
        <is>
          <t>VÄSTERNORRLANDS LÄN</t>
        </is>
      </c>
      <c r="E3951" t="inlineStr">
        <is>
          <t>SOLLEFTEÅ</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13070-2025</t>
        </is>
      </c>
      <c r="B3952" s="1" t="n">
        <v>45734</v>
      </c>
      <c r="C3952" s="1" t="n">
        <v>45852</v>
      </c>
      <c r="D3952" t="inlineStr">
        <is>
          <t>VÄSTERNORRLANDS LÄN</t>
        </is>
      </c>
      <c r="E3952" t="inlineStr">
        <is>
          <t>SOLLEFTEÅ</t>
        </is>
      </c>
      <c r="F3952" t="inlineStr">
        <is>
          <t>SCA</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12941-2025</t>
        </is>
      </c>
      <c r="B3953" s="1" t="n">
        <v>45734</v>
      </c>
      <c r="C3953" s="1" t="n">
        <v>45852</v>
      </c>
      <c r="D3953" t="inlineStr">
        <is>
          <t>VÄSTERNORRLANDS LÄN</t>
        </is>
      </c>
      <c r="E3953" t="inlineStr">
        <is>
          <t>SOLLEFTEÅ</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12965-2025</t>
        </is>
      </c>
      <c r="B3954" s="1" t="n">
        <v>45734</v>
      </c>
      <c r="C3954" s="1" t="n">
        <v>45852</v>
      </c>
      <c r="D3954" t="inlineStr">
        <is>
          <t>VÄSTERNORRLANDS LÄN</t>
        </is>
      </c>
      <c r="E3954" t="inlineStr">
        <is>
          <t>SOLLEFTEÅ</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12946-2025</t>
        </is>
      </c>
      <c r="B3955" s="1" t="n">
        <v>45734</v>
      </c>
      <c r="C3955" s="1" t="n">
        <v>45852</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13257-2025</t>
        </is>
      </c>
      <c r="B3956" s="1" t="n">
        <v>45735</v>
      </c>
      <c r="C3956" s="1" t="n">
        <v>45852</v>
      </c>
      <c r="D3956" t="inlineStr">
        <is>
          <t>VÄSTERNORRLANDS LÄN</t>
        </is>
      </c>
      <c r="E3956" t="inlineStr">
        <is>
          <t>SOLLEFTEÅ</t>
        </is>
      </c>
      <c r="F3956" t="inlineStr">
        <is>
          <t>SCA</t>
        </is>
      </c>
      <c r="G3956" t="n">
        <v>15.3</v>
      </c>
      <c r="H3956" t="n">
        <v>0</v>
      </c>
      <c r="I3956" t="n">
        <v>0</v>
      </c>
      <c r="J3956" t="n">
        <v>0</v>
      </c>
      <c r="K3956" t="n">
        <v>0</v>
      </c>
      <c r="L3956" t="n">
        <v>0</v>
      </c>
      <c r="M3956" t="n">
        <v>0</v>
      </c>
      <c r="N3956" t="n">
        <v>0</v>
      </c>
      <c r="O3956" t="n">
        <v>0</v>
      </c>
      <c r="P3956" t="n">
        <v>0</v>
      </c>
      <c r="Q3956" t="n">
        <v>0</v>
      </c>
      <c r="R3956" s="2" t="inlineStr"/>
    </row>
    <row r="3957" ht="15" customHeight="1">
      <c r="A3957" t="inlineStr">
        <is>
          <t>A 13151-2025</t>
        </is>
      </c>
      <c r="B3957" s="1" t="n">
        <v>45735</v>
      </c>
      <c r="C3957" s="1" t="n">
        <v>45852</v>
      </c>
      <c r="D3957" t="inlineStr">
        <is>
          <t>VÄSTERNORRLANDS LÄN</t>
        </is>
      </c>
      <c r="E3957" t="inlineStr">
        <is>
          <t>SOLLEFTEÅ</t>
        </is>
      </c>
      <c r="F3957" t="inlineStr">
        <is>
          <t>SCA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13215-2025</t>
        </is>
      </c>
      <c r="B3958" s="1" t="n">
        <v>45735</v>
      </c>
      <c r="C3958" s="1" t="n">
        <v>45852</v>
      </c>
      <c r="D3958" t="inlineStr">
        <is>
          <t>VÄSTERNORRLANDS LÄN</t>
        </is>
      </c>
      <c r="E3958" t="inlineStr">
        <is>
          <t>SOLLEFTEÅ</t>
        </is>
      </c>
      <c r="F3958" t="inlineStr">
        <is>
          <t>SCA</t>
        </is>
      </c>
      <c r="G3958" t="n">
        <v>13.5</v>
      </c>
      <c r="H3958" t="n">
        <v>0</v>
      </c>
      <c r="I3958" t="n">
        <v>0</v>
      </c>
      <c r="J3958" t="n">
        <v>0</v>
      </c>
      <c r="K3958" t="n">
        <v>0</v>
      </c>
      <c r="L3958" t="n">
        <v>0</v>
      </c>
      <c r="M3958" t="n">
        <v>0</v>
      </c>
      <c r="N3958" t="n">
        <v>0</v>
      </c>
      <c r="O3958" t="n">
        <v>0</v>
      </c>
      <c r="P3958" t="n">
        <v>0</v>
      </c>
      <c r="Q3958" t="n">
        <v>0</v>
      </c>
      <c r="R3958" s="2" t="inlineStr"/>
    </row>
    <row r="3959" ht="15" customHeight="1">
      <c r="A3959" t="inlineStr">
        <is>
          <t>A 13315-2025</t>
        </is>
      </c>
      <c r="B3959" s="1" t="n">
        <v>45735</v>
      </c>
      <c r="C3959" s="1" t="n">
        <v>45852</v>
      </c>
      <c r="D3959" t="inlineStr">
        <is>
          <t>VÄSTERNORRLANDS LÄN</t>
        </is>
      </c>
      <c r="E3959" t="inlineStr">
        <is>
          <t>SOLLEFTEÅ</t>
        </is>
      </c>
      <c r="F3959" t="inlineStr">
        <is>
          <t>SCA</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13366-2025</t>
        </is>
      </c>
      <c r="B3960" s="1" t="n">
        <v>45735</v>
      </c>
      <c r="C3960" s="1" t="n">
        <v>45852</v>
      </c>
      <c r="D3960" t="inlineStr">
        <is>
          <t>VÄSTERNORRLANDS LÄN</t>
        </is>
      </c>
      <c r="E3960" t="inlineStr">
        <is>
          <t>SOLLEFTEÅ</t>
        </is>
      </c>
      <c r="F3960" t="inlineStr">
        <is>
          <t>SCA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13363-2025</t>
        </is>
      </c>
      <c r="B3961" s="1" t="n">
        <v>45735</v>
      </c>
      <c r="C3961" s="1" t="n">
        <v>45852</v>
      </c>
      <c r="D3961" t="inlineStr">
        <is>
          <t>VÄSTERNORRLANDS LÄN</t>
        </is>
      </c>
      <c r="E3961" t="inlineStr">
        <is>
          <t>SOLLEFTEÅ</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13150-2025</t>
        </is>
      </c>
      <c r="B3962" s="1" t="n">
        <v>45735</v>
      </c>
      <c r="C3962" s="1" t="n">
        <v>45852</v>
      </c>
      <c r="D3962" t="inlineStr">
        <is>
          <t>VÄSTERNORRLANDS LÄN</t>
        </is>
      </c>
      <c r="E3962" t="inlineStr">
        <is>
          <t>SOLLEFTEÅ</t>
        </is>
      </c>
      <c r="F3962" t="inlineStr">
        <is>
          <t>SCA</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13217-2025</t>
        </is>
      </c>
      <c r="B3963" s="1" t="n">
        <v>45735</v>
      </c>
      <c r="C3963" s="1" t="n">
        <v>45852</v>
      </c>
      <c r="D3963" t="inlineStr">
        <is>
          <t>VÄSTERNORRLANDS LÄN</t>
        </is>
      </c>
      <c r="E3963" t="inlineStr">
        <is>
          <t>SOLLEFTEÅ</t>
        </is>
      </c>
      <c r="F3963" t="inlineStr">
        <is>
          <t>SCA</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13584-2025</t>
        </is>
      </c>
      <c r="B3964" s="1" t="n">
        <v>45736</v>
      </c>
      <c r="C3964" s="1" t="n">
        <v>45852</v>
      </c>
      <c r="D3964" t="inlineStr">
        <is>
          <t>VÄSTERNORRLANDS LÄN</t>
        </is>
      </c>
      <c r="E3964" t="inlineStr">
        <is>
          <t>SOLLEFTEÅ</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13637-2025</t>
        </is>
      </c>
      <c r="B3965" s="1" t="n">
        <v>45736</v>
      </c>
      <c r="C3965" s="1" t="n">
        <v>45852</v>
      </c>
      <c r="D3965" t="inlineStr">
        <is>
          <t>VÄSTERNORRLANDS LÄN</t>
        </is>
      </c>
      <c r="E3965" t="inlineStr">
        <is>
          <t>SOLLEFTEÅ</t>
        </is>
      </c>
      <c r="F3965" t="inlineStr">
        <is>
          <t>SCA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13652-2025</t>
        </is>
      </c>
      <c r="B3966" s="1" t="n">
        <v>45736</v>
      </c>
      <c r="C3966" s="1" t="n">
        <v>45852</v>
      </c>
      <c r="D3966" t="inlineStr">
        <is>
          <t>VÄSTERNORRLANDS LÄN</t>
        </is>
      </c>
      <c r="E3966" t="inlineStr">
        <is>
          <t>SOLLEFTEÅ</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13639-2025</t>
        </is>
      </c>
      <c r="B3967" s="1" t="n">
        <v>45736</v>
      </c>
      <c r="C3967" s="1" t="n">
        <v>45852</v>
      </c>
      <c r="D3967" t="inlineStr">
        <is>
          <t>VÄSTERNORRLANDS LÄN</t>
        </is>
      </c>
      <c r="E3967" t="inlineStr">
        <is>
          <t>SOLLEFTEÅ</t>
        </is>
      </c>
      <c r="F3967" t="inlineStr">
        <is>
          <t>SCA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13860-2025</t>
        </is>
      </c>
      <c r="B3968" s="1" t="n">
        <v>45737</v>
      </c>
      <c r="C3968" s="1" t="n">
        <v>45852</v>
      </c>
      <c r="D3968" t="inlineStr">
        <is>
          <t>VÄSTERNORRLANDS LÄN</t>
        </is>
      </c>
      <c r="E3968" t="inlineStr">
        <is>
          <t>SOLLEFTEÅ</t>
        </is>
      </c>
      <c r="F3968" t="inlineStr">
        <is>
          <t>SCA</t>
        </is>
      </c>
      <c r="G3968" t="n">
        <v>10.2</v>
      </c>
      <c r="H3968" t="n">
        <v>0</v>
      </c>
      <c r="I3968" t="n">
        <v>0</v>
      </c>
      <c r="J3968" t="n">
        <v>0</v>
      </c>
      <c r="K3968" t="n">
        <v>0</v>
      </c>
      <c r="L3968" t="n">
        <v>0</v>
      </c>
      <c r="M3968" t="n">
        <v>0</v>
      </c>
      <c r="N3968" t="n">
        <v>0</v>
      </c>
      <c r="O3968" t="n">
        <v>0</v>
      </c>
      <c r="P3968" t="n">
        <v>0</v>
      </c>
      <c r="Q3968" t="n">
        <v>0</v>
      </c>
      <c r="R3968" s="2" t="inlineStr"/>
    </row>
    <row r="3969" ht="15" customHeight="1">
      <c r="A3969" t="inlineStr">
        <is>
          <t>A 13858-2025</t>
        </is>
      </c>
      <c r="B3969" s="1" t="n">
        <v>45737</v>
      </c>
      <c r="C3969" s="1" t="n">
        <v>45852</v>
      </c>
      <c r="D3969" t="inlineStr">
        <is>
          <t>VÄSTERNORRLANDS LÄN</t>
        </is>
      </c>
      <c r="E3969" t="inlineStr">
        <is>
          <t>SOLLEFTEÅ</t>
        </is>
      </c>
      <c r="F3969" t="inlineStr">
        <is>
          <t>SCA</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13707-2025</t>
        </is>
      </c>
      <c r="B3970" s="1" t="n">
        <v>45737</v>
      </c>
      <c r="C3970" s="1" t="n">
        <v>45852</v>
      </c>
      <c r="D3970" t="inlineStr">
        <is>
          <t>VÄSTERNORRLANDS LÄN</t>
        </is>
      </c>
      <c r="E3970" t="inlineStr">
        <is>
          <t>SOLLEFTEÅ</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14094-2025</t>
        </is>
      </c>
      <c r="B3971" s="1" t="n">
        <v>45740</v>
      </c>
      <c r="C3971" s="1" t="n">
        <v>45852</v>
      </c>
      <c r="D3971" t="inlineStr">
        <is>
          <t>VÄSTERNORRLANDS LÄN</t>
        </is>
      </c>
      <c r="E3971" t="inlineStr">
        <is>
          <t>SOLLEFTEÅ</t>
        </is>
      </c>
      <c r="F3971" t="inlineStr">
        <is>
          <t>SCA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14096-2025</t>
        </is>
      </c>
      <c r="B3972" s="1" t="n">
        <v>45740</v>
      </c>
      <c r="C3972" s="1" t="n">
        <v>45852</v>
      </c>
      <c r="D3972" t="inlineStr">
        <is>
          <t>VÄSTERNORRLANDS LÄN</t>
        </is>
      </c>
      <c r="E3972" t="inlineStr">
        <is>
          <t>SOLLEFTEÅ</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14274-2025</t>
        </is>
      </c>
      <c r="B3973" s="1" t="n">
        <v>45740</v>
      </c>
      <c r="C3973" s="1" t="n">
        <v>45852</v>
      </c>
      <c r="D3973" t="inlineStr">
        <is>
          <t>VÄSTERNORRLANDS LÄN</t>
        </is>
      </c>
      <c r="E3973" t="inlineStr">
        <is>
          <t>SOLLEFTEÅ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14036-2025</t>
        </is>
      </c>
      <c r="B3974" s="1" t="n">
        <v>45740</v>
      </c>
      <c r="C3974" s="1" t="n">
        <v>45852</v>
      </c>
      <c r="D3974" t="inlineStr">
        <is>
          <t>VÄSTERNORRLANDS LÄN</t>
        </is>
      </c>
      <c r="E3974" t="inlineStr">
        <is>
          <t>SOLLEFTEÅ</t>
        </is>
      </c>
      <c r="F3974" t="inlineStr">
        <is>
          <t>SCA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14097-2025</t>
        </is>
      </c>
      <c r="B3975" s="1" t="n">
        <v>45740</v>
      </c>
      <c r="C3975" s="1" t="n">
        <v>45852</v>
      </c>
      <c r="D3975" t="inlineStr">
        <is>
          <t>VÄSTERNORRLANDS LÄN</t>
        </is>
      </c>
      <c r="E3975" t="inlineStr">
        <is>
          <t>SOLLEFTEÅ</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14252-2025</t>
        </is>
      </c>
      <c r="B3976" s="1" t="n">
        <v>45740</v>
      </c>
      <c r="C3976" s="1" t="n">
        <v>45852</v>
      </c>
      <c r="D3976" t="inlineStr">
        <is>
          <t>VÄSTERNORRLANDS LÄN</t>
        </is>
      </c>
      <c r="E3976" t="inlineStr">
        <is>
          <t>SOLLEFTEÅ</t>
        </is>
      </c>
      <c r="F3976" t="inlineStr">
        <is>
          <t>SCA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14353-2025</t>
        </is>
      </c>
      <c r="B3977" s="1" t="n">
        <v>45741</v>
      </c>
      <c r="C3977" s="1" t="n">
        <v>45852</v>
      </c>
      <c r="D3977" t="inlineStr">
        <is>
          <t>VÄSTERNORRLANDS LÄN</t>
        </is>
      </c>
      <c r="E3977" t="inlineStr">
        <is>
          <t>SOLLEFTEÅ</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14469-2025</t>
        </is>
      </c>
      <c r="B3978" s="1" t="n">
        <v>45741</v>
      </c>
      <c r="C3978" s="1" t="n">
        <v>45852</v>
      </c>
      <c r="D3978" t="inlineStr">
        <is>
          <t>VÄSTERNORRLANDS LÄN</t>
        </is>
      </c>
      <c r="E3978" t="inlineStr">
        <is>
          <t>SOLLEFTEÅ</t>
        </is>
      </c>
      <c r="F3978" t="inlineStr">
        <is>
          <t>SCA</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14470-2025</t>
        </is>
      </c>
      <c r="B3979" s="1" t="n">
        <v>45741</v>
      </c>
      <c r="C3979" s="1" t="n">
        <v>45852</v>
      </c>
      <c r="D3979" t="inlineStr">
        <is>
          <t>VÄSTERNORRLANDS LÄN</t>
        </is>
      </c>
      <c r="E3979" t="inlineStr">
        <is>
          <t>SOLLEFTEÅ</t>
        </is>
      </c>
      <c r="F3979" t="inlineStr">
        <is>
          <t>SCA</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14731-2025</t>
        </is>
      </c>
      <c r="B3980" s="1" t="n">
        <v>45742</v>
      </c>
      <c r="C3980" s="1" t="n">
        <v>45852</v>
      </c>
      <c r="D3980" t="inlineStr">
        <is>
          <t>VÄSTERNORRLANDS LÄN</t>
        </is>
      </c>
      <c r="E3980" t="inlineStr">
        <is>
          <t>SOLLEFTEÅ</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14715-2025</t>
        </is>
      </c>
      <c r="B3981" s="1" t="n">
        <v>45742</v>
      </c>
      <c r="C3981" s="1" t="n">
        <v>45852</v>
      </c>
      <c r="D3981" t="inlineStr">
        <is>
          <t>VÄSTERNORRLANDS LÄN</t>
        </is>
      </c>
      <c r="E3981" t="inlineStr">
        <is>
          <t>SOLLEFTEÅ</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14712-2025</t>
        </is>
      </c>
      <c r="B3982" s="1" t="n">
        <v>45742</v>
      </c>
      <c r="C3982" s="1" t="n">
        <v>45852</v>
      </c>
      <c r="D3982" t="inlineStr">
        <is>
          <t>VÄSTERNORRLANDS LÄN</t>
        </is>
      </c>
      <c r="E3982" t="inlineStr">
        <is>
          <t>SOLLEFTEÅ</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14628-2025</t>
        </is>
      </c>
      <c r="B3983" s="1" t="n">
        <v>45742</v>
      </c>
      <c r="C3983" s="1" t="n">
        <v>45852</v>
      </c>
      <c r="D3983" t="inlineStr">
        <is>
          <t>VÄSTERNORRLANDS LÄN</t>
        </is>
      </c>
      <c r="E3983" t="inlineStr">
        <is>
          <t>SOLLEFTEÅ</t>
        </is>
      </c>
      <c r="F3983" t="inlineStr">
        <is>
          <t>SCA</t>
        </is>
      </c>
      <c r="G3983" t="n">
        <v>17.2</v>
      </c>
      <c r="H3983" t="n">
        <v>0</v>
      </c>
      <c r="I3983" t="n">
        <v>0</v>
      </c>
      <c r="J3983" t="n">
        <v>0</v>
      </c>
      <c r="K3983" t="n">
        <v>0</v>
      </c>
      <c r="L3983" t="n">
        <v>0</v>
      </c>
      <c r="M3983" t="n">
        <v>0</v>
      </c>
      <c r="N3983" t="n">
        <v>0</v>
      </c>
      <c r="O3983" t="n">
        <v>0</v>
      </c>
      <c r="P3983" t="n">
        <v>0</v>
      </c>
      <c r="Q3983" t="n">
        <v>0</v>
      </c>
      <c r="R3983" s="2" t="inlineStr"/>
    </row>
    <row r="3984" ht="15" customHeight="1">
      <c r="A3984" t="inlineStr">
        <is>
          <t>A 14656-2025</t>
        </is>
      </c>
      <c r="B3984" s="1" t="n">
        <v>45742</v>
      </c>
      <c r="C3984" s="1" t="n">
        <v>45852</v>
      </c>
      <c r="D3984" t="inlineStr">
        <is>
          <t>VÄSTERNORRLANDS LÄN</t>
        </is>
      </c>
      <c r="E3984" t="inlineStr">
        <is>
          <t>SOLLEFTEÅ</t>
        </is>
      </c>
      <c r="F3984" t="inlineStr">
        <is>
          <t>SCA</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14730-2025</t>
        </is>
      </c>
      <c r="B3985" s="1" t="n">
        <v>45742</v>
      </c>
      <c r="C3985" s="1" t="n">
        <v>45852</v>
      </c>
      <c r="D3985" t="inlineStr">
        <is>
          <t>VÄSTERNORRLANDS LÄN</t>
        </is>
      </c>
      <c r="E3985" t="inlineStr">
        <is>
          <t>SOLLEFTEÅ</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14650-2025</t>
        </is>
      </c>
      <c r="B3986" s="1" t="n">
        <v>45742</v>
      </c>
      <c r="C3986" s="1" t="n">
        <v>45852</v>
      </c>
      <c r="D3986" t="inlineStr">
        <is>
          <t>VÄSTERNORRLANDS LÄN</t>
        </is>
      </c>
      <c r="E3986" t="inlineStr">
        <is>
          <t>SOLLEFTEÅ</t>
        </is>
      </c>
      <c r="F3986" t="inlineStr">
        <is>
          <t>SCA</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14714-2025</t>
        </is>
      </c>
      <c r="B3987" s="1" t="n">
        <v>45742</v>
      </c>
      <c r="C3987" s="1" t="n">
        <v>45852</v>
      </c>
      <c r="D3987" t="inlineStr">
        <is>
          <t>VÄSTERNORRLANDS LÄN</t>
        </is>
      </c>
      <c r="E3987" t="inlineStr">
        <is>
          <t>SOLLEFTEÅ</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14608-2025</t>
        </is>
      </c>
      <c r="B3988" s="1" t="n">
        <v>45742</v>
      </c>
      <c r="C3988" s="1" t="n">
        <v>45852</v>
      </c>
      <c r="D3988" t="inlineStr">
        <is>
          <t>VÄSTERNORRLANDS LÄN</t>
        </is>
      </c>
      <c r="E3988" t="inlineStr">
        <is>
          <t>SOLLEFTEÅ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14612-2025</t>
        </is>
      </c>
      <c r="B3989" s="1" t="n">
        <v>45742</v>
      </c>
      <c r="C3989" s="1" t="n">
        <v>45852</v>
      </c>
      <c r="D3989" t="inlineStr">
        <is>
          <t>VÄSTERNORRLANDS LÄN</t>
        </is>
      </c>
      <c r="E3989" t="inlineStr">
        <is>
          <t>SOLLEFTEÅ</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14640-2025</t>
        </is>
      </c>
      <c r="B3990" s="1" t="n">
        <v>45742</v>
      </c>
      <c r="C3990" s="1" t="n">
        <v>45852</v>
      </c>
      <c r="D3990" t="inlineStr">
        <is>
          <t>VÄSTERNORRLANDS LÄN</t>
        </is>
      </c>
      <c r="E3990" t="inlineStr">
        <is>
          <t>SOLLEFTEÅ</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14651-2025</t>
        </is>
      </c>
      <c r="B3991" s="1" t="n">
        <v>45742</v>
      </c>
      <c r="C3991" s="1" t="n">
        <v>45852</v>
      </c>
      <c r="D3991" t="inlineStr">
        <is>
          <t>VÄSTERNORRLANDS LÄN</t>
        </is>
      </c>
      <c r="E3991" t="inlineStr">
        <is>
          <t>SOLLEFTEÅ</t>
        </is>
      </c>
      <c r="F3991" t="inlineStr">
        <is>
          <t>SCA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15033-2025</t>
        </is>
      </c>
      <c r="B3992" s="1" t="n">
        <v>45743</v>
      </c>
      <c r="C3992" s="1" t="n">
        <v>45852</v>
      </c>
      <c r="D3992" t="inlineStr">
        <is>
          <t>VÄSTERNORRLANDS LÄN</t>
        </is>
      </c>
      <c r="E3992" t="inlineStr">
        <is>
          <t>SOLLEFTEÅ</t>
        </is>
      </c>
      <c r="F3992" t="inlineStr">
        <is>
          <t>SCA</t>
        </is>
      </c>
      <c r="G3992" t="n">
        <v>12.2</v>
      </c>
      <c r="H3992" t="n">
        <v>0</v>
      </c>
      <c r="I3992" t="n">
        <v>0</v>
      </c>
      <c r="J3992" t="n">
        <v>0</v>
      </c>
      <c r="K3992" t="n">
        <v>0</v>
      </c>
      <c r="L3992" t="n">
        <v>0</v>
      </c>
      <c r="M3992" t="n">
        <v>0</v>
      </c>
      <c r="N3992" t="n">
        <v>0</v>
      </c>
      <c r="O3992" t="n">
        <v>0</v>
      </c>
      <c r="P3992" t="n">
        <v>0</v>
      </c>
      <c r="Q3992" t="n">
        <v>0</v>
      </c>
      <c r="R3992" s="2" t="inlineStr"/>
    </row>
    <row r="3993" ht="15" customHeight="1">
      <c r="A3993" t="inlineStr">
        <is>
          <t>A 14889-2025</t>
        </is>
      </c>
      <c r="B3993" s="1" t="n">
        <v>45743</v>
      </c>
      <c r="C3993" s="1" t="n">
        <v>45852</v>
      </c>
      <c r="D3993" t="inlineStr">
        <is>
          <t>VÄSTERNORRLANDS LÄN</t>
        </is>
      </c>
      <c r="E3993" t="inlineStr">
        <is>
          <t>SOLLEFTEÅ</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15260-2025</t>
        </is>
      </c>
      <c r="B3994" s="1" t="n">
        <v>45744</v>
      </c>
      <c r="C3994" s="1" t="n">
        <v>45852</v>
      </c>
      <c r="D3994" t="inlineStr">
        <is>
          <t>VÄSTERNORRLANDS LÄN</t>
        </is>
      </c>
      <c r="E3994" t="inlineStr">
        <is>
          <t>SOLLEFTEÅ</t>
        </is>
      </c>
      <c r="F3994" t="inlineStr">
        <is>
          <t>SCA</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15273-2025</t>
        </is>
      </c>
      <c r="B3995" s="1" t="n">
        <v>45744</v>
      </c>
      <c r="C3995" s="1" t="n">
        <v>45852</v>
      </c>
      <c r="D3995" t="inlineStr">
        <is>
          <t>VÄSTERNORRLANDS LÄN</t>
        </is>
      </c>
      <c r="E3995" t="inlineStr">
        <is>
          <t>SOLLEFTEÅ</t>
        </is>
      </c>
      <c r="F3995" t="inlineStr">
        <is>
          <t>SCA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15429-2025</t>
        </is>
      </c>
      <c r="B3996" s="1" t="n">
        <v>45747</v>
      </c>
      <c r="C3996" s="1" t="n">
        <v>45852</v>
      </c>
      <c r="D3996" t="inlineStr">
        <is>
          <t>VÄSTERNORRLANDS LÄN</t>
        </is>
      </c>
      <c r="E3996" t="inlineStr">
        <is>
          <t>SOLLEFTEÅ</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15801-2025</t>
        </is>
      </c>
      <c r="B3997" s="1" t="n">
        <v>45748</v>
      </c>
      <c r="C3997" s="1" t="n">
        <v>45852</v>
      </c>
      <c r="D3997" t="inlineStr">
        <is>
          <t>VÄSTERNORRLANDS LÄN</t>
        </is>
      </c>
      <c r="E3997" t="inlineStr">
        <is>
          <t>SOLLEFTEÅ</t>
        </is>
      </c>
      <c r="G3997" t="n">
        <v>24.7</v>
      </c>
      <c r="H3997" t="n">
        <v>0</v>
      </c>
      <c r="I3997" t="n">
        <v>0</v>
      </c>
      <c r="J3997" t="n">
        <v>0</v>
      </c>
      <c r="K3997" t="n">
        <v>0</v>
      </c>
      <c r="L3997" t="n">
        <v>0</v>
      </c>
      <c r="M3997" t="n">
        <v>0</v>
      </c>
      <c r="N3997" t="n">
        <v>0</v>
      </c>
      <c r="O3997" t="n">
        <v>0</v>
      </c>
      <c r="P3997" t="n">
        <v>0</v>
      </c>
      <c r="Q3997" t="n">
        <v>0</v>
      </c>
      <c r="R3997" s="2" t="inlineStr"/>
    </row>
    <row r="3998" ht="15" customHeight="1">
      <c r="A3998" t="inlineStr">
        <is>
          <t>A 15666-2025</t>
        </is>
      </c>
      <c r="B3998" s="1" t="n">
        <v>45748</v>
      </c>
      <c r="C3998" s="1" t="n">
        <v>45852</v>
      </c>
      <c r="D3998" t="inlineStr">
        <is>
          <t>VÄSTERNORRLANDS LÄN</t>
        </is>
      </c>
      <c r="E3998" t="inlineStr">
        <is>
          <t>SOLLEFTEÅ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15728-2025</t>
        </is>
      </c>
      <c r="B3999" s="1" t="n">
        <v>45748</v>
      </c>
      <c r="C3999" s="1" t="n">
        <v>45852</v>
      </c>
      <c r="D3999" t="inlineStr">
        <is>
          <t>VÄSTERNORRLANDS LÄN</t>
        </is>
      </c>
      <c r="E3999" t="inlineStr">
        <is>
          <t>SOLLEFTEÅ</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15621-2025</t>
        </is>
      </c>
      <c r="B4000" s="1" t="n">
        <v>45748</v>
      </c>
      <c r="C4000" s="1" t="n">
        <v>45852</v>
      </c>
      <c r="D4000" t="inlineStr">
        <is>
          <t>VÄSTERNORRLANDS LÄN</t>
        </is>
      </c>
      <c r="E4000" t="inlineStr">
        <is>
          <t>SOLLEFTEÅ</t>
        </is>
      </c>
      <c r="F4000" t="inlineStr">
        <is>
          <t>SCA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15601-2025</t>
        </is>
      </c>
      <c r="B4001" s="1" t="n">
        <v>45748</v>
      </c>
      <c r="C4001" s="1" t="n">
        <v>45852</v>
      </c>
      <c r="D4001" t="inlineStr">
        <is>
          <t>VÄSTERNORRLANDS LÄN</t>
        </is>
      </c>
      <c r="E4001" t="inlineStr">
        <is>
          <t>SOLLEFTEÅ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15955-2025</t>
        </is>
      </c>
      <c r="B4002" s="1" t="n">
        <v>45749</v>
      </c>
      <c r="C4002" s="1" t="n">
        <v>45852</v>
      </c>
      <c r="D4002" t="inlineStr">
        <is>
          <t>VÄSTERNORRLANDS LÄN</t>
        </is>
      </c>
      <c r="E4002" t="inlineStr">
        <is>
          <t>SOLLEFTEÅ</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16172-2025</t>
        </is>
      </c>
      <c r="B4003" s="1" t="n">
        <v>45750</v>
      </c>
      <c r="C4003" s="1" t="n">
        <v>45852</v>
      </c>
      <c r="D4003" t="inlineStr">
        <is>
          <t>VÄSTERNORRLANDS LÄN</t>
        </is>
      </c>
      <c r="E4003" t="inlineStr">
        <is>
          <t>SOLLEFTEÅ</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16492-2025</t>
        </is>
      </c>
      <c r="B4004" s="1" t="n">
        <v>45751</v>
      </c>
      <c r="C4004" s="1" t="n">
        <v>45852</v>
      </c>
      <c r="D4004" t="inlineStr">
        <is>
          <t>VÄSTERNORRLANDS LÄN</t>
        </is>
      </c>
      <c r="E4004" t="inlineStr">
        <is>
          <t>SOLLEFTEÅ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16511-2025</t>
        </is>
      </c>
      <c r="B4005" s="1" t="n">
        <v>45751</v>
      </c>
      <c r="C4005" s="1" t="n">
        <v>45852</v>
      </c>
      <c r="D4005" t="inlineStr">
        <is>
          <t>VÄSTERNORRLANDS LÄN</t>
        </is>
      </c>
      <c r="E4005" t="inlineStr">
        <is>
          <t>SOLLEFTEÅ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16308-2025</t>
        </is>
      </c>
      <c r="B4006" s="1" t="n">
        <v>45751</v>
      </c>
      <c r="C4006" s="1" t="n">
        <v>45852</v>
      </c>
      <c r="D4006" t="inlineStr">
        <is>
          <t>VÄSTERNORRLANDS LÄN</t>
        </is>
      </c>
      <c r="E4006" t="inlineStr">
        <is>
          <t>SOLLEFTEÅ</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16312-2025</t>
        </is>
      </c>
      <c r="B4007" s="1" t="n">
        <v>45751</v>
      </c>
      <c r="C4007" s="1" t="n">
        <v>45852</v>
      </c>
      <c r="D4007" t="inlineStr">
        <is>
          <t>VÄSTERNORRLANDS LÄN</t>
        </is>
      </c>
      <c r="E4007" t="inlineStr">
        <is>
          <t>SOLLEFTEÅ</t>
        </is>
      </c>
      <c r="F4007" t="inlineStr">
        <is>
          <t>SCA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16564-2025</t>
        </is>
      </c>
      <c r="B4008" s="1" t="n">
        <v>45752</v>
      </c>
      <c r="C4008" s="1" t="n">
        <v>45852</v>
      </c>
      <c r="D4008" t="inlineStr">
        <is>
          <t>VÄSTERNORRLANDS LÄN</t>
        </is>
      </c>
      <c r="E4008" t="inlineStr">
        <is>
          <t>SOLLEFTEÅ</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16795-2025</t>
        </is>
      </c>
      <c r="B4009" s="1" t="n">
        <v>45754</v>
      </c>
      <c r="C4009" s="1" t="n">
        <v>45852</v>
      </c>
      <c r="D4009" t="inlineStr">
        <is>
          <t>VÄSTERNORRLANDS LÄN</t>
        </is>
      </c>
      <c r="E4009" t="inlineStr">
        <is>
          <t>SOLLEFTEÅ</t>
        </is>
      </c>
      <c r="F4009" t="inlineStr">
        <is>
          <t>SCA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16632-2025</t>
        </is>
      </c>
      <c r="B4010" s="1" t="n">
        <v>45754</v>
      </c>
      <c r="C4010" s="1" t="n">
        <v>45852</v>
      </c>
      <c r="D4010" t="inlineStr">
        <is>
          <t>VÄSTERNORRLANDS LÄN</t>
        </is>
      </c>
      <c r="E4010" t="inlineStr">
        <is>
          <t>SOLLEFTEÅ</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16633-2025</t>
        </is>
      </c>
      <c r="B4011" s="1" t="n">
        <v>45754</v>
      </c>
      <c r="C4011" s="1" t="n">
        <v>45852</v>
      </c>
      <c r="D4011" t="inlineStr">
        <is>
          <t>VÄSTERNORRLANDS LÄN</t>
        </is>
      </c>
      <c r="E4011" t="inlineStr">
        <is>
          <t>SOLLEFTEÅ</t>
        </is>
      </c>
      <c r="F4011" t="inlineStr">
        <is>
          <t>SCA</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16718-2025</t>
        </is>
      </c>
      <c r="B4012" s="1" t="n">
        <v>45754</v>
      </c>
      <c r="C4012" s="1" t="n">
        <v>45852</v>
      </c>
      <c r="D4012" t="inlineStr">
        <is>
          <t>VÄSTERNORRLANDS LÄN</t>
        </is>
      </c>
      <c r="E4012" t="inlineStr">
        <is>
          <t>SOLLEFTEÅ</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17021-2025</t>
        </is>
      </c>
      <c r="B4013" s="1" t="n">
        <v>45755</v>
      </c>
      <c r="C4013" s="1" t="n">
        <v>45852</v>
      </c>
      <c r="D4013" t="inlineStr">
        <is>
          <t>VÄSTERNORRLANDS LÄN</t>
        </is>
      </c>
      <c r="E4013" t="inlineStr">
        <is>
          <t>SOLLEFTEÅ</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17020-2025</t>
        </is>
      </c>
      <c r="B4014" s="1" t="n">
        <v>45755</v>
      </c>
      <c r="C4014" s="1" t="n">
        <v>45852</v>
      </c>
      <c r="D4014" t="inlineStr">
        <is>
          <t>VÄSTERNORRLANDS LÄN</t>
        </is>
      </c>
      <c r="E4014" t="inlineStr">
        <is>
          <t>SOLLEFTEÅ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17032-2025</t>
        </is>
      </c>
      <c r="B4015" s="1" t="n">
        <v>45755</v>
      </c>
      <c r="C4015" s="1" t="n">
        <v>45852</v>
      </c>
      <c r="D4015" t="inlineStr">
        <is>
          <t>VÄSTERNORRLANDS LÄN</t>
        </is>
      </c>
      <c r="E4015" t="inlineStr">
        <is>
          <t>SOLLEFTEÅ</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17096-2025</t>
        </is>
      </c>
      <c r="B4016" s="1" t="n">
        <v>45755</v>
      </c>
      <c r="C4016" s="1" t="n">
        <v>45852</v>
      </c>
      <c r="D4016" t="inlineStr">
        <is>
          <t>VÄSTERNORRLANDS LÄN</t>
        </is>
      </c>
      <c r="E4016" t="inlineStr">
        <is>
          <t>SOLLEFTEÅ</t>
        </is>
      </c>
      <c r="F4016" t="inlineStr">
        <is>
          <t>SCA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17034-2025</t>
        </is>
      </c>
      <c r="B4017" s="1" t="n">
        <v>45755</v>
      </c>
      <c r="C4017" s="1" t="n">
        <v>45852</v>
      </c>
      <c r="D4017" t="inlineStr">
        <is>
          <t>VÄSTERNORRLANDS LÄN</t>
        </is>
      </c>
      <c r="E4017" t="inlineStr">
        <is>
          <t>SOLLEFTEÅ</t>
        </is>
      </c>
      <c r="F4017" t="inlineStr">
        <is>
          <t>SCA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17258-2025</t>
        </is>
      </c>
      <c r="B4018" s="1" t="n">
        <v>45756</v>
      </c>
      <c r="C4018" s="1" t="n">
        <v>45852</v>
      </c>
      <c r="D4018" t="inlineStr">
        <is>
          <t>VÄSTERNORRLANDS LÄN</t>
        </is>
      </c>
      <c r="E4018" t="inlineStr">
        <is>
          <t>SOLLEFTEÅ</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17354-2025</t>
        </is>
      </c>
      <c r="B4019" s="1" t="n">
        <v>45756</v>
      </c>
      <c r="C4019" s="1" t="n">
        <v>45852</v>
      </c>
      <c r="D4019" t="inlineStr">
        <is>
          <t>VÄSTERNORRLANDS LÄN</t>
        </is>
      </c>
      <c r="E4019" t="inlineStr">
        <is>
          <t>SOLLEFTEÅ</t>
        </is>
      </c>
      <c r="F4019" t="inlineStr">
        <is>
          <t>SCA</t>
        </is>
      </c>
      <c r="G4019" t="n">
        <v>12.9</v>
      </c>
      <c r="H4019" t="n">
        <v>0</v>
      </c>
      <c r="I4019" t="n">
        <v>0</v>
      </c>
      <c r="J4019" t="n">
        <v>0</v>
      </c>
      <c r="K4019" t="n">
        <v>0</v>
      </c>
      <c r="L4019" t="n">
        <v>0</v>
      </c>
      <c r="M4019" t="n">
        <v>0</v>
      </c>
      <c r="N4019" t="n">
        <v>0</v>
      </c>
      <c r="O4019" t="n">
        <v>0</v>
      </c>
      <c r="P4019" t="n">
        <v>0</v>
      </c>
      <c r="Q4019" t="n">
        <v>0</v>
      </c>
      <c r="R4019" s="2" t="inlineStr"/>
    </row>
    <row r="4020" ht="15" customHeight="1">
      <c r="A4020" t="inlineStr">
        <is>
          <t>A 17279-2025</t>
        </is>
      </c>
      <c r="B4020" s="1" t="n">
        <v>45756</v>
      </c>
      <c r="C4020" s="1" t="n">
        <v>45852</v>
      </c>
      <c r="D4020" t="inlineStr">
        <is>
          <t>VÄSTERNORRLANDS LÄN</t>
        </is>
      </c>
      <c r="E4020" t="inlineStr">
        <is>
          <t>SOLLEFTEÅ</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17174-2025</t>
        </is>
      </c>
      <c r="B4021" s="1" t="n">
        <v>45756</v>
      </c>
      <c r="C4021" s="1" t="n">
        <v>45852</v>
      </c>
      <c r="D4021" t="inlineStr">
        <is>
          <t>VÄSTERNORRLANDS LÄN</t>
        </is>
      </c>
      <c r="E4021" t="inlineStr">
        <is>
          <t>SOLLEFTEÅ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17422-2025</t>
        </is>
      </c>
      <c r="B4022" s="1" t="n">
        <v>45757</v>
      </c>
      <c r="C4022" s="1" t="n">
        <v>45852</v>
      </c>
      <c r="D4022" t="inlineStr">
        <is>
          <t>VÄSTERNORRLANDS LÄN</t>
        </is>
      </c>
      <c r="E4022" t="inlineStr">
        <is>
          <t>SOLLEFTEÅ</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17481-2025</t>
        </is>
      </c>
      <c r="B4023" s="1" t="n">
        <v>45757</v>
      </c>
      <c r="C4023" s="1" t="n">
        <v>45852</v>
      </c>
      <c r="D4023" t="inlineStr">
        <is>
          <t>VÄSTERNORRLANDS LÄN</t>
        </is>
      </c>
      <c r="E4023" t="inlineStr">
        <is>
          <t>SOLLEFTEÅ</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17554-2025</t>
        </is>
      </c>
      <c r="B4024" s="1" t="n">
        <v>45757</v>
      </c>
      <c r="C4024" s="1" t="n">
        <v>45852</v>
      </c>
      <c r="D4024" t="inlineStr">
        <is>
          <t>VÄSTERNORRLANDS LÄN</t>
        </is>
      </c>
      <c r="E4024" t="inlineStr">
        <is>
          <t>SOLLEFTEÅ</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17889-2025</t>
        </is>
      </c>
      <c r="B4025" s="1" t="n">
        <v>45758</v>
      </c>
      <c r="C4025" s="1" t="n">
        <v>45852</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17843-2025</t>
        </is>
      </c>
      <c r="B4026" s="1" t="n">
        <v>45758</v>
      </c>
      <c r="C4026" s="1" t="n">
        <v>45852</v>
      </c>
      <c r="D4026" t="inlineStr">
        <is>
          <t>VÄSTERNORRLANDS LÄN</t>
        </is>
      </c>
      <c r="E4026" t="inlineStr">
        <is>
          <t>SOLLEFTEÅ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17682-2025</t>
        </is>
      </c>
      <c r="B4027" s="1" t="n">
        <v>45758</v>
      </c>
      <c r="C4027" s="1" t="n">
        <v>45852</v>
      </c>
      <c r="D4027" t="inlineStr">
        <is>
          <t>VÄSTERNORRLANDS LÄN</t>
        </is>
      </c>
      <c r="E4027" t="inlineStr">
        <is>
          <t>SOLLEFTEÅ</t>
        </is>
      </c>
      <c r="F4027" t="inlineStr">
        <is>
          <t>SCA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17919-2025</t>
        </is>
      </c>
      <c r="B4028" s="1" t="n">
        <v>45758</v>
      </c>
      <c r="C4028" s="1" t="n">
        <v>45852</v>
      </c>
      <c r="D4028" t="inlineStr">
        <is>
          <t>VÄSTERNORRLANDS LÄN</t>
        </is>
      </c>
      <c r="E4028" t="inlineStr">
        <is>
          <t>SOLLEFTEÅ</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18100-2025</t>
        </is>
      </c>
      <c r="B4029" s="1" t="n">
        <v>45761</v>
      </c>
      <c r="C4029" s="1" t="n">
        <v>45852</v>
      </c>
      <c r="D4029" t="inlineStr">
        <is>
          <t>VÄSTERNORRLANDS LÄN</t>
        </is>
      </c>
      <c r="E4029" t="inlineStr">
        <is>
          <t>SOLLEFTEÅ</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18185-2025</t>
        </is>
      </c>
      <c r="B4030" s="1" t="n">
        <v>45761</v>
      </c>
      <c r="C4030" s="1" t="n">
        <v>45852</v>
      </c>
      <c r="D4030" t="inlineStr">
        <is>
          <t>VÄSTERNORRLANDS LÄN</t>
        </is>
      </c>
      <c r="E4030" t="inlineStr">
        <is>
          <t>SOLLEFTEÅ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18220-2025</t>
        </is>
      </c>
      <c r="B4031" s="1" t="n">
        <v>45761</v>
      </c>
      <c r="C4031" s="1" t="n">
        <v>45852</v>
      </c>
      <c r="D4031" t="inlineStr">
        <is>
          <t>VÄSTERNORRLANDS LÄN</t>
        </is>
      </c>
      <c r="E4031" t="inlineStr">
        <is>
          <t>SOLLEFTEÅ</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18111-2025</t>
        </is>
      </c>
      <c r="B4032" s="1" t="n">
        <v>45761</v>
      </c>
      <c r="C4032" s="1" t="n">
        <v>45852</v>
      </c>
      <c r="D4032" t="inlineStr">
        <is>
          <t>VÄSTERNORRLANDS LÄN</t>
        </is>
      </c>
      <c r="E4032" t="inlineStr">
        <is>
          <t>SOLLEFTEÅ</t>
        </is>
      </c>
      <c r="F4032" t="inlineStr">
        <is>
          <t>SCA</t>
        </is>
      </c>
      <c r="G4032" t="n">
        <v>41.6</v>
      </c>
      <c r="H4032" t="n">
        <v>0</v>
      </c>
      <c r="I4032" t="n">
        <v>0</v>
      </c>
      <c r="J4032" t="n">
        <v>0</v>
      </c>
      <c r="K4032" t="n">
        <v>0</v>
      </c>
      <c r="L4032" t="n">
        <v>0</v>
      </c>
      <c r="M4032" t="n">
        <v>0</v>
      </c>
      <c r="N4032" t="n">
        <v>0</v>
      </c>
      <c r="O4032" t="n">
        <v>0</v>
      </c>
      <c r="P4032" t="n">
        <v>0</v>
      </c>
      <c r="Q4032" t="n">
        <v>0</v>
      </c>
      <c r="R4032" s="2" t="inlineStr"/>
    </row>
    <row r="4033" ht="15" customHeight="1">
      <c r="A4033" t="inlineStr">
        <is>
          <t>A 17993-2025</t>
        </is>
      </c>
      <c r="B4033" s="1" t="n">
        <v>45761</v>
      </c>
      <c r="C4033" s="1" t="n">
        <v>45852</v>
      </c>
      <c r="D4033" t="inlineStr">
        <is>
          <t>VÄSTERNORRLANDS LÄN</t>
        </is>
      </c>
      <c r="E4033" t="inlineStr">
        <is>
          <t>SOLLEFTEÅ</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18263-2025</t>
        </is>
      </c>
      <c r="B4034" s="1" t="n">
        <v>45762</v>
      </c>
      <c r="C4034" s="1" t="n">
        <v>45852</v>
      </c>
      <c r="D4034" t="inlineStr">
        <is>
          <t>VÄSTERNORRLANDS LÄN</t>
        </is>
      </c>
      <c r="E4034" t="inlineStr">
        <is>
          <t>SOLLEFTEÅ</t>
        </is>
      </c>
      <c r="F4034" t="inlineStr">
        <is>
          <t>SCA</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18442-2025</t>
        </is>
      </c>
      <c r="B4035" s="1" t="n">
        <v>45762</v>
      </c>
      <c r="C4035" s="1" t="n">
        <v>45852</v>
      </c>
      <c r="D4035" t="inlineStr">
        <is>
          <t>VÄSTERNORRLANDS LÄN</t>
        </is>
      </c>
      <c r="E4035" t="inlineStr">
        <is>
          <t>SOLLEFTEÅ</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18696-2025</t>
        </is>
      </c>
      <c r="B4036" s="1" t="n">
        <v>45763</v>
      </c>
      <c r="C4036" s="1" t="n">
        <v>45852</v>
      </c>
      <c r="D4036" t="inlineStr">
        <is>
          <t>VÄSTERNORRLANDS LÄN</t>
        </is>
      </c>
      <c r="E4036" t="inlineStr">
        <is>
          <t>SOLLEFTEÅ</t>
        </is>
      </c>
      <c r="F4036" t="inlineStr">
        <is>
          <t>SCA</t>
        </is>
      </c>
      <c r="G4036" t="n">
        <v>11.4</v>
      </c>
      <c r="H4036" t="n">
        <v>0</v>
      </c>
      <c r="I4036" t="n">
        <v>0</v>
      </c>
      <c r="J4036" t="n">
        <v>0</v>
      </c>
      <c r="K4036" t="n">
        <v>0</v>
      </c>
      <c r="L4036" t="n">
        <v>0</v>
      </c>
      <c r="M4036" t="n">
        <v>0</v>
      </c>
      <c r="N4036" t="n">
        <v>0</v>
      </c>
      <c r="O4036" t="n">
        <v>0</v>
      </c>
      <c r="P4036" t="n">
        <v>0</v>
      </c>
      <c r="Q4036" t="n">
        <v>0</v>
      </c>
      <c r="R4036" s="2" t="inlineStr"/>
    </row>
    <row r="4037" ht="15" customHeight="1">
      <c r="A4037" t="inlineStr">
        <is>
          <t>A 18691-2025</t>
        </is>
      </c>
      <c r="B4037" s="1" t="n">
        <v>45763</v>
      </c>
      <c r="C4037" s="1" t="n">
        <v>45852</v>
      </c>
      <c r="D4037" t="inlineStr">
        <is>
          <t>VÄSTERNORRLANDS LÄN</t>
        </is>
      </c>
      <c r="E4037" t="inlineStr">
        <is>
          <t>SOLLEFTEÅ</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18795-2025</t>
        </is>
      </c>
      <c r="B4038" s="1" t="n">
        <v>45764</v>
      </c>
      <c r="C4038" s="1" t="n">
        <v>45852</v>
      </c>
      <c r="D4038" t="inlineStr">
        <is>
          <t>VÄSTERNORRLANDS LÄN</t>
        </is>
      </c>
      <c r="E4038" t="inlineStr">
        <is>
          <t>SOLLEFTEÅ</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18951-2025</t>
        </is>
      </c>
      <c r="B4039" s="1" t="n">
        <v>45764</v>
      </c>
      <c r="C4039" s="1" t="n">
        <v>45852</v>
      </c>
      <c r="D4039" t="inlineStr">
        <is>
          <t>VÄSTERNORRLANDS LÄN</t>
        </is>
      </c>
      <c r="E4039" t="inlineStr">
        <is>
          <t>SOLLEFTEÅ</t>
        </is>
      </c>
      <c r="F4039" t="inlineStr">
        <is>
          <t>SCA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18949-2025</t>
        </is>
      </c>
      <c r="B4040" s="1" t="n">
        <v>45764</v>
      </c>
      <c r="C4040" s="1" t="n">
        <v>45852</v>
      </c>
      <c r="D4040" t="inlineStr">
        <is>
          <t>VÄSTERNORRLANDS LÄN</t>
        </is>
      </c>
      <c r="E4040" t="inlineStr">
        <is>
          <t>SOLLEFTEÅ</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19407-2025</t>
        </is>
      </c>
      <c r="B4041" s="1" t="n">
        <v>45769</v>
      </c>
      <c r="C4041" s="1" t="n">
        <v>45852</v>
      </c>
      <c r="D4041" t="inlineStr">
        <is>
          <t>VÄSTERNORRLANDS LÄN</t>
        </is>
      </c>
      <c r="E4041" t="inlineStr">
        <is>
          <t>SOLLEFTEÅ</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19145-2025</t>
        </is>
      </c>
      <c r="B4042" s="1" t="n">
        <v>45769</v>
      </c>
      <c r="C4042" s="1" t="n">
        <v>45852</v>
      </c>
      <c r="D4042" t="inlineStr">
        <is>
          <t>VÄSTERNORRLANDS LÄN</t>
        </is>
      </c>
      <c r="E4042" t="inlineStr">
        <is>
          <t>SOLLEFTEÅ</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19354-2025</t>
        </is>
      </c>
      <c r="B4043" s="1" t="n">
        <v>45769</v>
      </c>
      <c r="C4043" s="1" t="n">
        <v>45852</v>
      </c>
      <c r="D4043" t="inlineStr">
        <is>
          <t>VÄSTERNORRLANDS LÄN</t>
        </is>
      </c>
      <c r="E4043" t="inlineStr">
        <is>
          <t>SOLLEFTEÅ</t>
        </is>
      </c>
      <c r="F4043" t="inlineStr">
        <is>
          <t>Holmen skog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19205-2025</t>
        </is>
      </c>
      <c r="B4044" s="1" t="n">
        <v>45769</v>
      </c>
      <c r="C4044" s="1" t="n">
        <v>45852</v>
      </c>
      <c r="D4044" t="inlineStr">
        <is>
          <t>VÄSTERNORRLANDS LÄN</t>
        </is>
      </c>
      <c r="E4044" t="inlineStr">
        <is>
          <t>SOLLEFTEÅ</t>
        </is>
      </c>
      <c r="F4044" t="inlineStr">
        <is>
          <t>SCA</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19207-2025</t>
        </is>
      </c>
      <c r="B4045" s="1" t="n">
        <v>45769</v>
      </c>
      <c r="C4045" s="1" t="n">
        <v>45852</v>
      </c>
      <c r="D4045" t="inlineStr">
        <is>
          <t>VÄSTERNORRLANDS LÄN</t>
        </is>
      </c>
      <c r="E4045" t="inlineStr">
        <is>
          <t>SOLLEFTEÅ</t>
        </is>
      </c>
      <c r="F4045" t="inlineStr">
        <is>
          <t>SCA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19682-2025</t>
        </is>
      </c>
      <c r="B4046" s="1" t="n">
        <v>45770</v>
      </c>
      <c r="C4046" s="1" t="n">
        <v>45852</v>
      </c>
      <c r="D4046" t="inlineStr">
        <is>
          <t>VÄSTERNORRLANDS LÄN</t>
        </is>
      </c>
      <c r="E4046" t="inlineStr">
        <is>
          <t>SOLLEFTEÅ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19489-2025</t>
        </is>
      </c>
      <c r="B4047" s="1" t="n">
        <v>45770</v>
      </c>
      <c r="C4047" s="1" t="n">
        <v>45852</v>
      </c>
      <c r="D4047" t="inlineStr">
        <is>
          <t>VÄSTERNORRLANDS LÄN</t>
        </is>
      </c>
      <c r="E4047" t="inlineStr">
        <is>
          <t>SOLLEFTEÅ</t>
        </is>
      </c>
      <c r="F4047" t="inlineStr">
        <is>
          <t>SCA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19635-2025</t>
        </is>
      </c>
      <c r="B4048" s="1" t="n">
        <v>45770</v>
      </c>
      <c r="C4048" s="1" t="n">
        <v>45852</v>
      </c>
      <c r="D4048" t="inlineStr">
        <is>
          <t>VÄSTERNORRLANDS LÄN</t>
        </is>
      </c>
      <c r="E4048" t="inlineStr">
        <is>
          <t>SOLLEFTEÅ</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19633-2025</t>
        </is>
      </c>
      <c r="B4049" s="1" t="n">
        <v>45770</v>
      </c>
      <c r="C4049" s="1" t="n">
        <v>45852</v>
      </c>
      <c r="D4049" t="inlineStr">
        <is>
          <t>VÄSTERNORRLANDS LÄN</t>
        </is>
      </c>
      <c r="E4049" t="inlineStr">
        <is>
          <t>SOLLEFTEÅ</t>
        </is>
      </c>
      <c r="G4049" t="n">
        <v>9.9</v>
      </c>
      <c r="H4049" t="n">
        <v>0</v>
      </c>
      <c r="I4049" t="n">
        <v>0</v>
      </c>
      <c r="J4049" t="n">
        <v>0</v>
      </c>
      <c r="K4049" t="n">
        <v>0</v>
      </c>
      <c r="L4049" t="n">
        <v>0</v>
      </c>
      <c r="M4049" t="n">
        <v>0</v>
      </c>
      <c r="N4049" t="n">
        <v>0</v>
      </c>
      <c r="O4049" t="n">
        <v>0</v>
      </c>
      <c r="P4049" t="n">
        <v>0</v>
      </c>
      <c r="Q4049" t="n">
        <v>0</v>
      </c>
      <c r="R4049" s="2" t="inlineStr"/>
    </row>
    <row r="4050" ht="15" customHeight="1">
      <c r="A4050" t="inlineStr">
        <is>
          <t>A 19652-2025</t>
        </is>
      </c>
      <c r="B4050" s="1" t="n">
        <v>45770</v>
      </c>
      <c r="C4050" s="1" t="n">
        <v>45852</v>
      </c>
      <c r="D4050" t="inlineStr">
        <is>
          <t>VÄSTERNORRLANDS LÄN</t>
        </is>
      </c>
      <c r="E4050" t="inlineStr">
        <is>
          <t>SOLLEFTEÅ</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19901-2025</t>
        </is>
      </c>
      <c r="B4051" s="1" t="n">
        <v>45771</v>
      </c>
      <c r="C4051" s="1" t="n">
        <v>45852</v>
      </c>
      <c r="D4051" t="inlineStr">
        <is>
          <t>VÄSTERNORRLANDS LÄN</t>
        </is>
      </c>
      <c r="E4051" t="inlineStr">
        <is>
          <t>SOLLEFTEÅ</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19929-2025</t>
        </is>
      </c>
      <c r="B4052" s="1" t="n">
        <v>45771</v>
      </c>
      <c r="C4052" s="1" t="n">
        <v>45852</v>
      </c>
      <c r="D4052" t="inlineStr">
        <is>
          <t>VÄSTERNORRLANDS LÄN</t>
        </is>
      </c>
      <c r="E4052" t="inlineStr">
        <is>
          <t>SOLLEFTEÅ</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19949-2025</t>
        </is>
      </c>
      <c r="B4053" s="1" t="n">
        <v>45771</v>
      </c>
      <c r="C4053" s="1" t="n">
        <v>45852</v>
      </c>
      <c r="D4053" t="inlineStr">
        <is>
          <t>VÄSTERNORRLANDS LÄN</t>
        </is>
      </c>
      <c r="E4053" t="inlineStr">
        <is>
          <t>SOLLEFTEÅ</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19932-2025</t>
        </is>
      </c>
      <c r="B4054" s="1" t="n">
        <v>45771</v>
      </c>
      <c r="C4054" s="1" t="n">
        <v>45852</v>
      </c>
      <c r="D4054" t="inlineStr">
        <is>
          <t>VÄSTERNORRLANDS LÄN</t>
        </is>
      </c>
      <c r="E4054" t="inlineStr">
        <is>
          <t>SOLLEFTEÅ</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19892-2025</t>
        </is>
      </c>
      <c r="B4055" s="1" t="n">
        <v>45771</v>
      </c>
      <c r="C4055" s="1" t="n">
        <v>45852</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19936-2025</t>
        </is>
      </c>
      <c r="B4056" s="1" t="n">
        <v>45771</v>
      </c>
      <c r="C4056" s="1" t="n">
        <v>45852</v>
      </c>
      <c r="D4056" t="inlineStr">
        <is>
          <t>VÄSTERNORRLANDS LÄN</t>
        </is>
      </c>
      <c r="E4056" t="inlineStr">
        <is>
          <t>SOLLEFTEÅ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19945-2025</t>
        </is>
      </c>
      <c r="B4057" s="1" t="n">
        <v>45771</v>
      </c>
      <c r="C4057" s="1" t="n">
        <v>45852</v>
      </c>
      <c r="D4057" t="inlineStr">
        <is>
          <t>VÄSTERNORRLANDS LÄN</t>
        </is>
      </c>
      <c r="E4057" t="inlineStr">
        <is>
          <t>SOLLEFTEÅ</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19749-2025</t>
        </is>
      </c>
      <c r="B4058" s="1" t="n">
        <v>45771</v>
      </c>
      <c r="C4058" s="1" t="n">
        <v>45852</v>
      </c>
      <c r="D4058" t="inlineStr">
        <is>
          <t>VÄSTERNORRLANDS LÄN</t>
        </is>
      </c>
      <c r="E4058" t="inlineStr">
        <is>
          <t>SOLLEFTEÅ</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20204-2025</t>
        </is>
      </c>
      <c r="B4059" s="1" t="n">
        <v>45772</v>
      </c>
      <c r="C4059" s="1" t="n">
        <v>45852</v>
      </c>
      <c r="D4059" t="inlineStr">
        <is>
          <t>VÄSTERNORRLANDS LÄN</t>
        </is>
      </c>
      <c r="E4059" t="inlineStr">
        <is>
          <t>SOLLEFTEÅ</t>
        </is>
      </c>
      <c r="F4059" t="inlineStr">
        <is>
          <t>SCA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20205-2025</t>
        </is>
      </c>
      <c r="B4060" s="1" t="n">
        <v>45772</v>
      </c>
      <c r="C4060" s="1" t="n">
        <v>45852</v>
      </c>
      <c r="D4060" t="inlineStr">
        <is>
          <t>VÄSTERNORRLANDS LÄN</t>
        </is>
      </c>
      <c r="E4060" t="inlineStr">
        <is>
          <t>SOLLEFTEÅ</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20151-2025</t>
        </is>
      </c>
      <c r="B4061" s="1" t="n">
        <v>45772</v>
      </c>
      <c r="C4061" s="1" t="n">
        <v>45852</v>
      </c>
      <c r="D4061" t="inlineStr">
        <is>
          <t>VÄSTERNORRLANDS LÄN</t>
        </is>
      </c>
      <c r="E4061" t="inlineStr">
        <is>
          <t>SOLLEFTEÅ</t>
        </is>
      </c>
      <c r="F4061" t="inlineStr">
        <is>
          <t>SCA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20183-2025</t>
        </is>
      </c>
      <c r="B4062" s="1" t="n">
        <v>45772</v>
      </c>
      <c r="C4062" s="1" t="n">
        <v>45852</v>
      </c>
      <c r="D4062" t="inlineStr">
        <is>
          <t>VÄSTERNORRLANDS LÄN</t>
        </is>
      </c>
      <c r="E4062" t="inlineStr">
        <is>
          <t>SOLLEFTEÅ</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20133-2025</t>
        </is>
      </c>
      <c r="B4063" s="1" t="n">
        <v>45772</v>
      </c>
      <c r="C4063" s="1" t="n">
        <v>45852</v>
      </c>
      <c r="D4063" t="inlineStr">
        <is>
          <t>VÄSTERNORRLANDS LÄN</t>
        </is>
      </c>
      <c r="E4063" t="inlineStr">
        <is>
          <t>SOLLEFTEÅ</t>
        </is>
      </c>
      <c r="F4063" t="inlineStr">
        <is>
          <t>SCA</t>
        </is>
      </c>
      <c r="G4063" t="n">
        <v>58.2</v>
      </c>
      <c r="H4063" t="n">
        <v>0</v>
      </c>
      <c r="I4063" t="n">
        <v>0</v>
      </c>
      <c r="J4063" t="n">
        <v>0</v>
      </c>
      <c r="K4063" t="n">
        <v>0</v>
      </c>
      <c r="L4063" t="n">
        <v>0</v>
      </c>
      <c r="M4063" t="n">
        <v>0</v>
      </c>
      <c r="N4063" t="n">
        <v>0</v>
      </c>
      <c r="O4063" t="n">
        <v>0</v>
      </c>
      <c r="P4063" t="n">
        <v>0</v>
      </c>
      <c r="Q4063" t="n">
        <v>0</v>
      </c>
      <c r="R4063" s="2" t="inlineStr"/>
    </row>
    <row r="4064" ht="15" customHeight="1">
      <c r="A4064" t="inlineStr">
        <is>
          <t>A 20150-2025</t>
        </is>
      </c>
      <c r="B4064" s="1" t="n">
        <v>45772</v>
      </c>
      <c r="C4064" s="1" t="n">
        <v>45852</v>
      </c>
      <c r="D4064" t="inlineStr">
        <is>
          <t>VÄSTERNORRLANDS LÄN</t>
        </is>
      </c>
      <c r="E4064" t="inlineStr">
        <is>
          <t>SOLLEFTEÅ</t>
        </is>
      </c>
      <c r="F4064" t="inlineStr">
        <is>
          <t>SCA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20184-2025</t>
        </is>
      </c>
      <c r="B4065" s="1" t="n">
        <v>45772</v>
      </c>
      <c r="C4065" s="1" t="n">
        <v>45852</v>
      </c>
      <c r="D4065" t="inlineStr">
        <is>
          <t>VÄSTERNORRLANDS LÄN</t>
        </is>
      </c>
      <c r="E4065" t="inlineStr">
        <is>
          <t>SOLLEFTEÅ</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20101-2025</t>
        </is>
      </c>
      <c r="B4066" s="1" t="n">
        <v>45772</v>
      </c>
      <c r="C4066" s="1" t="n">
        <v>45852</v>
      </c>
      <c r="D4066" t="inlineStr">
        <is>
          <t>VÄSTERNORRLANDS LÄN</t>
        </is>
      </c>
      <c r="E4066" t="inlineStr">
        <is>
          <t>SOLLEFTEÅ</t>
        </is>
      </c>
      <c r="F4066" t="inlineStr">
        <is>
          <t>SCA</t>
        </is>
      </c>
      <c r="G4066" t="n">
        <v>13.5</v>
      </c>
      <c r="H4066" t="n">
        <v>0</v>
      </c>
      <c r="I4066" t="n">
        <v>0</v>
      </c>
      <c r="J4066" t="n">
        <v>0</v>
      </c>
      <c r="K4066" t="n">
        <v>0</v>
      </c>
      <c r="L4066" t="n">
        <v>0</v>
      </c>
      <c r="M4066" t="n">
        <v>0</v>
      </c>
      <c r="N4066" t="n">
        <v>0</v>
      </c>
      <c r="O4066" t="n">
        <v>0</v>
      </c>
      <c r="P4066" t="n">
        <v>0</v>
      </c>
      <c r="Q4066" t="n">
        <v>0</v>
      </c>
      <c r="R4066" s="2" t="inlineStr"/>
    </row>
    <row r="4067" ht="15" customHeight="1">
      <c r="A4067" t="inlineStr">
        <is>
          <t>A 20335-2025</t>
        </is>
      </c>
      <c r="B4067" s="1" t="n">
        <v>45775</v>
      </c>
      <c r="C4067" s="1" t="n">
        <v>45852</v>
      </c>
      <c r="D4067" t="inlineStr">
        <is>
          <t>VÄSTERNORRLANDS LÄN</t>
        </is>
      </c>
      <c r="E4067" t="inlineStr">
        <is>
          <t>SOLLEFTEÅ</t>
        </is>
      </c>
      <c r="F4067" t="inlineStr">
        <is>
          <t>SCA</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20550-2025</t>
        </is>
      </c>
      <c r="B4068" s="1" t="n">
        <v>45775</v>
      </c>
      <c r="C4068" s="1" t="n">
        <v>45852</v>
      </c>
      <c r="D4068" t="inlineStr">
        <is>
          <t>VÄSTERNORRLANDS LÄN</t>
        </is>
      </c>
      <c r="E4068" t="inlineStr">
        <is>
          <t>SOLLEFTEÅ</t>
        </is>
      </c>
      <c r="F4068" t="inlineStr">
        <is>
          <t>SCA</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20437-2025</t>
        </is>
      </c>
      <c r="B4069" s="1" t="n">
        <v>45775</v>
      </c>
      <c r="C4069" s="1" t="n">
        <v>45852</v>
      </c>
      <c r="D4069" t="inlineStr">
        <is>
          <t>VÄSTERNORRLANDS LÄN</t>
        </is>
      </c>
      <c r="E4069" t="inlineStr">
        <is>
          <t>SOLLEFTEÅ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20458-2025</t>
        </is>
      </c>
      <c r="B4070" s="1" t="n">
        <v>45775</v>
      </c>
      <c r="C4070" s="1" t="n">
        <v>45852</v>
      </c>
      <c r="D4070" t="inlineStr">
        <is>
          <t>VÄSTERNORRLANDS LÄN</t>
        </is>
      </c>
      <c r="E4070" t="inlineStr">
        <is>
          <t>SOLLEFTEÅ</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20334-2025</t>
        </is>
      </c>
      <c r="B4071" s="1" t="n">
        <v>45775</v>
      </c>
      <c r="C4071" s="1" t="n">
        <v>45852</v>
      </c>
      <c r="D4071" t="inlineStr">
        <is>
          <t>VÄSTERNORRLANDS LÄN</t>
        </is>
      </c>
      <c r="E4071" t="inlineStr">
        <is>
          <t>SOLLEFTEÅ</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20389-2025</t>
        </is>
      </c>
      <c r="B4072" s="1" t="n">
        <v>45775</v>
      </c>
      <c r="C4072" s="1" t="n">
        <v>45852</v>
      </c>
      <c r="D4072" t="inlineStr">
        <is>
          <t>VÄSTERNORRLANDS LÄN</t>
        </is>
      </c>
      <c r="E4072" t="inlineStr">
        <is>
          <t>SOLLEFTEÅ</t>
        </is>
      </c>
      <c r="F4072" t="inlineStr">
        <is>
          <t>SCA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20638-2025</t>
        </is>
      </c>
      <c r="B4073" s="1" t="n">
        <v>45776</v>
      </c>
      <c r="C4073" s="1" t="n">
        <v>45852</v>
      </c>
      <c r="D4073" t="inlineStr">
        <is>
          <t>VÄSTERNORRLANDS LÄN</t>
        </is>
      </c>
      <c r="E4073" t="inlineStr">
        <is>
          <t>SOLLEFTEÅ</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20793-2025</t>
        </is>
      </c>
      <c r="B4074" s="1" t="n">
        <v>45776</v>
      </c>
      <c r="C4074" s="1" t="n">
        <v>45852</v>
      </c>
      <c r="D4074" t="inlineStr">
        <is>
          <t>VÄSTERNORRLANDS LÄN</t>
        </is>
      </c>
      <c r="E4074" t="inlineStr">
        <is>
          <t>SOLLEFTEÅ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20725-2025</t>
        </is>
      </c>
      <c r="B4075" s="1" t="n">
        <v>45776</v>
      </c>
      <c r="C4075" s="1" t="n">
        <v>45852</v>
      </c>
      <c r="D4075" t="inlineStr">
        <is>
          <t>VÄSTERNORRLANDS LÄN</t>
        </is>
      </c>
      <c r="E4075" t="inlineStr">
        <is>
          <t>SOLLEFTEÅ</t>
        </is>
      </c>
      <c r="F4075" t="inlineStr">
        <is>
          <t>SCA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20757-2025</t>
        </is>
      </c>
      <c r="B4076" s="1" t="n">
        <v>45776</v>
      </c>
      <c r="C4076" s="1" t="n">
        <v>45852</v>
      </c>
      <c r="D4076" t="inlineStr">
        <is>
          <t>VÄSTERNORRLANDS LÄN</t>
        </is>
      </c>
      <c r="E4076" t="inlineStr">
        <is>
          <t>SOLLEFTEÅ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21109-2025</t>
        </is>
      </c>
      <c r="B4077" s="1" t="n">
        <v>45777</v>
      </c>
      <c r="C4077" s="1" t="n">
        <v>45852</v>
      </c>
      <c r="D4077" t="inlineStr">
        <is>
          <t>VÄSTERNORRLANDS LÄN</t>
        </is>
      </c>
      <c r="E4077" t="inlineStr">
        <is>
          <t>SOLLEFTEÅ</t>
        </is>
      </c>
      <c r="F4077" t="inlineStr">
        <is>
          <t>SCA</t>
        </is>
      </c>
      <c r="G4077" t="n">
        <v>38.2</v>
      </c>
      <c r="H4077" t="n">
        <v>0</v>
      </c>
      <c r="I4077" t="n">
        <v>0</v>
      </c>
      <c r="J4077" t="n">
        <v>0</v>
      </c>
      <c r="K4077" t="n">
        <v>0</v>
      </c>
      <c r="L4077" t="n">
        <v>0</v>
      </c>
      <c r="M4077" t="n">
        <v>0</v>
      </c>
      <c r="N4077" t="n">
        <v>0</v>
      </c>
      <c r="O4077" t="n">
        <v>0</v>
      </c>
      <c r="P4077" t="n">
        <v>0</v>
      </c>
      <c r="Q4077" t="n">
        <v>0</v>
      </c>
      <c r="R4077" s="2" t="inlineStr"/>
    </row>
    <row r="4078" ht="15" customHeight="1">
      <c r="A4078" t="inlineStr">
        <is>
          <t>A 20867-2025</t>
        </is>
      </c>
      <c r="B4078" s="1" t="n">
        <v>45777</v>
      </c>
      <c r="C4078" s="1" t="n">
        <v>45852</v>
      </c>
      <c r="D4078" t="inlineStr">
        <is>
          <t>VÄSTERNORRLANDS LÄN</t>
        </is>
      </c>
      <c r="E4078" t="inlineStr">
        <is>
          <t>SOLLEFTEÅ</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21088-2025</t>
        </is>
      </c>
      <c r="B4079" s="1" t="n">
        <v>45777</v>
      </c>
      <c r="C4079" s="1" t="n">
        <v>45852</v>
      </c>
      <c r="D4079" t="inlineStr">
        <is>
          <t>VÄSTERNORRLANDS LÄN</t>
        </is>
      </c>
      <c r="E4079" t="inlineStr">
        <is>
          <t>SOLLEFTEÅ</t>
        </is>
      </c>
      <c r="F4079" t="inlineStr">
        <is>
          <t>SCA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21089-2025</t>
        </is>
      </c>
      <c r="B4080" s="1" t="n">
        <v>45777</v>
      </c>
      <c r="C4080" s="1" t="n">
        <v>45852</v>
      </c>
      <c r="D4080" t="inlineStr">
        <is>
          <t>VÄSTERNORRLANDS LÄN</t>
        </is>
      </c>
      <c r="E4080" t="inlineStr">
        <is>
          <t>SOLLEFTEÅ</t>
        </is>
      </c>
      <c r="F4080" t="inlineStr">
        <is>
          <t>SCA</t>
        </is>
      </c>
      <c r="G4080" t="n">
        <v>19.9</v>
      </c>
      <c r="H4080" t="n">
        <v>0</v>
      </c>
      <c r="I4080" t="n">
        <v>0</v>
      </c>
      <c r="J4080" t="n">
        <v>0</v>
      </c>
      <c r="K4080" t="n">
        <v>0</v>
      </c>
      <c r="L4080" t="n">
        <v>0</v>
      </c>
      <c r="M4080" t="n">
        <v>0</v>
      </c>
      <c r="N4080" t="n">
        <v>0</v>
      </c>
      <c r="O4080" t="n">
        <v>0</v>
      </c>
      <c r="P4080" t="n">
        <v>0</v>
      </c>
      <c r="Q4080" t="n">
        <v>0</v>
      </c>
      <c r="R4080" s="2" t="inlineStr"/>
    </row>
    <row r="4081" ht="15" customHeight="1">
      <c r="A4081" t="inlineStr">
        <is>
          <t>A 21166-2025</t>
        </is>
      </c>
      <c r="B4081" s="1" t="n">
        <v>45779</v>
      </c>
      <c r="C4081" s="1" t="n">
        <v>45852</v>
      </c>
      <c r="D4081" t="inlineStr">
        <is>
          <t>VÄSTERNORRLANDS LÄN</t>
        </is>
      </c>
      <c r="E4081" t="inlineStr">
        <is>
          <t>SOLLEFTEÅ</t>
        </is>
      </c>
      <c r="F4081" t="inlineStr">
        <is>
          <t>SCA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21269-2025</t>
        </is>
      </c>
      <c r="B4082" s="1" t="n">
        <v>45779</v>
      </c>
      <c r="C4082" s="1" t="n">
        <v>45852</v>
      </c>
      <c r="D4082" t="inlineStr">
        <is>
          <t>VÄSTERNORRLANDS LÄN</t>
        </is>
      </c>
      <c r="E4082" t="inlineStr">
        <is>
          <t>SOLLEFTEÅ</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21346-2025</t>
        </is>
      </c>
      <c r="B4083" s="1" t="n">
        <v>45782</v>
      </c>
      <c r="C4083" s="1" t="n">
        <v>45852</v>
      </c>
      <c r="D4083" t="inlineStr">
        <is>
          <t>VÄSTERNORRLANDS LÄN</t>
        </is>
      </c>
      <c r="E4083" t="inlineStr">
        <is>
          <t>SOLLEFTEÅ</t>
        </is>
      </c>
      <c r="F4083" t="inlineStr">
        <is>
          <t>SCA</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21489-2025</t>
        </is>
      </c>
      <c r="B4084" s="1" t="n">
        <v>45782</v>
      </c>
      <c r="C4084" s="1" t="n">
        <v>45852</v>
      </c>
      <c r="D4084" t="inlineStr">
        <is>
          <t>VÄSTERNORRLANDS LÄN</t>
        </is>
      </c>
      <c r="E4084" t="inlineStr">
        <is>
          <t>SOLLEFTEÅ</t>
        </is>
      </c>
      <c r="F4084" t="inlineStr">
        <is>
          <t>SCA</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21491-2025</t>
        </is>
      </c>
      <c r="B4085" s="1" t="n">
        <v>45782</v>
      </c>
      <c r="C4085" s="1" t="n">
        <v>45852</v>
      </c>
      <c r="D4085" t="inlineStr">
        <is>
          <t>VÄSTERNORRLANDS LÄN</t>
        </is>
      </c>
      <c r="E4085" t="inlineStr">
        <is>
          <t>SOLLEFTEÅ</t>
        </is>
      </c>
      <c r="F4085" t="inlineStr">
        <is>
          <t>SCA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21553-2025</t>
        </is>
      </c>
      <c r="B4086" s="1" t="n">
        <v>45782</v>
      </c>
      <c r="C4086" s="1" t="n">
        <v>45852</v>
      </c>
      <c r="D4086" t="inlineStr">
        <is>
          <t>VÄSTERNORRLANDS LÄN</t>
        </is>
      </c>
      <c r="E4086" t="inlineStr">
        <is>
          <t>SOLLEFTEÅ</t>
        </is>
      </c>
      <c r="F4086" t="inlineStr">
        <is>
          <t>SCA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21348-2025</t>
        </is>
      </c>
      <c r="B4087" s="1" t="n">
        <v>45782</v>
      </c>
      <c r="C4087" s="1" t="n">
        <v>45852</v>
      </c>
      <c r="D4087" t="inlineStr">
        <is>
          <t>VÄSTERNORRLANDS LÄN</t>
        </is>
      </c>
      <c r="E4087" t="inlineStr">
        <is>
          <t>SOLLEFTEÅ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21481-2025</t>
        </is>
      </c>
      <c r="B4088" s="1" t="n">
        <v>45782</v>
      </c>
      <c r="C4088" s="1" t="n">
        <v>45852</v>
      </c>
      <c r="D4088" t="inlineStr">
        <is>
          <t>VÄSTERNORRLANDS LÄN</t>
        </is>
      </c>
      <c r="E4088" t="inlineStr">
        <is>
          <t>SOLLEFTEÅ</t>
        </is>
      </c>
      <c r="F4088" t="inlineStr">
        <is>
          <t>SCA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21429-2025</t>
        </is>
      </c>
      <c r="B4089" s="1" t="n">
        <v>45782</v>
      </c>
      <c r="C4089" s="1" t="n">
        <v>45852</v>
      </c>
      <c r="D4089" t="inlineStr">
        <is>
          <t>VÄSTERNORRLANDS LÄN</t>
        </is>
      </c>
      <c r="E4089" t="inlineStr">
        <is>
          <t>SOLLEFTEÅ</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21555-2025</t>
        </is>
      </c>
      <c r="B4090" s="1" t="n">
        <v>45782</v>
      </c>
      <c r="C4090" s="1" t="n">
        <v>45852</v>
      </c>
      <c r="D4090" t="inlineStr">
        <is>
          <t>VÄSTERNORRLANDS LÄN</t>
        </is>
      </c>
      <c r="E4090" t="inlineStr">
        <is>
          <t>SOLLEFTEÅ</t>
        </is>
      </c>
      <c r="F4090" t="inlineStr">
        <is>
          <t>SCA</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21564-2025</t>
        </is>
      </c>
      <c r="B4091" s="1" t="n">
        <v>45782</v>
      </c>
      <c r="C4091" s="1" t="n">
        <v>45852</v>
      </c>
      <c r="D4091" t="inlineStr">
        <is>
          <t>VÄSTERNORRLANDS LÄN</t>
        </is>
      </c>
      <c r="E4091" t="inlineStr">
        <is>
          <t>SOLLEFTEÅ</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21455-2025</t>
        </is>
      </c>
      <c r="B4092" s="1" t="n">
        <v>45782</v>
      </c>
      <c r="C4092" s="1" t="n">
        <v>45852</v>
      </c>
      <c r="D4092" t="inlineStr">
        <is>
          <t>VÄSTERNORRLANDS LÄN</t>
        </is>
      </c>
      <c r="E4092" t="inlineStr">
        <is>
          <t>SOLLEFTEÅ</t>
        </is>
      </c>
      <c r="F4092" t="inlineStr">
        <is>
          <t>SCA</t>
        </is>
      </c>
      <c r="G4092" t="n">
        <v>10.5</v>
      </c>
      <c r="H4092" t="n">
        <v>0</v>
      </c>
      <c r="I4092" t="n">
        <v>0</v>
      </c>
      <c r="J4092" t="n">
        <v>0</v>
      </c>
      <c r="K4092" t="n">
        <v>0</v>
      </c>
      <c r="L4092" t="n">
        <v>0</v>
      </c>
      <c r="M4092" t="n">
        <v>0</v>
      </c>
      <c r="N4092" t="n">
        <v>0</v>
      </c>
      <c r="O4092" t="n">
        <v>0</v>
      </c>
      <c r="P4092" t="n">
        <v>0</v>
      </c>
      <c r="Q4092" t="n">
        <v>0</v>
      </c>
      <c r="R4092" s="2" t="inlineStr"/>
    </row>
    <row r="4093" ht="15" customHeight="1">
      <c r="A4093" t="inlineStr">
        <is>
          <t>A 21565-2025</t>
        </is>
      </c>
      <c r="B4093" s="1" t="n">
        <v>45782</v>
      </c>
      <c r="C4093" s="1" t="n">
        <v>45852</v>
      </c>
      <c r="D4093" t="inlineStr">
        <is>
          <t>VÄSTERNORRLANDS LÄN</t>
        </is>
      </c>
      <c r="E4093" t="inlineStr">
        <is>
          <t>SOLLEFTEÅ</t>
        </is>
      </c>
      <c r="F4093" t="inlineStr">
        <is>
          <t>SCA</t>
        </is>
      </c>
      <c r="G4093" t="n">
        <v>17.4</v>
      </c>
      <c r="H4093" t="n">
        <v>0</v>
      </c>
      <c r="I4093" t="n">
        <v>0</v>
      </c>
      <c r="J4093" t="n">
        <v>0</v>
      </c>
      <c r="K4093" t="n">
        <v>0</v>
      </c>
      <c r="L4093" t="n">
        <v>0</v>
      </c>
      <c r="M4093" t="n">
        <v>0</v>
      </c>
      <c r="N4093" t="n">
        <v>0</v>
      </c>
      <c r="O4093" t="n">
        <v>0</v>
      </c>
      <c r="P4093" t="n">
        <v>0</v>
      </c>
      <c r="Q4093" t="n">
        <v>0</v>
      </c>
      <c r="R4093" s="2" t="inlineStr"/>
    </row>
    <row r="4094" ht="15" customHeight="1">
      <c r="A4094" t="inlineStr">
        <is>
          <t>A 21687-2025</t>
        </is>
      </c>
      <c r="B4094" s="1" t="n">
        <v>45783</v>
      </c>
      <c r="C4094" s="1" t="n">
        <v>45852</v>
      </c>
      <c r="D4094" t="inlineStr">
        <is>
          <t>VÄSTERNORRLANDS LÄN</t>
        </is>
      </c>
      <c r="E4094" t="inlineStr">
        <is>
          <t>SOLLEFTEÅ</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21684-2025</t>
        </is>
      </c>
      <c r="B4095" s="1" t="n">
        <v>45783</v>
      </c>
      <c r="C4095" s="1" t="n">
        <v>45852</v>
      </c>
      <c r="D4095" t="inlineStr">
        <is>
          <t>VÄSTERNORRLANDS LÄN</t>
        </is>
      </c>
      <c r="E4095" t="inlineStr">
        <is>
          <t>SOLLEFTEÅ</t>
        </is>
      </c>
      <c r="F4095" t="inlineStr">
        <is>
          <t>SCA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21669-2025</t>
        </is>
      </c>
      <c r="B4096" s="1" t="n">
        <v>45783</v>
      </c>
      <c r="C4096" s="1" t="n">
        <v>45852</v>
      </c>
      <c r="D4096" t="inlineStr">
        <is>
          <t>VÄSTERNORRLANDS LÄN</t>
        </is>
      </c>
      <c r="E4096" t="inlineStr">
        <is>
          <t>SOLLEFTEÅ</t>
        </is>
      </c>
      <c r="F4096" t="inlineStr">
        <is>
          <t>SCA</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21863-2025</t>
        </is>
      </c>
      <c r="B4097" s="1" t="n">
        <v>45784</v>
      </c>
      <c r="C4097" s="1" t="n">
        <v>45852</v>
      </c>
      <c r="D4097" t="inlineStr">
        <is>
          <t>VÄSTERNORRLANDS LÄN</t>
        </is>
      </c>
      <c r="E4097" t="inlineStr">
        <is>
          <t>SOLLEFTEÅ</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21897-2025</t>
        </is>
      </c>
      <c r="B4098" s="1" t="n">
        <v>45784</v>
      </c>
      <c r="C4098" s="1" t="n">
        <v>45852</v>
      </c>
      <c r="D4098" t="inlineStr">
        <is>
          <t>VÄSTERNORRLANDS LÄN</t>
        </is>
      </c>
      <c r="E4098" t="inlineStr">
        <is>
          <t>SOLLEFTEÅ</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21983-2025</t>
        </is>
      </c>
      <c r="B4099" s="1" t="n">
        <v>45784</v>
      </c>
      <c r="C4099" s="1" t="n">
        <v>45852</v>
      </c>
      <c r="D4099" t="inlineStr">
        <is>
          <t>VÄSTERNORRLANDS LÄN</t>
        </is>
      </c>
      <c r="E4099" t="inlineStr">
        <is>
          <t>SOLLEFTEÅ</t>
        </is>
      </c>
      <c r="F4099" t="inlineStr">
        <is>
          <t>SCA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21985-2025</t>
        </is>
      </c>
      <c r="B4100" s="1" t="n">
        <v>45784</v>
      </c>
      <c r="C4100" s="1" t="n">
        <v>45852</v>
      </c>
      <c r="D4100" t="inlineStr">
        <is>
          <t>VÄSTERNORRLANDS LÄN</t>
        </is>
      </c>
      <c r="E4100" t="inlineStr">
        <is>
          <t>SOLLEFTEÅ</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21896-2025</t>
        </is>
      </c>
      <c r="B4101" s="1" t="n">
        <v>45784</v>
      </c>
      <c r="C4101" s="1" t="n">
        <v>45852</v>
      </c>
      <c r="D4101" t="inlineStr">
        <is>
          <t>VÄSTERNORRLANDS LÄN</t>
        </is>
      </c>
      <c r="E4101" t="inlineStr">
        <is>
          <t>SOLLEFTEÅ</t>
        </is>
      </c>
      <c r="G4101" t="n">
        <v>16.1</v>
      </c>
      <c r="H4101" t="n">
        <v>0</v>
      </c>
      <c r="I4101" t="n">
        <v>0</v>
      </c>
      <c r="J4101" t="n">
        <v>0</v>
      </c>
      <c r="K4101" t="n">
        <v>0</v>
      </c>
      <c r="L4101" t="n">
        <v>0</v>
      </c>
      <c r="M4101" t="n">
        <v>0</v>
      </c>
      <c r="N4101" t="n">
        <v>0</v>
      </c>
      <c r="O4101" t="n">
        <v>0</v>
      </c>
      <c r="P4101" t="n">
        <v>0</v>
      </c>
      <c r="Q4101" t="n">
        <v>0</v>
      </c>
      <c r="R4101" s="2" t="inlineStr"/>
    </row>
    <row r="4102" ht="15" customHeight="1">
      <c r="A4102" t="inlineStr">
        <is>
          <t>A 21898-2025</t>
        </is>
      </c>
      <c r="B4102" s="1" t="n">
        <v>45784</v>
      </c>
      <c r="C4102" s="1" t="n">
        <v>45852</v>
      </c>
      <c r="D4102" t="inlineStr">
        <is>
          <t>VÄSTERNORRLANDS LÄN</t>
        </is>
      </c>
      <c r="E4102" t="inlineStr">
        <is>
          <t>SOLLEFTEÅ</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22184-2025</t>
        </is>
      </c>
      <c r="B4103" s="1" t="n">
        <v>45785</v>
      </c>
      <c r="C4103" s="1" t="n">
        <v>45852</v>
      </c>
      <c r="D4103" t="inlineStr">
        <is>
          <t>VÄSTERNORRLANDS LÄN</t>
        </is>
      </c>
      <c r="E4103" t="inlineStr">
        <is>
          <t>SOLLEFTEÅ</t>
        </is>
      </c>
      <c r="F4103" t="inlineStr">
        <is>
          <t>SCA</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22205-2025</t>
        </is>
      </c>
      <c r="B4104" s="1" t="n">
        <v>45785</v>
      </c>
      <c r="C4104" s="1" t="n">
        <v>45852</v>
      </c>
      <c r="D4104" t="inlineStr">
        <is>
          <t>VÄSTERNORRLANDS LÄN</t>
        </is>
      </c>
      <c r="E4104" t="inlineStr">
        <is>
          <t>SOLLEFTEÅ</t>
        </is>
      </c>
      <c r="F4104" t="inlineStr">
        <is>
          <t>SCA</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22215-2025</t>
        </is>
      </c>
      <c r="B4105" s="1" t="n">
        <v>45785</v>
      </c>
      <c r="C4105" s="1" t="n">
        <v>45852</v>
      </c>
      <c r="D4105" t="inlineStr">
        <is>
          <t>VÄSTERNORRLANDS LÄN</t>
        </is>
      </c>
      <c r="E4105" t="inlineStr">
        <is>
          <t>SOLLEFTEÅ</t>
        </is>
      </c>
      <c r="F4105" t="inlineStr">
        <is>
          <t>SCA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22218-2025</t>
        </is>
      </c>
      <c r="B4106" s="1" t="n">
        <v>45785</v>
      </c>
      <c r="C4106" s="1" t="n">
        <v>45852</v>
      </c>
      <c r="D4106" t="inlineStr">
        <is>
          <t>VÄSTERNORRLANDS LÄN</t>
        </is>
      </c>
      <c r="E4106" t="inlineStr">
        <is>
          <t>SOLLEFTEÅ</t>
        </is>
      </c>
      <c r="F4106" t="inlineStr">
        <is>
          <t>SCA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22036-2025</t>
        </is>
      </c>
      <c r="B4107" s="1" t="n">
        <v>45785</v>
      </c>
      <c r="C4107" s="1" t="n">
        <v>45852</v>
      </c>
      <c r="D4107" t="inlineStr">
        <is>
          <t>VÄSTERNORRLANDS LÄN</t>
        </is>
      </c>
      <c r="E4107" t="inlineStr">
        <is>
          <t>SOLLEFTEÅ</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22217-2025</t>
        </is>
      </c>
      <c r="B4108" s="1" t="n">
        <v>45785</v>
      </c>
      <c r="C4108" s="1" t="n">
        <v>45852</v>
      </c>
      <c r="D4108" t="inlineStr">
        <is>
          <t>VÄSTERNORRLANDS LÄN</t>
        </is>
      </c>
      <c r="E4108" t="inlineStr">
        <is>
          <t>SOLLEFTEÅ</t>
        </is>
      </c>
      <c r="F4108" t="inlineStr">
        <is>
          <t>SCA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22046-2025</t>
        </is>
      </c>
      <c r="B4109" s="1" t="n">
        <v>45785</v>
      </c>
      <c r="C4109" s="1" t="n">
        <v>45852</v>
      </c>
      <c r="D4109" t="inlineStr">
        <is>
          <t>VÄSTERNORRLANDS LÄN</t>
        </is>
      </c>
      <c r="E4109" t="inlineStr">
        <is>
          <t>SOLLEFTEÅ</t>
        </is>
      </c>
      <c r="F4109" t="inlineStr">
        <is>
          <t>SCA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22106-2025</t>
        </is>
      </c>
      <c r="B4110" s="1" t="n">
        <v>45785</v>
      </c>
      <c r="C4110" s="1" t="n">
        <v>45852</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22166-2025</t>
        </is>
      </c>
      <c r="B4111" s="1" t="n">
        <v>45785</v>
      </c>
      <c r="C4111" s="1" t="n">
        <v>45852</v>
      </c>
      <c r="D4111" t="inlineStr">
        <is>
          <t>VÄSTERNORRLANDS LÄN</t>
        </is>
      </c>
      <c r="E4111" t="inlineStr">
        <is>
          <t>SOLLEFTEÅ</t>
        </is>
      </c>
      <c r="F4111" t="inlineStr">
        <is>
          <t>SCA</t>
        </is>
      </c>
      <c r="G4111" t="n">
        <v>10.8</v>
      </c>
      <c r="H4111" t="n">
        <v>0</v>
      </c>
      <c r="I4111" t="n">
        <v>0</v>
      </c>
      <c r="J4111" t="n">
        <v>0</v>
      </c>
      <c r="K4111" t="n">
        <v>0</v>
      </c>
      <c r="L4111" t="n">
        <v>0</v>
      </c>
      <c r="M4111" t="n">
        <v>0</v>
      </c>
      <c r="N4111" t="n">
        <v>0</v>
      </c>
      <c r="O4111" t="n">
        <v>0</v>
      </c>
      <c r="P4111" t="n">
        <v>0</v>
      </c>
      <c r="Q4111" t="n">
        <v>0</v>
      </c>
      <c r="R4111" s="2" t="inlineStr"/>
    </row>
    <row r="4112" ht="15" customHeight="1">
      <c r="A4112" t="inlineStr">
        <is>
          <t>A 22255-2025</t>
        </is>
      </c>
      <c r="B4112" s="1" t="n">
        <v>45785</v>
      </c>
      <c r="C4112" s="1" t="n">
        <v>45852</v>
      </c>
      <c r="D4112" t="inlineStr">
        <is>
          <t>VÄSTERNORRLANDS LÄN</t>
        </is>
      </c>
      <c r="E4112" t="inlineStr">
        <is>
          <t>SOLLEFTEÅ</t>
        </is>
      </c>
      <c r="F4112" t="inlineStr">
        <is>
          <t>SCA</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22182-2025</t>
        </is>
      </c>
      <c r="B4113" s="1" t="n">
        <v>45785</v>
      </c>
      <c r="C4113" s="1" t="n">
        <v>45852</v>
      </c>
      <c r="D4113" t="inlineStr">
        <is>
          <t>VÄSTERNORRLANDS LÄN</t>
        </is>
      </c>
      <c r="E4113" t="inlineStr">
        <is>
          <t>SOLLEFTEÅ</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22207-2025</t>
        </is>
      </c>
      <c r="B4114" s="1" t="n">
        <v>45785</v>
      </c>
      <c r="C4114" s="1" t="n">
        <v>45852</v>
      </c>
      <c r="D4114" t="inlineStr">
        <is>
          <t>VÄSTERNORRLANDS LÄN</t>
        </is>
      </c>
      <c r="E4114" t="inlineStr">
        <is>
          <t>SOLLEFTEÅ</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22211-2025</t>
        </is>
      </c>
      <c r="B4115" s="1" t="n">
        <v>45785</v>
      </c>
      <c r="C4115" s="1" t="n">
        <v>45852</v>
      </c>
      <c r="D4115" t="inlineStr">
        <is>
          <t>VÄSTERNORRLANDS LÄN</t>
        </is>
      </c>
      <c r="E4115" t="inlineStr">
        <is>
          <t>SOLLEFTEÅ</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22287-2025</t>
        </is>
      </c>
      <c r="B4116" s="1" t="n">
        <v>45786</v>
      </c>
      <c r="C4116" s="1" t="n">
        <v>45852</v>
      </c>
      <c r="D4116" t="inlineStr">
        <is>
          <t>VÄSTERNORRLANDS LÄN</t>
        </is>
      </c>
      <c r="E4116" t="inlineStr">
        <is>
          <t>SOLLEFTEÅ</t>
        </is>
      </c>
      <c r="F4116" t="inlineStr">
        <is>
          <t>SCA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22390-2025</t>
        </is>
      </c>
      <c r="B4117" s="1" t="n">
        <v>45786</v>
      </c>
      <c r="C4117" s="1" t="n">
        <v>45852</v>
      </c>
      <c r="D4117" t="inlineStr">
        <is>
          <t>VÄSTERNORRLANDS LÄN</t>
        </is>
      </c>
      <c r="E4117" t="inlineStr">
        <is>
          <t>SOLLEFTEÅ</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22391-2025</t>
        </is>
      </c>
      <c r="B4118" s="1" t="n">
        <v>45786</v>
      </c>
      <c r="C4118" s="1" t="n">
        <v>45852</v>
      </c>
      <c r="D4118" t="inlineStr">
        <is>
          <t>VÄSTERNORRLANDS LÄN</t>
        </is>
      </c>
      <c r="E4118" t="inlineStr">
        <is>
          <t>SOLLEFTEÅ</t>
        </is>
      </c>
      <c r="G4118" t="n">
        <v>11.6</v>
      </c>
      <c r="H4118" t="n">
        <v>0</v>
      </c>
      <c r="I4118" t="n">
        <v>0</v>
      </c>
      <c r="J4118" t="n">
        <v>0</v>
      </c>
      <c r="K4118" t="n">
        <v>0</v>
      </c>
      <c r="L4118" t="n">
        <v>0</v>
      </c>
      <c r="M4118" t="n">
        <v>0</v>
      </c>
      <c r="N4118" t="n">
        <v>0</v>
      </c>
      <c r="O4118" t="n">
        <v>0</v>
      </c>
      <c r="P4118" t="n">
        <v>0</v>
      </c>
      <c r="Q4118" t="n">
        <v>0</v>
      </c>
      <c r="R4118" s="2" t="inlineStr"/>
    </row>
    <row r="4119" ht="15" customHeight="1">
      <c r="A4119" t="inlineStr">
        <is>
          <t>A 22446-2025</t>
        </is>
      </c>
      <c r="B4119" s="1" t="n">
        <v>45786</v>
      </c>
      <c r="C4119" s="1" t="n">
        <v>45852</v>
      </c>
      <c r="D4119" t="inlineStr">
        <is>
          <t>VÄSTERNORRLANDS LÄN</t>
        </is>
      </c>
      <c r="E4119" t="inlineStr">
        <is>
          <t>SOLLEFTEÅ</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22514-2025</t>
        </is>
      </c>
      <c r="B4120" s="1" t="n">
        <v>45786</v>
      </c>
      <c r="C4120" s="1" t="n">
        <v>45852</v>
      </c>
      <c r="D4120" t="inlineStr">
        <is>
          <t>VÄSTERNORRLANDS LÄN</t>
        </is>
      </c>
      <c r="E4120" t="inlineStr">
        <is>
          <t>SOLLEFTEÅ</t>
        </is>
      </c>
      <c r="F4120" t="inlineStr">
        <is>
          <t>SCA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22444-2025</t>
        </is>
      </c>
      <c r="B4121" s="1" t="n">
        <v>45786</v>
      </c>
      <c r="C4121" s="1" t="n">
        <v>45852</v>
      </c>
      <c r="D4121" t="inlineStr">
        <is>
          <t>VÄSTERNORRLANDS LÄN</t>
        </is>
      </c>
      <c r="E4121" t="inlineStr">
        <is>
          <t>SOLLEFTEÅ</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22569-2025</t>
        </is>
      </c>
      <c r="B4122" s="1" t="n">
        <v>45789</v>
      </c>
      <c r="C4122" s="1" t="n">
        <v>45852</v>
      </c>
      <c r="D4122" t="inlineStr">
        <is>
          <t>VÄSTERNORRLANDS LÄN</t>
        </is>
      </c>
      <c r="E4122" t="inlineStr">
        <is>
          <t>SOLLEFTEÅ</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22767-2025</t>
        </is>
      </c>
      <c r="B4123" s="1" t="n">
        <v>45789</v>
      </c>
      <c r="C4123" s="1" t="n">
        <v>45852</v>
      </c>
      <c r="D4123" t="inlineStr">
        <is>
          <t>VÄSTERNORRLANDS LÄN</t>
        </is>
      </c>
      <c r="E4123" t="inlineStr">
        <is>
          <t>SOLLEFTEÅ</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22810-2025</t>
        </is>
      </c>
      <c r="B4124" s="1" t="n">
        <v>45789</v>
      </c>
      <c r="C4124" s="1" t="n">
        <v>45852</v>
      </c>
      <c r="D4124" t="inlineStr">
        <is>
          <t>VÄSTERNORRLANDS LÄN</t>
        </is>
      </c>
      <c r="E4124" t="inlineStr">
        <is>
          <t>SOLLEFTEÅ</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22694-2025</t>
        </is>
      </c>
      <c r="B4125" s="1" t="n">
        <v>45789</v>
      </c>
      <c r="C4125" s="1" t="n">
        <v>45852</v>
      </c>
      <c r="D4125" t="inlineStr">
        <is>
          <t>VÄSTERNORRLANDS LÄN</t>
        </is>
      </c>
      <c r="E4125" t="inlineStr">
        <is>
          <t>SOLLEFTEÅ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22815-2025</t>
        </is>
      </c>
      <c r="B4126" s="1" t="n">
        <v>45789</v>
      </c>
      <c r="C4126" s="1" t="n">
        <v>45852</v>
      </c>
      <c r="D4126" t="inlineStr">
        <is>
          <t>VÄSTERNORRLANDS LÄN</t>
        </is>
      </c>
      <c r="E4126" t="inlineStr">
        <is>
          <t>SOLLEFTEÅ</t>
        </is>
      </c>
      <c r="F4126" t="inlineStr">
        <is>
          <t>SCA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22803-2025</t>
        </is>
      </c>
      <c r="B4127" s="1" t="n">
        <v>45789</v>
      </c>
      <c r="C4127" s="1" t="n">
        <v>45852</v>
      </c>
      <c r="D4127" t="inlineStr">
        <is>
          <t>VÄSTERNORRLANDS LÄN</t>
        </is>
      </c>
      <c r="E4127" t="inlineStr">
        <is>
          <t>SOLLEFTEÅ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22704-2025</t>
        </is>
      </c>
      <c r="B4128" s="1" t="n">
        <v>45789</v>
      </c>
      <c r="C4128" s="1" t="n">
        <v>45852</v>
      </c>
      <c r="D4128" t="inlineStr">
        <is>
          <t>VÄSTERNORRLANDS LÄN</t>
        </is>
      </c>
      <c r="E4128" t="inlineStr">
        <is>
          <t>SOLLEFTEÅ</t>
        </is>
      </c>
      <c r="F4128" t="inlineStr">
        <is>
          <t>SCA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22615-2025</t>
        </is>
      </c>
      <c r="B4129" s="1" t="n">
        <v>45789</v>
      </c>
      <c r="C4129" s="1" t="n">
        <v>45852</v>
      </c>
      <c r="D4129" t="inlineStr">
        <is>
          <t>VÄSTERNORRLANDS LÄN</t>
        </is>
      </c>
      <c r="E4129" t="inlineStr">
        <is>
          <t>SOLLEFTEÅ</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22562-2025</t>
        </is>
      </c>
      <c r="B4130" s="1" t="n">
        <v>45789</v>
      </c>
      <c r="C4130" s="1" t="n">
        <v>45852</v>
      </c>
      <c r="D4130" t="inlineStr">
        <is>
          <t>VÄSTERNORRLANDS LÄN</t>
        </is>
      </c>
      <c r="E4130" t="inlineStr">
        <is>
          <t>SOLLEFTEÅ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22737-2025</t>
        </is>
      </c>
      <c r="B4131" s="1" t="n">
        <v>45789</v>
      </c>
      <c r="C4131" s="1" t="n">
        <v>45852</v>
      </c>
      <c r="D4131" t="inlineStr">
        <is>
          <t>VÄSTERNORRLANDS LÄN</t>
        </is>
      </c>
      <c r="E4131" t="inlineStr">
        <is>
          <t>SOLLEFTEÅ</t>
        </is>
      </c>
      <c r="G4131" t="n">
        <v>15.6</v>
      </c>
      <c r="H4131" t="n">
        <v>0</v>
      </c>
      <c r="I4131" t="n">
        <v>0</v>
      </c>
      <c r="J4131" t="n">
        <v>0</v>
      </c>
      <c r="K4131" t="n">
        <v>0</v>
      </c>
      <c r="L4131" t="n">
        <v>0</v>
      </c>
      <c r="M4131" t="n">
        <v>0</v>
      </c>
      <c r="N4131" t="n">
        <v>0</v>
      </c>
      <c r="O4131" t="n">
        <v>0</v>
      </c>
      <c r="P4131" t="n">
        <v>0</v>
      </c>
      <c r="Q4131" t="n">
        <v>0</v>
      </c>
      <c r="R4131" s="2" t="inlineStr"/>
    </row>
    <row r="4132" ht="15" customHeight="1">
      <c r="A4132" t="inlineStr">
        <is>
          <t>A 22853-2025</t>
        </is>
      </c>
      <c r="B4132" s="1" t="n">
        <v>45790</v>
      </c>
      <c r="C4132" s="1" t="n">
        <v>45852</v>
      </c>
      <c r="D4132" t="inlineStr">
        <is>
          <t>VÄSTERNORRLANDS LÄN</t>
        </is>
      </c>
      <c r="E4132" t="inlineStr">
        <is>
          <t>SOLLEFTEÅ</t>
        </is>
      </c>
      <c r="F4132" t="inlineStr">
        <is>
          <t>SCA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22854-2025</t>
        </is>
      </c>
      <c r="B4133" s="1" t="n">
        <v>45790</v>
      </c>
      <c r="C4133" s="1" t="n">
        <v>45852</v>
      </c>
      <c r="D4133" t="inlineStr">
        <is>
          <t>VÄSTERNORRLANDS LÄN</t>
        </is>
      </c>
      <c r="E4133" t="inlineStr">
        <is>
          <t>SOLLEFTEÅ</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23025-2025</t>
        </is>
      </c>
      <c r="B4134" s="1" t="n">
        <v>45790</v>
      </c>
      <c r="C4134" s="1" t="n">
        <v>45852</v>
      </c>
      <c r="D4134" t="inlineStr">
        <is>
          <t>VÄSTERNORRLANDS LÄN</t>
        </is>
      </c>
      <c r="E4134" t="inlineStr">
        <is>
          <t>SOLLEFTEÅ</t>
        </is>
      </c>
      <c r="F4134" t="inlineStr">
        <is>
          <t>SCA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22866-2025</t>
        </is>
      </c>
      <c r="B4135" s="1" t="n">
        <v>45790</v>
      </c>
      <c r="C4135" s="1" t="n">
        <v>45852</v>
      </c>
      <c r="D4135" t="inlineStr">
        <is>
          <t>VÄSTERNORRLANDS LÄN</t>
        </is>
      </c>
      <c r="E4135" t="inlineStr">
        <is>
          <t>SOLLEFTEÅ</t>
        </is>
      </c>
      <c r="F4135" t="inlineStr">
        <is>
          <t>SCA</t>
        </is>
      </c>
      <c r="G4135" t="n">
        <v>16.2</v>
      </c>
      <c r="H4135" t="n">
        <v>0</v>
      </c>
      <c r="I4135" t="n">
        <v>0</v>
      </c>
      <c r="J4135" t="n">
        <v>0</v>
      </c>
      <c r="K4135" t="n">
        <v>0</v>
      </c>
      <c r="L4135" t="n">
        <v>0</v>
      </c>
      <c r="M4135" t="n">
        <v>0</v>
      </c>
      <c r="N4135" t="n">
        <v>0</v>
      </c>
      <c r="O4135" t="n">
        <v>0</v>
      </c>
      <c r="P4135" t="n">
        <v>0</v>
      </c>
      <c r="Q4135" t="n">
        <v>0</v>
      </c>
      <c r="R4135" s="2" t="inlineStr"/>
    </row>
    <row r="4136" ht="15" customHeight="1">
      <c r="A4136" t="inlineStr">
        <is>
          <t>A 23345-2025</t>
        </is>
      </c>
      <c r="B4136" s="1" t="n">
        <v>45791</v>
      </c>
      <c r="C4136" s="1" t="n">
        <v>45852</v>
      </c>
      <c r="D4136" t="inlineStr">
        <is>
          <t>VÄSTERNORRLANDS LÄN</t>
        </is>
      </c>
      <c r="E4136" t="inlineStr">
        <is>
          <t>SOLLEFTEÅ</t>
        </is>
      </c>
      <c r="F4136" t="inlineStr">
        <is>
          <t>SCA</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23090-2025</t>
        </is>
      </c>
      <c r="B4137" s="1" t="n">
        <v>45791</v>
      </c>
      <c r="C4137" s="1" t="n">
        <v>45852</v>
      </c>
      <c r="D4137" t="inlineStr">
        <is>
          <t>VÄSTERNORRLANDS LÄN</t>
        </is>
      </c>
      <c r="E4137" t="inlineStr">
        <is>
          <t>SOLLEFTEÅ</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23160-2025</t>
        </is>
      </c>
      <c r="B4138" s="1" t="n">
        <v>45791</v>
      </c>
      <c r="C4138" s="1" t="n">
        <v>45852</v>
      </c>
      <c r="D4138" t="inlineStr">
        <is>
          <t>VÄSTERNORRLANDS LÄN</t>
        </is>
      </c>
      <c r="E4138" t="inlineStr">
        <is>
          <t>SOLLEFTEÅ</t>
        </is>
      </c>
      <c r="F4138" t="inlineStr">
        <is>
          <t>SCA</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23347-2025</t>
        </is>
      </c>
      <c r="B4139" s="1" t="n">
        <v>45791</v>
      </c>
      <c r="C4139" s="1" t="n">
        <v>45852</v>
      </c>
      <c r="D4139" t="inlineStr">
        <is>
          <t>VÄSTERNORRLANDS LÄN</t>
        </is>
      </c>
      <c r="E4139" t="inlineStr">
        <is>
          <t>SOLLEFTEÅ</t>
        </is>
      </c>
      <c r="F4139" t="inlineStr">
        <is>
          <t>SCA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23339-2025</t>
        </is>
      </c>
      <c r="B4140" s="1" t="n">
        <v>45791</v>
      </c>
      <c r="C4140" s="1" t="n">
        <v>45852</v>
      </c>
      <c r="D4140" t="inlineStr">
        <is>
          <t>VÄSTERNORRLANDS LÄN</t>
        </is>
      </c>
      <c r="E4140" t="inlineStr">
        <is>
          <t>SOLLEFTEÅ</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23542-2025</t>
        </is>
      </c>
      <c r="B4141" s="1" t="n">
        <v>45792</v>
      </c>
      <c r="C4141" s="1" t="n">
        <v>45852</v>
      </c>
      <c r="D4141" t="inlineStr">
        <is>
          <t>VÄSTERNORRLANDS LÄN</t>
        </is>
      </c>
      <c r="E4141" t="inlineStr">
        <is>
          <t>SOLLEFTEÅ</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23564-2025</t>
        </is>
      </c>
      <c r="B4142" s="1" t="n">
        <v>45792</v>
      </c>
      <c r="C4142" s="1" t="n">
        <v>45852</v>
      </c>
      <c r="D4142" t="inlineStr">
        <is>
          <t>VÄSTERNORRLANDS LÄN</t>
        </is>
      </c>
      <c r="E4142" t="inlineStr">
        <is>
          <t>SOLLEFTEÅ</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23515-2025</t>
        </is>
      </c>
      <c r="B4143" s="1" t="n">
        <v>45792</v>
      </c>
      <c r="C4143" s="1" t="n">
        <v>45852</v>
      </c>
      <c r="D4143" t="inlineStr">
        <is>
          <t>VÄSTERNORRLANDS LÄN</t>
        </is>
      </c>
      <c r="E4143" t="inlineStr">
        <is>
          <t>SOLLEFTEÅ</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23633-2025</t>
        </is>
      </c>
      <c r="B4144" s="1" t="n">
        <v>45792</v>
      </c>
      <c r="C4144" s="1" t="n">
        <v>45852</v>
      </c>
      <c r="D4144" t="inlineStr">
        <is>
          <t>VÄSTERNORRLANDS LÄN</t>
        </is>
      </c>
      <c r="E4144" t="inlineStr">
        <is>
          <t>SOLLEFTEÅ</t>
        </is>
      </c>
      <c r="F4144" t="inlineStr">
        <is>
          <t>SCA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23409-2025</t>
        </is>
      </c>
      <c r="B4145" s="1" t="n">
        <v>45792</v>
      </c>
      <c r="C4145" s="1" t="n">
        <v>45852</v>
      </c>
      <c r="D4145" t="inlineStr">
        <is>
          <t>VÄSTERNORRLANDS LÄN</t>
        </is>
      </c>
      <c r="E4145" t="inlineStr">
        <is>
          <t>SOLLEFTEÅ</t>
        </is>
      </c>
      <c r="F4145" t="inlineStr">
        <is>
          <t>SCA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23478-2025</t>
        </is>
      </c>
      <c r="B4146" s="1" t="n">
        <v>45792</v>
      </c>
      <c r="C4146" s="1" t="n">
        <v>45852</v>
      </c>
      <c r="D4146" t="inlineStr">
        <is>
          <t>VÄSTERNORRLANDS LÄN</t>
        </is>
      </c>
      <c r="E4146" t="inlineStr">
        <is>
          <t>SOLLEFTEÅ</t>
        </is>
      </c>
      <c r="F4146" t="inlineStr">
        <is>
          <t>Holmen skog AB</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23522-2025</t>
        </is>
      </c>
      <c r="B4147" s="1" t="n">
        <v>45792</v>
      </c>
      <c r="C4147" s="1" t="n">
        <v>45852</v>
      </c>
      <c r="D4147" t="inlineStr">
        <is>
          <t>VÄSTERNORRLANDS LÄN</t>
        </is>
      </c>
      <c r="E4147" t="inlineStr">
        <is>
          <t>SOLLEFTEÅ</t>
        </is>
      </c>
      <c r="F4147" t="inlineStr">
        <is>
          <t>Holmen skog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23634-2025</t>
        </is>
      </c>
      <c r="B4148" s="1" t="n">
        <v>45792</v>
      </c>
      <c r="C4148" s="1" t="n">
        <v>45852</v>
      </c>
      <c r="D4148" t="inlineStr">
        <is>
          <t>VÄSTERNORRLANDS LÄN</t>
        </is>
      </c>
      <c r="E4148" t="inlineStr">
        <is>
          <t>SOLLEFTEÅ</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23871-2025</t>
        </is>
      </c>
      <c r="B4149" s="1" t="n">
        <v>45793</v>
      </c>
      <c r="C4149" s="1" t="n">
        <v>45852</v>
      </c>
      <c r="D4149" t="inlineStr">
        <is>
          <t>VÄSTERNORRLANDS LÄN</t>
        </is>
      </c>
      <c r="E4149" t="inlineStr">
        <is>
          <t>SOLLEFTEÅ</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23734-2025</t>
        </is>
      </c>
      <c r="B4150" s="1" t="n">
        <v>45793</v>
      </c>
      <c r="C4150" s="1" t="n">
        <v>45852</v>
      </c>
      <c r="D4150" t="inlineStr">
        <is>
          <t>VÄSTERNORRLANDS LÄN</t>
        </is>
      </c>
      <c r="E4150" t="inlineStr">
        <is>
          <t>SOLLEFTEÅ</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23889-2025</t>
        </is>
      </c>
      <c r="B4151" s="1" t="n">
        <v>45793</v>
      </c>
      <c r="C4151" s="1" t="n">
        <v>45852</v>
      </c>
      <c r="D4151" t="inlineStr">
        <is>
          <t>VÄSTERNORRLANDS LÄN</t>
        </is>
      </c>
      <c r="E4151" t="inlineStr">
        <is>
          <t>SOLLEFTEÅ</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23735-2025</t>
        </is>
      </c>
      <c r="B4152" s="1" t="n">
        <v>45793</v>
      </c>
      <c r="C4152" s="1" t="n">
        <v>45852</v>
      </c>
      <c r="D4152" t="inlineStr">
        <is>
          <t>VÄSTERNORRLANDS LÄN</t>
        </is>
      </c>
      <c r="E4152" t="inlineStr">
        <is>
          <t>SOLLEFTEÅ</t>
        </is>
      </c>
      <c r="F4152" t="inlineStr">
        <is>
          <t>SCA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23738-2025</t>
        </is>
      </c>
      <c r="B4153" s="1" t="n">
        <v>45793</v>
      </c>
      <c r="C4153" s="1" t="n">
        <v>45852</v>
      </c>
      <c r="D4153" t="inlineStr">
        <is>
          <t>VÄSTERNORRLANDS LÄN</t>
        </is>
      </c>
      <c r="E4153" t="inlineStr">
        <is>
          <t>SOLLEFTEÅ</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23997-2025</t>
        </is>
      </c>
      <c r="B4154" s="1" t="n">
        <v>45796</v>
      </c>
      <c r="C4154" s="1" t="n">
        <v>45852</v>
      </c>
      <c r="D4154" t="inlineStr">
        <is>
          <t>VÄSTERNORRLANDS LÄN</t>
        </is>
      </c>
      <c r="E4154" t="inlineStr">
        <is>
          <t>SOLLEFTEÅ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23977-2025</t>
        </is>
      </c>
      <c r="B4155" s="1" t="n">
        <v>45796</v>
      </c>
      <c r="C4155" s="1" t="n">
        <v>45852</v>
      </c>
      <c r="D4155" t="inlineStr">
        <is>
          <t>VÄSTERNORRLANDS LÄN</t>
        </is>
      </c>
      <c r="E4155" t="inlineStr">
        <is>
          <t>SOLLEFTEÅ</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23974-2025</t>
        </is>
      </c>
      <c r="B4156" s="1" t="n">
        <v>45796</v>
      </c>
      <c r="C4156" s="1" t="n">
        <v>45852</v>
      </c>
      <c r="D4156" t="inlineStr">
        <is>
          <t>VÄSTERNORRLANDS LÄN</t>
        </is>
      </c>
      <c r="E4156" t="inlineStr">
        <is>
          <t>SOLLEFTEÅ</t>
        </is>
      </c>
      <c r="F4156" t="inlineStr">
        <is>
          <t>SCA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24393-2025</t>
        </is>
      </c>
      <c r="B4157" s="1" t="n">
        <v>45797</v>
      </c>
      <c r="C4157" s="1" t="n">
        <v>45852</v>
      </c>
      <c r="D4157" t="inlineStr">
        <is>
          <t>VÄSTERNORRLANDS LÄN</t>
        </is>
      </c>
      <c r="E4157" t="inlineStr">
        <is>
          <t>SOLLEFTEÅ</t>
        </is>
      </c>
      <c r="F4157" t="inlineStr">
        <is>
          <t>SCA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24420-2025</t>
        </is>
      </c>
      <c r="B4158" s="1" t="n">
        <v>45797</v>
      </c>
      <c r="C4158" s="1" t="n">
        <v>45852</v>
      </c>
      <c r="D4158" t="inlineStr">
        <is>
          <t>VÄSTERNORRLANDS LÄN</t>
        </is>
      </c>
      <c r="E4158" t="inlineStr">
        <is>
          <t>SOLLEFTEÅ</t>
        </is>
      </c>
      <c r="F4158" t="inlineStr">
        <is>
          <t>SCA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24530-2025</t>
        </is>
      </c>
      <c r="B4159" s="1" t="n">
        <v>45798</v>
      </c>
      <c r="C4159" s="1" t="n">
        <v>45852</v>
      </c>
      <c r="D4159" t="inlineStr">
        <is>
          <t>VÄSTERNORRLANDS LÄN</t>
        </is>
      </c>
      <c r="E4159" t="inlineStr">
        <is>
          <t>SOLLEFTEÅ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24693-2025</t>
        </is>
      </c>
      <c r="B4160" s="1" t="n">
        <v>45798</v>
      </c>
      <c r="C4160" s="1" t="n">
        <v>45852</v>
      </c>
      <c r="D4160" t="inlineStr">
        <is>
          <t>VÄSTERNORRLANDS LÄN</t>
        </is>
      </c>
      <c r="E4160" t="inlineStr">
        <is>
          <t>SOLLEFTEÅ</t>
        </is>
      </c>
      <c r="F4160" t="inlineStr">
        <is>
          <t>SCA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24532-2025</t>
        </is>
      </c>
      <c r="B4161" s="1" t="n">
        <v>45798</v>
      </c>
      <c r="C4161" s="1" t="n">
        <v>45852</v>
      </c>
      <c r="D4161" t="inlineStr">
        <is>
          <t>VÄSTERNORRLANDS LÄN</t>
        </is>
      </c>
      <c r="E4161" t="inlineStr">
        <is>
          <t>SOLLEFTEÅ</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24488-2025</t>
        </is>
      </c>
      <c r="B4162" s="1" t="n">
        <v>45798</v>
      </c>
      <c r="C4162" s="1" t="n">
        <v>45852</v>
      </c>
      <c r="D4162" t="inlineStr">
        <is>
          <t>VÄSTERNORRLANDS LÄN</t>
        </is>
      </c>
      <c r="E4162" t="inlineStr">
        <is>
          <t>SOLLEFTEÅ</t>
        </is>
      </c>
      <c r="F4162" t="inlineStr">
        <is>
          <t>SCA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24531-2025</t>
        </is>
      </c>
      <c r="B4163" s="1" t="n">
        <v>45798</v>
      </c>
      <c r="C4163" s="1" t="n">
        <v>45852</v>
      </c>
      <c r="D4163" t="inlineStr">
        <is>
          <t>VÄSTERNORRLANDS LÄN</t>
        </is>
      </c>
      <c r="E4163" t="inlineStr">
        <is>
          <t>SOLLEFTEÅ</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24552-2025</t>
        </is>
      </c>
      <c r="B4164" s="1" t="n">
        <v>45798</v>
      </c>
      <c r="C4164" s="1" t="n">
        <v>45852</v>
      </c>
      <c r="D4164" t="inlineStr">
        <is>
          <t>VÄSTERNORRLANDS LÄN</t>
        </is>
      </c>
      <c r="E4164" t="inlineStr">
        <is>
          <t>SOLLEFTEÅ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24787-2025</t>
        </is>
      </c>
      <c r="B4165" s="1" t="n">
        <v>45799</v>
      </c>
      <c r="C4165" s="1" t="n">
        <v>45852</v>
      </c>
      <c r="D4165" t="inlineStr">
        <is>
          <t>VÄSTERNORRLANDS LÄN</t>
        </is>
      </c>
      <c r="E4165" t="inlineStr">
        <is>
          <t>SOLLEFTEÅ</t>
        </is>
      </c>
      <c r="F4165" t="inlineStr">
        <is>
          <t>SCA</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24730-2025</t>
        </is>
      </c>
      <c r="B4166" s="1" t="n">
        <v>45799</v>
      </c>
      <c r="C4166" s="1" t="n">
        <v>45852</v>
      </c>
      <c r="D4166" t="inlineStr">
        <is>
          <t>VÄSTERNORRLANDS LÄN</t>
        </is>
      </c>
      <c r="E4166" t="inlineStr">
        <is>
          <t>SOLLEFTEÅ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24759-2025</t>
        </is>
      </c>
      <c r="B4167" s="1" t="n">
        <v>45799</v>
      </c>
      <c r="C4167" s="1" t="n">
        <v>45852</v>
      </c>
      <c r="D4167" t="inlineStr">
        <is>
          <t>VÄSTERNORRLANDS LÄN</t>
        </is>
      </c>
      <c r="E4167" t="inlineStr">
        <is>
          <t>SOLLEFTEÅ</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24760-2025</t>
        </is>
      </c>
      <c r="B4168" s="1" t="n">
        <v>45799</v>
      </c>
      <c r="C4168" s="1" t="n">
        <v>45852</v>
      </c>
      <c r="D4168" t="inlineStr">
        <is>
          <t>VÄSTERNORRLANDS LÄN</t>
        </is>
      </c>
      <c r="E4168" t="inlineStr">
        <is>
          <t>SOLLEFTEÅ</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25313-2025</t>
        </is>
      </c>
      <c r="B4169" s="1" t="n">
        <v>45799</v>
      </c>
      <c r="C4169" s="1" t="n">
        <v>45852</v>
      </c>
      <c r="D4169" t="inlineStr">
        <is>
          <t>VÄSTERNORRLANDS LÄN</t>
        </is>
      </c>
      <c r="E4169" t="inlineStr">
        <is>
          <t>SOLLEFTEÅ</t>
        </is>
      </c>
      <c r="F4169" t="inlineStr">
        <is>
          <t>Kommuner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25181-2025</t>
        </is>
      </c>
      <c r="B4170" s="1" t="n">
        <v>45800</v>
      </c>
      <c r="C4170" s="1" t="n">
        <v>45852</v>
      </c>
      <c r="D4170" t="inlineStr">
        <is>
          <t>VÄSTERNORRLANDS LÄN</t>
        </is>
      </c>
      <c r="E4170" t="inlineStr">
        <is>
          <t>SOLLEFTEÅ</t>
        </is>
      </c>
      <c r="G4170" t="n">
        <v>15.6</v>
      </c>
      <c r="H4170" t="n">
        <v>0</v>
      </c>
      <c r="I4170" t="n">
        <v>0</v>
      </c>
      <c r="J4170" t="n">
        <v>0</v>
      </c>
      <c r="K4170" t="n">
        <v>0</v>
      </c>
      <c r="L4170" t="n">
        <v>0</v>
      </c>
      <c r="M4170" t="n">
        <v>0</v>
      </c>
      <c r="N4170" t="n">
        <v>0</v>
      </c>
      <c r="O4170" t="n">
        <v>0</v>
      </c>
      <c r="P4170" t="n">
        <v>0</v>
      </c>
      <c r="Q4170" t="n">
        <v>0</v>
      </c>
      <c r="R4170" s="2" t="inlineStr"/>
    </row>
    <row r="4171" ht="15" customHeight="1">
      <c r="A4171" t="inlineStr">
        <is>
          <t>A 25243-2025</t>
        </is>
      </c>
      <c r="B4171" s="1" t="n">
        <v>45800</v>
      </c>
      <c r="C4171" s="1" t="n">
        <v>45852</v>
      </c>
      <c r="D4171" t="inlineStr">
        <is>
          <t>VÄSTERNORRLANDS LÄN</t>
        </is>
      </c>
      <c r="E4171" t="inlineStr">
        <is>
          <t>SOLLEFTEÅ</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25297-2025</t>
        </is>
      </c>
      <c r="B4172" s="1" t="n">
        <v>45800</v>
      </c>
      <c r="C4172" s="1" t="n">
        <v>45852</v>
      </c>
      <c r="D4172" t="inlineStr">
        <is>
          <t>VÄSTERNORRLANDS LÄN</t>
        </is>
      </c>
      <c r="E4172" t="inlineStr">
        <is>
          <t>SOLLEFTEÅ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25207-2025</t>
        </is>
      </c>
      <c r="B4173" s="1" t="n">
        <v>45800</v>
      </c>
      <c r="C4173" s="1" t="n">
        <v>45852</v>
      </c>
      <c r="D4173" t="inlineStr">
        <is>
          <t>VÄSTERNORRLANDS LÄN</t>
        </is>
      </c>
      <c r="E4173" t="inlineStr">
        <is>
          <t>SOLLEFTEÅ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25238-2025</t>
        </is>
      </c>
      <c r="B4174" s="1" t="n">
        <v>45800</v>
      </c>
      <c r="C4174" s="1" t="n">
        <v>45852</v>
      </c>
      <c r="D4174" t="inlineStr">
        <is>
          <t>VÄSTERNORRLANDS LÄN</t>
        </is>
      </c>
      <c r="E4174" t="inlineStr">
        <is>
          <t>SOLLEFTEÅ</t>
        </is>
      </c>
      <c r="F4174" t="inlineStr">
        <is>
          <t>SCA</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25145-2025</t>
        </is>
      </c>
      <c r="B4175" s="1" t="n">
        <v>45800</v>
      </c>
      <c r="C4175" s="1" t="n">
        <v>45852</v>
      </c>
      <c r="D4175" t="inlineStr">
        <is>
          <t>VÄSTERNORRLANDS LÄN</t>
        </is>
      </c>
      <c r="E4175" t="inlineStr">
        <is>
          <t>SOLLEFTEÅ</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25132-2025</t>
        </is>
      </c>
      <c r="B4176" s="1" t="n">
        <v>45800</v>
      </c>
      <c r="C4176" s="1" t="n">
        <v>45852</v>
      </c>
      <c r="D4176" t="inlineStr">
        <is>
          <t>VÄSTERNORRLANDS LÄN</t>
        </is>
      </c>
      <c r="E4176" t="inlineStr">
        <is>
          <t>SOLLEFTEÅ</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25242-2025</t>
        </is>
      </c>
      <c r="B4177" s="1" t="n">
        <v>45800</v>
      </c>
      <c r="C4177" s="1" t="n">
        <v>45852</v>
      </c>
      <c r="D4177" t="inlineStr">
        <is>
          <t>VÄSTERNORRLANDS LÄN</t>
        </is>
      </c>
      <c r="E4177" t="inlineStr">
        <is>
          <t>SOLLEFTEÅ</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25517-2025</t>
        </is>
      </c>
      <c r="B4178" s="1" t="n">
        <v>45803</v>
      </c>
      <c r="C4178" s="1" t="n">
        <v>45852</v>
      </c>
      <c r="D4178" t="inlineStr">
        <is>
          <t>VÄSTERNORRLANDS LÄN</t>
        </is>
      </c>
      <c r="E4178" t="inlineStr">
        <is>
          <t>SOLLEFTEÅ</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25903-2025</t>
        </is>
      </c>
      <c r="B4179" s="1" t="n">
        <v>45804</v>
      </c>
      <c r="C4179" s="1" t="n">
        <v>45852</v>
      </c>
      <c r="D4179" t="inlineStr">
        <is>
          <t>VÄSTERNORRLANDS LÄN</t>
        </is>
      </c>
      <c r="E4179" t="inlineStr">
        <is>
          <t>SOLLEFTEÅ</t>
        </is>
      </c>
      <c r="F4179" t="inlineStr">
        <is>
          <t>SCA</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25939-2025</t>
        </is>
      </c>
      <c r="B4180" s="1" t="n">
        <v>45804</v>
      </c>
      <c r="C4180" s="1" t="n">
        <v>45852</v>
      </c>
      <c r="D4180" t="inlineStr">
        <is>
          <t>VÄSTERNORRLANDS LÄN</t>
        </is>
      </c>
      <c r="E4180" t="inlineStr">
        <is>
          <t>SOLLEFTEÅ</t>
        </is>
      </c>
      <c r="F4180" t="inlineStr">
        <is>
          <t>SCA</t>
        </is>
      </c>
      <c r="G4180" t="n">
        <v>11.3</v>
      </c>
      <c r="H4180" t="n">
        <v>0</v>
      </c>
      <c r="I4180" t="n">
        <v>0</v>
      </c>
      <c r="J4180" t="n">
        <v>0</v>
      </c>
      <c r="K4180" t="n">
        <v>0</v>
      </c>
      <c r="L4180" t="n">
        <v>0</v>
      </c>
      <c r="M4180" t="n">
        <v>0</v>
      </c>
      <c r="N4180" t="n">
        <v>0</v>
      </c>
      <c r="O4180" t="n">
        <v>0</v>
      </c>
      <c r="P4180" t="n">
        <v>0</v>
      </c>
      <c r="Q4180" t="n">
        <v>0</v>
      </c>
      <c r="R4180" s="2" t="inlineStr"/>
    </row>
    <row r="4181" ht="15" customHeight="1">
      <c r="A4181" t="inlineStr">
        <is>
          <t>A 25943-2025</t>
        </is>
      </c>
      <c r="B4181" s="1" t="n">
        <v>45804</v>
      </c>
      <c r="C4181" s="1" t="n">
        <v>45852</v>
      </c>
      <c r="D4181" t="inlineStr">
        <is>
          <t>VÄSTERNORRLANDS LÄN</t>
        </is>
      </c>
      <c r="E4181" t="inlineStr">
        <is>
          <t>SOLLEFTEÅ</t>
        </is>
      </c>
      <c r="F4181" t="inlineStr">
        <is>
          <t>SCA</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25854-2025</t>
        </is>
      </c>
      <c r="B4182" s="1" t="n">
        <v>45804</v>
      </c>
      <c r="C4182" s="1" t="n">
        <v>45852</v>
      </c>
      <c r="D4182" t="inlineStr">
        <is>
          <t>VÄSTERNORRLANDS LÄN</t>
        </is>
      </c>
      <c r="E4182" t="inlineStr">
        <is>
          <t>SOLLEFTEÅ</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25855-2025</t>
        </is>
      </c>
      <c r="B4183" s="1" t="n">
        <v>45804</v>
      </c>
      <c r="C4183" s="1" t="n">
        <v>45852</v>
      </c>
      <c r="D4183" t="inlineStr">
        <is>
          <t>VÄSTERNORRLANDS LÄN</t>
        </is>
      </c>
      <c r="E4183" t="inlineStr">
        <is>
          <t>SOLLEFTEÅ</t>
        </is>
      </c>
      <c r="F4183" t="inlineStr">
        <is>
          <t>SCA</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25963-2025</t>
        </is>
      </c>
      <c r="B4184" s="1" t="n">
        <v>45804</v>
      </c>
      <c r="C4184" s="1" t="n">
        <v>45852</v>
      </c>
      <c r="D4184" t="inlineStr">
        <is>
          <t>VÄSTERNORRLANDS LÄN</t>
        </is>
      </c>
      <c r="E4184" t="inlineStr">
        <is>
          <t>SOLLEFTEÅ</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25790-2025</t>
        </is>
      </c>
      <c r="B4185" s="1" t="n">
        <v>45804</v>
      </c>
      <c r="C4185" s="1" t="n">
        <v>45852</v>
      </c>
      <c r="D4185" t="inlineStr">
        <is>
          <t>VÄSTERNORRLANDS LÄN</t>
        </is>
      </c>
      <c r="E4185" t="inlineStr">
        <is>
          <t>SOLLEFTEÅ</t>
        </is>
      </c>
      <c r="F4185" t="inlineStr">
        <is>
          <t>SCA</t>
        </is>
      </c>
      <c r="G4185" t="n">
        <v>10.9</v>
      </c>
      <c r="H4185" t="n">
        <v>0</v>
      </c>
      <c r="I4185" t="n">
        <v>0</v>
      </c>
      <c r="J4185" t="n">
        <v>0</v>
      </c>
      <c r="K4185" t="n">
        <v>0</v>
      </c>
      <c r="L4185" t="n">
        <v>0</v>
      </c>
      <c r="M4185" t="n">
        <v>0</v>
      </c>
      <c r="N4185" t="n">
        <v>0</v>
      </c>
      <c r="O4185" t="n">
        <v>0</v>
      </c>
      <c r="P4185" t="n">
        <v>0</v>
      </c>
      <c r="Q4185" t="n">
        <v>0</v>
      </c>
      <c r="R4185" s="2" t="inlineStr"/>
    </row>
    <row r="4186" ht="15" customHeight="1">
      <c r="A4186" t="inlineStr">
        <is>
          <t>A 26019-2025</t>
        </is>
      </c>
      <c r="B4186" s="1" t="n">
        <v>45804</v>
      </c>
      <c r="C4186" s="1" t="n">
        <v>45852</v>
      </c>
      <c r="D4186" t="inlineStr">
        <is>
          <t>VÄSTERNORRLANDS LÄN</t>
        </is>
      </c>
      <c r="E4186" t="inlineStr">
        <is>
          <t>SOLLEFTEÅ</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25833-2025</t>
        </is>
      </c>
      <c r="B4187" s="1" t="n">
        <v>45804</v>
      </c>
      <c r="C4187" s="1" t="n">
        <v>45852</v>
      </c>
      <c r="D4187" t="inlineStr">
        <is>
          <t>VÄSTERNORRLANDS LÄN</t>
        </is>
      </c>
      <c r="E4187" t="inlineStr">
        <is>
          <t>SOLLEFTEÅ</t>
        </is>
      </c>
      <c r="F4187" t="inlineStr">
        <is>
          <t>SCA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25856-2025</t>
        </is>
      </c>
      <c r="B4188" s="1" t="n">
        <v>45804</v>
      </c>
      <c r="C4188" s="1" t="n">
        <v>45852</v>
      </c>
      <c r="D4188" t="inlineStr">
        <is>
          <t>VÄSTERNORRLANDS LÄN</t>
        </is>
      </c>
      <c r="E4188" t="inlineStr">
        <is>
          <t>SOLLEFTEÅ</t>
        </is>
      </c>
      <c r="F4188" t="inlineStr">
        <is>
          <t>SCA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25857-2025</t>
        </is>
      </c>
      <c r="B4189" s="1" t="n">
        <v>45804</v>
      </c>
      <c r="C4189" s="1" t="n">
        <v>45852</v>
      </c>
      <c r="D4189" t="inlineStr">
        <is>
          <t>VÄSTERNORRLANDS LÄN</t>
        </is>
      </c>
      <c r="E4189" t="inlineStr">
        <is>
          <t>SOLLEFTEÅ</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26014-2025</t>
        </is>
      </c>
      <c r="B4190" s="1" t="n">
        <v>45804</v>
      </c>
      <c r="C4190" s="1" t="n">
        <v>45852</v>
      </c>
      <c r="D4190" t="inlineStr">
        <is>
          <t>VÄSTERNORRLANDS LÄN</t>
        </is>
      </c>
      <c r="E4190" t="inlineStr">
        <is>
          <t>SOLLEFTEÅ</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25945-2025</t>
        </is>
      </c>
      <c r="B4191" s="1" t="n">
        <v>45804</v>
      </c>
      <c r="C4191" s="1" t="n">
        <v>45852</v>
      </c>
      <c r="D4191" t="inlineStr">
        <is>
          <t>VÄSTERNORRLANDS LÄN</t>
        </is>
      </c>
      <c r="E4191" t="inlineStr">
        <is>
          <t>SOLLEFTEÅ</t>
        </is>
      </c>
      <c r="F4191" t="inlineStr">
        <is>
          <t>SCA</t>
        </is>
      </c>
      <c r="G4191" t="n">
        <v>9</v>
      </c>
      <c r="H4191" t="n">
        <v>0</v>
      </c>
      <c r="I4191" t="n">
        <v>0</v>
      </c>
      <c r="J4191" t="n">
        <v>0</v>
      </c>
      <c r="K4191" t="n">
        <v>0</v>
      </c>
      <c r="L4191" t="n">
        <v>0</v>
      </c>
      <c r="M4191" t="n">
        <v>0</v>
      </c>
      <c r="N4191" t="n">
        <v>0</v>
      </c>
      <c r="O4191" t="n">
        <v>0</v>
      </c>
      <c r="P4191" t="n">
        <v>0</v>
      </c>
      <c r="Q4191" t="n">
        <v>0</v>
      </c>
      <c r="R4191" s="2" t="inlineStr"/>
    </row>
    <row r="4192" ht="15" customHeight="1">
      <c r="A4192" t="inlineStr">
        <is>
          <t>A 26338-2025</t>
        </is>
      </c>
      <c r="B4192" s="1" t="n">
        <v>45805</v>
      </c>
      <c r="C4192" s="1" t="n">
        <v>45852</v>
      </c>
      <c r="D4192" t="inlineStr">
        <is>
          <t>VÄSTERNORRLANDS LÄN</t>
        </is>
      </c>
      <c r="E4192" t="inlineStr">
        <is>
          <t>SOLLEFTEÅ</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26088-2025</t>
        </is>
      </c>
      <c r="B4193" s="1" t="n">
        <v>45805</v>
      </c>
      <c r="C4193" s="1" t="n">
        <v>45852</v>
      </c>
      <c r="D4193" t="inlineStr">
        <is>
          <t>VÄSTERNORRLANDS LÄN</t>
        </is>
      </c>
      <c r="E4193" t="inlineStr">
        <is>
          <t>SOLLEFTEÅ</t>
        </is>
      </c>
      <c r="F4193" t="inlineStr">
        <is>
          <t>SCA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26341-2025</t>
        </is>
      </c>
      <c r="B4194" s="1" t="n">
        <v>45805</v>
      </c>
      <c r="C4194" s="1" t="n">
        <v>45852</v>
      </c>
      <c r="D4194" t="inlineStr">
        <is>
          <t>VÄSTERNORRLANDS LÄN</t>
        </is>
      </c>
      <c r="E4194" t="inlineStr">
        <is>
          <t>SOLLEFTEÅ</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26409-2025</t>
        </is>
      </c>
      <c r="B4195" s="1" t="n">
        <v>45807</v>
      </c>
      <c r="C4195" s="1" t="n">
        <v>45852</v>
      </c>
      <c r="D4195" t="inlineStr">
        <is>
          <t>VÄSTERNORRLANDS LÄN</t>
        </is>
      </c>
      <c r="E4195" t="inlineStr">
        <is>
          <t>SOLLEFTEÅ</t>
        </is>
      </c>
      <c r="F4195" t="inlineStr">
        <is>
          <t>SCA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26477-2025</t>
        </is>
      </c>
      <c r="B4196" s="1" t="n">
        <v>45807</v>
      </c>
      <c r="C4196" s="1" t="n">
        <v>45852</v>
      </c>
      <c r="D4196" t="inlineStr">
        <is>
          <t>VÄSTERNORRLANDS LÄN</t>
        </is>
      </c>
      <c r="E4196" t="inlineStr">
        <is>
          <t>SOLLEFTEÅ</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26570-2025</t>
        </is>
      </c>
      <c r="B4197" s="1" t="n">
        <v>45807</v>
      </c>
      <c r="C4197" s="1" t="n">
        <v>45852</v>
      </c>
      <c r="D4197" t="inlineStr">
        <is>
          <t>VÄSTERNORRLANDS LÄN</t>
        </is>
      </c>
      <c r="E4197" t="inlineStr">
        <is>
          <t>SOLLEFTEÅ</t>
        </is>
      </c>
      <c r="F4197" t="inlineStr">
        <is>
          <t>SCA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26478-2025</t>
        </is>
      </c>
      <c r="B4198" s="1" t="n">
        <v>45807</v>
      </c>
      <c r="C4198" s="1" t="n">
        <v>45852</v>
      </c>
      <c r="D4198" t="inlineStr">
        <is>
          <t>VÄSTERNORRLANDS LÄN</t>
        </is>
      </c>
      <c r="E4198" t="inlineStr">
        <is>
          <t>SOLLEFTEÅ</t>
        </is>
      </c>
      <c r="F4198" t="inlineStr">
        <is>
          <t>SCA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26426-2025</t>
        </is>
      </c>
      <c r="B4199" s="1" t="n">
        <v>45807</v>
      </c>
      <c r="C4199" s="1" t="n">
        <v>45852</v>
      </c>
      <c r="D4199" t="inlineStr">
        <is>
          <t>VÄSTERNORRLANDS LÄN</t>
        </is>
      </c>
      <c r="E4199" t="inlineStr">
        <is>
          <t>SOLLEFTEÅ</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26641-2025</t>
        </is>
      </c>
      <c r="B4200" s="1" t="n">
        <v>45810</v>
      </c>
      <c r="C4200" s="1" t="n">
        <v>45852</v>
      </c>
      <c r="D4200" t="inlineStr">
        <is>
          <t>VÄSTERNORRLANDS LÄN</t>
        </is>
      </c>
      <c r="E4200" t="inlineStr">
        <is>
          <t>SOLLEFTEÅ</t>
        </is>
      </c>
      <c r="F4200" t="inlineStr">
        <is>
          <t>SCA</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26733-2025</t>
        </is>
      </c>
      <c r="B4201" s="1" t="n">
        <v>45810</v>
      </c>
      <c r="C4201" s="1" t="n">
        <v>45852</v>
      </c>
      <c r="D4201" t="inlineStr">
        <is>
          <t>VÄSTERNORRLANDS LÄN</t>
        </is>
      </c>
      <c r="E4201" t="inlineStr">
        <is>
          <t>SOLLEFTEÅ</t>
        </is>
      </c>
      <c r="F4201" t="inlineStr">
        <is>
          <t>SCA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26642-2025</t>
        </is>
      </c>
      <c r="B4202" s="1" t="n">
        <v>45810</v>
      </c>
      <c r="C4202" s="1" t="n">
        <v>45852</v>
      </c>
      <c r="D4202" t="inlineStr">
        <is>
          <t>VÄSTERNORRLANDS LÄN</t>
        </is>
      </c>
      <c r="E4202" t="inlineStr">
        <is>
          <t>SOLLEFTEÅ</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26937-2025</t>
        </is>
      </c>
      <c r="B4203" s="1" t="n">
        <v>45811</v>
      </c>
      <c r="C4203" s="1" t="n">
        <v>45852</v>
      </c>
      <c r="D4203" t="inlineStr">
        <is>
          <t>VÄSTERNORRLANDS LÄN</t>
        </is>
      </c>
      <c r="E4203" t="inlineStr">
        <is>
          <t>SOLLEFTEÅ</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26953-2025</t>
        </is>
      </c>
      <c r="B4204" s="1" t="n">
        <v>45811</v>
      </c>
      <c r="C4204" s="1" t="n">
        <v>45852</v>
      </c>
      <c r="D4204" t="inlineStr">
        <is>
          <t>VÄSTERNORRLANDS LÄN</t>
        </is>
      </c>
      <c r="E4204" t="inlineStr">
        <is>
          <t>SOLLEFTEÅ</t>
        </is>
      </c>
      <c r="F4204" t="inlineStr">
        <is>
          <t>SCA</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26921-2025</t>
        </is>
      </c>
      <c r="B4205" s="1" t="n">
        <v>45811</v>
      </c>
      <c r="C4205" s="1" t="n">
        <v>45852</v>
      </c>
      <c r="D4205" t="inlineStr">
        <is>
          <t>VÄSTERNORRLANDS LÄN</t>
        </is>
      </c>
      <c r="E4205" t="inlineStr">
        <is>
          <t>SOLLEFTEÅ</t>
        </is>
      </c>
      <c r="F4205" t="inlineStr">
        <is>
          <t>SCA</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26952-2025</t>
        </is>
      </c>
      <c r="B4206" s="1" t="n">
        <v>45811</v>
      </c>
      <c r="C4206" s="1" t="n">
        <v>45852</v>
      </c>
      <c r="D4206" t="inlineStr">
        <is>
          <t>VÄSTERNORRLANDS LÄN</t>
        </is>
      </c>
      <c r="E4206" t="inlineStr">
        <is>
          <t>SOLLEFTEÅ</t>
        </is>
      </c>
      <c r="F4206" t="inlineStr">
        <is>
          <t>SCA</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26916-2025</t>
        </is>
      </c>
      <c r="B4207" s="1" t="n">
        <v>45811</v>
      </c>
      <c r="C4207" s="1" t="n">
        <v>45852</v>
      </c>
      <c r="D4207" t="inlineStr">
        <is>
          <t>VÄSTERNORRLANDS LÄN</t>
        </is>
      </c>
      <c r="E4207" t="inlineStr">
        <is>
          <t>SOLLEFTEÅ</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26896-2025</t>
        </is>
      </c>
      <c r="B4208" s="1" t="n">
        <v>45811</v>
      </c>
      <c r="C4208" s="1" t="n">
        <v>45852</v>
      </c>
      <c r="D4208" t="inlineStr">
        <is>
          <t>VÄSTERNORRLANDS LÄN</t>
        </is>
      </c>
      <c r="E4208" t="inlineStr">
        <is>
          <t>SOLLEFTEÅ</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26935-2025</t>
        </is>
      </c>
      <c r="B4209" s="1" t="n">
        <v>45811</v>
      </c>
      <c r="C4209" s="1" t="n">
        <v>45852</v>
      </c>
      <c r="D4209" t="inlineStr">
        <is>
          <t>VÄSTERNORRLANDS LÄN</t>
        </is>
      </c>
      <c r="E4209" t="inlineStr">
        <is>
          <t>SOLLEFTEÅ</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26938-2025</t>
        </is>
      </c>
      <c r="B4210" s="1" t="n">
        <v>45811</v>
      </c>
      <c r="C4210" s="1" t="n">
        <v>45852</v>
      </c>
      <c r="D4210" t="inlineStr">
        <is>
          <t>VÄSTERNORRLANDS LÄN</t>
        </is>
      </c>
      <c r="E4210" t="inlineStr">
        <is>
          <t>SOLLEFTEÅ</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27045-2025</t>
        </is>
      </c>
      <c r="B4211" s="1" t="n">
        <v>45811</v>
      </c>
      <c r="C4211" s="1" t="n">
        <v>45852</v>
      </c>
      <c r="D4211" t="inlineStr">
        <is>
          <t>VÄSTERNORRLANDS LÄN</t>
        </is>
      </c>
      <c r="E4211" t="inlineStr">
        <is>
          <t>SOLLEFTEÅ</t>
        </is>
      </c>
      <c r="F4211" t="inlineStr">
        <is>
          <t>SCA</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27288-2025</t>
        </is>
      </c>
      <c r="B4212" s="1" t="n">
        <v>45812</v>
      </c>
      <c r="C4212" s="1" t="n">
        <v>45852</v>
      </c>
      <c r="D4212" t="inlineStr">
        <is>
          <t>VÄSTERNORRLANDS LÄN</t>
        </is>
      </c>
      <c r="E4212" t="inlineStr">
        <is>
          <t>SOLLEFTEÅ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27407-2025</t>
        </is>
      </c>
      <c r="B4213" s="1" t="n">
        <v>45812</v>
      </c>
      <c r="C4213" s="1" t="n">
        <v>45852</v>
      </c>
      <c r="D4213" t="inlineStr">
        <is>
          <t>VÄSTERNORRLANDS LÄN</t>
        </is>
      </c>
      <c r="E4213" t="inlineStr">
        <is>
          <t>SOLLEFTEÅ</t>
        </is>
      </c>
      <c r="G4213" t="n">
        <v>23.2</v>
      </c>
      <c r="H4213" t="n">
        <v>0</v>
      </c>
      <c r="I4213" t="n">
        <v>0</v>
      </c>
      <c r="J4213" t="n">
        <v>0</v>
      </c>
      <c r="K4213" t="n">
        <v>0</v>
      </c>
      <c r="L4213" t="n">
        <v>0</v>
      </c>
      <c r="M4213" t="n">
        <v>0</v>
      </c>
      <c r="N4213" t="n">
        <v>0</v>
      </c>
      <c r="O4213" t="n">
        <v>0</v>
      </c>
      <c r="P4213" t="n">
        <v>0</v>
      </c>
      <c r="Q4213" t="n">
        <v>0</v>
      </c>
      <c r="R4213" s="2" t="inlineStr"/>
    </row>
    <row r="4214" ht="15" customHeight="1">
      <c r="A4214" t="inlineStr">
        <is>
          <t>A 27167-2025</t>
        </is>
      </c>
      <c r="B4214" s="1" t="n">
        <v>45812</v>
      </c>
      <c r="C4214" s="1" t="n">
        <v>45852</v>
      </c>
      <c r="D4214" t="inlineStr">
        <is>
          <t>VÄSTERNORRLANDS LÄN</t>
        </is>
      </c>
      <c r="E4214" t="inlineStr">
        <is>
          <t>SOLLEFTEÅ</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27142-2025</t>
        </is>
      </c>
      <c r="B4215" s="1" t="n">
        <v>45812</v>
      </c>
      <c r="C4215" s="1" t="n">
        <v>45852</v>
      </c>
      <c r="D4215" t="inlineStr">
        <is>
          <t>VÄSTERNORRLANDS LÄN</t>
        </is>
      </c>
      <c r="E4215" t="inlineStr">
        <is>
          <t>SOLLEFTEÅ</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27592-2025</t>
        </is>
      </c>
      <c r="B4216" s="1" t="n">
        <v>45813</v>
      </c>
      <c r="C4216" s="1" t="n">
        <v>45852</v>
      </c>
      <c r="D4216" t="inlineStr">
        <is>
          <t>VÄSTERNORRLANDS LÄN</t>
        </is>
      </c>
      <c r="E4216" t="inlineStr">
        <is>
          <t>SOLLEFTEÅ</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27427-2025</t>
        </is>
      </c>
      <c r="B4217" s="1" t="n">
        <v>45813</v>
      </c>
      <c r="C4217" s="1" t="n">
        <v>45852</v>
      </c>
      <c r="D4217" t="inlineStr">
        <is>
          <t>VÄSTERNORRLANDS LÄN</t>
        </is>
      </c>
      <c r="E4217" t="inlineStr">
        <is>
          <t>SOLLEFTEÅ</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27660-2025</t>
        </is>
      </c>
      <c r="B4218" s="1" t="n">
        <v>45813</v>
      </c>
      <c r="C4218" s="1" t="n">
        <v>45852</v>
      </c>
      <c r="D4218" t="inlineStr">
        <is>
          <t>VÄSTERNORRLANDS LÄN</t>
        </is>
      </c>
      <c r="E4218" t="inlineStr">
        <is>
          <t>SOLLEFTEÅ</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27519-2025</t>
        </is>
      </c>
      <c r="B4219" s="1" t="n">
        <v>45813</v>
      </c>
      <c r="C4219" s="1" t="n">
        <v>45852</v>
      </c>
      <c r="D4219" t="inlineStr">
        <is>
          <t>VÄSTERNORRLANDS LÄN</t>
        </is>
      </c>
      <c r="E4219" t="inlineStr">
        <is>
          <t>SOLLEFTEÅ</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27748-2025</t>
        </is>
      </c>
      <c r="B4220" s="1" t="n">
        <v>45815</v>
      </c>
      <c r="C4220" s="1" t="n">
        <v>45852</v>
      </c>
      <c r="D4220" t="inlineStr">
        <is>
          <t>VÄSTERNORRLANDS LÄN</t>
        </is>
      </c>
      <c r="E4220" t="inlineStr">
        <is>
          <t>SOLLEFTEÅ</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27956-2025</t>
        </is>
      </c>
      <c r="B4221" s="1" t="n">
        <v>45817</v>
      </c>
      <c r="C4221" s="1" t="n">
        <v>45852</v>
      </c>
      <c r="D4221" t="inlineStr">
        <is>
          <t>VÄSTERNORRLANDS LÄN</t>
        </is>
      </c>
      <c r="E4221" t="inlineStr">
        <is>
          <t>SOLLEFTEÅ</t>
        </is>
      </c>
      <c r="F4221" t="inlineStr">
        <is>
          <t>Holmen skog AB</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27822-2025</t>
        </is>
      </c>
      <c r="B4222" s="1" t="n">
        <v>45817</v>
      </c>
      <c r="C4222" s="1" t="n">
        <v>45852</v>
      </c>
      <c r="D4222" t="inlineStr">
        <is>
          <t>VÄSTERNORRLANDS LÄN</t>
        </is>
      </c>
      <c r="E4222" t="inlineStr">
        <is>
          <t>SOLLEFTEÅ</t>
        </is>
      </c>
      <c r="F4222" t="inlineStr">
        <is>
          <t>SCA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28142-2025</t>
        </is>
      </c>
      <c r="B4223" s="1" t="n">
        <v>45818</v>
      </c>
      <c r="C4223" s="1" t="n">
        <v>45852</v>
      </c>
      <c r="D4223" t="inlineStr">
        <is>
          <t>VÄSTERNORRLANDS LÄN</t>
        </is>
      </c>
      <c r="E4223" t="inlineStr">
        <is>
          <t>SOLLEFTEÅ</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28140-2025</t>
        </is>
      </c>
      <c r="B4224" s="1" t="n">
        <v>45818</v>
      </c>
      <c r="C4224" s="1" t="n">
        <v>45852</v>
      </c>
      <c r="D4224" t="inlineStr">
        <is>
          <t>VÄSTERNORRLANDS LÄN</t>
        </is>
      </c>
      <c r="E4224" t="inlineStr">
        <is>
          <t>SOLLEFTEÅ</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28195-2025</t>
        </is>
      </c>
      <c r="B4225" s="1" t="n">
        <v>45818</v>
      </c>
      <c r="C4225" s="1" t="n">
        <v>45852</v>
      </c>
      <c r="D4225" t="inlineStr">
        <is>
          <t>VÄSTERNORRLANDS LÄN</t>
        </is>
      </c>
      <c r="E4225" t="inlineStr">
        <is>
          <t>SOLLEFTEÅ</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28672-2025</t>
        </is>
      </c>
      <c r="B4226" s="1" t="n">
        <v>45819</v>
      </c>
      <c r="C4226" s="1" t="n">
        <v>45852</v>
      </c>
      <c r="D4226" t="inlineStr">
        <is>
          <t>VÄSTERNORRLANDS LÄN</t>
        </is>
      </c>
      <c r="E4226" t="inlineStr">
        <is>
          <t>SOLLEFTEÅ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28698-2025</t>
        </is>
      </c>
      <c r="B4227" s="1" t="n">
        <v>45820</v>
      </c>
      <c r="C4227" s="1" t="n">
        <v>45852</v>
      </c>
      <c r="D4227" t="inlineStr">
        <is>
          <t>VÄSTERNORRLANDS LÄN</t>
        </is>
      </c>
      <c r="E4227" t="inlineStr">
        <is>
          <t>SOLLEFTEÅ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28579-2025</t>
        </is>
      </c>
      <c r="B4228" s="1" t="n">
        <v>45819</v>
      </c>
      <c r="C4228" s="1" t="n">
        <v>45852</v>
      </c>
      <c r="D4228" t="inlineStr">
        <is>
          <t>VÄSTERNORRLANDS LÄN</t>
        </is>
      </c>
      <c r="E4228" t="inlineStr">
        <is>
          <t>SOLLEFTEÅ</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28510-2025</t>
        </is>
      </c>
      <c r="B4229" s="1" t="n">
        <v>45819</v>
      </c>
      <c r="C4229" s="1" t="n">
        <v>45852</v>
      </c>
      <c r="D4229" t="inlineStr">
        <is>
          <t>VÄSTERNORRLANDS LÄN</t>
        </is>
      </c>
      <c r="E4229" t="inlineStr">
        <is>
          <t>SOLLEFTEÅ</t>
        </is>
      </c>
      <c r="G4229" t="n">
        <v>10.4</v>
      </c>
      <c r="H4229" t="n">
        <v>0</v>
      </c>
      <c r="I4229" t="n">
        <v>0</v>
      </c>
      <c r="J4229" t="n">
        <v>0</v>
      </c>
      <c r="K4229" t="n">
        <v>0</v>
      </c>
      <c r="L4229" t="n">
        <v>0</v>
      </c>
      <c r="M4229" t="n">
        <v>0</v>
      </c>
      <c r="N4229" t="n">
        <v>0</v>
      </c>
      <c r="O4229" t="n">
        <v>0</v>
      </c>
      <c r="P4229" t="n">
        <v>0</v>
      </c>
      <c r="Q4229" t="n">
        <v>0</v>
      </c>
      <c r="R4229" s="2" t="inlineStr"/>
    </row>
    <row r="4230" ht="15" customHeight="1">
      <c r="A4230" t="inlineStr">
        <is>
          <t>A 28658-2025</t>
        </is>
      </c>
      <c r="B4230" s="1" t="n">
        <v>45819</v>
      </c>
      <c r="C4230" s="1" t="n">
        <v>45852</v>
      </c>
      <c r="D4230" t="inlineStr">
        <is>
          <t>VÄSTERNORRLANDS LÄN</t>
        </is>
      </c>
      <c r="E4230" t="inlineStr">
        <is>
          <t>SOLLEFTEÅ</t>
        </is>
      </c>
      <c r="F4230" t="inlineStr">
        <is>
          <t>SCA</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28686-2025</t>
        </is>
      </c>
      <c r="B4231" s="1" t="n">
        <v>45819</v>
      </c>
      <c r="C4231" s="1" t="n">
        <v>45852</v>
      </c>
      <c r="D4231" t="inlineStr">
        <is>
          <t>VÄSTERNORRLANDS LÄN</t>
        </is>
      </c>
      <c r="E4231" t="inlineStr">
        <is>
          <t>SOLLEFTEÅ</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28743-2025</t>
        </is>
      </c>
      <c r="B4232" s="1" t="n">
        <v>45820</v>
      </c>
      <c r="C4232" s="1" t="n">
        <v>45852</v>
      </c>
      <c r="D4232" t="inlineStr">
        <is>
          <t>VÄSTERNORRLANDS LÄN</t>
        </is>
      </c>
      <c r="E4232" t="inlineStr">
        <is>
          <t>SOLLEFTEÅ</t>
        </is>
      </c>
      <c r="F4232" t="inlineStr">
        <is>
          <t>SCA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28715-2025</t>
        </is>
      </c>
      <c r="B4233" s="1" t="n">
        <v>45820</v>
      </c>
      <c r="C4233" s="1" t="n">
        <v>45852</v>
      </c>
      <c r="D4233" t="inlineStr">
        <is>
          <t>VÄSTERNORRLANDS LÄN</t>
        </is>
      </c>
      <c r="E4233" t="inlineStr">
        <is>
          <t>SOLLEFTEÅ</t>
        </is>
      </c>
      <c r="F4233" t="inlineStr">
        <is>
          <t>SCA</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28719-2025</t>
        </is>
      </c>
      <c r="B4234" s="1" t="n">
        <v>45820</v>
      </c>
      <c r="C4234" s="1" t="n">
        <v>45852</v>
      </c>
      <c r="D4234" t="inlineStr">
        <is>
          <t>VÄSTERNORRLANDS LÄN</t>
        </is>
      </c>
      <c r="E4234" t="inlineStr">
        <is>
          <t>SOLLEFTEÅ</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28995-2025</t>
        </is>
      </c>
      <c r="B4235" s="1" t="n">
        <v>45821</v>
      </c>
      <c r="C4235" s="1" t="n">
        <v>45852</v>
      </c>
      <c r="D4235" t="inlineStr">
        <is>
          <t>VÄSTERNORRLANDS LÄN</t>
        </is>
      </c>
      <c r="E4235" t="inlineStr">
        <is>
          <t>SOLLEFTEÅ</t>
        </is>
      </c>
      <c r="F4235" t="inlineStr">
        <is>
          <t>SCA</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29011-2025</t>
        </is>
      </c>
      <c r="B4236" s="1" t="n">
        <v>45821</v>
      </c>
      <c r="C4236" s="1" t="n">
        <v>45852</v>
      </c>
      <c r="D4236" t="inlineStr">
        <is>
          <t>VÄSTERNORRLANDS LÄN</t>
        </is>
      </c>
      <c r="E4236" t="inlineStr">
        <is>
          <t>SOLLEFTEÅ</t>
        </is>
      </c>
      <c r="F4236" t="inlineStr">
        <is>
          <t>SCA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29103-2025</t>
        </is>
      </c>
      <c r="B4237" s="1" t="n">
        <v>45821</v>
      </c>
      <c r="C4237" s="1" t="n">
        <v>45852</v>
      </c>
      <c r="D4237" t="inlineStr">
        <is>
          <t>VÄSTERNORRLANDS LÄN</t>
        </is>
      </c>
      <c r="E4237" t="inlineStr">
        <is>
          <t>SOLLEFTEÅ</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29142-2025</t>
        </is>
      </c>
      <c r="B4238" s="1" t="n">
        <v>45821</v>
      </c>
      <c r="C4238" s="1" t="n">
        <v>45852</v>
      </c>
      <c r="D4238" t="inlineStr">
        <is>
          <t>VÄSTERNORRLANDS LÄN</t>
        </is>
      </c>
      <c r="E4238" t="inlineStr">
        <is>
          <t>SOLLEFTEÅ</t>
        </is>
      </c>
      <c r="F4238" t="inlineStr">
        <is>
          <t>SCA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28998-2025</t>
        </is>
      </c>
      <c r="B4239" s="1" t="n">
        <v>45821</v>
      </c>
      <c r="C4239" s="1" t="n">
        <v>45852</v>
      </c>
      <c r="D4239" t="inlineStr">
        <is>
          <t>VÄSTERNORRLANDS LÄN</t>
        </is>
      </c>
      <c r="E4239" t="inlineStr">
        <is>
          <t>SOLLEFTEÅ</t>
        </is>
      </c>
      <c r="F4239" t="inlineStr">
        <is>
          <t>SCA</t>
        </is>
      </c>
      <c r="G4239" t="n">
        <v>14.2</v>
      </c>
      <c r="H4239" t="n">
        <v>0</v>
      </c>
      <c r="I4239" t="n">
        <v>0</v>
      </c>
      <c r="J4239" t="n">
        <v>0</v>
      </c>
      <c r="K4239" t="n">
        <v>0</v>
      </c>
      <c r="L4239" t="n">
        <v>0</v>
      </c>
      <c r="M4239" t="n">
        <v>0</v>
      </c>
      <c r="N4239" t="n">
        <v>0</v>
      </c>
      <c r="O4239" t="n">
        <v>0</v>
      </c>
      <c r="P4239" t="n">
        <v>0</v>
      </c>
      <c r="Q4239" t="n">
        <v>0</v>
      </c>
      <c r="R4239" s="2" t="inlineStr"/>
    </row>
    <row r="4240" ht="15" customHeight="1">
      <c r="A4240" t="inlineStr">
        <is>
          <t>A 29125-2025</t>
        </is>
      </c>
      <c r="B4240" s="1" t="n">
        <v>45821</v>
      </c>
      <c r="C4240" s="1" t="n">
        <v>45852</v>
      </c>
      <c r="D4240" t="inlineStr">
        <is>
          <t>VÄSTERNORRLANDS LÄN</t>
        </is>
      </c>
      <c r="E4240" t="inlineStr">
        <is>
          <t>SOLLEFTEÅ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28993-2025</t>
        </is>
      </c>
      <c r="B4241" s="1" t="n">
        <v>45821</v>
      </c>
      <c r="C4241" s="1" t="n">
        <v>45852</v>
      </c>
      <c r="D4241" t="inlineStr">
        <is>
          <t>VÄSTERNORRLANDS LÄN</t>
        </is>
      </c>
      <c r="E4241" t="inlineStr">
        <is>
          <t>SOLLEFTEÅ</t>
        </is>
      </c>
      <c r="F4241" t="inlineStr">
        <is>
          <t>SCA</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28994-2025</t>
        </is>
      </c>
      <c r="B4242" s="1" t="n">
        <v>45821</v>
      </c>
      <c r="C4242" s="1" t="n">
        <v>45852</v>
      </c>
      <c r="D4242" t="inlineStr">
        <is>
          <t>VÄSTERNORRLANDS LÄN</t>
        </is>
      </c>
      <c r="E4242" t="inlineStr">
        <is>
          <t>SOLLEFTEÅ</t>
        </is>
      </c>
      <c r="F4242" t="inlineStr">
        <is>
          <t>SCA</t>
        </is>
      </c>
      <c r="G4242" t="n">
        <v>10.8</v>
      </c>
      <c r="H4242" t="n">
        <v>0</v>
      </c>
      <c r="I4242" t="n">
        <v>0</v>
      </c>
      <c r="J4242" t="n">
        <v>0</v>
      </c>
      <c r="K4242" t="n">
        <v>0</v>
      </c>
      <c r="L4242" t="n">
        <v>0</v>
      </c>
      <c r="M4242" t="n">
        <v>0</v>
      </c>
      <c r="N4242" t="n">
        <v>0</v>
      </c>
      <c r="O4242" t="n">
        <v>0</v>
      </c>
      <c r="P4242" t="n">
        <v>0</v>
      </c>
      <c r="Q4242" t="n">
        <v>0</v>
      </c>
      <c r="R4242" s="2" t="inlineStr"/>
    </row>
    <row r="4243" ht="15" customHeight="1">
      <c r="A4243" t="inlineStr">
        <is>
          <t>A 29039-2025</t>
        </is>
      </c>
      <c r="B4243" s="1" t="n">
        <v>45821</v>
      </c>
      <c r="C4243" s="1" t="n">
        <v>45852</v>
      </c>
      <c r="D4243" t="inlineStr">
        <is>
          <t>VÄSTERNORRLANDS LÄN</t>
        </is>
      </c>
      <c r="E4243" t="inlineStr">
        <is>
          <t>SOLLEFTEÅ</t>
        </is>
      </c>
      <c r="F4243" t="inlineStr">
        <is>
          <t>SCA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29309-2025</t>
        </is>
      </c>
      <c r="B4244" s="1" t="n">
        <v>45824</v>
      </c>
      <c r="C4244" s="1" t="n">
        <v>45852</v>
      </c>
      <c r="D4244" t="inlineStr">
        <is>
          <t>VÄSTERNORRLANDS LÄN</t>
        </is>
      </c>
      <c r="E4244" t="inlineStr">
        <is>
          <t>SOLLEFTEÅ</t>
        </is>
      </c>
      <c r="F4244" t="inlineStr">
        <is>
          <t>Holmen skog AB</t>
        </is>
      </c>
      <c r="G4244" t="n">
        <v>9.9</v>
      </c>
      <c r="H4244" t="n">
        <v>0</v>
      </c>
      <c r="I4244" t="n">
        <v>0</v>
      </c>
      <c r="J4244" t="n">
        <v>0</v>
      </c>
      <c r="K4244" t="n">
        <v>0</v>
      </c>
      <c r="L4244" t="n">
        <v>0</v>
      </c>
      <c r="M4244" t="n">
        <v>0</v>
      </c>
      <c r="N4244" t="n">
        <v>0</v>
      </c>
      <c r="O4244" t="n">
        <v>0</v>
      </c>
      <c r="P4244" t="n">
        <v>0</v>
      </c>
      <c r="Q4244" t="n">
        <v>0</v>
      </c>
      <c r="R4244" s="2" t="inlineStr"/>
    </row>
    <row r="4245" ht="15" customHeight="1">
      <c r="A4245" t="inlineStr">
        <is>
          <t>A 29435-2025</t>
        </is>
      </c>
      <c r="B4245" s="1" t="n">
        <v>45824</v>
      </c>
      <c r="C4245" s="1" t="n">
        <v>45852</v>
      </c>
      <c r="D4245" t="inlineStr">
        <is>
          <t>VÄSTERNORRLANDS LÄN</t>
        </is>
      </c>
      <c r="E4245" t="inlineStr">
        <is>
          <t>SOLLEFTEÅ</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29436-2025</t>
        </is>
      </c>
      <c r="B4246" s="1" t="n">
        <v>45824</v>
      </c>
      <c r="C4246" s="1" t="n">
        <v>45852</v>
      </c>
      <c r="D4246" t="inlineStr">
        <is>
          <t>VÄSTERNORRLANDS LÄN</t>
        </is>
      </c>
      <c r="E4246" t="inlineStr">
        <is>
          <t>SOLLEFTEÅ</t>
        </is>
      </c>
      <c r="G4246" t="n">
        <v>9.699999999999999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29445-2025</t>
        </is>
      </c>
      <c r="B4247" s="1" t="n">
        <v>45824</v>
      </c>
      <c r="C4247" s="1" t="n">
        <v>45852</v>
      </c>
      <c r="D4247" t="inlineStr">
        <is>
          <t>VÄSTERNORRLANDS LÄN</t>
        </is>
      </c>
      <c r="E4247" t="inlineStr">
        <is>
          <t>SOLLEFTEÅ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29273-2025</t>
        </is>
      </c>
      <c r="B4248" s="1" t="n">
        <v>45824</v>
      </c>
      <c r="C4248" s="1" t="n">
        <v>45852</v>
      </c>
      <c r="D4248" t="inlineStr">
        <is>
          <t>VÄSTERNORRLANDS LÄN</t>
        </is>
      </c>
      <c r="E4248" t="inlineStr">
        <is>
          <t>SOLLEFTEÅ</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29444-2025</t>
        </is>
      </c>
      <c r="B4249" s="1" t="n">
        <v>45824</v>
      </c>
      <c r="C4249" s="1" t="n">
        <v>45852</v>
      </c>
      <c r="D4249" t="inlineStr">
        <is>
          <t>VÄSTERNORRLANDS LÄN</t>
        </is>
      </c>
      <c r="E4249" t="inlineStr">
        <is>
          <t>SOLLEFTEÅ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29535-2025</t>
        </is>
      </c>
      <c r="B4250" s="1" t="n">
        <v>45825</v>
      </c>
      <c r="C4250" s="1" t="n">
        <v>45852</v>
      </c>
      <c r="D4250" t="inlineStr">
        <is>
          <t>VÄSTERNORRLANDS LÄN</t>
        </is>
      </c>
      <c r="E4250" t="inlineStr">
        <is>
          <t>SOLLEFTEÅ</t>
        </is>
      </c>
      <c r="F4250" t="inlineStr">
        <is>
          <t>SCA</t>
        </is>
      </c>
      <c r="G4250" t="n">
        <v>20.6</v>
      </c>
      <c r="H4250" t="n">
        <v>0</v>
      </c>
      <c r="I4250" t="n">
        <v>0</v>
      </c>
      <c r="J4250" t="n">
        <v>0</v>
      </c>
      <c r="K4250" t="n">
        <v>0</v>
      </c>
      <c r="L4250" t="n">
        <v>0</v>
      </c>
      <c r="M4250" t="n">
        <v>0</v>
      </c>
      <c r="N4250" t="n">
        <v>0</v>
      </c>
      <c r="O4250" t="n">
        <v>0</v>
      </c>
      <c r="P4250" t="n">
        <v>0</v>
      </c>
      <c r="Q4250" t="n">
        <v>0</v>
      </c>
      <c r="R4250" s="2" t="inlineStr"/>
    </row>
    <row r="4251" ht="15" customHeight="1">
      <c r="A4251" t="inlineStr">
        <is>
          <t>A 29761-2025</t>
        </is>
      </c>
      <c r="B4251" s="1" t="n">
        <v>45825</v>
      </c>
      <c r="C4251" s="1" t="n">
        <v>45852</v>
      </c>
      <c r="D4251" t="inlineStr">
        <is>
          <t>VÄSTERNORRLANDS LÄN</t>
        </is>
      </c>
      <c r="E4251" t="inlineStr">
        <is>
          <t>SOLLEFTEÅ</t>
        </is>
      </c>
      <c r="F4251" t="inlineStr">
        <is>
          <t>SCA</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29769-2025</t>
        </is>
      </c>
      <c r="B4252" s="1" t="n">
        <v>45825</v>
      </c>
      <c r="C4252" s="1" t="n">
        <v>45852</v>
      </c>
      <c r="D4252" t="inlineStr">
        <is>
          <t>VÄSTERNORRLANDS LÄN</t>
        </is>
      </c>
      <c r="E4252" t="inlineStr">
        <is>
          <t>SOLLEFTEÅ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29793-2025</t>
        </is>
      </c>
      <c r="B4253" s="1" t="n">
        <v>45825</v>
      </c>
      <c r="C4253" s="1" t="n">
        <v>45852</v>
      </c>
      <c r="D4253" t="inlineStr">
        <is>
          <t>VÄSTERNORRLANDS LÄN</t>
        </is>
      </c>
      <c r="E4253" t="inlineStr">
        <is>
          <t>SOLLEFTEÅ</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29760-2025</t>
        </is>
      </c>
      <c r="B4254" s="1" t="n">
        <v>45825</v>
      </c>
      <c r="C4254" s="1" t="n">
        <v>45852</v>
      </c>
      <c r="D4254" t="inlineStr">
        <is>
          <t>VÄSTERNORRLANDS LÄN</t>
        </is>
      </c>
      <c r="E4254" t="inlineStr">
        <is>
          <t>SOLLEFTEÅ</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29762-2025</t>
        </is>
      </c>
      <c r="B4255" s="1" t="n">
        <v>45825</v>
      </c>
      <c r="C4255" s="1" t="n">
        <v>45852</v>
      </c>
      <c r="D4255" t="inlineStr">
        <is>
          <t>VÄSTERNORRLANDS LÄN</t>
        </is>
      </c>
      <c r="E4255" t="inlineStr">
        <is>
          <t>SOLLEFTEÅ</t>
        </is>
      </c>
      <c r="F4255" t="inlineStr">
        <is>
          <t>SCA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29759-2025</t>
        </is>
      </c>
      <c r="B4256" s="1" t="n">
        <v>45825</v>
      </c>
      <c r="C4256" s="1" t="n">
        <v>45852</v>
      </c>
      <c r="D4256" t="inlineStr">
        <is>
          <t>VÄSTERNORRLANDS LÄN</t>
        </is>
      </c>
      <c r="E4256" t="inlineStr">
        <is>
          <t>SOLLEFTEÅ</t>
        </is>
      </c>
      <c r="F4256" t="inlineStr">
        <is>
          <t>SCA</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29562-2025</t>
        </is>
      </c>
      <c r="B4257" s="1" t="n">
        <v>45825</v>
      </c>
      <c r="C4257" s="1" t="n">
        <v>45852</v>
      </c>
      <c r="D4257" t="inlineStr">
        <is>
          <t>VÄSTERNORRLANDS LÄN</t>
        </is>
      </c>
      <c r="E4257" t="inlineStr">
        <is>
          <t>SOLLEFTEÅ</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29883-2025</t>
        </is>
      </c>
      <c r="B4258" s="1" t="n">
        <v>45826</v>
      </c>
      <c r="C4258" s="1" t="n">
        <v>45852</v>
      </c>
      <c r="D4258" t="inlineStr">
        <is>
          <t>VÄSTERNORRLANDS LÄN</t>
        </is>
      </c>
      <c r="E4258" t="inlineStr">
        <is>
          <t>SOLLEFTEÅ</t>
        </is>
      </c>
      <c r="F4258" t="inlineStr">
        <is>
          <t>SCA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29884-2025</t>
        </is>
      </c>
      <c r="B4259" s="1" t="n">
        <v>45826</v>
      </c>
      <c r="C4259" s="1" t="n">
        <v>45852</v>
      </c>
      <c r="D4259" t="inlineStr">
        <is>
          <t>VÄSTERNORRLANDS LÄN</t>
        </is>
      </c>
      <c r="E4259" t="inlineStr">
        <is>
          <t>SOLLEFTEÅ</t>
        </is>
      </c>
      <c r="F4259" t="inlineStr">
        <is>
          <t>SCA</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30018-2025</t>
        </is>
      </c>
      <c r="B4260" s="1" t="n">
        <v>45826</v>
      </c>
      <c r="C4260" s="1" t="n">
        <v>45852</v>
      </c>
      <c r="D4260" t="inlineStr">
        <is>
          <t>VÄSTERNORRLANDS LÄN</t>
        </is>
      </c>
      <c r="E4260" t="inlineStr">
        <is>
          <t>SOLLEFTEÅ</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30073-2025</t>
        </is>
      </c>
      <c r="B4261" s="1" t="n">
        <v>45826</v>
      </c>
      <c r="C4261" s="1" t="n">
        <v>45852</v>
      </c>
      <c r="D4261" t="inlineStr">
        <is>
          <t>VÄSTERNORRLANDS LÄN</t>
        </is>
      </c>
      <c r="E4261" t="inlineStr">
        <is>
          <t>SOLLEFTEÅ</t>
        </is>
      </c>
      <c r="F4261" t="inlineStr">
        <is>
          <t>SCA</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29860-2025</t>
        </is>
      </c>
      <c r="B4262" s="1" t="n">
        <v>45826</v>
      </c>
      <c r="C4262" s="1" t="n">
        <v>45852</v>
      </c>
      <c r="D4262" t="inlineStr">
        <is>
          <t>VÄSTERNORRLANDS LÄN</t>
        </is>
      </c>
      <c r="E4262" t="inlineStr">
        <is>
          <t>SOLLEFTEÅ</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30020-2025</t>
        </is>
      </c>
      <c r="B4263" s="1" t="n">
        <v>45826</v>
      </c>
      <c r="C4263" s="1" t="n">
        <v>45852</v>
      </c>
      <c r="D4263" t="inlineStr">
        <is>
          <t>VÄSTERNORRLANDS LÄN</t>
        </is>
      </c>
      <c r="E4263" t="inlineStr">
        <is>
          <t>SOLLEFTEÅ</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30369-2025</t>
        </is>
      </c>
      <c r="B4264" s="1" t="n">
        <v>45827</v>
      </c>
      <c r="C4264" s="1" t="n">
        <v>45852</v>
      </c>
      <c r="D4264" t="inlineStr">
        <is>
          <t>VÄSTERNORRLANDS LÄN</t>
        </is>
      </c>
      <c r="E4264" t="inlineStr">
        <is>
          <t>SOLLEFTEÅ</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30389-2025</t>
        </is>
      </c>
      <c r="B4265" s="1" t="n">
        <v>45827</v>
      </c>
      <c r="C4265" s="1" t="n">
        <v>45852</v>
      </c>
      <c r="D4265" t="inlineStr">
        <is>
          <t>VÄSTERNORRLANDS LÄN</t>
        </is>
      </c>
      <c r="E4265" t="inlineStr">
        <is>
          <t>SOLLEFTEÅ</t>
        </is>
      </c>
      <c r="F4265" t="inlineStr">
        <is>
          <t>SCA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30401-2025</t>
        </is>
      </c>
      <c r="B4266" s="1" t="n">
        <v>45827</v>
      </c>
      <c r="C4266" s="1" t="n">
        <v>45852</v>
      </c>
      <c r="D4266" t="inlineStr">
        <is>
          <t>VÄSTERNORRLANDS LÄN</t>
        </is>
      </c>
      <c r="E4266" t="inlineStr">
        <is>
          <t>SOLLEFTEÅ</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30279-2025</t>
        </is>
      </c>
      <c r="B4267" s="1" t="n">
        <v>45827</v>
      </c>
      <c r="C4267" s="1" t="n">
        <v>45852</v>
      </c>
      <c r="D4267" t="inlineStr">
        <is>
          <t>VÄSTERNORRLANDS LÄN</t>
        </is>
      </c>
      <c r="E4267" t="inlineStr">
        <is>
          <t>SOLLEFTEÅ</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30311-2025</t>
        </is>
      </c>
      <c r="B4268" s="1" t="n">
        <v>45827</v>
      </c>
      <c r="C4268" s="1" t="n">
        <v>45852</v>
      </c>
      <c r="D4268" t="inlineStr">
        <is>
          <t>VÄSTERNORRLANDS LÄN</t>
        </is>
      </c>
      <c r="E4268" t="inlineStr">
        <is>
          <t>SOLLEFTEÅ</t>
        </is>
      </c>
      <c r="F4268" t="inlineStr">
        <is>
          <t>SCA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30478-2025</t>
        </is>
      </c>
      <c r="B4269" s="1" t="n">
        <v>45828</v>
      </c>
      <c r="C4269" s="1" t="n">
        <v>45852</v>
      </c>
      <c r="D4269" t="inlineStr">
        <is>
          <t>VÄSTERNORRLANDS LÄN</t>
        </is>
      </c>
      <c r="E4269" t="inlineStr">
        <is>
          <t>SOLLEFTEÅ</t>
        </is>
      </c>
      <c r="G4269" t="n">
        <v>1.5</v>
      </c>
      <c r="H4269" t="n">
        <v>0</v>
      </c>
      <c r="I4269" t="n">
        <v>0</v>
      </c>
      <c r="J4269" t="n">
        <v>0</v>
      </c>
      <c r="K4269" t="n">
        <v>0</v>
      </c>
      <c r="L4269" t="n">
        <v>0</v>
      </c>
      <c r="M4269" t="n">
        <v>0</v>
      </c>
      <c r="N4269" t="n">
        <v>0</v>
      </c>
      <c r="O4269" t="n">
        <v>0</v>
      </c>
      <c r="P4269" t="n">
        <v>0</v>
      </c>
      <c r="Q4269" t="n">
        <v>0</v>
      </c>
      <c r="R4269" s="2" t="inlineStr"/>
      <c r="U4269">
        <f>HYPERLINK("https://klasma.github.io/Logging_222283/knärot/A 30478-2025 karta knärot.png", "A 30478-2025")</f>
        <v/>
      </c>
      <c r="V4269">
        <f>HYPERLINK("https://klasma.github.io/Logging_222283/klagomål/A 30478-2025 FSC-klagomål.docx", "A 30478-2025")</f>
        <v/>
      </c>
      <c r="W4269">
        <f>HYPERLINK("https://klasma.github.io/Logging_222283/klagomålsmail/A 30478-2025 FSC-klagomål mail.docx", "A 30478-2025")</f>
        <v/>
      </c>
      <c r="X4269">
        <f>HYPERLINK("https://klasma.github.io/Logging_222283/tillsyn/A 30478-2025 tillsynsbegäran.docx", "A 30478-2025")</f>
        <v/>
      </c>
      <c r="Y4269">
        <f>HYPERLINK("https://klasma.github.io/Logging_222283/tillsynsmail/A 30478-2025 tillsynsbegäran mail.docx", "A 30478-2025")</f>
        <v/>
      </c>
    </row>
    <row r="4270" ht="15" customHeight="1">
      <c r="A4270" t="inlineStr">
        <is>
          <t>A 30733-2025</t>
        </is>
      </c>
      <c r="B4270" s="1" t="n">
        <v>45831</v>
      </c>
      <c r="C4270" s="1" t="n">
        <v>45852</v>
      </c>
      <c r="D4270" t="inlineStr">
        <is>
          <t>VÄSTERNORRLANDS LÄN</t>
        </is>
      </c>
      <c r="E4270" t="inlineStr">
        <is>
          <t>SOLLEFTEÅ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30734-2025</t>
        </is>
      </c>
      <c r="B4271" s="1" t="n">
        <v>45831</v>
      </c>
      <c r="C4271" s="1" t="n">
        <v>45852</v>
      </c>
      <c r="D4271" t="inlineStr">
        <is>
          <t>VÄSTERNORRLANDS LÄN</t>
        </is>
      </c>
      <c r="E4271" t="inlineStr">
        <is>
          <t>SOLLEFTEÅ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30750-2025</t>
        </is>
      </c>
      <c r="B4272" s="1" t="n">
        <v>45831</v>
      </c>
      <c r="C4272" s="1" t="n">
        <v>45852</v>
      </c>
      <c r="D4272" t="inlineStr">
        <is>
          <t>VÄSTERNORRLANDS LÄN</t>
        </is>
      </c>
      <c r="E4272" t="inlineStr">
        <is>
          <t>SOLLEFTEÅ</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30754-2025</t>
        </is>
      </c>
      <c r="B4273" s="1" t="n">
        <v>45831</v>
      </c>
      <c r="C4273" s="1" t="n">
        <v>45852</v>
      </c>
      <c r="D4273" t="inlineStr">
        <is>
          <t>VÄSTERNORRLANDS LÄN</t>
        </is>
      </c>
      <c r="E4273" t="inlineStr">
        <is>
          <t>SOLLEFTEÅ</t>
        </is>
      </c>
      <c r="F4273" t="inlineStr">
        <is>
          <t>SCA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30774-2025</t>
        </is>
      </c>
      <c r="B4274" s="1" t="n">
        <v>45831</v>
      </c>
      <c r="C4274" s="1" t="n">
        <v>45852</v>
      </c>
      <c r="D4274" t="inlineStr">
        <is>
          <t>VÄSTERNORRLANDS LÄN</t>
        </is>
      </c>
      <c r="E4274" t="inlineStr">
        <is>
          <t>SOLLEFTEÅ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30834-2025</t>
        </is>
      </c>
      <c r="B4275" s="1" t="n">
        <v>45831</v>
      </c>
      <c r="C4275" s="1" t="n">
        <v>45852</v>
      </c>
      <c r="D4275" t="inlineStr">
        <is>
          <t>VÄSTERNORRLANDS LÄN</t>
        </is>
      </c>
      <c r="E4275" t="inlineStr">
        <is>
          <t>SOLLEFTEÅ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30889-2025</t>
        </is>
      </c>
      <c r="B4276" s="1" t="n">
        <v>45832</v>
      </c>
      <c r="C4276" s="1" t="n">
        <v>45852</v>
      </c>
      <c r="D4276" t="inlineStr">
        <is>
          <t>VÄSTERNORRLANDS LÄN</t>
        </is>
      </c>
      <c r="E4276" t="inlineStr">
        <is>
          <t>SOLLEFTEÅ</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30964-2025</t>
        </is>
      </c>
      <c r="B4277" s="1" t="n">
        <v>45832</v>
      </c>
      <c r="C4277" s="1" t="n">
        <v>45852</v>
      </c>
      <c r="D4277" t="inlineStr">
        <is>
          <t>VÄSTERNORRLANDS LÄN</t>
        </is>
      </c>
      <c r="E4277" t="inlineStr">
        <is>
          <t>SOLLEFTEÅ</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31183-2025</t>
        </is>
      </c>
      <c r="B4278" s="1" t="n">
        <v>45832</v>
      </c>
      <c r="C4278" s="1" t="n">
        <v>45852</v>
      </c>
      <c r="D4278" t="inlineStr">
        <is>
          <t>VÄSTERNORRLANDS LÄN</t>
        </is>
      </c>
      <c r="E4278" t="inlineStr">
        <is>
          <t>SOLLEFTEÅ</t>
        </is>
      </c>
      <c r="F4278" t="inlineStr">
        <is>
          <t>SCA</t>
        </is>
      </c>
      <c r="G4278" t="n">
        <v>11.2</v>
      </c>
      <c r="H4278" t="n">
        <v>0</v>
      </c>
      <c r="I4278" t="n">
        <v>0</v>
      </c>
      <c r="J4278" t="n">
        <v>0</v>
      </c>
      <c r="K4278" t="n">
        <v>0</v>
      </c>
      <c r="L4278" t="n">
        <v>0</v>
      </c>
      <c r="M4278" t="n">
        <v>0</v>
      </c>
      <c r="N4278" t="n">
        <v>0</v>
      </c>
      <c r="O4278" t="n">
        <v>0</v>
      </c>
      <c r="P4278" t="n">
        <v>0</v>
      </c>
      <c r="Q4278" t="n">
        <v>0</v>
      </c>
      <c r="R4278" s="2" t="inlineStr"/>
    </row>
    <row r="4279" ht="15" customHeight="1">
      <c r="A4279" t="inlineStr">
        <is>
          <t>A 31395-2025</t>
        </is>
      </c>
      <c r="B4279" s="1" t="n">
        <v>45833</v>
      </c>
      <c r="C4279" s="1" t="n">
        <v>45852</v>
      </c>
      <c r="D4279" t="inlineStr">
        <is>
          <t>VÄSTERNORRLANDS LÄN</t>
        </is>
      </c>
      <c r="E4279" t="inlineStr">
        <is>
          <t>SOLLEFTEÅ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31396-2025</t>
        </is>
      </c>
      <c r="B4280" s="1" t="n">
        <v>45833</v>
      </c>
      <c r="C4280" s="1" t="n">
        <v>45852</v>
      </c>
      <c r="D4280" t="inlineStr">
        <is>
          <t>VÄSTERNORRLANDS LÄN</t>
        </is>
      </c>
      <c r="E4280" t="inlineStr">
        <is>
          <t>SOLLEFTEÅ</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31306-2025</t>
        </is>
      </c>
      <c r="B4281" s="1" t="n">
        <v>45833</v>
      </c>
      <c r="C4281" s="1" t="n">
        <v>45852</v>
      </c>
      <c r="D4281" t="inlineStr">
        <is>
          <t>VÄSTERNORRLANDS LÄN</t>
        </is>
      </c>
      <c r="E4281" t="inlineStr">
        <is>
          <t>SOLLEFTEÅ</t>
        </is>
      </c>
      <c r="F4281" t="inlineStr">
        <is>
          <t>SCA</t>
        </is>
      </c>
      <c r="G4281" t="n">
        <v>19.3</v>
      </c>
      <c r="H4281" t="n">
        <v>0</v>
      </c>
      <c r="I4281" t="n">
        <v>0</v>
      </c>
      <c r="J4281" t="n">
        <v>0</v>
      </c>
      <c r="K4281" t="n">
        <v>0</v>
      </c>
      <c r="L4281" t="n">
        <v>0</v>
      </c>
      <c r="M4281" t="n">
        <v>0</v>
      </c>
      <c r="N4281" t="n">
        <v>0</v>
      </c>
      <c r="O4281" t="n">
        <v>0</v>
      </c>
      <c r="P4281" t="n">
        <v>0</v>
      </c>
      <c r="Q4281" t="n">
        <v>0</v>
      </c>
      <c r="R4281" s="2" t="inlineStr"/>
    </row>
    <row r="4282" ht="15" customHeight="1">
      <c r="A4282" t="inlineStr">
        <is>
          <t>A 31347-2025</t>
        </is>
      </c>
      <c r="B4282" s="1" t="n">
        <v>45833</v>
      </c>
      <c r="C4282" s="1" t="n">
        <v>45852</v>
      </c>
      <c r="D4282" t="inlineStr">
        <is>
          <t>VÄSTERNORRLANDS LÄN</t>
        </is>
      </c>
      <c r="E4282" t="inlineStr">
        <is>
          <t>SOLLEFTEÅ</t>
        </is>
      </c>
      <c r="F4282" t="inlineStr">
        <is>
          <t>SCA</t>
        </is>
      </c>
      <c r="G4282" t="n">
        <v>19.5</v>
      </c>
      <c r="H4282" t="n">
        <v>0</v>
      </c>
      <c r="I4282" t="n">
        <v>0</v>
      </c>
      <c r="J4282" t="n">
        <v>0</v>
      </c>
      <c r="K4282" t="n">
        <v>0</v>
      </c>
      <c r="L4282" t="n">
        <v>0</v>
      </c>
      <c r="M4282" t="n">
        <v>0</v>
      </c>
      <c r="N4282" t="n">
        <v>0</v>
      </c>
      <c r="O4282" t="n">
        <v>0</v>
      </c>
      <c r="P4282" t="n">
        <v>0</v>
      </c>
      <c r="Q4282" t="n">
        <v>0</v>
      </c>
      <c r="R4282" s="2" t="inlineStr"/>
    </row>
    <row r="4283" ht="15" customHeight="1">
      <c r="A4283" t="inlineStr">
        <is>
          <t>A 31423-2025</t>
        </is>
      </c>
      <c r="B4283" s="1" t="n">
        <v>45833</v>
      </c>
      <c r="C4283" s="1" t="n">
        <v>45852</v>
      </c>
      <c r="D4283" t="inlineStr">
        <is>
          <t>VÄSTERNORRLANDS LÄN</t>
        </is>
      </c>
      <c r="E4283" t="inlineStr">
        <is>
          <t>SOLLEFTEÅ</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31435-2025</t>
        </is>
      </c>
      <c r="B4284" s="1" t="n">
        <v>45833</v>
      </c>
      <c r="C4284" s="1" t="n">
        <v>45852</v>
      </c>
      <c r="D4284" t="inlineStr">
        <is>
          <t>VÄSTERNORRLANDS LÄN</t>
        </is>
      </c>
      <c r="E4284" t="inlineStr">
        <is>
          <t>SOLLEFTEÅ</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31545-2025</t>
        </is>
      </c>
      <c r="B4285" s="1" t="n">
        <v>45833</v>
      </c>
      <c r="C4285" s="1" t="n">
        <v>45852</v>
      </c>
      <c r="D4285" t="inlineStr">
        <is>
          <t>VÄSTERNORRLANDS LÄN</t>
        </is>
      </c>
      <c r="E4285" t="inlineStr">
        <is>
          <t>SOLLEFTEÅ</t>
        </is>
      </c>
      <c r="F4285" t="inlineStr">
        <is>
          <t>SCA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31451-2025</t>
        </is>
      </c>
      <c r="B4286" s="1" t="n">
        <v>45833</v>
      </c>
      <c r="C4286" s="1" t="n">
        <v>45852</v>
      </c>
      <c r="D4286" t="inlineStr">
        <is>
          <t>VÄSTERNORRLANDS LÄN</t>
        </is>
      </c>
      <c r="E4286" t="inlineStr">
        <is>
          <t>SOLLEFTEÅ</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31345-2025</t>
        </is>
      </c>
      <c r="B4287" s="1" t="n">
        <v>45833</v>
      </c>
      <c r="C4287" s="1" t="n">
        <v>45852</v>
      </c>
      <c r="D4287" t="inlineStr">
        <is>
          <t>VÄSTERNORRLANDS LÄN</t>
        </is>
      </c>
      <c r="E4287" t="inlineStr">
        <is>
          <t>SOLLEFTEÅ</t>
        </is>
      </c>
      <c r="F4287" t="inlineStr">
        <is>
          <t>SCA</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31479-2025</t>
        </is>
      </c>
      <c r="B4288" s="1" t="n">
        <v>45833</v>
      </c>
      <c r="C4288" s="1" t="n">
        <v>45852</v>
      </c>
      <c r="D4288" t="inlineStr">
        <is>
          <t>VÄSTERNORRLANDS LÄN</t>
        </is>
      </c>
      <c r="E4288" t="inlineStr">
        <is>
          <t>SOLLEFTEÅ</t>
        </is>
      </c>
      <c r="F4288" t="inlineStr">
        <is>
          <t>SCA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31304-2025</t>
        </is>
      </c>
      <c r="B4289" s="1" t="n">
        <v>45833</v>
      </c>
      <c r="C4289" s="1" t="n">
        <v>45852</v>
      </c>
      <c r="D4289" t="inlineStr">
        <is>
          <t>VÄSTERNORRLANDS LÄN</t>
        </is>
      </c>
      <c r="E4289" t="inlineStr">
        <is>
          <t>SOLLEFTEÅ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31432-2025</t>
        </is>
      </c>
      <c r="B4290" s="1" t="n">
        <v>45833</v>
      </c>
      <c r="C4290" s="1" t="n">
        <v>45852</v>
      </c>
      <c r="D4290" t="inlineStr">
        <is>
          <t>VÄSTERNORRLANDS LÄN</t>
        </is>
      </c>
      <c r="E4290" t="inlineStr">
        <is>
          <t>SOLLEFTEÅ</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31428-2025</t>
        </is>
      </c>
      <c r="B4291" s="1" t="n">
        <v>45833</v>
      </c>
      <c r="C4291" s="1" t="n">
        <v>45852</v>
      </c>
      <c r="D4291" t="inlineStr">
        <is>
          <t>VÄSTERNORRLANDS LÄN</t>
        </is>
      </c>
      <c r="E4291" t="inlineStr">
        <is>
          <t>SOLLEFTEÅ</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31437-2025</t>
        </is>
      </c>
      <c r="B4292" s="1" t="n">
        <v>45833</v>
      </c>
      <c r="C4292" s="1" t="n">
        <v>45852</v>
      </c>
      <c r="D4292" t="inlineStr">
        <is>
          <t>VÄSTERNORRLANDS LÄN</t>
        </is>
      </c>
      <c r="E4292" t="inlineStr">
        <is>
          <t>SOLLEFTEÅ</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31337-2025</t>
        </is>
      </c>
      <c r="B4293" s="1" t="n">
        <v>45833</v>
      </c>
      <c r="C4293" s="1" t="n">
        <v>45852</v>
      </c>
      <c r="D4293" t="inlineStr">
        <is>
          <t>VÄSTERNORRLANDS LÄN</t>
        </is>
      </c>
      <c r="E4293" t="inlineStr">
        <is>
          <t>SOLLEFTEÅ</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31338-2025</t>
        </is>
      </c>
      <c r="B4294" s="1" t="n">
        <v>45833</v>
      </c>
      <c r="C4294" s="1" t="n">
        <v>45852</v>
      </c>
      <c r="D4294" t="inlineStr">
        <is>
          <t>VÄSTERNORRLANDS LÄN</t>
        </is>
      </c>
      <c r="E4294" t="inlineStr">
        <is>
          <t>SOLLEFTEÅ</t>
        </is>
      </c>
      <c r="F4294" t="inlineStr">
        <is>
          <t>SCA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31665-2025</t>
        </is>
      </c>
      <c r="B4295" s="1" t="n">
        <v>45834</v>
      </c>
      <c r="C4295" s="1" t="n">
        <v>45852</v>
      </c>
      <c r="D4295" t="inlineStr">
        <is>
          <t>VÄSTERNORRLANDS LÄN</t>
        </is>
      </c>
      <c r="E4295" t="inlineStr">
        <is>
          <t>SOLLEFTEÅ</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31801-2025</t>
        </is>
      </c>
      <c r="B4296" s="1" t="n">
        <v>45834</v>
      </c>
      <c r="C4296" s="1" t="n">
        <v>45852</v>
      </c>
      <c r="D4296" t="inlineStr">
        <is>
          <t>VÄSTERNORRLANDS LÄN</t>
        </is>
      </c>
      <c r="E4296" t="inlineStr">
        <is>
          <t>SOLLEFTEÅ</t>
        </is>
      </c>
      <c r="F4296" t="inlineStr">
        <is>
          <t>SCA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32029-2025</t>
        </is>
      </c>
      <c r="B4297" s="1" t="n">
        <v>45835</v>
      </c>
      <c r="C4297" s="1" t="n">
        <v>45852</v>
      </c>
      <c r="D4297" t="inlineStr">
        <is>
          <t>VÄSTERNORRLANDS LÄN</t>
        </is>
      </c>
      <c r="E4297" t="inlineStr">
        <is>
          <t>SOLLEFTEÅ</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32026-2025</t>
        </is>
      </c>
      <c r="B4298" s="1" t="n">
        <v>45835</v>
      </c>
      <c r="C4298" s="1" t="n">
        <v>45852</v>
      </c>
      <c r="D4298" t="inlineStr">
        <is>
          <t>VÄSTERNORRLANDS LÄN</t>
        </is>
      </c>
      <c r="E4298" t="inlineStr">
        <is>
          <t>SOLLEFTEÅ</t>
        </is>
      </c>
      <c r="F4298" t="inlineStr">
        <is>
          <t>SCA</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32271-2025</t>
        </is>
      </c>
      <c r="B4299" s="1" t="n">
        <v>45835</v>
      </c>
      <c r="C4299" s="1" t="n">
        <v>45852</v>
      </c>
      <c r="D4299" t="inlineStr">
        <is>
          <t>VÄSTERNORRLANDS LÄN</t>
        </is>
      </c>
      <c r="E4299" t="inlineStr">
        <is>
          <t>SOLLEFTEÅ</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31963-2025</t>
        </is>
      </c>
      <c r="B4300" s="1" t="n">
        <v>45835</v>
      </c>
      <c r="C4300" s="1" t="n">
        <v>45852</v>
      </c>
      <c r="D4300" t="inlineStr">
        <is>
          <t>VÄSTERNORRLANDS LÄN</t>
        </is>
      </c>
      <c r="E4300" t="inlineStr">
        <is>
          <t>SOLLEFTEÅ</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32073-2025</t>
        </is>
      </c>
      <c r="B4301" s="1" t="n">
        <v>45835</v>
      </c>
      <c r="C4301" s="1" t="n">
        <v>45852</v>
      </c>
      <c r="D4301" t="inlineStr">
        <is>
          <t>VÄSTERNORRLANDS LÄN</t>
        </is>
      </c>
      <c r="E4301" t="inlineStr">
        <is>
          <t>SOLLEFTEÅ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32280-2025</t>
        </is>
      </c>
      <c r="B4302" s="1" t="n">
        <v>45835</v>
      </c>
      <c r="C4302" s="1" t="n">
        <v>45852</v>
      </c>
      <c r="D4302" t="inlineStr">
        <is>
          <t>VÄSTERNORRLANDS LÄN</t>
        </is>
      </c>
      <c r="E4302" t="inlineStr">
        <is>
          <t>SOLLEFTEÅ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32139-2025</t>
        </is>
      </c>
      <c r="B4303" s="1" t="n">
        <v>45835</v>
      </c>
      <c r="C4303" s="1" t="n">
        <v>45852</v>
      </c>
      <c r="D4303" t="inlineStr">
        <is>
          <t>VÄSTERNORRLANDS LÄN</t>
        </is>
      </c>
      <c r="E4303" t="inlineStr">
        <is>
          <t>SOLLEFTEÅ</t>
        </is>
      </c>
      <c r="G4303" t="n">
        <v>17.8</v>
      </c>
      <c r="H4303" t="n">
        <v>0</v>
      </c>
      <c r="I4303" t="n">
        <v>0</v>
      </c>
      <c r="J4303" t="n">
        <v>0</v>
      </c>
      <c r="K4303" t="n">
        <v>0</v>
      </c>
      <c r="L4303" t="n">
        <v>0</v>
      </c>
      <c r="M4303" t="n">
        <v>0</v>
      </c>
      <c r="N4303" t="n">
        <v>0</v>
      </c>
      <c r="O4303" t="n">
        <v>0</v>
      </c>
      <c r="P4303" t="n">
        <v>0</v>
      </c>
      <c r="Q4303" t="n">
        <v>0</v>
      </c>
      <c r="R4303" s="2" t="inlineStr"/>
    </row>
    <row r="4304" ht="15" customHeight="1">
      <c r="A4304" t="inlineStr">
        <is>
          <t>A 32112-2025</t>
        </is>
      </c>
      <c r="B4304" s="1" t="n">
        <v>45835</v>
      </c>
      <c r="C4304" s="1" t="n">
        <v>45852</v>
      </c>
      <c r="D4304" t="inlineStr">
        <is>
          <t>VÄSTERNORRLANDS LÄN</t>
        </is>
      </c>
      <c r="E4304" t="inlineStr">
        <is>
          <t>SOLLEFTEÅ</t>
        </is>
      </c>
      <c r="G4304" t="n">
        <v>9.1</v>
      </c>
      <c r="H4304" t="n">
        <v>0</v>
      </c>
      <c r="I4304" t="n">
        <v>0</v>
      </c>
      <c r="J4304" t="n">
        <v>0</v>
      </c>
      <c r="K4304" t="n">
        <v>0</v>
      </c>
      <c r="L4304" t="n">
        <v>0</v>
      </c>
      <c r="M4304" t="n">
        <v>0</v>
      </c>
      <c r="N4304" t="n">
        <v>0</v>
      </c>
      <c r="O4304" t="n">
        <v>0</v>
      </c>
      <c r="P4304" t="n">
        <v>0</v>
      </c>
      <c r="Q4304" t="n">
        <v>0</v>
      </c>
      <c r="R4304" s="2" t="inlineStr"/>
    </row>
    <row r="4305" ht="15" customHeight="1">
      <c r="A4305" t="inlineStr">
        <is>
          <t>A 32069-2025</t>
        </is>
      </c>
      <c r="B4305" s="1" t="n">
        <v>45835</v>
      </c>
      <c r="C4305" s="1" t="n">
        <v>45852</v>
      </c>
      <c r="D4305" t="inlineStr">
        <is>
          <t>VÄSTERNORRLANDS LÄN</t>
        </is>
      </c>
      <c r="E4305" t="inlineStr">
        <is>
          <t>SOLLEFTEÅ</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32291-2025</t>
        </is>
      </c>
      <c r="B4306" s="1" t="n">
        <v>45835</v>
      </c>
      <c r="C4306" s="1" t="n">
        <v>45852</v>
      </c>
      <c r="D4306" t="inlineStr">
        <is>
          <t>VÄSTERNORRLANDS LÄN</t>
        </is>
      </c>
      <c r="E4306" t="inlineStr">
        <is>
          <t>SOLLEFTEÅ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32338-2025</t>
        </is>
      </c>
      <c r="B4307" s="1" t="n">
        <v>45836</v>
      </c>
      <c r="C4307" s="1" t="n">
        <v>45852</v>
      </c>
      <c r="D4307" t="inlineStr">
        <is>
          <t>VÄSTERNORRLANDS LÄN</t>
        </is>
      </c>
      <c r="E4307" t="inlineStr">
        <is>
          <t>SOLLEFTEÅ</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32346-2025</t>
        </is>
      </c>
      <c r="B4308" s="1" t="n">
        <v>45837</v>
      </c>
      <c r="C4308" s="1" t="n">
        <v>45852</v>
      </c>
      <c r="D4308" t="inlineStr">
        <is>
          <t>VÄSTERNORRLANDS LÄN</t>
        </is>
      </c>
      <c r="E4308" t="inlineStr">
        <is>
          <t>SOLLEFTEÅ</t>
        </is>
      </c>
      <c r="F4308" t="inlineStr">
        <is>
          <t>SCA</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32537-2025</t>
        </is>
      </c>
      <c r="B4309" s="1" t="n">
        <v>45838</v>
      </c>
      <c r="C4309" s="1" t="n">
        <v>45852</v>
      </c>
      <c r="D4309" t="inlineStr">
        <is>
          <t>VÄSTERNORRLANDS LÄN</t>
        </is>
      </c>
      <c r="E4309" t="inlineStr">
        <is>
          <t>SOLLEFTEÅ</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32447-2025</t>
        </is>
      </c>
      <c r="B4310" s="1" t="n">
        <v>45838</v>
      </c>
      <c r="C4310" s="1" t="n">
        <v>45852</v>
      </c>
      <c r="D4310" t="inlineStr">
        <is>
          <t>VÄSTERNORRLANDS LÄN</t>
        </is>
      </c>
      <c r="E4310" t="inlineStr">
        <is>
          <t>SOLLEFTEÅ</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32448-2025</t>
        </is>
      </c>
      <c r="B4311" s="1" t="n">
        <v>45838</v>
      </c>
      <c r="C4311" s="1" t="n">
        <v>45852</v>
      </c>
      <c r="D4311" t="inlineStr">
        <is>
          <t>VÄSTERNORRLANDS LÄN</t>
        </is>
      </c>
      <c r="E4311" t="inlineStr">
        <is>
          <t>SOLLEFTEÅ</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32745-2025</t>
        </is>
      </c>
      <c r="B4312" s="1" t="n">
        <v>45839</v>
      </c>
      <c r="C4312" s="1" t="n">
        <v>45852</v>
      </c>
      <c r="D4312" t="inlineStr">
        <is>
          <t>VÄSTERNORRLANDS LÄN</t>
        </is>
      </c>
      <c r="E4312" t="inlineStr">
        <is>
          <t>SOLLEFTEÅ</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32749-2025</t>
        </is>
      </c>
      <c r="B4313" s="1" t="n">
        <v>45839</v>
      </c>
      <c r="C4313" s="1" t="n">
        <v>45852</v>
      </c>
      <c r="D4313" t="inlineStr">
        <is>
          <t>VÄSTERNORRLANDS LÄN</t>
        </is>
      </c>
      <c r="E4313" t="inlineStr">
        <is>
          <t>SOLLEFTEÅ</t>
        </is>
      </c>
      <c r="F4313" t="inlineStr">
        <is>
          <t>SCA</t>
        </is>
      </c>
      <c r="G4313" t="n">
        <v>15.3</v>
      </c>
      <c r="H4313" t="n">
        <v>0</v>
      </c>
      <c r="I4313" t="n">
        <v>0</v>
      </c>
      <c r="J4313" t="n">
        <v>0</v>
      </c>
      <c r="K4313" t="n">
        <v>0</v>
      </c>
      <c r="L4313" t="n">
        <v>0</v>
      </c>
      <c r="M4313" t="n">
        <v>0</v>
      </c>
      <c r="N4313" t="n">
        <v>0</v>
      </c>
      <c r="O4313" t="n">
        <v>0</v>
      </c>
      <c r="P4313" t="n">
        <v>0</v>
      </c>
      <c r="Q4313" t="n">
        <v>0</v>
      </c>
      <c r="R4313" s="2" t="inlineStr"/>
    </row>
    <row r="4314" ht="15" customHeight="1">
      <c r="A4314" t="inlineStr">
        <is>
          <t>A 33012-2025</t>
        </is>
      </c>
      <c r="B4314" s="1" t="n">
        <v>45840</v>
      </c>
      <c r="C4314" s="1" t="n">
        <v>45852</v>
      </c>
      <c r="D4314" t="inlineStr">
        <is>
          <t>VÄSTERNORRLANDS LÄN</t>
        </is>
      </c>
      <c r="E4314" t="inlineStr">
        <is>
          <t>SOLLEFTEÅ</t>
        </is>
      </c>
      <c r="F4314" t="inlineStr">
        <is>
          <t>SCA</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33013-2025</t>
        </is>
      </c>
      <c r="B4315" s="1" t="n">
        <v>45840</v>
      </c>
      <c r="C4315" s="1" t="n">
        <v>45852</v>
      </c>
      <c r="D4315" t="inlineStr">
        <is>
          <t>VÄSTERNORRLANDS LÄN</t>
        </is>
      </c>
      <c r="E4315" t="inlineStr">
        <is>
          <t>SOLLEFTEÅ</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33452-2025</t>
        </is>
      </c>
      <c r="B4316" s="1" t="n">
        <v>45841</v>
      </c>
      <c r="C4316" s="1" t="n">
        <v>45852</v>
      </c>
      <c r="D4316" t="inlineStr">
        <is>
          <t>VÄSTERNORRLANDS LÄN</t>
        </is>
      </c>
      <c r="E4316" t="inlineStr">
        <is>
          <t>SOLLEFTEÅ</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33674-2025</t>
        </is>
      </c>
      <c r="B4317" s="1" t="n">
        <v>45841</v>
      </c>
      <c r="C4317" s="1" t="n">
        <v>45852</v>
      </c>
      <c r="D4317" t="inlineStr">
        <is>
          <t>VÄSTERNORRLANDS LÄN</t>
        </is>
      </c>
      <c r="E4317" t="inlineStr">
        <is>
          <t>SOLLEFTEÅ</t>
        </is>
      </c>
      <c r="F4317" t="inlineStr">
        <is>
          <t>SCA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33495-2025</t>
        </is>
      </c>
      <c r="B4318" s="1" t="n">
        <v>45841</v>
      </c>
      <c r="C4318" s="1" t="n">
        <v>45852</v>
      </c>
      <c r="D4318" t="inlineStr">
        <is>
          <t>VÄSTERNORRLANDS LÄN</t>
        </is>
      </c>
      <c r="E4318" t="inlineStr">
        <is>
          <t>SOLLEFTEÅ</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33673-2025</t>
        </is>
      </c>
      <c r="B4319" s="1" t="n">
        <v>45841</v>
      </c>
      <c r="C4319" s="1" t="n">
        <v>45852</v>
      </c>
      <c r="D4319" t="inlineStr">
        <is>
          <t>VÄSTERNORRLANDS LÄN</t>
        </is>
      </c>
      <c r="E4319" t="inlineStr">
        <is>
          <t>SOLLEFTEÅ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33676-2025</t>
        </is>
      </c>
      <c r="B4320" s="1" t="n">
        <v>45841</v>
      </c>
      <c r="C4320" s="1" t="n">
        <v>45852</v>
      </c>
      <c r="D4320" t="inlineStr">
        <is>
          <t>VÄSTERNORRLANDS LÄN</t>
        </is>
      </c>
      <c r="E4320" t="inlineStr">
        <is>
          <t>SOLLEFTEÅ</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33502-2025</t>
        </is>
      </c>
      <c r="B4321" s="1" t="n">
        <v>45841</v>
      </c>
      <c r="C4321" s="1" t="n">
        <v>45852</v>
      </c>
      <c r="D4321" t="inlineStr">
        <is>
          <t>VÄSTERNORRLANDS LÄN</t>
        </is>
      </c>
      <c r="E4321" t="inlineStr">
        <is>
          <t>SOLLEFTEÅ</t>
        </is>
      </c>
      <c r="F4321" t="inlineStr">
        <is>
          <t>SCA</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33496-2025</t>
        </is>
      </c>
      <c r="B4322" s="1" t="n">
        <v>45841</v>
      </c>
      <c r="C4322" s="1" t="n">
        <v>45852</v>
      </c>
      <c r="D4322" t="inlineStr">
        <is>
          <t>VÄSTERNORRLANDS LÄN</t>
        </is>
      </c>
      <c r="E4322" t="inlineStr">
        <is>
          <t>SOLLEFTEÅ</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33430-2025</t>
        </is>
      </c>
      <c r="B4323" s="1" t="n">
        <v>45841</v>
      </c>
      <c r="C4323" s="1" t="n">
        <v>45852</v>
      </c>
      <c r="D4323" t="inlineStr">
        <is>
          <t>VÄSTERNORRLANDS LÄN</t>
        </is>
      </c>
      <c r="E4323" t="inlineStr">
        <is>
          <t>SOLLEFTEÅ</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33436-2025</t>
        </is>
      </c>
      <c r="B4324" s="1" t="n">
        <v>45841</v>
      </c>
      <c r="C4324" s="1" t="n">
        <v>45852</v>
      </c>
      <c r="D4324" t="inlineStr">
        <is>
          <t>VÄSTERNORRLANDS LÄN</t>
        </is>
      </c>
      <c r="E4324" t="inlineStr">
        <is>
          <t>SOLLEFTEÅ</t>
        </is>
      </c>
      <c r="F4324" t="inlineStr">
        <is>
          <t>SCA</t>
        </is>
      </c>
      <c r="G4324" t="n">
        <v>19.2</v>
      </c>
      <c r="H4324" t="n">
        <v>0</v>
      </c>
      <c r="I4324" t="n">
        <v>0</v>
      </c>
      <c r="J4324" t="n">
        <v>0</v>
      </c>
      <c r="K4324" t="n">
        <v>0</v>
      </c>
      <c r="L4324" t="n">
        <v>0</v>
      </c>
      <c r="M4324" t="n">
        <v>0</v>
      </c>
      <c r="N4324" t="n">
        <v>0</v>
      </c>
      <c r="O4324" t="n">
        <v>0</v>
      </c>
      <c r="P4324" t="n">
        <v>0</v>
      </c>
      <c r="Q4324" t="n">
        <v>0</v>
      </c>
      <c r="R4324" s="2" t="inlineStr"/>
    </row>
    <row r="4325" ht="15" customHeight="1">
      <c r="A4325" t="inlineStr">
        <is>
          <t>A 33437-2025</t>
        </is>
      </c>
      <c r="B4325" s="1" t="n">
        <v>45841</v>
      </c>
      <c r="C4325" s="1" t="n">
        <v>45852</v>
      </c>
      <c r="D4325" t="inlineStr">
        <is>
          <t>VÄSTERNORRLANDS LÄN</t>
        </is>
      </c>
      <c r="E4325" t="inlineStr">
        <is>
          <t>SOLLEFTEÅ</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33442-2025</t>
        </is>
      </c>
      <c r="B4326" s="1" t="n">
        <v>45841</v>
      </c>
      <c r="C4326" s="1" t="n">
        <v>45852</v>
      </c>
      <c r="D4326" t="inlineStr">
        <is>
          <t>VÄSTERNORRLANDS LÄN</t>
        </is>
      </c>
      <c r="E4326" t="inlineStr">
        <is>
          <t>SOLLEFTEÅ</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33607-2025</t>
        </is>
      </c>
      <c r="B4327" s="1" t="n">
        <v>45841</v>
      </c>
      <c r="C4327" s="1" t="n">
        <v>45852</v>
      </c>
      <c r="D4327" t="inlineStr">
        <is>
          <t>VÄSTERNORRLANDS LÄN</t>
        </is>
      </c>
      <c r="E4327" t="inlineStr">
        <is>
          <t>SOLLEFTEÅ</t>
        </is>
      </c>
      <c r="F4327" t="inlineStr">
        <is>
          <t>SCA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33675-2025</t>
        </is>
      </c>
      <c r="B4328" s="1" t="n">
        <v>45841</v>
      </c>
      <c r="C4328" s="1" t="n">
        <v>45852</v>
      </c>
      <c r="D4328" t="inlineStr">
        <is>
          <t>VÄSTERNORRLANDS LÄN</t>
        </is>
      </c>
      <c r="E4328" t="inlineStr">
        <is>
          <t>SOLLEFTEÅ</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33917-2025</t>
        </is>
      </c>
      <c r="B4329" s="1" t="n">
        <v>45842</v>
      </c>
      <c r="C4329" s="1" t="n">
        <v>45852</v>
      </c>
      <c r="D4329" t="inlineStr">
        <is>
          <t>VÄSTERNORRLANDS LÄN</t>
        </is>
      </c>
      <c r="E4329" t="inlineStr">
        <is>
          <t>SOLLEFTEÅ</t>
        </is>
      </c>
      <c r="F4329" t="inlineStr">
        <is>
          <t>SCA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33935-2025</t>
        </is>
      </c>
      <c r="B4330" s="1" t="n">
        <v>45842</v>
      </c>
      <c r="C4330" s="1" t="n">
        <v>45852</v>
      </c>
      <c r="D4330" t="inlineStr">
        <is>
          <t>VÄSTERNORRLANDS LÄN</t>
        </is>
      </c>
      <c r="E4330" t="inlineStr">
        <is>
          <t>SOLLEFTEÅ</t>
        </is>
      </c>
      <c r="F4330" t="inlineStr">
        <is>
          <t>SCA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33852-2025</t>
        </is>
      </c>
      <c r="B4331" s="1" t="n">
        <v>45842</v>
      </c>
      <c r="C4331" s="1" t="n">
        <v>45852</v>
      </c>
      <c r="D4331" t="inlineStr">
        <is>
          <t>VÄSTERNORRLANDS LÄN</t>
        </is>
      </c>
      <c r="E4331" t="inlineStr">
        <is>
          <t>SOLLEFTEÅ</t>
        </is>
      </c>
      <c r="F4331" t="inlineStr">
        <is>
          <t>SCA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33825-2025</t>
        </is>
      </c>
      <c r="B4332" s="1" t="n">
        <v>45842</v>
      </c>
      <c r="C4332" s="1" t="n">
        <v>45852</v>
      </c>
      <c r="D4332" t="inlineStr">
        <is>
          <t>VÄSTERNORRLANDS LÄN</t>
        </is>
      </c>
      <c r="E4332" t="inlineStr">
        <is>
          <t>SOLLEFTEÅ</t>
        </is>
      </c>
      <c r="F4332" t="inlineStr">
        <is>
          <t>SCA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33743-2025</t>
        </is>
      </c>
      <c r="B4333" s="1" t="n">
        <v>45842</v>
      </c>
      <c r="C4333" s="1" t="n">
        <v>45852</v>
      </c>
      <c r="D4333" t="inlineStr">
        <is>
          <t>VÄSTERNORRLANDS LÄN</t>
        </is>
      </c>
      <c r="E4333" t="inlineStr">
        <is>
          <t>SOLLEFTEÅ</t>
        </is>
      </c>
      <c r="F4333" t="inlineStr">
        <is>
          <t>SCA</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33936-2025</t>
        </is>
      </c>
      <c r="B4334" s="1" t="n">
        <v>45842</v>
      </c>
      <c r="C4334" s="1" t="n">
        <v>45852</v>
      </c>
      <c r="D4334" t="inlineStr">
        <is>
          <t>VÄSTERNORRLANDS LÄN</t>
        </is>
      </c>
      <c r="E4334" t="inlineStr">
        <is>
          <t>SOLLEFTEÅ</t>
        </is>
      </c>
      <c r="F4334" t="inlineStr">
        <is>
          <t>SCA</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33855-2025</t>
        </is>
      </c>
      <c r="B4335" s="1" t="n">
        <v>45842</v>
      </c>
      <c r="C4335" s="1" t="n">
        <v>45852</v>
      </c>
      <c r="D4335" t="inlineStr">
        <is>
          <t>VÄSTERNORRLANDS LÄN</t>
        </is>
      </c>
      <c r="E4335" t="inlineStr">
        <is>
          <t>SOLLEFTEÅ</t>
        </is>
      </c>
      <c r="F4335" t="inlineStr">
        <is>
          <t>SCA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33957-2025</t>
        </is>
      </c>
      <c r="B4336" s="1" t="n">
        <v>45842</v>
      </c>
      <c r="C4336" s="1" t="n">
        <v>45852</v>
      </c>
      <c r="D4336" t="inlineStr">
        <is>
          <t>VÄSTERNORRLANDS LÄN</t>
        </is>
      </c>
      <c r="E4336" t="inlineStr">
        <is>
          <t>SOLLEFTEÅ</t>
        </is>
      </c>
      <c r="F4336" t="inlineStr">
        <is>
          <t>SCA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34000-2025</t>
        </is>
      </c>
      <c r="B4337" s="1" t="n">
        <v>45844</v>
      </c>
      <c r="C4337" s="1" t="n">
        <v>45852</v>
      </c>
      <c r="D4337" t="inlineStr">
        <is>
          <t>VÄSTERNORRLANDS LÄN</t>
        </is>
      </c>
      <c r="E4337" t="inlineStr">
        <is>
          <t>SOLLEFTEÅ</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33999-2025</t>
        </is>
      </c>
      <c r="B4338" s="1" t="n">
        <v>45844</v>
      </c>
      <c r="C4338" s="1" t="n">
        <v>45852</v>
      </c>
      <c r="D4338" t="inlineStr">
        <is>
          <t>VÄSTERNORRLANDS LÄN</t>
        </is>
      </c>
      <c r="E4338" t="inlineStr">
        <is>
          <t>SOLLEFTEÅ</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34051-2025</t>
        </is>
      </c>
      <c r="B4339" s="1" t="n">
        <v>45845</v>
      </c>
      <c r="C4339" s="1" t="n">
        <v>45852</v>
      </c>
      <c r="D4339" t="inlineStr">
        <is>
          <t>VÄSTERNORRLANDS LÄN</t>
        </is>
      </c>
      <c r="E4339" t="inlineStr">
        <is>
          <t>SOLLEFTEÅ</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34459-2025</t>
        </is>
      </c>
      <c r="B4340" s="1" t="n">
        <v>45847</v>
      </c>
      <c r="C4340" s="1" t="n">
        <v>45852</v>
      </c>
      <c r="D4340" t="inlineStr">
        <is>
          <t>VÄSTERNORRLANDS LÄN</t>
        </is>
      </c>
      <c r="E4340" t="inlineStr">
        <is>
          <t>SOLLEFTEÅ</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34462-2025</t>
        </is>
      </c>
      <c r="B4341" s="1" t="n">
        <v>45847</v>
      </c>
      <c r="C4341" s="1" t="n">
        <v>45852</v>
      </c>
      <c r="D4341" t="inlineStr">
        <is>
          <t>VÄSTERNORRLANDS LÄN</t>
        </is>
      </c>
      <c r="E4341" t="inlineStr">
        <is>
          <t>SOLLEFTEÅ</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34476-2025</t>
        </is>
      </c>
      <c r="B4342" s="1" t="n">
        <v>45847</v>
      </c>
      <c r="C4342" s="1" t="n">
        <v>45852</v>
      </c>
      <c r="D4342" t="inlineStr">
        <is>
          <t>VÄSTERNORRLANDS LÄN</t>
        </is>
      </c>
      <c r="E4342" t="inlineStr">
        <is>
          <t>SOLLEFTEÅ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34473-2025</t>
        </is>
      </c>
      <c r="B4343" s="1" t="n">
        <v>45847</v>
      </c>
      <c r="C4343" s="1" t="n">
        <v>45852</v>
      </c>
      <c r="D4343" t="inlineStr">
        <is>
          <t>VÄSTERNORRLANDS LÄN</t>
        </is>
      </c>
      <c r="E4343" t="inlineStr">
        <is>
          <t>SOLLEFTEÅ</t>
        </is>
      </c>
      <c r="F4343" t="inlineStr">
        <is>
          <t>SCA</t>
        </is>
      </c>
      <c r="G4343" t="n">
        <v>0.7</v>
      </c>
      <c r="H4343" t="n">
        <v>0</v>
      </c>
      <c r="I4343" t="n">
        <v>0</v>
      </c>
      <c r="J4343" t="n">
        <v>0</v>
      </c>
      <c r="K4343" t="n">
        <v>0</v>
      </c>
      <c r="L4343" t="n">
        <v>0</v>
      </c>
      <c r="M4343" t="n">
        <v>0</v>
      </c>
      <c r="N4343" t="n">
        <v>0</v>
      </c>
      <c r="O4343" t="n">
        <v>0</v>
      </c>
      <c r="P4343" t="n">
        <v>0</v>
      </c>
      <c r="Q4343" t="n">
        <v>0</v>
      </c>
      <c r="R4343" s="2" t="inlineStr"/>
    </row>
    <row r="4344">
      <c r="A4344" t="inlineStr">
        <is>
          <t>A 34870-2025</t>
        </is>
      </c>
      <c r="B4344" s="1" t="n">
        <v>45849</v>
      </c>
      <c r="C4344" s="1" t="n">
        <v>45852</v>
      </c>
      <c r="D4344" t="inlineStr">
        <is>
          <t>VÄSTERNORRLANDS LÄN</t>
        </is>
      </c>
      <c r="E4344" t="inlineStr">
        <is>
          <t>SOLLEFTEÅ</t>
        </is>
      </c>
      <c r="G4344" t="n">
        <v>6.6</v>
      </c>
      <c r="H4344" t="n">
        <v>0</v>
      </c>
      <c r="I4344" t="n">
        <v>0</v>
      </c>
      <c r="J4344" t="n">
        <v>0</v>
      </c>
      <c r="K4344" t="n">
        <v>0</v>
      </c>
      <c r="L4344" t="n">
        <v>0</v>
      </c>
      <c r="M4344" t="n">
        <v>0</v>
      </c>
      <c r="N4344" t="n">
        <v>0</v>
      </c>
      <c r="O4344" t="n">
        <v>0</v>
      </c>
      <c r="P4344" t="n">
        <v>0</v>
      </c>
      <c r="Q4344" t="n">
        <v>0</v>
      </c>
      <c r="R4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2025-07-14T19:48:16Z</dcterms:created>
  <dcterms:modified xmlns:dcterms="http://purl.org/dc/terms/" xmlns:xsi="http://www.w3.org/2001/XMLSchema-instance" xsi:type="dcterms:W3CDTF">2025-07-14T19:48:20Z</dcterms:modified>
</cp:coreProperties>
</file>