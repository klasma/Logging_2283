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45964</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45964</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45964</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45964</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45964</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45964</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45964</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45964</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45964</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6059-2024</t>
        </is>
      </c>
      <c r="B22" s="1" t="n">
        <v>45336</v>
      </c>
      <c r="C22" s="1" t="n">
        <v>45964</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20312-2022</t>
        </is>
      </c>
      <c r="B23" s="1" t="n">
        <v>44698</v>
      </c>
      <c r="C23" s="1" t="n">
        <v>45964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8658-2024</t>
        </is>
      </c>
      <c r="B24" s="1" t="n">
        <v>45356</v>
      </c>
      <c r="C24" s="1" t="n">
        <v>45964</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44491-2024</t>
        </is>
      </c>
      <c r="B25" s="1" t="n">
        <v>45574</v>
      </c>
      <c r="C25" s="1" t="n">
        <v>45964</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26657-2022</t>
        </is>
      </c>
      <c r="B26" s="1" t="n">
        <v>44739</v>
      </c>
      <c r="C26" s="1" t="n">
        <v>45964</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45964</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49356-2025</t>
        </is>
      </c>
      <c r="B28" s="1" t="n">
        <v>45938</v>
      </c>
      <c r="C28" s="1" t="n">
        <v>45964</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40262-2024</t>
        </is>
      </c>
      <c r="B29" s="1" t="n">
        <v>45554</v>
      </c>
      <c r="C29" s="1" t="n">
        <v>45964</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33964-2023</t>
        </is>
      </c>
      <c r="B30" s="1" t="n">
        <v>45124</v>
      </c>
      <c r="C30" s="1" t="n">
        <v>45964</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10626-2024</t>
        </is>
      </c>
      <c r="B31" s="1" t="n">
        <v>45367</v>
      </c>
      <c r="C31" s="1" t="n">
        <v>45964</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11577-2025</t>
        </is>
      </c>
      <c r="B32" s="1" t="n">
        <v>45727</v>
      </c>
      <c r="C32" s="1" t="n">
        <v>45964</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12277-2021</t>
        </is>
      </c>
      <c r="B33" s="1" t="n">
        <v>44266</v>
      </c>
      <c r="C33" s="1" t="n">
        <v>45964</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29309-2022</t>
        </is>
      </c>
      <c r="B34" s="1" t="n">
        <v>44750</v>
      </c>
      <c r="C34" s="1" t="n">
        <v>45964</v>
      </c>
      <c r="D34" t="inlineStr">
        <is>
          <t>VÄSTERNORRLANDS LÄN</t>
        </is>
      </c>
      <c r="E34" t="inlineStr">
        <is>
          <t>SOLLEFTEÅ</t>
        </is>
      </c>
      <c r="F34" t="inlineStr">
        <is>
          <t>SCA</t>
        </is>
      </c>
      <c r="G34" t="n">
        <v>7.3</v>
      </c>
      <c r="H34" t="n">
        <v>1</v>
      </c>
      <c r="I34" t="n">
        <v>0</v>
      </c>
      <c r="J34" t="n">
        <v>12</v>
      </c>
      <c r="K34" t="n">
        <v>1</v>
      </c>
      <c r="L34" t="n">
        <v>0</v>
      </c>
      <c r="M34" t="n">
        <v>0</v>
      </c>
      <c r="N34" t="n">
        <v>0</v>
      </c>
      <c r="O34" t="n">
        <v>13</v>
      </c>
      <c r="P34" t="n">
        <v>1</v>
      </c>
      <c r="Q34" t="n">
        <v>13</v>
      </c>
      <c r="R34" s="2" t="inlineStr">
        <is>
          <t>Rynkskinn
Blå taggsvamp
Dvärgbägarlav
Garnlav
Koralltaggsvamp
Kortskaftad ärgspik
Lunglav
Motaggsvamp
Mörk kolflarnlav
Nordtagging
Tretåig hackspett
Vedskivlav
Vitplätt</t>
        </is>
      </c>
      <c r="S34">
        <f>HYPERLINK("https://klasma.github.io/Logging_2283/artfynd/A 29309-2022 artfynd.xlsx", "A 29309-2022")</f>
        <v/>
      </c>
      <c r="T34">
        <f>HYPERLINK("https://klasma.github.io/Logging_2283/kartor/A 29309-2022 karta.png", "A 29309-2022")</f>
        <v/>
      </c>
      <c r="U34">
        <f>HYPERLINK("https://klasma.github.io/Logging_2283/knärot/A 29309-2022 karta knärot.png", "A 29309-2022")</f>
        <v/>
      </c>
      <c r="V34">
        <f>HYPERLINK("https://klasma.github.io/Logging_2283/klagomål/A 29309-2022 FSC-klagomål.docx", "A 29309-2022")</f>
        <v/>
      </c>
      <c r="W34">
        <f>HYPERLINK("https://klasma.github.io/Logging_2283/klagomålsmail/A 29309-2022 FSC-klagomål mail.docx", "A 29309-2022")</f>
        <v/>
      </c>
      <c r="X34">
        <f>HYPERLINK("https://klasma.github.io/Logging_2283/tillsyn/A 29309-2022 tillsynsbegäran.docx", "A 29309-2022")</f>
        <v/>
      </c>
      <c r="Y34">
        <f>HYPERLINK("https://klasma.github.io/Logging_2283/tillsynsmail/A 29309-2022 tillsynsbegäran mail.docx", "A 29309-2022")</f>
        <v/>
      </c>
      <c r="Z34">
        <f>HYPERLINK("https://klasma.github.io/Logging_2283/fåglar/A 29309-2022 prioriterade fågelarter.docx", "A 29309-2022")</f>
        <v/>
      </c>
    </row>
    <row r="35" ht="15" customHeight="1">
      <c r="A35" t="inlineStr">
        <is>
          <t>A 28161-2024</t>
        </is>
      </c>
      <c r="B35" s="1" t="n">
        <v>45476</v>
      </c>
      <c r="C35" s="1" t="n">
        <v>45964</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28663-2023</t>
        </is>
      </c>
      <c r="B36" s="1" t="n">
        <v>45096</v>
      </c>
      <c r="C36" s="1" t="n">
        <v>45964</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17415-2022</t>
        </is>
      </c>
      <c r="B37" s="1" t="n">
        <v>44678</v>
      </c>
      <c r="C37" s="1" t="n">
        <v>45964</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22209-2025</t>
        </is>
      </c>
      <c r="B38" s="1" t="n">
        <v>45785.65732638889</v>
      </c>
      <c r="C38" s="1" t="n">
        <v>45964</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1963-2025</t>
        </is>
      </c>
      <c r="B39" s="1" t="n">
        <v>45672</v>
      </c>
      <c r="C39" s="1" t="n">
        <v>45964</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32199-2023</t>
        </is>
      </c>
      <c r="B40" s="1" t="n">
        <v>45119</v>
      </c>
      <c r="C40" s="1" t="n">
        <v>45964</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25521-2025</t>
        </is>
      </c>
      <c r="B41" s="1" t="n">
        <v>45803</v>
      </c>
      <c r="C41" s="1" t="n">
        <v>45964</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39172-2022</t>
        </is>
      </c>
      <c r="B42" s="1" t="n">
        <v>44817</v>
      </c>
      <c r="C42" s="1" t="n">
        <v>45964</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44372-2024</t>
        </is>
      </c>
      <c r="B43" s="1" t="n">
        <v>45573</v>
      </c>
      <c r="C43" s="1" t="n">
        <v>45964</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29918-2024</t>
        </is>
      </c>
      <c r="B44" s="1" t="n">
        <v>45487.92841435185</v>
      </c>
      <c r="C44" s="1" t="n">
        <v>45964</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27635-2024</t>
        </is>
      </c>
      <c r="B45" s="1" t="n">
        <v>45474</v>
      </c>
      <c r="C45" s="1" t="n">
        <v>45964</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45964</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3325-2025</t>
        </is>
      </c>
      <c r="B47" s="1" t="n">
        <v>45679</v>
      </c>
      <c r="C47" s="1" t="n">
        <v>45964</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44369-2024</t>
        </is>
      </c>
      <c r="B48" s="1" t="n">
        <v>45573</v>
      </c>
      <c r="C48" s="1" t="n">
        <v>45964</v>
      </c>
      <c r="D48" t="inlineStr">
        <is>
          <t>VÄSTERNORRLANDS LÄN</t>
        </is>
      </c>
      <c r="E48" t="inlineStr">
        <is>
          <t>SOLLEFTEÅ</t>
        </is>
      </c>
      <c r="F48" t="inlineStr">
        <is>
          <t>SCA</t>
        </is>
      </c>
      <c r="G48" t="n">
        <v>1.5</v>
      </c>
      <c r="H48" t="n">
        <v>5</v>
      </c>
      <c r="I48" t="n">
        <v>1</v>
      </c>
      <c r="J48" t="n">
        <v>9</v>
      </c>
      <c r="K48" t="n">
        <v>2</v>
      </c>
      <c r="L48" t="n">
        <v>0</v>
      </c>
      <c r="M48" t="n">
        <v>0</v>
      </c>
      <c r="N48" t="n">
        <v>0</v>
      </c>
      <c r="O48" t="n">
        <v>11</v>
      </c>
      <c r="P48" t="n">
        <v>2</v>
      </c>
      <c r="Q48" t="n">
        <v>12</v>
      </c>
      <c r="R48" s="2" t="inlineStr">
        <is>
          <t>Knärot
Ulltickeporing
Garnlav
Järpe
Leptoporus mollis
Lunglav
Rosenticka
Spillkråka
Talltita
Tretåig hackspett
Ullticka
Bollvitmossa</t>
        </is>
      </c>
      <c r="S48">
        <f>HYPERLINK("https://klasma.github.io/Logging_2283/artfynd/A 44369-2024 artfynd.xlsx", "A 44369-2024")</f>
        <v/>
      </c>
      <c r="T48">
        <f>HYPERLINK("https://klasma.github.io/Logging_2283/kartor/A 44369-2024 karta.png", "A 44369-2024")</f>
        <v/>
      </c>
      <c r="U48">
        <f>HYPERLINK("https://klasma.github.io/Logging_2283/knärot/A 44369-2024 karta knärot.png", "A 44369-2024")</f>
        <v/>
      </c>
      <c r="V48">
        <f>HYPERLINK("https://klasma.github.io/Logging_2283/klagomål/A 44369-2024 FSC-klagomål.docx", "A 44369-2024")</f>
        <v/>
      </c>
      <c r="W48">
        <f>HYPERLINK("https://klasma.github.io/Logging_2283/klagomålsmail/A 44369-2024 FSC-klagomål mail.docx", "A 44369-2024")</f>
        <v/>
      </c>
      <c r="X48">
        <f>HYPERLINK("https://klasma.github.io/Logging_2283/tillsyn/A 44369-2024 tillsynsbegäran.docx", "A 44369-2024")</f>
        <v/>
      </c>
      <c r="Y48">
        <f>HYPERLINK("https://klasma.github.io/Logging_2283/tillsynsmail/A 44369-2024 tillsynsbegäran mail.docx", "A 44369-2024")</f>
        <v/>
      </c>
      <c r="Z48">
        <f>HYPERLINK("https://klasma.github.io/Logging_2283/fåglar/A 44369-2024 prioriterade fågelarter.docx", "A 44369-2024")</f>
        <v/>
      </c>
    </row>
    <row r="49" ht="15" customHeight="1">
      <c r="A49" t="inlineStr">
        <is>
          <t>A 4839-2025</t>
        </is>
      </c>
      <c r="B49" s="1" t="n">
        <v>45688</v>
      </c>
      <c r="C49" s="1" t="n">
        <v>45964</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3639-2025</t>
        </is>
      </c>
      <c r="B50" s="1" t="n">
        <v>45681</v>
      </c>
      <c r="C50" s="1" t="n">
        <v>45964</v>
      </c>
      <c r="D50" t="inlineStr">
        <is>
          <t>VÄSTERNORRLANDS LÄN</t>
        </is>
      </c>
      <c r="E50" t="inlineStr">
        <is>
          <t>SOLLEFTEÅ</t>
        </is>
      </c>
      <c r="F50" t="inlineStr">
        <is>
          <t>SCA</t>
        </is>
      </c>
      <c r="G50" t="n">
        <v>6.5</v>
      </c>
      <c r="H50" t="n">
        <v>3</v>
      </c>
      <c r="I50" t="n">
        <v>0</v>
      </c>
      <c r="J50" t="n">
        <v>10</v>
      </c>
      <c r="K50" t="n">
        <v>1</v>
      </c>
      <c r="L50" t="n">
        <v>0</v>
      </c>
      <c r="M50" t="n">
        <v>0</v>
      </c>
      <c r="N50" t="n">
        <v>0</v>
      </c>
      <c r="O50" t="n">
        <v>11</v>
      </c>
      <c r="P50" t="n">
        <v>1</v>
      </c>
      <c r="Q50" t="n">
        <v>12</v>
      </c>
      <c r="R50" s="2" t="inlineStr">
        <is>
          <t>Rynkskinn
Dvärgbägarlav
Garnlav
Kolflarnlav
Lunglav
Mörk kolflarnlav
Rosenticka
Skrovellav
Spillkråka
Tretåig hackspett
Ullticka
Tjäder</t>
        </is>
      </c>
      <c r="S50">
        <f>HYPERLINK("https://klasma.github.io/Logging_2283/artfynd/A 3639-2025 artfynd.xlsx", "A 3639-2025")</f>
        <v/>
      </c>
      <c r="T50">
        <f>HYPERLINK("https://klasma.github.io/Logging_2283/kartor/A 3639-2025 karta.png", "A 3639-2025")</f>
        <v/>
      </c>
      <c r="V50">
        <f>HYPERLINK("https://klasma.github.io/Logging_2283/klagomål/A 3639-2025 FSC-klagomål.docx", "A 3639-2025")</f>
        <v/>
      </c>
      <c r="W50">
        <f>HYPERLINK("https://klasma.github.io/Logging_2283/klagomålsmail/A 3639-2025 FSC-klagomål mail.docx", "A 3639-2025")</f>
        <v/>
      </c>
      <c r="X50">
        <f>HYPERLINK("https://klasma.github.io/Logging_2283/tillsyn/A 3639-2025 tillsynsbegäran.docx", "A 3639-2025")</f>
        <v/>
      </c>
      <c r="Y50">
        <f>HYPERLINK("https://klasma.github.io/Logging_2283/tillsynsmail/A 3639-2025 tillsynsbegäran mail.docx", "A 3639-2025")</f>
        <v/>
      </c>
      <c r="Z50">
        <f>HYPERLINK("https://klasma.github.io/Logging_2283/fåglar/A 3639-2025 prioriterade fågelarter.docx", "A 3639-2025")</f>
        <v/>
      </c>
    </row>
    <row r="51" ht="15" customHeight="1">
      <c r="A51" t="inlineStr">
        <is>
          <t>A 48181-2025</t>
        </is>
      </c>
      <c r="B51" s="1" t="n">
        <v>45933.45269675926</v>
      </c>
      <c r="C51" s="1" t="n">
        <v>45964</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49704-2025</t>
        </is>
      </c>
      <c r="B52" s="1" t="n">
        <v>45939.67909722222</v>
      </c>
      <c r="C52" s="1" t="n">
        <v>45964</v>
      </c>
      <c r="D52" t="inlineStr">
        <is>
          <t>VÄSTERNORRLANDS LÄN</t>
        </is>
      </c>
      <c r="E52" t="inlineStr">
        <is>
          <t>SOLLEFTEÅ</t>
        </is>
      </c>
      <c r="F52" t="inlineStr">
        <is>
          <t>SCA</t>
        </is>
      </c>
      <c r="G52" t="n">
        <v>1.8</v>
      </c>
      <c r="H52" t="n">
        <v>3</v>
      </c>
      <c r="I52" t="n">
        <v>6</v>
      </c>
      <c r="J52" t="n">
        <v>6</v>
      </c>
      <c r="K52" t="n">
        <v>0</v>
      </c>
      <c r="L52" t="n">
        <v>0</v>
      </c>
      <c r="M52" t="n">
        <v>0</v>
      </c>
      <c r="N52" t="n">
        <v>0</v>
      </c>
      <c r="O52" t="n">
        <v>6</v>
      </c>
      <c r="P52" t="n">
        <v>0</v>
      </c>
      <c r="Q52" t="n">
        <v>12</v>
      </c>
      <c r="R52" s="2" t="inlineStr">
        <is>
          <t>Gammelgransskål
Garnlav
Harticka
Järpe
Lunglav
Tretåig hackspett
Bollvitmossa
Bårdlav
Lappranunkel
Luddlav
Norrlandslav
Ögonpyrola</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30571-2024</t>
        </is>
      </c>
      <c r="B53" s="1" t="n">
        <v>45492</v>
      </c>
      <c r="C53" s="1" t="n">
        <v>45964</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39198-2025</t>
        </is>
      </c>
      <c r="B54" s="1" t="n">
        <v>45888</v>
      </c>
      <c r="C54" s="1" t="n">
        <v>45964</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26948-2024</t>
        </is>
      </c>
      <c r="B55" s="1" t="n">
        <v>45470</v>
      </c>
      <c r="C55" s="1" t="n">
        <v>45964</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44735-2025</t>
        </is>
      </c>
      <c r="B56" s="1" t="n">
        <v>45917</v>
      </c>
      <c r="C56" s="1" t="n">
        <v>45964</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32460-2024</t>
        </is>
      </c>
      <c r="B57" s="1" t="n">
        <v>45512</v>
      </c>
      <c r="C57" s="1" t="n">
        <v>45964</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61326-2024</t>
        </is>
      </c>
      <c r="B58" s="1" t="n">
        <v>45646</v>
      </c>
      <c r="C58" s="1" t="n">
        <v>45964</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11491-2022</t>
        </is>
      </c>
      <c r="B59" s="1" t="n">
        <v>44630</v>
      </c>
      <c r="C59" s="1" t="n">
        <v>45964</v>
      </c>
      <c r="D59" t="inlineStr">
        <is>
          <t>VÄSTERNORRLANDS LÄN</t>
        </is>
      </c>
      <c r="E59" t="inlineStr">
        <is>
          <t>SOLLEFTEÅ</t>
        </is>
      </c>
      <c r="F59" t="inlineStr">
        <is>
          <t>SCA</t>
        </is>
      </c>
      <c r="G59" t="n">
        <v>6.4</v>
      </c>
      <c r="H59" t="n">
        <v>4</v>
      </c>
      <c r="I59" t="n">
        <v>0</v>
      </c>
      <c r="J59" t="n">
        <v>6</v>
      </c>
      <c r="K59" t="n">
        <v>3</v>
      </c>
      <c r="L59" t="n">
        <v>0</v>
      </c>
      <c r="M59" t="n">
        <v>0</v>
      </c>
      <c r="N59" t="n">
        <v>0</v>
      </c>
      <c r="O59" t="n">
        <v>9</v>
      </c>
      <c r="P59" t="n">
        <v>3</v>
      </c>
      <c r="Q59" t="n">
        <v>11</v>
      </c>
      <c r="R59" s="2" t="inlineStr">
        <is>
          <t>Knärot
Raggbock
Rynkskinn
Gränsticka
Lunglav
Orange taggsvamp
Rosenticka
Tretåig hackspett
Ullticka
Kungsfågel
Fläcknycklar</t>
        </is>
      </c>
      <c r="S59">
        <f>HYPERLINK("https://klasma.github.io/Logging_2283/artfynd/A 11491-2022 artfynd.xlsx", "A 11491-2022")</f>
        <v/>
      </c>
      <c r="T59">
        <f>HYPERLINK("https://klasma.github.io/Logging_2283/kartor/A 11491-2022 karta.png", "A 11491-2022")</f>
        <v/>
      </c>
      <c r="U59">
        <f>HYPERLINK("https://klasma.github.io/Logging_2283/knärot/A 11491-2022 karta knärot.png", "A 11491-2022")</f>
        <v/>
      </c>
      <c r="V59">
        <f>HYPERLINK("https://klasma.github.io/Logging_2283/klagomål/A 11491-2022 FSC-klagomål.docx", "A 11491-2022")</f>
        <v/>
      </c>
      <c r="W59">
        <f>HYPERLINK("https://klasma.github.io/Logging_2283/klagomålsmail/A 11491-2022 FSC-klagomål mail.docx", "A 11491-2022")</f>
        <v/>
      </c>
      <c r="X59">
        <f>HYPERLINK("https://klasma.github.io/Logging_2283/tillsyn/A 11491-2022 tillsynsbegäran.docx", "A 11491-2022")</f>
        <v/>
      </c>
      <c r="Y59">
        <f>HYPERLINK("https://klasma.github.io/Logging_2283/tillsynsmail/A 11491-2022 tillsynsbegäran mail.docx", "A 11491-2022")</f>
        <v/>
      </c>
      <c r="Z59">
        <f>HYPERLINK("https://klasma.github.io/Logging_2283/fåglar/A 11491-2022 prioriterade fågelarter.docx", "A 11491-2022")</f>
        <v/>
      </c>
    </row>
    <row r="60" ht="15" customHeight="1">
      <c r="A60" t="inlineStr">
        <is>
          <t>A 46041-2022</t>
        </is>
      </c>
      <c r="B60" s="1" t="n">
        <v>44846</v>
      </c>
      <c r="C60" s="1" t="n">
        <v>45964</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50472-2025</t>
        </is>
      </c>
      <c r="B61" s="1" t="n">
        <v>45945.3650462963</v>
      </c>
      <c r="C61" s="1" t="n">
        <v>45964</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22449-2024</t>
        </is>
      </c>
      <c r="B62" s="1" t="n">
        <v>45446</v>
      </c>
      <c r="C62" s="1" t="n">
        <v>45964</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747-2022</t>
        </is>
      </c>
      <c r="B63" s="1" t="n">
        <v>44568</v>
      </c>
      <c r="C63" s="1" t="n">
        <v>45964</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18009-2022</t>
        </is>
      </c>
      <c r="B64" s="1" t="n">
        <v>44683</v>
      </c>
      <c r="C64" s="1" t="n">
        <v>45964</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66171-2021</t>
        </is>
      </c>
      <c r="B65" s="1" t="n">
        <v>44517</v>
      </c>
      <c r="C65" s="1" t="n">
        <v>45964</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6620-2025</t>
        </is>
      </c>
      <c r="B66" s="1" t="n">
        <v>45700</v>
      </c>
      <c r="C66" s="1" t="n">
        <v>45964</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14301-2022</t>
        </is>
      </c>
      <c r="B67" s="1" t="n">
        <v>44651</v>
      </c>
      <c r="C67" s="1" t="n">
        <v>45964</v>
      </c>
      <c r="D67" t="inlineStr">
        <is>
          <t>VÄSTERNORRLANDS LÄN</t>
        </is>
      </c>
      <c r="E67" t="inlineStr">
        <is>
          <t>SOLLEFTEÅ</t>
        </is>
      </c>
      <c r="F67" t="inlineStr">
        <is>
          <t>SCA</t>
        </is>
      </c>
      <c r="G67" t="n">
        <v>2.4</v>
      </c>
      <c r="H67" t="n">
        <v>3</v>
      </c>
      <c r="I67" t="n">
        <v>3</v>
      </c>
      <c r="J67" t="n">
        <v>6</v>
      </c>
      <c r="K67" t="n">
        <v>1</v>
      </c>
      <c r="L67" t="n">
        <v>0</v>
      </c>
      <c r="M67" t="n">
        <v>0</v>
      </c>
      <c r="N67" t="n">
        <v>0</v>
      </c>
      <c r="O67" t="n">
        <v>7</v>
      </c>
      <c r="P67" t="n">
        <v>1</v>
      </c>
      <c r="Q67" t="n">
        <v>10</v>
      </c>
      <c r="R67" s="2" t="inlineStr">
        <is>
          <t>Knärot
Dvärgbägarlav
Lunglav
Spillkråka
Tretåig hackspett
Vedskivlav
Vedtrappmossa
Bollvitmossa
Luddlav
Stuplav</t>
        </is>
      </c>
      <c r="S67">
        <f>HYPERLINK("https://klasma.github.io/Logging_2283/artfynd/A 14301-2022 artfynd.xlsx", "A 14301-2022")</f>
        <v/>
      </c>
      <c r="T67">
        <f>HYPERLINK("https://klasma.github.io/Logging_2283/kartor/A 14301-2022 karta.png", "A 14301-2022")</f>
        <v/>
      </c>
      <c r="U67">
        <f>HYPERLINK("https://klasma.github.io/Logging_2283/knärot/A 14301-2022 karta knärot.png", "A 14301-2022")</f>
        <v/>
      </c>
      <c r="V67">
        <f>HYPERLINK("https://klasma.github.io/Logging_2283/klagomål/A 14301-2022 FSC-klagomål.docx", "A 14301-2022")</f>
        <v/>
      </c>
      <c r="W67">
        <f>HYPERLINK("https://klasma.github.io/Logging_2283/klagomålsmail/A 14301-2022 FSC-klagomål mail.docx", "A 14301-2022")</f>
        <v/>
      </c>
      <c r="X67">
        <f>HYPERLINK("https://klasma.github.io/Logging_2283/tillsyn/A 14301-2022 tillsynsbegäran.docx", "A 14301-2022")</f>
        <v/>
      </c>
      <c r="Y67">
        <f>HYPERLINK("https://klasma.github.io/Logging_2283/tillsynsmail/A 14301-2022 tillsynsbegäran mail.docx", "A 14301-2022")</f>
        <v/>
      </c>
      <c r="Z67">
        <f>HYPERLINK("https://klasma.github.io/Logging_2283/fåglar/A 14301-2022 prioriterade fågelarter.docx", "A 14301-2022")</f>
        <v/>
      </c>
    </row>
    <row r="68" ht="15" customHeight="1">
      <c r="A68" t="inlineStr">
        <is>
          <t>A 51693-2024</t>
        </is>
      </c>
      <c r="B68" s="1" t="n">
        <v>45607.34570601852</v>
      </c>
      <c r="C68" s="1" t="n">
        <v>45964</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29232-2025</t>
        </is>
      </c>
      <c r="B69" s="1" t="n">
        <v>45824.34453703704</v>
      </c>
      <c r="C69" s="1" t="n">
        <v>45964</v>
      </c>
      <c r="D69" t="inlineStr">
        <is>
          <t>VÄSTERNORRLANDS LÄN</t>
        </is>
      </c>
      <c r="E69" t="inlineStr">
        <is>
          <t>SOLLEFTEÅ</t>
        </is>
      </c>
      <c r="F69" t="inlineStr">
        <is>
          <t>SCA</t>
        </is>
      </c>
      <c r="G69" t="n">
        <v>6.5</v>
      </c>
      <c r="H69" t="n">
        <v>0</v>
      </c>
      <c r="I69" t="n">
        <v>4</v>
      </c>
      <c r="J69" t="n">
        <v>6</v>
      </c>
      <c r="K69" t="n">
        <v>0</v>
      </c>
      <c r="L69" t="n">
        <v>0</v>
      </c>
      <c r="M69" t="n">
        <v>0</v>
      </c>
      <c r="N69" t="n">
        <v>0</v>
      </c>
      <c r="O69" t="n">
        <v>6</v>
      </c>
      <c r="P69" t="n">
        <v>0</v>
      </c>
      <c r="Q69" t="n">
        <v>10</v>
      </c>
      <c r="R69" s="2" t="inlineStr">
        <is>
          <t>Gammelgransskål
Garnlav
Luddfingersvamp
Lunglav
Vedskivlav
Vitgrynig nållav
Bårdlav
Luddlav
Stuplav
Vedticka</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row>
    <row r="70" ht="15" customHeight="1">
      <c r="A70" t="inlineStr">
        <is>
          <t>A 19825-2023</t>
        </is>
      </c>
      <c r="B70" s="1" t="n">
        <v>45051</v>
      </c>
      <c r="C70" s="1" t="n">
        <v>45964</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38665-2025</t>
        </is>
      </c>
      <c r="B71" s="1" t="n">
        <v>45884.61528935185</v>
      </c>
      <c r="C71" s="1" t="n">
        <v>45964</v>
      </c>
      <c r="D71" t="inlineStr">
        <is>
          <t>VÄSTERNORRLANDS LÄN</t>
        </is>
      </c>
      <c r="E71" t="inlineStr">
        <is>
          <t>SOLLEFTEÅ</t>
        </is>
      </c>
      <c r="F71" t="inlineStr">
        <is>
          <t>SCA</t>
        </is>
      </c>
      <c r="G71" t="n">
        <v>3.9</v>
      </c>
      <c r="H71" t="n">
        <v>0</v>
      </c>
      <c r="I71" t="n">
        <v>1</v>
      </c>
      <c r="J71" t="n">
        <v>9</v>
      </c>
      <c r="K71" t="n">
        <v>0</v>
      </c>
      <c r="L71" t="n">
        <v>0</v>
      </c>
      <c r="M71" t="n">
        <v>0</v>
      </c>
      <c r="N71" t="n">
        <v>0</v>
      </c>
      <c r="O71" t="n">
        <v>9</v>
      </c>
      <c r="P71" t="n">
        <v>0</v>
      </c>
      <c r="Q71" t="n">
        <v>10</v>
      </c>
      <c r="R71" s="2" t="inlineStr">
        <is>
          <t>Blå taggsvamp
Gammelgransskål
Kolflarnlav
Lunglav
Nordtagging
Rosenticka
Ullticka
Vaddporing
Vitgrynig nållav
Luddlav</t>
        </is>
      </c>
      <c r="S71">
        <f>HYPERLINK("https://klasma.github.io/Logging_2283/artfynd/A 38665-2025 artfynd.xlsx", "A 38665-2025")</f>
        <v/>
      </c>
      <c r="T71">
        <f>HYPERLINK("https://klasma.github.io/Logging_2283/kartor/A 38665-2025 karta.png", "A 38665-2025")</f>
        <v/>
      </c>
      <c r="V71">
        <f>HYPERLINK("https://klasma.github.io/Logging_2283/klagomål/A 38665-2025 FSC-klagomål.docx", "A 38665-2025")</f>
        <v/>
      </c>
      <c r="W71">
        <f>HYPERLINK("https://klasma.github.io/Logging_2283/klagomålsmail/A 38665-2025 FSC-klagomål mail.docx", "A 38665-2025")</f>
        <v/>
      </c>
      <c r="X71">
        <f>HYPERLINK("https://klasma.github.io/Logging_2283/tillsyn/A 38665-2025 tillsynsbegäran.docx", "A 38665-2025")</f>
        <v/>
      </c>
      <c r="Y71">
        <f>HYPERLINK("https://klasma.github.io/Logging_2283/tillsynsmail/A 38665-2025 tillsynsbegäran mail.docx", "A 38665-2025")</f>
        <v/>
      </c>
    </row>
    <row r="72" ht="15" customHeight="1">
      <c r="A72" t="inlineStr">
        <is>
          <t>A 37488-2023</t>
        </is>
      </c>
      <c r="B72" s="1" t="n">
        <v>45156</v>
      </c>
      <c r="C72" s="1" t="n">
        <v>45964</v>
      </c>
      <c r="D72" t="inlineStr">
        <is>
          <t>VÄSTERNORRLANDS LÄN</t>
        </is>
      </c>
      <c r="E72" t="inlineStr">
        <is>
          <t>SOLLEFTEÅ</t>
        </is>
      </c>
      <c r="F72" t="inlineStr">
        <is>
          <t>SCA</t>
        </is>
      </c>
      <c r="G72" t="n">
        <v>10.1</v>
      </c>
      <c r="H72" t="n">
        <v>5</v>
      </c>
      <c r="I72" t="n">
        <v>3</v>
      </c>
      <c r="J72" t="n">
        <v>4</v>
      </c>
      <c r="K72" t="n">
        <v>2</v>
      </c>
      <c r="L72" t="n">
        <v>0</v>
      </c>
      <c r="M72" t="n">
        <v>0</v>
      </c>
      <c r="N72" t="n">
        <v>0</v>
      </c>
      <c r="O72" t="n">
        <v>6</v>
      </c>
      <c r="P72" t="n">
        <v>2</v>
      </c>
      <c r="Q72" t="n">
        <v>10</v>
      </c>
      <c r="R72" s="2" t="inlineStr">
        <is>
          <t>Doftticka
Knärot
Garnlav
Lunglav
Spillkråka
Tretåig hackspett
Bårdlav
Norrlandslav
Stuplav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43329-2025</t>
        </is>
      </c>
      <c r="B73" s="1" t="n">
        <v>45910.6775</v>
      </c>
      <c r="C73" s="1" t="n">
        <v>45964</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40274-2022</t>
        </is>
      </c>
      <c r="B74" s="1" t="n">
        <v>44820</v>
      </c>
      <c r="C74" s="1" t="n">
        <v>45964</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Knärot
Rynkskinn
Garnlav
Kolflarnlav
Lunglav
Rosenticka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24755-2024</t>
        </is>
      </c>
      <c r="B75" s="1" t="n">
        <v>45460</v>
      </c>
      <c r="C75" s="1" t="n">
        <v>45964</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12146-2025</t>
        </is>
      </c>
      <c r="B76" s="1" t="n">
        <v>45729</v>
      </c>
      <c r="C76" s="1" t="n">
        <v>45964</v>
      </c>
      <c r="D76" t="inlineStr">
        <is>
          <t>VÄSTERNORRLANDS LÄN</t>
        </is>
      </c>
      <c r="E76" t="inlineStr">
        <is>
          <t>SOLLEFTEÅ</t>
        </is>
      </c>
      <c r="F76" t="inlineStr">
        <is>
          <t>SCA</t>
        </is>
      </c>
      <c r="G76" t="n">
        <v>7.4</v>
      </c>
      <c r="H76" t="n">
        <v>4</v>
      </c>
      <c r="I76" t="n">
        <v>1</v>
      </c>
      <c r="J76" t="n">
        <v>7</v>
      </c>
      <c r="K76" t="n">
        <v>0</v>
      </c>
      <c r="L76" t="n">
        <v>0</v>
      </c>
      <c r="M76" t="n">
        <v>0</v>
      </c>
      <c r="N76" t="n">
        <v>0</v>
      </c>
      <c r="O76" t="n">
        <v>7</v>
      </c>
      <c r="P76" t="n">
        <v>0</v>
      </c>
      <c r="Q76" t="n">
        <v>9</v>
      </c>
      <c r="R76" s="2" t="inlineStr">
        <is>
          <t>Gammelgransskål
Garnlav
Granticka
Harticka
Lunglav
Talltita
Tretåig hackspett
Lappranunkel
Tjäder</t>
        </is>
      </c>
      <c r="S76">
        <f>HYPERLINK("https://klasma.github.io/Logging_2283/artfynd/A 12146-2025 artfynd.xlsx", "A 12146-2025")</f>
        <v/>
      </c>
      <c r="T76">
        <f>HYPERLINK("https://klasma.github.io/Logging_2283/kartor/A 12146-2025 karta.png", "A 12146-2025")</f>
        <v/>
      </c>
      <c r="V76">
        <f>HYPERLINK("https://klasma.github.io/Logging_2283/klagomål/A 12146-2025 FSC-klagomål.docx", "A 12146-2025")</f>
        <v/>
      </c>
      <c r="W76">
        <f>HYPERLINK("https://klasma.github.io/Logging_2283/klagomålsmail/A 12146-2025 FSC-klagomål mail.docx", "A 12146-2025")</f>
        <v/>
      </c>
      <c r="X76">
        <f>HYPERLINK("https://klasma.github.io/Logging_2283/tillsyn/A 12146-2025 tillsynsbegäran.docx", "A 12146-2025")</f>
        <v/>
      </c>
      <c r="Y76">
        <f>HYPERLINK("https://klasma.github.io/Logging_2283/tillsynsmail/A 12146-2025 tillsynsbegäran mail.docx", "A 12146-2025")</f>
        <v/>
      </c>
      <c r="Z76">
        <f>HYPERLINK("https://klasma.github.io/Logging_2283/fåglar/A 12146-2025 prioriterade fågelarter.docx", "A 12146-2025")</f>
        <v/>
      </c>
    </row>
    <row r="77" ht="15" customHeight="1">
      <c r="A77" t="inlineStr">
        <is>
          <t>A 43131-2022</t>
        </is>
      </c>
      <c r="B77" s="1" t="n">
        <v>44833</v>
      </c>
      <c r="C77" s="1" t="n">
        <v>45964</v>
      </c>
      <c r="D77" t="inlineStr">
        <is>
          <t>VÄSTERNORRLANDS LÄN</t>
        </is>
      </c>
      <c r="E77" t="inlineStr">
        <is>
          <t>SOLLEFTEÅ</t>
        </is>
      </c>
      <c r="F77" t="inlineStr">
        <is>
          <t>SCA</t>
        </is>
      </c>
      <c r="G77" t="n">
        <v>2.6</v>
      </c>
      <c r="H77" t="n">
        <v>4</v>
      </c>
      <c r="I77" t="n">
        <v>1</v>
      </c>
      <c r="J77" t="n">
        <v>6</v>
      </c>
      <c r="K77" t="n">
        <v>1</v>
      </c>
      <c r="L77" t="n">
        <v>0</v>
      </c>
      <c r="M77" t="n">
        <v>0</v>
      </c>
      <c r="N77" t="n">
        <v>0</v>
      </c>
      <c r="O77" t="n">
        <v>7</v>
      </c>
      <c r="P77" t="n">
        <v>1</v>
      </c>
      <c r="Q77" t="n">
        <v>9</v>
      </c>
      <c r="R77" s="2" t="inlineStr">
        <is>
          <t>Knärot
Gammelgransskål
Garnlav
Harticka
Lunglav
Talltita
Tretåig hackspett
Luddlav
Revlummer</t>
        </is>
      </c>
      <c r="S77">
        <f>HYPERLINK("https://klasma.github.io/Logging_2283/artfynd/A 43131-2022 artfynd.xlsx", "A 43131-2022")</f>
        <v/>
      </c>
      <c r="T77">
        <f>HYPERLINK("https://klasma.github.io/Logging_2283/kartor/A 43131-2022 karta.png", "A 43131-2022")</f>
        <v/>
      </c>
      <c r="U77">
        <f>HYPERLINK("https://klasma.github.io/Logging_2283/knärot/A 43131-2022 karta knärot.png", "A 43131-2022")</f>
        <v/>
      </c>
      <c r="V77">
        <f>HYPERLINK("https://klasma.github.io/Logging_2283/klagomål/A 43131-2022 FSC-klagomål.docx", "A 43131-2022")</f>
        <v/>
      </c>
      <c r="W77">
        <f>HYPERLINK("https://klasma.github.io/Logging_2283/klagomålsmail/A 43131-2022 FSC-klagomål mail.docx", "A 43131-2022")</f>
        <v/>
      </c>
      <c r="X77">
        <f>HYPERLINK("https://klasma.github.io/Logging_2283/tillsyn/A 43131-2022 tillsynsbegäran.docx", "A 43131-2022")</f>
        <v/>
      </c>
      <c r="Y77">
        <f>HYPERLINK("https://klasma.github.io/Logging_2283/tillsynsmail/A 43131-2022 tillsynsbegäran mail.docx", "A 43131-2022")</f>
        <v/>
      </c>
      <c r="Z77">
        <f>HYPERLINK("https://klasma.github.io/Logging_2283/fåglar/A 43131-2022 prioriterade fågelarter.docx", "A 43131-2022")</f>
        <v/>
      </c>
    </row>
    <row r="78" ht="15" customHeight="1">
      <c r="A78" t="inlineStr">
        <is>
          <t>A 12865-2024</t>
        </is>
      </c>
      <c r="B78" s="1" t="n">
        <v>45384</v>
      </c>
      <c r="C78" s="1" t="n">
        <v>45964</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45964</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45964</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21345-2023</t>
        </is>
      </c>
      <c r="B81" s="1" t="n">
        <v>45062</v>
      </c>
      <c r="C81" s="1" t="n">
        <v>45964</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57317-2024</t>
        </is>
      </c>
      <c r="B82" s="1" t="n">
        <v>45629</v>
      </c>
      <c r="C82" s="1" t="n">
        <v>45964</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22215-2025</t>
        </is>
      </c>
      <c r="B83" s="1" t="n">
        <v>45785.65803240741</v>
      </c>
      <c r="C83" s="1" t="n">
        <v>45964</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4930-2025</t>
        </is>
      </c>
      <c r="B84" s="1" t="n">
        <v>45688</v>
      </c>
      <c r="C84" s="1" t="n">
        <v>45964</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11132-2025</t>
        </is>
      </c>
      <c r="B85" s="1" t="n">
        <v>45723.64934027778</v>
      </c>
      <c r="C85" s="1" t="n">
        <v>45964</v>
      </c>
      <c r="D85" t="inlineStr">
        <is>
          <t>VÄSTERNORRLANDS LÄN</t>
        </is>
      </c>
      <c r="E85" t="inlineStr">
        <is>
          <t>SOLLEFTEÅ</t>
        </is>
      </c>
      <c r="G85" t="n">
        <v>18.2</v>
      </c>
      <c r="H85" t="n">
        <v>2</v>
      </c>
      <c r="I85" t="n">
        <v>0</v>
      </c>
      <c r="J85" t="n">
        <v>6</v>
      </c>
      <c r="K85" t="n">
        <v>1</v>
      </c>
      <c r="L85" t="n">
        <v>0</v>
      </c>
      <c r="M85" t="n">
        <v>0</v>
      </c>
      <c r="N85" t="n">
        <v>0</v>
      </c>
      <c r="O85" t="n">
        <v>7</v>
      </c>
      <c r="P85" t="n">
        <v>1</v>
      </c>
      <c r="Q85" t="n">
        <v>8</v>
      </c>
      <c r="R85" s="2" t="inlineStr">
        <is>
          <t>Knärot
Gropig brunbagge
Mörk kolflarnlav
Olisthaerus substriatus
Rosenticka
Ullticka
Vedskivlav
Vanlig padda</t>
        </is>
      </c>
      <c r="S85">
        <f>HYPERLINK("https://klasma.github.io/Logging_2283/artfynd/A 11132-2025 artfynd.xlsx", "A 11132-2025")</f>
        <v/>
      </c>
      <c r="T85">
        <f>HYPERLINK("https://klasma.github.io/Logging_2283/kartor/A 11132-2025 karta.png", "A 11132-2025")</f>
        <v/>
      </c>
      <c r="U85">
        <f>HYPERLINK("https://klasma.github.io/Logging_2283/knärot/A 11132-2025 karta knärot.png", "A 11132-2025")</f>
        <v/>
      </c>
      <c r="V85">
        <f>HYPERLINK("https://klasma.github.io/Logging_2283/klagomål/A 11132-2025 FSC-klagomål.docx", "A 11132-2025")</f>
        <v/>
      </c>
      <c r="W85">
        <f>HYPERLINK("https://klasma.github.io/Logging_2283/klagomålsmail/A 11132-2025 FSC-klagomål mail.docx", "A 11132-2025")</f>
        <v/>
      </c>
      <c r="X85">
        <f>HYPERLINK("https://klasma.github.io/Logging_2283/tillsyn/A 11132-2025 tillsynsbegäran.docx", "A 11132-2025")</f>
        <v/>
      </c>
      <c r="Y85">
        <f>HYPERLINK("https://klasma.github.io/Logging_2283/tillsynsmail/A 11132-2025 tillsynsbegäran mail.docx", "A 11132-2025")</f>
        <v/>
      </c>
    </row>
    <row r="86" ht="15" customHeight="1">
      <c r="A86" t="inlineStr">
        <is>
          <t>A 64131-2023</t>
        </is>
      </c>
      <c r="B86" s="1" t="n">
        <v>45279</v>
      </c>
      <c r="C86" s="1" t="n">
        <v>45964</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11540-2024</t>
        </is>
      </c>
      <c r="B87" s="1" t="n">
        <v>45372</v>
      </c>
      <c r="C87" s="1" t="n">
        <v>45964</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24459-2024</t>
        </is>
      </c>
      <c r="B88" s="1" t="n">
        <v>45457.9678125</v>
      </c>
      <c r="C88" s="1" t="n">
        <v>45964</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39071-2023</t>
        </is>
      </c>
      <c r="B89" s="1" t="n">
        <v>45163</v>
      </c>
      <c r="C89" s="1" t="n">
        <v>45964</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32200-2023</t>
        </is>
      </c>
      <c r="B90" s="1" t="n">
        <v>45119</v>
      </c>
      <c r="C90" s="1" t="n">
        <v>45964</v>
      </c>
      <c r="D90" t="inlineStr">
        <is>
          <t>VÄSTERNORRLANDS LÄN</t>
        </is>
      </c>
      <c r="E90" t="inlineStr">
        <is>
          <t>SOLLEFTEÅ</t>
        </is>
      </c>
      <c r="G90" t="n">
        <v>1.5</v>
      </c>
      <c r="H90" t="n">
        <v>3</v>
      </c>
      <c r="I90" t="n">
        <v>2</v>
      </c>
      <c r="J90" t="n">
        <v>5</v>
      </c>
      <c r="K90" t="n">
        <v>1</v>
      </c>
      <c r="L90" t="n">
        <v>0</v>
      </c>
      <c r="M90" t="n">
        <v>0</v>
      </c>
      <c r="N90" t="n">
        <v>0</v>
      </c>
      <c r="O90" t="n">
        <v>6</v>
      </c>
      <c r="P90" t="n">
        <v>1</v>
      </c>
      <c r="Q90" t="n">
        <v>8</v>
      </c>
      <c r="R90" s="2" t="inlineStr">
        <is>
          <t>Knärot
Garnlav
Rosenticka
Spillkråka
Tretåig hackspett
Ullticka
Grönpyrola
Vedticka</t>
        </is>
      </c>
      <c r="S90">
        <f>HYPERLINK("https://klasma.github.io/Logging_2283/artfynd/A 32200-2023 artfynd.xlsx", "A 32200-2023")</f>
        <v/>
      </c>
      <c r="T90">
        <f>HYPERLINK("https://klasma.github.io/Logging_2283/kartor/A 32200-2023 karta.png", "A 32200-2023")</f>
        <v/>
      </c>
      <c r="U90">
        <f>HYPERLINK("https://klasma.github.io/Logging_2283/knärot/A 32200-2023 karta knärot.png", "A 32200-2023")</f>
        <v/>
      </c>
      <c r="V90">
        <f>HYPERLINK("https://klasma.github.io/Logging_2283/klagomål/A 32200-2023 FSC-klagomål.docx", "A 32200-2023")</f>
        <v/>
      </c>
      <c r="W90">
        <f>HYPERLINK("https://klasma.github.io/Logging_2283/klagomålsmail/A 32200-2023 FSC-klagomål mail.docx", "A 32200-2023")</f>
        <v/>
      </c>
      <c r="X90">
        <f>HYPERLINK("https://klasma.github.io/Logging_2283/tillsyn/A 32200-2023 tillsynsbegäran.docx", "A 32200-2023")</f>
        <v/>
      </c>
      <c r="Y90">
        <f>HYPERLINK("https://klasma.github.io/Logging_2283/tillsynsmail/A 32200-2023 tillsynsbegäran mail.docx", "A 32200-2023")</f>
        <v/>
      </c>
      <c r="Z90">
        <f>HYPERLINK("https://klasma.github.io/Logging_2283/fåglar/A 32200-2023 prioriterade fågelarter.docx", "A 32200-2023")</f>
        <v/>
      </c>
    </row>
    <row r="91" ht="15" customHeight="1">
      <c r="A91" t="inlineStr">
        <is>
          <t>A 31504-2025</t>
        </is>
      </c>
      <c r="B91" s="1" t="n">
        <v>45833.59438657408</v>
      </c>
      <c r="C91" s="1" t="n">
        <v>45964</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29620-2023</t>
        </is>
      </c>
      <c r="B92" s="1" t="n">
        <v>45106</v>
      </c>
      <c r="C92" s="1" t="n">
        <v>45964</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5310-2024</t>
        </is>
      </c>
      <c r="B93" s="1" t="n">
        <v>45331</v>
      </c>
      <c r="C93" s="1" t="n">
        <v>45964</v>
      </c>
      <c r="D93" t="inlineStr">
        <is>
          <t>VÄSTERNORRLANDS LÄN</t>
        </is>
      </c>
      <c r="E93" t="inlineStr">
        <is>
          <t>SOLLEFTEÅ</t>
        </is>
      </c>
      <c r="G93" t="n">
        <v>8.5</v>
      </c>
      <c r="H93" t="n">
        <v>2</v>
      </c>
      <c r="I93" t="n">
        <v>3</v>
      </c>
      <c r="J93" t="n">
        <v>4</v>
      </c>
      <c r="K93" t="n">
        <v>1</v>
      </c>
      <c r="L93" t="n">
        <v>0</v>
      </c>
      <c r="M93" t="n">
        <v>0</v>
      </c>
      <c r="N93" t="n">
        <v>0</v>
      </c>
      <c r="O93" t="n">
        <v>5</v>
      </c>
      <c r="P93" t="n">
        <v>1</v>
      </c>
      <c r="Q93" t="n">
        <v>8</v>
      </c>
      <c r="R93" s="2" t="inlineStr">
        <is>
          <t>Knärot
Garnlav
Kortskaftad ärgspik
Rosenticka
Talltita
Barkticka
Bronshjon
Luddlav</t>
        </is>
      </c>
      <c r="S93">
        <f>HYPERLINK("https://klasma.github.io/Logging_2283/artfynd/A 5310-2024 artfynd.xlsx", "A 5310-2024")</f>
        <v/>
      </c>
      <c r="T93">
        <f>HYPERLINK("https://klasma.github.io/Logging_2283/kartor/A 5310-2024 karta.png", "A 5310-2024")</f>
        <v/>
      </c>
      <c r="U93">
        <f>HYPERLINK("https://klasma.github.io/Logging_2283/knärot/A 5310-2024 karta knärot.png", "A 5310-2024")</f>
        <v/>
      </c>
      <c r="V93">
        <f>HYPERLINK("https://klasma.github.io/Logging_2283/klagomål/A 5310-2024 FSC-klagomål.docx", "A 5310-2024")</f>
        <v/>
      </c>
      <c r="W93">
        <f>HYPERLINK("https://klasma.github.io/Logging_2283/klagomålsmail/A 5310-2024 FSC-klagomål mail.docx", "A 5310-2024")</f>
        <v/>
      </c>
      <c r="X93">
        <f>HYPERLINK("https://klasma.github.io/Logging_2283/tillsyn/A 5310-2024 tillsynsbegäran.docx", "A 5310-2024")</f>
        <v/>
      </c>
      <c r="Y93">
        <f>HYPERLINK("https://klasma.github.io/Logging_2283/tillsynsmail/A 5310-2024 tillsynsbegäran mail.docx", "A 5310-2024")</f>
        <v/>
      </c>
      <c r="Z93">
        <f>HYPERLINK("https://klasma.github.io/Logging_2283/fåglar/A 5310-2024 prioriterade fågelarter.docx", "A 5310-2024")</f>
        <v/>
      </c>
    </row>
    <row r="94" ht="15" customHeight="1">
      <c r="A94" t="inlineStr">
        <is>
          <t>A 29250-2024</t>
        </is>
      </c>
      <c r="B94" s="1" t="n">
        <v>45482</v>
      </c>
      <c r="C94" s="1" t="n">
        <v>45964</v>
      </c>
      <c r="D94" t="inlineStr">
        <is>
          <t>VÄSTERNORRLANDS LÄN</t>
        </is>
      </c>
      <c r="E94" t="inlineStr">
        <is>
          <t>SOLLEFTEÅ</t>
        </is>
      </c>
      <c r="F94" t="inlineStr">
        <is>
          <t>SCA</t>
        </is>
      </c>
      <c r="G94" t="n">
        <v>14.4</v>
      </c>
      <c r="H94" t="n">
        <v>5</v>
      </c>
      <c r="I94" t="n">
        <v>2</v>
      </c>
      <c r="J94" t="n">
        <v>5</v>
      </c>
      <c r="K94" t="n">
        <v>1</v>
      </c>
      <c r="L94" t="n">
        <v>0</v>
      </c>
      <c r="M94" t="n">
        <v>0</v>
      </c>
      <c r="N94" t="n">
        <v>0</v>
      </c>
      <c r="O94" t="n">
        <v>6</v>
      </c>
      <c r="P94" t="n">
        <v>1</v>
      </c>
      <c r="Q94" t="n">
        <v>8</v>
      </c>
      <c r="R94" s="2" t="inlineStr">
        <is>
          <t>Knärot
Granticka
Harticka
Järpe
Rödvingetrast
Tretåig hackspett
Bollvitmossa
Lappranunkel</t>
        </is>
      </c>
      <c r="S94">
        <f>HYPERLINK("https://klasma.github.io/Logging_2283/artfynd/A 29250-2024 artfynd.xlsx", "A 29250-2024")</f>
        <v/>
      </c>
      <c r="T94">
        <f>HYPERLINK("https://klasma.github.io/Logging_2283/kartor/A 29250-2024 karta.png", "A 29250-2024")</f>
        <v/>
      </c>
      <c r="U94">
        <f>HYPERLINK("https://klasma.github.io/Logging_2283/knärot/A 29250-2024 karta knärot.png", "A 29250-2024")</f>
        <v/>
      </c>
      <c r="V94">
        <f>HYPERLINK("https://klasma.github.io/Logging_2283/klagomål/A 29250-2024 FSC-klagomål.docx", "A 29250-2024")</f>
        <v/>
      </c>
      <c r="W94">
        <f>HYPERLINK("https://klasma.github.io/Logging_2283/klagomålsmail/A 29250-2024 FSC-klagomål mail.docx", "A 29250-2024")</f>
        <v/>
      </c>
      <c r="X94">
        <f>HYPERLINK("https://klasma.github.io/Logging_2283/tillsyn/A 29250-2024 tillsynsbegäran.docx", "A 29250-2024")</f>
        <v/>
      </c>
      <c r="Y94">
        <f>HYPERLINK("https://klasma.github.io/Logging_2283/tillsynsmail/A 29250-2024 tillsynsbegäran mail.docx", "A 29250-2024")</f>
        <v/>
      </c>
      <c r="Z94">
        <f>HYPERLINK("https://klasma.github.io/Logging_2283/fåglar/A 29250-2024 prioriterade fågelarter.docx", "A 29250-2024")</f>
        <v/>
      </c>
    </row>
    <row r="95" ht="15" customHeight="1">
      <c r="A95" t="inlineStr">
        <is>
          <t>A 47548-2025</t>
        </is>
      </c>
      <c r="B95" s="1" t="n">
        <v>45931.3653125</v>
      </c>
      <c r="C95" s="1" t="n">
        <v>45964</v>
      </c>
      <c r="D95" t="inlineStr">
        <is>
          <t>VÄSTERNORRLANDS LÄN</t>
        </is>
      </c>
      <c r="E95" t="inlineStr">
        <is>
          <t>SOLLEFTEÅ</t>
        </is>
      </c>
      <c r="G95" t="n">
        <v>6.6</v>
      </c>
      <c r="H95" t="n">
        <v>4</v>
      </c>
      <c r="I95" t="n">
        <v>0</v>
      </c>
      <c r="J95" t="n">
        <v>6</v>
      </c>
      <c r="K95" t="n">
        <v>1</v>
      </c>
      <c r="L95" t="n">
        <v>0</v>
      </c>
      <c r="M95" t="n">
        <v>0</v>
      </c>
      <c r="N95" t="n">
        <v>0</v>
      </c>
      <c r="O95" t="n">
        <v>7</v>
      </c>
      <c r="P95" t="n">
        <v>1</v>
      </c>
      <c r="Q95" t="n">
        <v>8</v>
      </c>
      <c r="R95" s="2" t="inlineStr">
        <is>
          <t>Knärot
Gammelgransskål
Garnlav
Rosenticka
Spillkråka
Talltita
Ullticka
Revlummer</t>
        </is>
      </c>
      <c r="S95">
        <f>HYPERLINK("https://klasma.github.io/Logging_2283/artfynd/A 47548-2025 artfynd.xlsx", "A 47548-2025")</f>
        <v/>
      </c>
      <c r="T95">
        <f>HYPERLINK("https://klasma.github.io/Logging_2283/kartor/A 47548-2025 karta.png", "A 47548-2025")</f>
        <v/>
      </c>
      <c r="U95">
        <f>HYPERLINK("https://klasma.github.io/Logging_2283/knärot/A 47548-2025 karta knärot.png", "A 47548-2025")</f>
        <v/>
      </c>
      <c r="V95">
        <f>HYPERLINK("https://klasma.github.io/Logging_2283/klagomål/A 47548-2025 FSC-klagomål.docx", "A 47548-2025")</f>
        <v/>
      </c>
      <c r="W95">
        <f>HYPERLINK("https://klasma.github.io/Logging_2283/klagomålsmail/A 47548-2025 FSC-klagomål mail.docx", "A 47548-2025")</f>
        <v/>
      </c>
      <c r="X95">
        <f>HYPERLINK("https://klasma.github.io/Logging_2283/tillsyn/A 47548-2025 tillsynsbegäran.docx", "A 47548-2025")</f>
        <v/>
      </c>
      <c r="Y95">
        <f>HYPERLINK("https://klasma.github.io/Logging_2283/tillsynsmail/A 47548-2025 tillsynsbegäran mail.docx", "A 47548-2025")</f>
        <v/>
      </c>
      <c r="Z95">
        <f>HYPERLINK("https://klasma.github.io/Logging_2283/fåglar/A 47548-2025 prioriterade fågelarter.docx", "A 47548-2025")</f>
        <v/>
      </c>
    </row>
    <row r="96" ht="15" customHeight="1">
      <c r="A96" t="inlineStr">
        <is>
          <t>A 38294-2024</t>
        </is>
      </c>
      <c r="B96" s="1" t="n">
        <v>45545</v>
      </c>
      <c r="C96" s="1" t="n">
        <v>45964</v>
      </c>
      <c r="D96" t="inlineStr">
        <is>
          <t>VÄSTERNORRLANDS LÄN</t>
        </is>
      </c>
      <c r="E96" t="inlineStr">
        <is>
          <t>SOLLEFTEÅ</t>
        </is>
      </c>
      <c r="F96" t="inlineStr">
        <is>
          <t>Kommuner</t>
        </is>
      </c>
      <c r="G96" t="n">
        <v>18.8</v>
      </c>
      <c r="H96" t="n">
        <v>5</v>
      </c>
      <c r="I96" t="n">
        <v>0</v>
      </c>
      <c r="J96" t="n">
        <v>6</v>
      </c>
      <c r="K96" t="n">
        <v>1</v>
      </c>
      <c r="L96" t="n">
        <v>0</v>
      </c>
      <c r="M96" t="n">
        <v>0</v>
      </c>
      <c r="N96" t="n">
        <v>0</v>
      </c>
      <c r="O96" t="n">
        <v>7</v>
      </c>
      <c r="P96" t="n">
        <v>1</v>
      </c>
      <c r="Q96" t="n">
        <v>8</v>
      </c>
      <c r="R96" s="2" t="inlineStr">
        <is>
          <t>Knärot
Garnlav
Granticka
Spillkråka
Talltita
Tretåig hackspett
Ullticka
Revlummer</t>
        </is>
      </c>
      <c r="S96">
        <f>HYPERLINK("https://klasma.github.io/Logging_2283/artfynd/A 38294-2024 artfynd.xlsx", "A 38294-2024")</f>
        <v/>
      </c>
      <c r="T96">
        <f>HYPERLINK("https://klasma.github.io/Logging_2283/kartor/A 38294-2024 karta.png", "A 38294-2024")</f>
        <v/>
      </c>
      <c r="U96">
        <f>HYPERLINK("https://klasma.github.io/Logging_2283/knärot/A 38294-2024 karta knärot.png", "A 38294-2024")</f>
        <v/>
      </c>
      <c r="V96">
        <f>HYPERLINK("https://klasma.github.io/Logging_2283/klagomål/A 38294-2024 FSC-klagomål.docx", "A 38294-2024")</f>
        <v/>
      </c>
      <c r="W96">
        <f>HYPERLINK("https://klasma.github.io/Logging_2283/klagomålsmail/A 38294-2024 FSC-klagomål mail.docx", "A 38294-2024")</f>
        <v/>
      </c>
      <c r="X96">
        <f>HYPERLINK("https://klasma.github.io/Logging_2283/tillsyn/A 38294-2024 tillsynsbegäran.docx", "A 38294-2024")</f>
        <v/>
      </c>
      <c r="Y96">
        <f>HYPERLINK("https://klasma.github.io/Logging_2283/tillsynsmail/A 38294-2024 tillsynsbegäran mail.docx", "A 38294-2024")</f>
        <v/>
      </c>
      <c r="Z96">
        <f>HYPERLINK("https://klasma.github.io/Logging_2283/fåglar/A 38294-2024 prioriterade fågelarter.docx", "A 38294-2024")</f>
        <v/>
      </c>
    </row>
    <row r="97" ht="15" customHeight="1">
      <c r="A97" t="inlineStr">
        <is>
          <t>A 26655-2022</t>
        </is>
      </c>
      <c r="B97" s="1" t="n">
        <v>44739</v>
      </c>
      <c r="C97" s="1" t="n">
        <v>45964</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44424-2025</t>
        </is>
      </c>
      <c r="B98" s="1" t="n">
        <v>45916</v>
      </c>
      <c r="C98" s="1" t="n">
        <v>45964</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41372-2025</t>
        </is>
      </c>
      <c r="B99" s="1" t="n">
        <v>45900.67743055556</v>
      </c>
      <c r="C99" s="1" t="n">
        <v>45964</v>
      </c>
      <c r="D99" t="inlineStr">
        <is>
          <t>VÄSTERNORRLANDS LÄN</t>
        </is>
      </c>
      <c r="E99" t="inlineStr">
        <is>
          <t>SOLLEFTEÅ</t>
        </is>
      </c>
      <c r="G99" t="n">
        <v>15.3</v>
      </c>
      <c r="H99" t="n">
        <v>3</v>
      </c>
      <c r="I99" t="n">
        <v>1</v>
      </c>
      <c r="J99" t="n">
        <v>5</v>
      </c>
      <c r="K99" t="n">
        <v>1</v>
      </c>
      <c r="L99" t="n">
        <v>0</v>
      </c>
      <c r="M99" t="n">
        <v>0</v>
      </c>
      <c r="N99" t="n">
        <v>0</v>
      </c>
      <c r="O99" t="n">
        <v>6</v>
      </c>
      <c r="P99" t="n">
        <v>1</v>
      </c>
      <c r="Q99" t="n">
        <v>8</v>
      </c>
      <c r="R99" s="2" t="inlineStr">
        <is>
          <t>Knärot
Garnlav
Lunglav
Rosenticka
Skrovellav
Tretåig hackspett
Dropptaggsvamp
Lavskrika</t>
        </is>
      </c>
      <c r="S99">
        <f>HYPERLINK("https://klasma.github.io/Logging_2283/artfynd/A 41372-2025 artfynd.xlsx", "A 41372-2025")</f>
        <v/>
      </c>
      <c r="T99">
        <f>HYPERLINK("https://klasma.github.io/Logging_2283/kartor/A 41372-2025 karta.png", "A 41372-2025")</f>
        <v/>
      </c>
      <c r="U99">
        <f>HYPERLINK("https://klasma.github.io/Logging_2283/knärot/A 41372-2025 karta knärot.png", "A 41372-2025")</f>
        <v/>
      </c>
      <c r="V99">
        <f>HYPERLINK("https://klasma.github.io/Logging_2283/klagomål/A 41372-2025 FSC-klagomål.docx", "A 41372-2025")</f>
        <v/>
      </c>
      <c r="W99">
        <f>HYPERLINK("https://klasma.github.io/Logging_2283/klagomålsmail/A 41372-2025 FSC-klagomål mail.docx", "A 41372-2025")</f>
        <v/>
      </c>
      <c r="X99">
        <f>HYPERLINK("https://klasma.github.io/Logging_2283/tillsyn/A 41372-2025 tillsynsbegäran.docx", "A 41372-2025")</f>
        <v/>
      </c>
      <c r="Y99">
        <f>HYPERLINK("https://klasma.github.io/Logging_2283/tillsynsmail/A 41372-2025 tillsynsbegäran mail.docx", "A 41372-2025")</f>
        <v/>
      </c>
      <c r="Z99">
        <f>HYPERLINK("https://klasma.github.io/Logging_2283/fåglar/A 41372-2025 prioriterade fågelarter.docx", "A 41372-2025")</f>
        <v/>
      </c>
    </row>
    <row r="100" ht="15" customHeight="1">
      <c r="A100" t="inlineStr">
        <is>
          <t>A 25941-2025</t>
        </is>
      </c>
      <c r="B100" s="1" t="n">
        <v>45804</v>
      </c>
      <c r="C100" s="1" t="n">
        <v>45964</v>
      </c>
      <c r="D100" t="inlineStr">
        <is>
          <t>VÄSTERNORRLANDS LÄN</t>
        </is>
      </c>
      <c r="E100" t="inlineStr">
        <is>
          <t>SOLLEFTEÅ</t>
        </is>
      </c>
      <c r="G100" t="n">
        <v>4.4</v>
      </c>
      <c r="H100" t="n">
        <v>1</v>
      </c>
      <c r="I100" t="n">
        <v>3</v>
      </c>
      <c r="J100" t="n">
        <v>3</v>
      </c>
      <c r="K100" t="n">
        <v>1</v>
      </c>
      <c r="L100" t="n">
        <v>1</v>
      </c>
      <c r="M100" t="n">
        <v>0</v>
      </c>
      <c r="N100" t="n">
        <v>0</v>
      </c>
      <c r="O100" t="n">
        <v>5</v>
      </c>
      <c r="P100" t="n">
        <v>2</v>
      </c>
      <c r="Q100" t="n">
        <v>8</v>
      </c>
      <c r="R100" s="2" t="inlineStr">
        <is>
          <t>Trolldruvemätare
Rynkskinn
Rosenticka
Talltita
Vedtrappmossa
Dvärghäxört
Strutbräken
Svart trolldruva</t>
        </is>
      </c>
      <c r="S100">
        <f>HYPERLINK("https://klasma.github.io/Logging_2283/artfynd/A 25941-2025 artfynd.xlsx", "A 25941-2025")</f>
        <v/>
      </c>
      <c r="T100">
        <f>HYPERLINK("https://klasma.github.io/Logging_2283/kartor/A 25941-2025 karta.png", "A 25941-2025")</f>
        <v/>
      </c>
      <c r="V100">
        <f>HYPERLINK("https://klasma.github.io/Logging_2283/klagomål/A 25941-2025 FSC-klagomål.docx", "A 25941-2025")</f>
        <v/>
      </c>
      <c r="W100">
        <f>HYPERLINK("https://klasma.github.io/Logging_2283/klagomålsmail/A 25941-2025 FSC-klagomål mail.docx", "A 25941-2025")</f>
        <v/>
      </c>
      <c r="X100">
        <f>HYPERLINK("https://klasma.github.io/Logging_2283/tillsyn/A 25941-2025 tillsynsbegäran.docx", "A 25941-2025")</f>
        <v/>
      </c>
      <c r="Y100">
        <f>HYPERLINK("https://klasma.github.io/Logging_2283/tillsynsmail/A 25941-2025 tillsynsbegäran mail.docx", "A 25941-2025")</f>
        <v/>
      </c>
      <c r="Z100">
        <f>HYPERLINK("https://klasma.github.io/Logging_2283/fåglar/A 25941-2025 prioriterade fågelarter.docx", "A 25941-2025")</f>
        <v/>
      </c>
    </row>
    <row r="101" ht="15" customHeight="1">
      <c r="A101" t="inlineStr">
        <is>
          <t>A 42124-2025</t>
        </is>
      </c>
      <c r="B101" s="1" t="n">
        <v>45904.34450231482</v>
      </c>
      <c r="C101" s="1" t="n">
        <v>45964</v>
      </c>
      <c r="D101" t="inlineStr">
        <is>
          <t>VÄSTERNORRLANDS LÄN</t>
        </is>
      </c>
      <c r="E101" t="inlineStr">
        <is>
          <t>SOLLEFTEÅ</t>
        </is>
      </c>
      <c r="G101" t="n">
        <v>4.4</v>
      </c>
      <c r="H101" t="n">
        <v>3</v>
      </c>
      <c r="I101" t="n">
        <v>1</v>
      </c>
      <c r="J101" t="n">
        <v>5</v>
      </c>
      <c r="K101" t="n">
        <v>1</v>
      </c>
      <c r="L101" t="n">
        <v>0</v>
      </c>
      <c r="M101" t="n">
        <v>0</v>
      </c>
      <c r="N101" t="n">
        <v>0</v>
      </c>
      <c r="O101" t="n">
        <v>6</v>
      </c>
      <c r="P101" t="n">
        <v>1</v>
      </c>
      <c r="Q101" t="n">
        <v>8</v>
      </c>
      <c r="R101" s="2" t="inlineStr">
        <is>
          <t>Knärot
Garnlav
Kolflarnlav
Lunglav
Tretåig hackspett
Ullticka
Dropptaggsvamp
Revlummer</t>
        </is>
      </c>
      <c r="S101">
        <f>HYPERLINK("https://klasma.github.io/Logging_2283/artfynd/A 42124-2025 artfynd.xlsx", "A 42124-2025")</f>
        <v/>
      </c>
      <c r="T101">
        <f>HYPERLINK("https://klasma.github.io/Logging_2283/kartor/A 42124-2025 karta.png", "A 42124-2025")</f>
        <v/>
      </c>
      <c r="U101">
        <f>HYPERLINK("https://klasma.github.io/Logging_2283/knärot/A 42124-2025 karta knärot.png", "A 42124-2025")</f>
        <v/>
      </c>
      <c r="V101">
        <f>HYPERLINK("https://klasma.github.io/Logging_2283/klagomål/A 42124-2025 FSC-klagomål.docx", "A 42124-2025")</f>
        <v/>
      </c>
      <c r="W101">
        <f>HYPERLINK("https://klasma.github.io/Logging_2283/klagomålsmail/A 42124-2025 FSC-klagomål mail.docx", "A 42124-2025")</f>
        <v/>
      </c>
      <c r="X101">
        <f>HYPERLINK("https://klasma.github.io/Logging_2283/tillsyn/A 42124-2025 tillsynsbegäran.docx", "A 42124-2025")</f>
        <v/>
      </c>
      <c r="Y101">
        <f>HYPERLINK("https://klasma.github.io/Logging_2283/tillsynsmail/A 42124-2025 tillsynsbegäran mail.docx", "A 42124-2025")</f>
        <v/>
      </c>
      <c r="Z101">
        <f>HYPERLINK("https://klasma.github.io/Logging_2283/fåglar/A 42124-2025 prioriterade fågelarter.docx", "A 42124-2025")</f>
        <v/>
      </c>
    </row>
    <row r="102" ht="15" customHeight="1">
      <c r="A102" t="inlineStr">
        <is>
          <t>A 44441-2025</t>
        </is>
      </c>
      <c r="B102" s="1" t="n">
        <v>45916</v>
      </c>
      <c r="C102" s="1" t="n">
        <v>45964</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45078-2025</t>
        </is>
      </c>
      <c r="B103" s="1" t="n">
        <v>45919</v>
      </c>
      <c r="C103" s="1" t="n">
        <v>45964</v>
      </c>
      <c r="D103" t="inlineStr">
        <is>
          <t>VÄSTERNORRLANDS LÄN</t>
        </is>
      </c>
      <c r="E103" t="inlineStr">
        <is>
          <t>SOLLEFTEÅ</t>
        </is>
      </c>
      <c r="F103" t="inlineStr">
        <is>
          <t>SCA</t>
        </is>
      </c>
      <c r="G103" t="n">
        <v>10.5</v>
      </c>
      <c r="H103" t="n">
        <v>1</v>
      </c>
      <c r="I103" t="n">
        <v>3</v>
      </c>
      <c r="J103" t="n">
        <v>4</v>
      </c>
      <c r="K103" t="n">
        <v>1</v>
      </c>
      <c r="L103" t="n">
        <v>0</v>
      </c>
      <c r="M103" t="n">
        <v>0</v>
      </c>
      <c r="N103" t="n">
        <v>0</v>
      </c>
      <c r="O103" t="n">
        <v>5</v>
      </c>
      <c r="P103" t="n">
        <v>1</v>
      </c>
      <c r="Q103" t="n">
        <v>8</v>
      </c>
      <c r="R103" s="2" t="inlineStr">
        <is>
          <t>Knärot
Garnlav
Lunglav
Mörk kolflarnlav
Vedskivlav
Dropptaggsvamp
Norrlandslav
Stuplav</t>
        </is>
      </c>
      <c r="S103">
        <f>HYPERLINK("https://klasma.github.io/Logging_2283/artfynd/A 45078-2025 artfynd.xlsx", "A 45078-2025")</f>
        <v/>
      </c>
      <c r="T103">
        <f>HYPERLINK("https://klasma.github.io/Logging_2283/kartor/A 45078-2025 karta.png", "A 45078-2025")</f>
        <v/>
      </c>
      <c r="U103">
        <f>HYPERLINK("https://klasma.github.io/Logging_2283/knärot/A 45078-2025 karta knärot.png", "A 45078-2025")</f>
        <v/>
      </c>
      <c r="V103">
        <f>HYPERLINK("https://klasma.github.io/Logging_2283/klagomål/A 45078-2025 FSC-klagomål.docx", "A 45078-2025")</f>
        <v/>
      </c>
      <c r="W103">
        <f>HYPERLINK("https://klasma.github.io/Logging_2283/klagomålsmail/A 45078-2025 FSC-klagomål mail.docx", "A 45078-2025")</f>
        <v/>
      </c>
      <c r="X103">
        <f>HYPERLINK("https://klasma.github.io/Logging_2283/tillsyn/A 45078-2025 tillsynsbegäran.docx", "A 45078-2025")</f>
        <v/>
      </c>
      <c r="Y103">
        <f>HYPERLINK("https://klasma.github.io/Logging_2283/tillsynsmail/A 45078-2025 tillsynsbegäran mail.docx", "A 45078-2025")</f>
        <v/>
      </c>
    </row>
    <row r="104" ht="15" customHeight="1">
      <c r="A104" t="inlineStr">
        <is>
          <t>A 66843-2020</t>
        </is>
      </c>
      <c r="B104" s="1" t="n">
        <v>44179</v>
      </c>
      <c r="C104" s="1" t="n">
        <v>45964</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44683</v>
      </c>
      <c r="C105" s="1" t="n">
        <v>45964</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62992-2023</t>
        </is>
      </c>
      <c r="B106" s="1" t="n">
        <v>45272</v>
      </c>
      <c r="C106" s="1" t="n">
        <v>45964</v>
      </c>
      <c r="D106" t="inlineStr">
        <is>
          <t>VÄSTERNORRLANDS LÄN</t>
        </is>
      </c>
      <c r="E106" t="inlineStr">
        <is>
          <t>SOLLEFTEÅ</t>
        </is>
      </c>
      <c r="F106" t="inlineStr">
        <is>
          <t>Övriga Aktiebolag</t>
        </is>
      </c>
      <c r="G106" t="n">
        <v>16.7</v>
      </c>
      <c r="H106" t="n">
        <v>2</v>
      </c>
      <c r="I106" t="n">
        <v>2</v>
      </c>
      <c r="J106" t="n">
        <v>5</v>
      </c>
      <c r="K106" t="n">
        <v>0</v>
      </c>
      <c r="L106" t="n">
        <v>0</v>
      </c>
      <c r="M106" t="n">
        <v>0</v>
      </c>
      <c r="N106" t="n">
        <v>0</v>
      </c>
      <c r="O106" t="n">
        <v>5</v>
      </c>
      <c r="P106" t="n">
        <v>0</v>
      </c>
      <c r="Q106" t="n">
        <v>7</v>
      </c>
      <c r="R106" s="2" t="inlineStr">
        <is>
          <t>Gammelgransskål
Garnlav
Harticka
Rosenticka
Tretåig hackspett
Mörk husmossa
Spindelblomster</t>
        </is>
      </c>
      <c r="S106">
        <f>HYPERLINK("https://klasma.github.io/Logging_2283/artfynd/A 62992-2023 artfynd.xlsx", "A 62992-2023")</f>
        <v/>
      </c>
      <c r="T106">
        <f>HYPERLINK("https://klasma.github.io/Logging_2283/kartor/A 62992-2023 karta.png", "A 62992-2023")</f>
        <v/>
      </c>
      <c r="V106">
        <f>HYPERLINK("https://klasma.github.io/Logging_2283/klagomål/A 62992-2023 FSC-klagomål.docx", "A 62992-2023")</f>
        <v/>
      </c>
      <c r="W106">
        <f>HYPERLINK("https://klasma.github.io/Logging_2283/klagomålsmail/A 62992-2023 FSC-klagomål mail.docx", "A 62992-2023")</f>
        <v/>
      </c>
      <c r="X106">
        <f>HYPERLINK("https://klasma.github.io/Logging_2283/tillsyn/A 62992-2023 tillsynsbegäran.docx", "A 62992-2023")</f>
        <v/>
      </c>
      <c r="Y106">
        <f>HYPERLINK("https://klasma.github.io/Logging_2283/tillsynsmail/A 62992-2023 tillsynsbegäran mail.docx", "A 62992-2023")</f>
        <v/>
      </c>
      <c r="Z106">
        <f>HYPERLINK("https://klasma.github.io/Logging_2283/fåglar/A 62992-2023 prioriterade fågelarter.docx", "A 62992-2023")</f>
        <v/>
      </c>
    </row>
    <row r="107" ht="15" customHeight="1">
      <c r="A107" t="inlineStr">
        <is>
          <t>A 12174-2025</t>
        </is>
      </c>
      <c r="B107" s="1" t="n">
        <v>45729</v>
      </c>
      <c r="C107" s="1" t="n">
        <v>45964</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55422-2024</t>
        </is>
      </c>
      <c r="B108" s="1" t="n">
        <v>45622.38619212963</v>
      </c>
      <c r="C108" s="1" t="n">
        <v>45964</v>
      </c>
      <c r="D108" t="inlineStr">
        <is>
          <t>VÄSTERNORRLANDS LÄN</t>
        </is>
      </c>
      <c r="E108" t="inlineStr">
        <is>
          <t>SOLLEFTEÅ</t>
        </is>
      </c>
      <c r="F108" t="inlineStr">
        <is>
          <t>SCA</t>
        </is>
      </c>
      <c r="G108" t="n">
        <v>1.8</v>
      </c>
      <c r="H108" t="n">
        <v>2</v>
      </c>
      <c r="I108" t="n">
        <v>0</v>
      </c>
      <c r="J108" t="n">
        <v>7</v>
      </c>
      <c r="K108" t="n">
        <v>0</v>
      </c>
      <c r="L108" t="n">
        <v>0</v>
      </c>
      <c r="M108" t="n">
        <v>0</v>
      </c>
      <c r="N108" t="n">
        <v>0</v>
      </c>
      <c r="O108" t="n">
        <v>7</v>
      </c>
      <c r="P108" t="n">
        <v>0</v>
      </c>
      <c r="Q108" t="n">
        <v>7</v>
      </c>
      <c r="R108" s="2" t="inlineStr">
        <is>
          <t>Garnlav
Järpe
Lunglav
Rosenticka
Spillkråka
Tallticka
Ullticka</t>
        </is>
      </c>
      <c r="S108">
        <f>HYPERLINK("https://klasma.github.io/Logging_2283/artfynd/A 55422-2024 artfynd.xlsx", "A 55422-2024")</f>
        <v/>
      </c>
      <c r="T108">
        <f>HYPERLINK("https://klasma.github.io/Logging_2283/kartor/A 55422-2024 karta.png", "A 55422-2024")</f>
        <v/>
      </c>
      <c r="V108">
        <f>HYPERLINK("https://klasma.github.io/Logging_2283/klagomål/A 55422-2024 FSC-klagomål.docx", "A 55422-2024")</f>
        <v/>
      </c>
      <c r="W108">
        <f>HYPERLINK("https://klasma.github.io/Logging_2283/klagomålsmail/A 55422-2024 FSC-klagomål mail.docx", "A 55422-2024")</f>
        <v/>
      </c>
      <c r="X108">
        <f>HYPERLINK("https://klasma.github.io/Logging_2283/tillsyn/A 55422-2024 tillsynsbegäran.docx", "A 55422-2024")</f>
        <v/>
      </c>
      <c r="Y108">
        <f>HYPERLINK("https://klasma.github.io/Logging_2283/tillsynsmail/A 55422-2024 tillsynsbegäran mail.docx", "A 55422-2024")</f>
        <v/>
      </c>
      <c r="Z108">
        <f>HYPERLINK("https://klasma.github.io/Logging_2283/fåglar/A 55422-2024 prioriterade fågelarter.docx", "A 55422-2024")</f>
        <v/>
      </c>
    </row>
    <row r="109" ht="15" customHeight="1">
      <c r="A109" t="inlineStr">
        <is>
          <t>A 26654-2024</t>
        </is>
      </c>
      <c r="B109" s="1" t="n">
        <v>45469</v>
      </c>
      <c r="C109" s="1" t="n">
        <v>45964</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715-2023</t>
        </is>
      </c>
      <c r="B110" s="1" t="n">
        <v>44930</v>
      </c>
      <c r="C110" s="1" t="n">
        <v>45964</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53121-2022</t>
        </is>
      </c>
      <c r="B111" s="1" t="n">
        <v>44873</v>
      </c>
      <c r="C111" s="1" t="n">
        <v>45964</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22783-2025</t>
        </is>
      </c>
      <c r="B112" s="1" t="n">
        <v>45789</v>
      </c>
      <c r="C112" s="1" t="n">
        <v>45964</v>
      </c>
      <c r="D112" t="inlineStr">
        <is>
          <t>VÄSTERNORRLANDS LÄN</t>
        </is>
      </c>
      <c r="E112" t="inlineStr">
        <is>
          <t>SOLLEFTEÅ</t>
        </is>
      </c>
      <c r="G112" t="n">
        <v>27.7</v>
      </c>
      <c r="H112" t="n">
        <v>3</v>
      </c>
      <c r="I112" t="n">
        <v>2</v>
      </c>
      <c r="J112" t="n">
        <v>3</v>
      </c>
      <c r="K112" t="n">
        <v>0</v>
      </c>
      <c r="L112" t="n">
        <v>0</v>
      </c>
      <c r="M112" t="n">
        <v>0</v>
      </c>
      <c r="N112" t="n">
        <v>0</v>
      </c>
      <c r="O112" t="n">
        <v>3</v>
      </c>
      <c r="P112" t="n">
        <v>0</v>
      </c>
      <c r="Q112" t="n">
        <v>7</v>
      </c>
      <c r="R112" s="2" t="inlineStr">
        <is>
          <t>Lunglav
Nordfladdermus
Skrovellav
Bårdlav
Stuplav
Lavskrika
Vattenfladdermus</t>
        </is>
      </c>
      <c r="S112">
        <f>HYPERLINK("https://klasma.github.io/Logging_2283/artfynd/A 22783-2025 artfynd.xlsx", "A 22783-2025")</f>
        <v/>
      </c>
      <c r="T112">
        <f>HYPERLINK("https://klasma.github.io/Logging_2283/kartor/A 22783-2025 karta.png", "A 22783-2025")</f>
        <v/>
      </c>
      <c r="V112">
        <f>HYPERLINK("https://klasma.github.io/Logging_2283/klagomål/A 22783-2025 FSC-klagomål.docx", "A 22783-2025")</f>
        <v/>
      </c>
      <c r="W112">
        <f>HYPERLINK("https://klasma.github.io/Logging_2283/klagomålsmail/A 22783-2025 FSC-klagomål mail.docx", "A 22783-2025")</f>
        <v/>
      </c>
      <c r="X112">
        <f>HYPERLINK("https://klasma.github.io/Logging_2283/tillsyn/A 22783-2025 tillsynsbegäran.docx", "A 22783-2025")</f>
        <v/>
      </c>
      <c r="Y112">
        <f>HYPERLINK("https://klasma.github.io/Logging_2283/tillsynsmail/A 22783-2025 tillsynsbegäran mail.docx", "A 22783-2025")</f>
        <v/>
      </c>
      <c r="Z112">
        <f>HYPERLINK("https://klasma.github.io/Logging_2283/fåglar/A 22783-2025 prioriterade fågelarter.docx", "A 22783-2025")</f>
        <v/>
      </c>
    </row>
    <row r="113" ht="15" customHeight="1">
      <c r="A113" t="inlineStr">
        <is>
          <t>A 41666-2024</t>
        </is>
      </c>
      <c r="B113" s="1" t="n">
        <v>45560.65010416666</v>
      </c>
      <c r="C113" s="1" t="n">
        <v>45964</v>
      </c>
      <c r="D113" t="inlineStr">
        <is>
          <t>VÄSTERNORRLANDS LÄN</t>
        </is>
      </c>
      <c r="E113" t="inlineStr">
        <is>
          <t>SOLLEFTEÅ</t>
        </is>
      </c>
      <c r="G113" t="n">
        <v>1</v>
      </c>
      <c r="H113" t="n">
        <v>1</v>
      </c>
      <c r="I113" t="n">
        <v>1</v>
      </c>
      <c r="J113" t="n">
        <v>4</v>
      </c>
      <c r="K113" t="n">
        <v>1</v>
      </c>
      <c r="L113" t="n">
        <v>0</v>
      </c>
      <c r="M113" t="n">
        <v>0</v>
      </c>
      <c r="N113" t="n">
        <v>0</v>
      </c>
      <c r="O113" t="n">
        <v>5</v>
      </c>
      <c r="P113" t="n">
        <v>1</v>
      </c>
      <c r="Q113" t="n">
        <v>7</v>
      </c>
      <c r="R113" s="2" t="inlineStr">
        <is>
          <t>Rynkskinn
Granticka
Lunglav
Rosenticka
Vedtrappmossa
Stor aspticka
Revlummer</t>
        </is>
      </c>
      <c r="S113">
        <f>HYPERLINK("https://klasma.github.io/Logging_2283/artfynd/A 41666-2024 artfynd.xlsx", "A 41666-2024")</f>
        <v/>
      </c>
      <c r="T113">
        <f>HYPERLINK("https://klasma.github.io/Logging_2283/kartor/A 41666-2024 karta.png", "A 41666-2024")</f>
        <v/>
      </c>
      <c r="V113">
        <f>HYPERLINK("https://klasma.github.io/Logging_2283/klagomål/A 41666-2024 FSC-klagomål.docx", "A 41666-2024")</f>
        <v/>
      </c>
      <c r="W113">
        <f>HYPERLINK("https://klasma.github.io/Logging_2283/klagomålsmail/A 41666-2024 FSC-klagomål mail.docx", "A 41666-2024")</f>
        <v/>
      </c>
      <c r="X113">
        <f>HYPERLINK("https://klasma.github.io/Logging_2283/tillsyn/A 41666-2024 tillsynsbegäran.docx", "A 41666-2024")</f>
        <v/>
      </c>
      <c r="Y113">
        <f>HYPERLINK("https://klasma.github.io/Logging_2283/tillsynsmail/A 41666-2024 tillsynsbegäran mail.docx", "A 41666-2024")</f>
        <v/>
      </c>
    </row>
    <row r="114" ht="15" customHeight="1">
      <c r="A114" t="inlineStr">
        <is>
          <t>A 59045-2022</t>
        </is>
      </c>
      <c r="B114" s="1" t="n">
        <v>44903</v>
      </c>
      <c r="C114" s="1" t="n">
        <v>45964</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28997-2025</t>
        </is>
      </c>
      <c r="B115" s="1" t="n">
        <v>45821.38616898148</v>
      </c>
      <c r="C115" s="1" t="n">
        <v>45964</v>
      </c>
      <c r="D115" t="inlineStr">
        <is>
          <t>VÄSTERNORRLANDS LÄN</t>
        </is>
      </c>
      <c r="E115" t="inlineStr">
        <is>
          <t>SOLLEFTEÅ</t>
        </is>
      </c>
      <c r="F115" t="inlineStr">
        <is>
          <t>SCA</t>
        </is>
      </c>
      <c r="G115" t="n">
        <v>4.2</v>
      </c>
      <c r="H115" t="n">
        <v>0</v>
      </c>
      <c r="I115" t="n">
        <v>3</v>
      </c>
      <c r="J115" t="n">
        <v>4</v>
      </c>
      <c r="K115" t="n">
        <v>0</v>
      </c>
      <c r="L115" t="n">
        <v>0</v>
      </c>
      <c r="M115" t="n">
        <v>0</v>
      </c>
      <c r="N115" t="n">
        <v>0</v>
      </c>
      <c r="O115" t="n">
        <v>4</v>
      </c>
      <c r="P115" t="n">
        <v>0</v>
      </c>
      <c r="Q115" t="n">
        <v>7</v>
      </c>
      <c r="R115" s="2" t="inlineStr">
        <is>
          <t>Dvärgbägarlav
Garnlav
Vaddporing
Vedtrappmossa
Bollvitmossa
Norrlandslav
Skuggblåslav</t>
        </is>
      </c>
      <c r="S115">
        <f>HYPERLINK("https://klasma.github.io/Logging_2283/artfynd/A 28997-2025 artfynd.xlsx", "A 28997-2025")</f>
        <v/>
      </c>
      <c r="T115">
        <f>HYPERLINK("https://klasma.github.io/Logging_2283/kartor/A 28997-2025 karta.png", "A 28997-2025")</f>
        <v/>
      </c>
      <c r="V115">
        <f>HYPERLINK("https://klasma.github.io/Logging_2283/klagomål/A 28997-2025 FSC-klagomål.docx", "A 28997-2025")</f>
        <v/>
      </c>
      <c r="W115">
        <f>HYPERLINK("https://klasma.github.io/Logging_2283/klagomålsmail/A 28997-2025 FSC-klagomål mail.docx", "A 28997-2025")</f>
        <v/>
      </c>
      <c r="X115">
        <f>HYPERLINK("https://klasma.github.io/Logging_2283/tillsyn/A 28997-2025 tillsynsbegäran.docx", "A 28997-2025")</f>
        <v/>
      </c>
      <c r="Y115">
        <f>HYPERLINK("https://klasma.github.io/Logging_2283/tillsynsmail/A 28997-2025 tillsynsbegäran mail.docx", "A 28997-2025")</f>
        <v/>
      </c>
    </row>
    <row r="116" ht="15" customHeight="1">
      <c r="A116" t="inlineStr">
        <is>
          <t>A 54049-2023</t>
        </is>
      </c>
      <c r="B116" s="1" t="n">
        <v>45231</v>
      </c>
      <c r="C116" s="1" t="n">
        <v>45964</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14580-2024</t>
        </is>
      </c>
      <c r="B117" s="1" t="n">
        <v>45394</v>
      </c>
      <c r="C117" s="1" t="n">
        <v>45964</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38157-2025</t>
        </is>
      </c>
      <c r="B118" s="1" t="n">
        <v>45882.61505787037</v>
      </c>
      <c r="C118" s="1" t="n">
        <v>45964</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47647-2022</t>
        </is>
      </c>
      <c r="B119" s="1" t="n">
        <v>44852</v>
      </c>
      <c r="C119" s="1" t="n">
        <v>45964</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21253-2025</t>
        </is>
      </c>
      <c r="B120" s="1" t="n">
        <v>45779</v>
      </c>
      <c r="C120" s="1" t="n">
        <v>45964</v>
      </c>
      <c r="D120" t="inlineStr">
        <is>
          <t>VÄSTERNORRLANDS LÄN</t>
        </is>
      </c>
      <c r="E120" t="inlineStr">
        <is>
          <t>SOLLEFTEÅ</t>
        </is>
      </c>
      <c r="G120" t="n">
        <v>10.2</v>
      </c>
      <c r="H120" t="n">
        <v>2</v>
      </c>
      <c r="I120" t="n">
        <v>1</v>
      </c>
      <c r="J120" t="n">
        <v>3</v>
      </c>
      <c r="K120" t="n">
        <v>1</v>
      </c>
      <c r="L120" t="n">
        <v>0</v>
      </c>
      <c r="M120" t="n">
        <v>0</v>
      </c>
      <c r="N120" t="n">
        <v>0</v>
      </c>
      <c r="O120" t="n">
        <v>4</v>
      </c>
      <c r="P120" t="n">
        <v>1</v>
      </c>
      <c r="Q120" t="n">
        <v>7</v>
      </c>
      <c r="R120" s="2" t="inlineStr">
        <is>
          <t>Rynkskinn
Doftskinn
Rosenticka
Ullticka
Stor aspticka
Fläcknycklar
Revlummer</t>
        </is>
      </c>
      <c r="S120">
        <f>HYPERLINK("https://klasma.github.io/Logging_2283/artfynd/A 21253-2025 artfynd.xlsx", "A 21253-2025")</f>
        <v/>
      </c>
      <c r="T120">
        <f>HYPERLINK("https://klasma.github.io/Logging_2283/kartor/A 21253-2025 karta.png", "A 21253-2025")</f>
        <v/>
      </c>
      <c r="V120">
        <f>HYPERLINK("https://klasma.github.io/Logging_2283/klagomål/A 21253-2025 FSC-klagomål.docx", "A 21253-2025")</f>
        <v/>
      </c>
      <c r="W120">
        <f>HYPERLINK("https://klasma.github.io/Logging_2283/klagomålsmail/A 21253-2025 FSC-klagomål mail.docx", "A 21253-2025")</f>
        <v/>
      </c>
      <c r="X120">
        <f>HYPERLINK("https://klasma.github.io/Logging_2283/tillsyn/A 21253-2025 tillsynsbegäran.docx", "A 21253-2025")</f>
        <v/>
      </c>
      <c r="Y120">
        <f>HYPERLINK("https://klasma.github.io/Logging_2283/tillsynsmail/A 21253-2025 tillsynsbegäran mail.docx", "A 21253-2025")</f>
        <v/>
      </c>
    </row>
    <row r="121" ht="15" customHeight="1">
      <c r="A121" t="inlineStr">
        <is>
          <t>A 16087-2022</t>
        </is>
      </c>
      <c r="B121" s="1" t="n">
        <v>44665</v>
      </c>
      <c r="C121" s="1" t="n">
        <v>45964</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45964</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40420-2023</t>
        </is>
      </c>
      <c r="B123" s="1" t="n">
        <v>45169</v>
      </c>
      <c r="C123" s="1" t="n">
        <v>45964</v>
      </c>
      <c r="D123" t="inlineStr">
        <is>
          <t>VÄSTERNORRLANDS LÄN</t>
        </is>
      </c>
      <c r="E123" t="inlineStr">
        <is>
          <t>SOLLEFTEÅ</t>
        </is>
      </c>
      <c r="F123" t="inlineStr">
        <is>
          <t>SCA</t>
        </is>
      </c>
      <c r="G123" t="n">
        <v>10</v>
      </c>
      <c r="H123" t="n">
        <v>2</v>
      </c>
      <c r="I123" t="n">
        <v>0</v>
      </c>
      <c r="J123" t="n">
        <v>3</v>
      </c>
      <c r="K123" t="n">
        <v>2</v>
      </c>
      <c r="L123" t="n">
        <v>0</v>
      </c>
      <c r="M123" t="n">
        <v>0</v>
      </c>
      <c r="N123" t="n">
        <v>0</v>
      </c>
      <c r="O123" t="n">
        <v>5</v>
      </c>
      <c r="P123" t="n">
        <v>2</v>
      </c>
      <c r="Q123" t="n">
        <v>6</v>
      </c>
      <c r="R123" s="2" t="inlineStr">
        <is>
          <t>Knärot
Rynkskinn
Lunglav
Rosenticka
Ullticka
Tjäder</t>
        </is>
      </c>
      <c r="S123">
        <f>HYPERLINK("https://klasma.github.io/Logging_2283/artfynd/A 40420-2023 artfynd.xlsx", "A 40420-2023")</f>
        <v/>
      </c>
      <c r="T123">
        <f>HYPERLINK("https://klasma.github.io/Logging_2283/kartor/A 40420-2023 karta.png", "A 40420-2023")</f>
        <v/>
      </c>
      <c r="U123">
        <f>HYPERLINK("https://klasma.github.io/Logging_2283/knärot/A 40420-2023 karta knärot.png", "A 40420-2023")</f>
        <v/>
      </c>
      <c r="V123">
        <f>HYPERLINK("https://klasma.github.io/Logging_2283/klagomål/A 40420-2023 FSC-klagomål.docx", "A 40420-2023")</f>
        <v/>
      </c>
      <c r="W123">
        <f>HYPERLINK("https://klasma.github.io/Logging_2283/klagomålsmail/A 40420-2023 FSC-klagomål mail.docx", "A 40420-2023")</f>
        <v/>
      </c>
      <c r="X123">
        <f>HYPERLINK("https://klasma.github.io/Logging_2283/tillsyn/A 40420-2023 tillsynsbegäran.docx", "A 40420-2023")</f>
        <v/>
      </c>
      <c r="Y123">
        <f>HYPERLINK("https://klasma.github.io/Logging_2283/tillsynsmail/A 40420-2023 tillsynsbegäran mail.docx", "A 40420-2023")</f>
        <v/>
      </c>
      <c r="Z123">
        <f>HYPERLINK("https://klasma.github.io/Logging_2283/fåglar/A 40420-2023 prioriterade fågelarter.docx", "A 40420-2023")</f>
        <v/>
      </c>
    </row>
    <row r="124" ht="15" customHeight="1">
      <c r="A124" t="inlineStr">
        <is>
          <t>A 18100-2025</t>
        </is>
      </c>
      <c r="B124" s="1" t="n">
        <v>45761.55240740741</v>
      </c>
      <c r="C124" s="1" t="n">
        <v>45964</v>
      </c>
      <c r="D124" t="inlineStr">
        <is>
          <t>VÄSTERNORRLANDS LÄN</t>
        </is>
      </c>
      <c r="E124" t="inlineStr">
        <is>
          <t>SOLLEFTEÅ</t>
        </is>
      </c>
      <c r="F124" t="inlineStr">
        <is>
          <t>SCA</t>
        </is>
      </c>
      <c r="G124" t="n">
        <v>3.6</v>
      </c>
      <c r="H124" t="n">
        <v>1</v>
      </c>
      <c r="I124" t="n">
        <v>0</v>
      </c>
      <c r="J124" t="n">
        <v>3</v>
      </c>
      <c r="K124" t="n">
        <v>3</v>
      </c>
      <c r="L124" t="n">
        <v>0</v>
      </c>
      <c r="M124" t="n">
        <v>0</v>
      </c>
      <c r="N124" t="n">
        <v>0</v>
      </c>
      <c r="O124" t="n">
        <v>6</v>
      </c>
      <c r="P124" t="n">
        <v>3</v>
      </c>
      <c r="Q124" t="n">
        <v>6</v>
      </c>
      <c r="R124" s="2" t="inlineStr">
        <is>
          <t>Knärot
Lappticka
Rynkskinn
Granticka
Lunglav
Ullticka</t>
        </is>
      </c>
      <c r="S124">
        <f>HYPERLINK("https://klasma.github.io/Logging_2283/artfynd/A 18100-2025 artfynd.xlsx", "A 18100-2025")</f>
        <v/>
      </c>
      <c r="T124">
        <f>HYPERLINK("https://klasma.github.io/Logging_2283/kartor/A 18100-2025 karta.png", "A 18100-2025")</f>
        <v/>
      </c>
      <c r="U124">
        <f>HYPERLINK("https://klasma.github.io/Logging_2283/knärot/A 18100-2025 karta knärot.png", "A 18100-2025")</f>
        <v/>
      </c>
      <c r="V124">
        <f>HYPERLINK("https://klasma.github.io/Logging_2283/klagomål/A 18100-2025 FSC-klagomål.docx", "A 18100-2025")</f>
        <v/>
      </c>
      <c r="W124">
        <f>HYPERLINK("https://klasma.github.io/Logging_2283/klagomålsmail/A 18100-2025 FSC-klagomål mail.docx", "A 18100-2025")</f>
        <v/>
      </c>
      <c r="X124">
        <f>HYPERLINK("https://klasma.github.io/Logging_2283/tillsyn/A 18100-2025 tillsynsbegäran.docx", "A 18100-2025")</f>
        <v/>
      </c>
      <c r="Y124">
        <f>HYPERLINK("https://klasma.github.io/Logging_2283/tillsynsmail/A 18100-2025 tillsynsbegäran mail.docx", "A 18100-2025")</f>
        <v/>
      </c>
    </row>
    <row r="125" ht="15" customHeight="1">
      <c r="A125" t="inlineStr">
        <is>
          <t>A 29871-2024</t>
        </is>
      </c>
      <c r="B125" s="1" t="n">
        <v>45485.94521990741</v>
      </c>
      <c r="C125" s="1" t="n">
        <v>45964</v>
      </c>
      <c r="D125" t="inlineStr">
        <is>
          <t>VÄSTERNORRLANDS LÄN</t>
        </is>
      </c>
      <c r="E125" t="inlineStr">
        <is>
          <t>SOLLEFTEÅ</t>
        </is>
      </c>
      <c r="F125" t="inlineStr">
        <is>
          <t>SCA</t>
        </is>
      </c>
      <c r="G125" t="n">
        <v>6</v>
      </c>
      <c r="H125" t="n">
        <v>0</v>
      </c>
      <c r="I125" t="n">
        <v>1</v>
      </c>
      <c r="J125" t="n">
        <v>5</v>
      </c>
      <c r="K125" t="n">
        <v>0</v>
      </c>
      <c r="L125" t="n">
        <v>0</v>
      </c>
      <c r="M125" t="n">
        <v>0</v>
      </c>
      <c r="N125" t="n">
        <v>0</v>
      </c>
      <c r="O125" t="n">
        <v>5</v>
      </c>
      <c r="P125" t="n">
        <v>0</v>
      </c>
      <c r="Q125" t="n">
        <v>6</v>
      </c>
      <c r="R125" s="2" t="inlineStr">
        <is>
          <t>Dvärgbägarlav
Garnlav
Lunglav
Nordtagging
Tallticka
Dropptaggsvamp</t>
        </is>
      </c>
      <c r="S125">
        <f>HYPERLINK("https://klasma.github.io/Logging_2283/artfynd/A 29871-2024 artfynd.xlsx", "A 29871-2024")</f>
        <v/>
      </c>
      <c r="T125">
        <f>HYPERLINK("https://klasma.github.io/Logging_2283/kartor/A 29871-2024 karta.png", "A 29871-2024")</f>
        <v/>
      </c>
      <c r="V125">
        <f>HYPERLINK("https://klasma.github.io/Logging_2283/klagomål/A 29871-2024 FSC-klagomål.docx", "A 29871-2024")</f>
        <v/>
      </c>
      <c r="W125">
        <f>HYPERLINK("https://klasma.github.io/Logging_2283/klagomålsmail/A 29871-2024 FSC-klagomål mail.docx", "A 29871-2024")</f>
        <v/>
      </c>
      <c r="X125">
        <f>HYPERLINK("https://klasma.github.io/Logging_2283/tillsyn/A 29871-2024 tillsynsbegäran.docx", "A 29871-2024")</f>
        <v/>
      </c>
      <c r="Y125">
        <f>HYPERLINK("https://klasma.github.io/Logging_2283/tillsynsmail/A 29871-2024 tillsynsbegäran mail.docx", "A 29871-2024")</f>
        <v/>
      </c>
    </row>
    <row r="126" ht="15" customHeight="1">
      <c r="A126" t="inlineStr">
        <is>
          <t>A 61541-2024</t>
        </is>
      </c>
      <c r="B126" s="1" t="n">
        <v>45646</v>
      </c>
      <c r="C126" s="1" t="n">
        <v>45964</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36470-2024</t>
        </is>
      </c>
      <c r="B127" s="1" t="n">
        <v>45537</v>
      </c>
      <c r="C127" s="1" t="n">
        <v>45964</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7334-2025</t>
        </is>
      </c>
      <c r="B128" s="1" t="n">
        <v>45703.35998842592</v>
      </c>
      <c r="C128" s="1" t="n">
        <v>45964</v>
      </c>
      <c r="D128" t="inlineStr">
        <is>
          <t>VÄSTERNORRLANDS LÄN</t>
        </is>
      </c>
      <c r="E128" t="inlineStr">
        <is>
          <t>SOLLEFTEÅ</t>
        </is>
      </c>
      <c r="G128" t="n">
        <v>2.2</v>
      </c>
      <c r="H128" t="n">
        <v>4</v>
      </c>
      <c r="I128" t="n">
        <v>2</v>
      </c>
      <c r="J128" t="n">
        <v>3</v>
      </c>
      <c r="K128" t="n">
        <v>0</v>
      </c>
      <c r="L128" t="n">
        <v>0</v>
      </c>
      <c r="M128" t="n">
        <v>0</v>
      </c>
      <c r="N128" t="n">
        <v>0</v>
      </c>
      <c r="O128" t="n">
        <v>3</v>
      </c>
      <c r="P128" t="n">
        <v>0</v>
      </c>
      <c r="Q128" t="n">
        <v>6</v>
      </c>
      <c r="R128" s="2" t="inlineStr">
        <is>
          <t>Björktrast
Gulsparv
Rödvingetrast
Skinnlav
Stor aspticka
Revlummer</t>
        </is>
      </c>
      <c r="S128">
        <f>HYPERLINK("https://klasma.github.io/Logging_2283/artfynd/A 7334-2025 artfynd.xlsx", "A 7334-2025")</f>
        <v/>
      </c>
      <c r="T128">
        <f>HYPERLINK("https://klasma.github.io/Logging_2283/kartor/A 7334-2025 karta.png", "A 7334-2025")</f>
        <v/>
      </c>
      <c r="V128">
        <f>HYPERLINK("https://klasma.github.io/Logging_2283/klagomål/A 7334-2025 FSC-klagomål.docx", "A 7334-2025")</f>
        <v/>
      </c>
      <c r="W128">
        <f>HYPERLINK("https://klasma.github.io/Logging_2283/klagomålsmail/A 7334-2025 FSC-klagomål mail.docx", "A 7334-2025")</f>
        <v/>
      </c>
      <c r="X128">
        <f>HYPERLINK("https://klasma.github.io/Logging_2283/tillsyn/A 7334-2025 tillsynsbegäran.docx", "A 7334-2025")</f>
        <v/>
      </c>
      <c r="Y128">
        <f>HYPERLINK("https://klasma.github.io/Logging_2283/tillsynsmail/A 7334-2025 tillsynsbegäran mail.docx", "A 7334-2025")</f>
        <v/>
      </c>
      <c r="Z128">
        <f>HYPERLINK("https://klasma.github.io/Logging_2283/fåglar/A 7334-2025 prioriterade fågelarter.docx", "A 7334-2025")</f>
        <v/>
      </c>
    </row>
    <row r="129" ht="15" customHeight="1">
      <c r="A129" t="inlineStr">
        <is>
          <t>A 4827-2025</t>
        </is>
      </c>
      <c r="B129" s="1" t="n">
        <v>45688</v>
      </c>
      <c r="C129" s="1" t="n">
        <v>45964</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14860-2023</t>
        </is>
      </c>
      <c r="B130" s="1" t="n">
        <v>45015.07157407407</v>
      </c>
      <c r="C130" s="1" t="n">
        <v>45964</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61323-2024</t>
        </is>
      </c>
      <c r="B131" s="1" t="n">
        <v>45646</v>
      </c>
      <c r="C131" s="1" t="n">
        <v>45964</v>
      </c>
      <c r="D131" t="inlineStr">
        <is>
          <t>VÄSTERNORRLANDS LÄN</t>
        </is>
      </c>
      <c r="E131" t="inlineStr">
        <is>
          <t>SOLLEFTEÅ</t>
        </is>
      </c>
      <c r="F131" t="inlineStr">
        <is>
          <t>SCA</t>
        </is>
      </c>
      <c r="G131" t="n">
        <v>5.2</v>
      </c>
      <c r="H131" t="n">
        <v>0</v>
      </c>
      <c r="I131" t="n">
        <v>0</v>
      </c>
      <c r="J131" t="n">
        <v>5</v>
      </c>
      <c r="K131" t="n">
        <v>1</v>
      </c>
      <c r="L131" t="n">
        <v>0</v>
      </c>
      <c r="M131" t="n">
        <v>0</v>
      </c>
      <c r="N131" t="n">
        <v>0</v>
      </c>
      <c r="O131" t="n">
        <v>6</v>
      </c>
      <c r="P131" t="n">
        <v>1</v>
      </c>
      <c r="Q131" t="n">
        <v>6</v>
      </c>
      <c r="R131" s="2" t="inlineStr">
        <is>
          <t>Ulltickeporing
Garnlav
Harticka
Rosenticka
Ullticka
Vitgrynig nållav</t>
        </is>
      </c>
      <c r="S131">
        <f>HYPERLINK("https://klasma.github.io/Logging_2283/artfynd/A 61323-2024 artfynd.xlsx", "A 61323-2024")</f>
        <v/>
      </c>
      <c r="T131">
        <f>HYPERLINK("https://klasma.github.io/Logging_2283/kartor/A 61323-2024 karta.png", "A 61323-2024")</f>
        <v/>
      </c>
      <c r="V131">
        <f>HYPERLINK("https://klasma.github.io/Logging_2283/klagomål/A 61323-2024 FSC-klagomål.docx", "A 61323-2024")</f>
        <v/>
      </c>
      <c r="W131">
        <f>HYPERLINK("https://klasma.github.io/Logging_2283/klagomålsmail/A 61323-2024 FSC-klagomål mail.docx", "A 61323-2024")</f>
        <v/>
      </c>
      <c r="X131">
        <f>HYPERLINK("https://klasma.github.io/Logging_2283/tillsyn/A 61323-2024 tillsynsbegäran.docx", "A 61323-2024")</f>
        <v/>
      </c>
      <c r="Y131">
        <f>HYPERLINK("https://klasma.github.io/Logging_2283/tillsynsmail/A 61323-2024 tillsynsbegäran mail.docx", "A 61323-2024")</f>
        <v/>
      </c>
    </row>
    <row r="132" ht="15" customHeight="1">
      <c r="A132" t="inlineStr">
        <is>
          <t>A 13250-2025</t>
        </is>
      </c>
      <c r="B132" s="1" t="n">
        <v>45735.49013888889</v>
      </c>
      <c r="C132" s="1" t="n">
        <v>45964</v>
      </c>
      <c r="D132" t="inlineStr">
        <is>
          <t>VÄSTERNORRLANDS LÄN</t>
        </is>
      </c>
      <c r="E132" t="inlineStr">
        <is>
          <t>SOLLEFTEÅ</t>
        </is>
      </c>
      <c r="F132" t="inlineStr">
        <is>
          <t>SCA</t>
        </is>
      </c>
      <c r="G132" t="n">
        <v>1.4</v>
      </c>
      <c r="H132" t="n">
        <v>3</v>
      </c>
      <c r="I132" t="n">
        <v>1</v>
      </c>
      <c r="J132" t="n">
        <v>4</v>
      </c>
      <c r="K132" t="n">
        <v>0</v>
      </c>
      <c r="L132" t="n">
        <v>0</v>
      </c>
      <c r="M132" t="n">
        <v>0</v>
      </c>
      <c r="N132" t="n">
        <v>0</v>
      </c>
      <c r="O132" t="n">
        <v>4</v>
      </c>
      <c r="P132" t="n">
        <v>0</v>
      </c>
      <c r="Q132" t="n">
        <v>6</v>
      </c>
      <c r="R132" s="2" t="inlineStr">
        <is>
          <t>Lunglav
Spillkråka
Tretåig hackspett
Ullticka
Vedticka
Tjäder</t>
        </is>
      </c>
      <c r="S132">
        <f>HYPERLINK("https://klasma.github.io/Logging_2283/artfynd/A 13250-2025 artfynd.xlsx", "A 13250-2025")</f>
        <v/>
      </c>
      <c r="T132">
        <f>HYPERLINK("https://klasma.github.io/Logging_2283/kartor/A 13250-2025 karta.png", "A 13250-2025")</f>
        <v/>
      </c>
      <c r="V132">
        <f>HYPERLINK("https://klasma.github.io/Logging_2283/klagomål/A 13250-2025 FSC-klagomål.docx", "A 13250-2025")</f>
        <v/>
      </c>
      <c r="W132">
        <f>HYPERLINK("https://klasma.github.io/Logging_2283/klagomålsmail/A 13250-2025 FSC-klagomål mail.docx", "A 13250-2025")</f>
        <v/>
      </c>
      <c r="X132">
        <f>HYPERLINK("https://klasma.github.io/Logging_2283/tillsyn/A 13250-2025 tillsynsbegäran.docx", "A 13250-2025")</f>
        <v/>
      </c>
      <c r="Y132">
        <f>HYPERLINK("https://klasma.github.io/Logging_2283/tillsynsmail/A 13250-2025 tillsynsbegäran mail.docx", "A 13250-2025")</f>
        <v/>
      </c>
      <c r="Z132">
        <f>HYPERLINK("https://klasma.github.io/Logging_2283/fåglar/A 13250-2025 prioriterade fågelarter.docx", "A 13250-2025")</f>
        <v/>
      </c>
    </row>
    <row r="133" ht="15" customHeight="1">
      <c r="A133" t="inlineStr">
        <is>
          <t>A 35406-2024</t>
        </is>
      </c>
      <c r="B133" s="1" t="n">
        <v>45531.40607638889</v>
      </c>
      <c r="C133" s="1" t="n">
        <v>45964</v>
      </c>
      <c r="D133" t="inlineStr">
        <is>
          <t>VÄSTERNORRLANDS LÄN</t>
        </is>
      </c>
      <c r="E133" t="inlineStr">
        <is>
          <t>SOLLEFTEÅ</t>
        </is>
      </c>
      <c r="F133" t="inlineStr">
        <is>
          <t>SCA</t>
        </is>
      </c>
      <c r="G133" t="n">
        <v>3.5</v>
      </c>
      <c r="H133" t="n">
        <v>0</v>
      </c>
      <c r="I133" t="n">
        <v>2</v>
      </c>
      <c r="J133" t="n">
        <v>4</v>
      </c>
      <c r="K133" t="n">
        <v>0</v>
      </c>
      <c r="L133" t="n">
        <v>0</v>
      </c>
      <c r="M133" t="n">
        <v>0</v>
      </c>
      <c r="N133" t="n">
        <v>0</v>
      </c>
      <c r="O133" t="n">
        <v>4</v>
      </c>
      <c r="P133" t="n">
        <v>0</v>
      </c>
      <c r="Q133" t="n">
        <v>6</v>
      </c>
      <c r="R133" s="2" t="inlineStr">
        <is>
          <t>Blå taggsvamp
Kolflarnlav
Orange taggsvamp
Skrovlig taggsvamp
Dropptaggsvamp
Skarp dropptaggsvamp</t>
        </is>
      </c>
      <c r="S133">
        <f>HYPERLINK("https://klasma.github.io/Logging_2283/artfynd/A 35406-2024 artfynd.xlsx", "A 35406-2024")</f>
        <v/>
      </c>
      <c r="T133">
        <f>HYPERLINK("https://klasma.github.io/Logging_2283/kartor/A 35406-2024 karta.png", "A 35406-2024")</f>
        <v/>
      </c>
      <c r="V133">
        <f>HYPERLINK("https://klasma.github.io/Logging_2283/klagomål/A 35406-2024 FSC-klagomål.docx", "A 35406-2024")</f>
        <v/>
      </c>
      <c r="W133">
        <f>HYPERLINK("https://klasma.github.io/Logging_2283/klagomålsmail/A 35406-2024 FSC-klagomål mail.docx", "A 35406-2024")</f>
        <v/>
      </c>
      <c r="X133">
        <f>HYPERLINK("https://klasma.github.io/Logging_2283/tillsyn/A 35406-2024 tillsynsbegäran.docx", "A 35406-2024")</f>
        <v/>
      </c>
      <c r="Y133">
        <f>HYPERLINK("https://klasma.github.io/Logging_2283/tillsynsmail/A 35406-2024 tillsynsbegäran mail.docx", "A 35406-2024")</f>
        <v/>
      </c>
    </row>
    <row r="134" ht="15" customHeight="1">
      <c r="A134" t="inlineStr">
        <is>
          <t>A 31885-2024</t>
        </is>
      </c>
      <c r="B134" s="1" t="n">
        <v>45509.95769675926</v>
      </c>
      <c r="C134" s="1" t="n">
        <v>45964</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45964</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45964</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45964</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15666-2025</t>
        </is>
      </c>
      <c r="B138" s="1" t="n">
        <v>45748.4315625</v>
      </c>
      <c r="C138" s="1" t="n">
        <v>45964</v>
      </c>
      <c r="D138" t="inlineStr">
        <is>
          <t>VÄSTERNORRLANDS LÄN</t>
        </is>
      </c>
      <c r="E138" t="inlineStr">
        <is>
          <t>SOLLEFTEÅ</t>
        </is>
      </c>
      <c r="G138" t="n">
        <v>3.9</v>
      </c>
      <c r="H138" t="n">
        <v>1</v>
      </c>
      <c r="I138" t="n">
        <v>2</v>
      </c>
      <c r="J138" t="n">
        <v>3</v>
      </c>
      <c r="K138" t="n">
        <v>1</v>
      </c>
      <c r="L138" t="n">
        <v>0</v>
      </c>
      <c r="M138" t="n">
        <v>0</v>
      </c>
      <c r="N138" t="n">
        <v>0</v>
      </c>
      <c r="O138" t="n">
        <v>4</v>
      </c>
      <c r="P138" t="n">
        <v>1</v>
      </c>
      <c r="Q138" t="n">
        <v>6</v>
      </c>
      <c r="R138" s="2" t="inlineStr">
        <is>
          <t>Knärot
Garnlav
Rosenticka
Vedskivlav
Bårdlav
Norrlandslav</t>
        </is>
      </c>
      <c r="S138">
        <f>HYPERLINK("https://klasma.github.io/Logging_2283/artfynd/A 15666-2025 artfynd.xlsx", "A 15666-2025")</f>
        <v/>
      </c>
      <c r="T138">
        <f>HYPERLINK("https://klasma.github.io/Logging_2283/kartor/A 15666-2025 karta.png", "A 15666-2025")</f>
        <v/>
      </c>
      <c r="U138">
        <f>HYPERLINK("https://klasma.github.io/Logging_2283/knärot/A 15666-2025 karta knärot.png", "A 15666-2025")</f>
        <v/>
      </c>
      <c r="V138">
        <f>HYPERLINK("https://klasma.github.io/Logging_2283/klagomål/A 15666-2025 FSC-klagomål.docx", "A 15666-2025")</f>
        <v/>
      </c>
      <c r="W138">
        <f>HYPERLINK("https://klasma.github.io/Logging_2283/klagomålsmail/A 15666-2025 FSC-klagomål mail.docx", "A 15666-2025")</f>
        <v/>
      </c>
      <c r="X138">
        <f>HYPERLINK("https://klasma.github.io/Logging_2283/tillsyn/A 15666-2025 tillsynsbegäran.docx", "A 15666-2025")</f>
        <v/>
      </c>
      <c r="Y138">
        <f>HYPERLINK("https://klasma.github.io/Logging_2283/tillsynsmail/A 15666-2025 tillsynsbegäran mail.docx", "A 15666-2025")</f>
        <v/>
      </c>
    </row>
    <row r="139" ht="15" customHeight="1">
      <c r="A139" t="inlineStr">
        <is>
          <t>A 33321-2025</t>
        </is>
      </c>
      <c r="B139" s="1" t="n">
        <v>45841.34490740741</v>
      </c>
      <c r="C139" s="1" t="n">
        <v>45964</v>
      </c>
      <c r="D139" t="inlineStr">
        <is>
          <t>VÄSTERNORRLANDS LÄN</t>
        </is>
      </c>
      <c r="E139" t="inlineStr">
        <is>
          <t>SOLLEFTEÅ</t>
        </is>
      </c>
      <c r="F139" t="inlineStr">
        <is>
          <t>SCA</t>
        </is>
      </c>
      <c r="G139" t="n">
        <v>3</v>
      </c>
      <c r="H139" t="n">
        <v>3</v>
      </c>
      <c r="I139" t="n">
        <v>2</v>
      </c>
      <c r="J139" t="n">
        <v>0</v>
      </c>
      <c r="K139" t="n">
        <v>3</v>
      </c>
      <c r="L139" t="n">
        <v>0</v>
      </c>
      <c r="M139" t="n">
        <v>0</v>
      </c>
      <c r="N139" t="n">
        <v>0</v>
      </c>
      <c r="O139" t="n">
        <v>3</v>
      </c>
      <c r="P139" t="n">
        <v>3</v>
      </c>
      <c r="Q139" t="n">
        <v>6</v>
      </c>
      <c r="R139" s="2" t="inlineStr">
        <is>
          <t>Gräddporing
Knärot
Laxporing
Grönpyrola
Plattlummer
Revlummer</t>
        </is>
      </c>
      <c r="S139">
        <f>HYPERLINK("https://klasma.github.io/Logging_2283/artfynd/A 33321-2025 artfynd.xlsx", "A 33321-2025")</f>
        <v/>
      </c>
      <c r="T139">
        <f>HYPERLINK("https://klasma.github.io/Logging_2283/kartor/A 33321-2025 karta.png", "A 33321-2025")</f>
        <v/>
      </c>
      <c r="U139">
        <f>HYPERLINK("https://klasma.github.io/Logging_2283/knärot/A 33321-2025 karta knärot.png", "A 33321-2025")</f>
        <v/>
      </c>
      <c r="V139">
        <f>HYPERLINK("https://klasma.github.io/Logging_2283/klagomål/A 33321-2025 FSC-klagomål.docx", "A 33321-2025")</f>
        <v/>
      </c>
      <c r="W139">
        <f>HYPERLINK("https://klasma.github.io/Logging_2283/klagomålsmail/A 33321-2025 FSC-klagomål mail.docx", "A 33321-2025")</f>
        <v/>
      </c>
      <c r="X139">
        <f>HYPERLINK("https://klasma.github.io/Logging_2283/tillsyn/A 33321-2025 tillsynsbegäran.docx", "A 33321-2025")</f>
        <v/>
      </c>
      <c r="Y139">
        <f>HYPERLINK("https://klasma.github.io/Logging_2283/tillsynsmail/A 33321-2025 tillsynsbegäran mail.docx", "A 33321-2025")</f>
        <v/>
      </c>
    </row>
    <row r="140" ht="15" customHeight="1">
      <c r="A140" t="inlineStr">
        <is>
          <t>A 35632-2025</t>
        </is>
      </c>
      <c r="B140" s="1" t="n">
        <v>45859.44893518519</v>
      </c>
      <c r="C140" s="1" t="n">
        <v>45964</v>
      </c>
      <c r="D140" t="inlineStr">
        <is>
          <t>VÄSTERNORRLANDS LÄN</t>
        </is>
      </c>
      <c r="E140" t="inlineStr">
        <is>
          <t>SOLLEFTEÅ</t>
        </is>
      </c>
      <c r="F140" t="inlineStr">
        <is>
          <t>SCA</t>
        </is>
      </c>
      <c r="G140" t="n">
        <v>6.1</v>
      </c>
      <c r="H140" t="n">
        <v>2</v>
      </c>
      <c r="I140" t="n">
        <v>3</v>
      </c>
      <c r="J140" t="n">
        <v>3</v>
      </c>
      <c r="K140" t="n">
        <v>0</v>
      </c>
      <c r="L140" t="n">
        <v>0</v>
      </c>
      <c r="M140" t="n">
        <v>0</v>
      </c>
      <c r="N140" t="n">
        <v>0</v>
      </c>
      <c r="O140" t="n">
        <v>3</v>
      </c>
      <c r="P140" t="n">
        <v>0</v>
      </c>
      <c r="Q140" t="n">
        <v>6</v>
      </c>
      <c r="R140" s="2" t="inlineStr">
        <is>
          <t>Björktrast
Kolflarnlav
Vaddporing
Bollvitmossa
Plattlummer
Zontaggsvamp</t>
        </is>
      </c>
      <c r="S140">
        <f>HYPERLINK("https://klasma.github.io/Logging_2283/artfynd/A 35632-2025 artfynd.xlsx", "A 35632-2025")</f>
        <v/>
      </c>
      <c r="T140">
        <f>HYPERLINK("https://klasma.github.io/Logging_2283/kartor/A 35632-2025 karta.png", "A 35632-2025")</f>
        <v/>
      </c>
      <c r="V140">
        <f>HYPERLINK("https://klasma.github.io/Logging_2283/klagomål/A 35632-2025 FSC-klagomål.docx", "A 35632-2025")</f>
        <v/>
      </c>
      <c r="W140">
        <f>HYPERLINK("https://klasma.github.io/Logging_2283/klagomålsmail/A 35632-2025 FSC-klagomål mail.docx", "A 35632-2025")</f>
        <v/>
      </c>
      <c r="X140">
        <f>HYPERLINK("https://klasma.github.io/Logging_2283/tillsyn/A 35632-2025 tillsynsbegäran.docx", "A 35632-2025")</f>
        <v/>
      </c>
      <c r="Y140">
        <f>HYPERLINK("https://klasma.github.io/Logging_2283/tillsynsmail/A 35632-2025 tillsynsbegäran mail.docx", "A 35632-2025")</f>
        <v/>
      </c>
      <c r="Z140">
        <f>HYPERLINK("https://klasma.github.io/Logging_2283/fåglar/A 35632-2025 prioriterade fågelarter.docx", "A 35632-2025")</f>
        <v/>
      </c>
    </row>
    <row r="141" ht="15" customHeight="1">
      <c r="A141" t="inlineStr">
        <is>
          <t>A 24887-2022</t>
        </is>
      </c>
      <c r="B141" s="1" t="n">
        <v>44728</v>
      </c>
      <c r="C141" s="1" t="n">
        <v>45964</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11552-2024</t>
        </is>
      </c>
      <c r="B142" s="1" t="n">
        <v>45372</v>
      </c>
      <c r="C142" s="1" t="n">
        <v>45964</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26594-2022</t>
        </is>
      </c>
      <c r="B143" s="1" t="n">
        <v>44739</v>
      </c>
      <c r="C143" s="1" t="n">
        <v>45964</v>
      </c>
      <c r="D143" t="inlineStr">
        <is>
          <t>VÄSTERNORRLANDS LÄN</t>
        </is>
      </c>
      <c r="E143" t="inlineStr">
        <is>
          <t>SOLLEFTEÅ</t>
        </is>
      </c>
      <c r="F143" t="inlineStr">
        <is>
          <t>Holmen skog AB</t>
        </is>
      </c>
      <c r="G143" t="n">
        <v>1.6</v>
      </c>
      <c r="H143" t="n">
        <v>4</v>
      </c>
      <c r="I143" t="n">
        <v>0</v>
      </c>
      <c r="J143" t="n">
        <v>4</v>
      </c>
      <c r="K143" t="n">
        <v>1</v>
      </c>
      <c r="L143" t="n">
        <v>0</v>
      </c>
      <c r="M143" t="n">
        <v>0</v>
      </c>
      <c r="N143" t="n">
        <v>0</v>
      </c>
      <c r="O143" t="n">
        <v>5</v>
      </c>
      <c r="P143" t="n">
        <v>1</v>
      </c>
      <c r="Q143" t="n">
        <v>6</v>
      </c>
      <c r="R143" s="2" t="inlineStr">
        <is>
          <t>Knärot
Garnlav
Granticka
Spillkråka
Talltita
Tjäder</t>
        </is>
      </c>
      <c r="S143">
        <f>HYPERLINK("https://klasma.github.io/Logging_2283/artfynd/A 26594-2022 artfynd.xlsx", "A 26594-2022")</f>
        <v/>
      </c>
      <c r="T143">
        <f>HYPERLINK("https://klasma.github.io/Logging_2283/kartor/A 26594-2022 karta.png", "A 26594-2022")</f>
        <v/>
      </c>
      <c r="U143">
        <f>HYPERLINK("https://klasma.github.io/Logging_2283/knärot/A 26594-2022 karta knärot.png", "A 26594-2022")</f>
        <v/>
      </c>
      <c r="V143">
        <f>HYPERLINK("https://klasma.github.io/Logging_2283/klagomål/A 26594-2022 FSC-klagomål.docx", "A 26594-2022")</f>
        <v/>
      </c>
      <c r="W143">
        <f>HYPERLINK("https://klasma.github.io/Logging_2283/klagomålsmail/A 26594-2022 FSC-klagomål mail.docx", "A 26594-2022")</f>
        <v/>
      </c>
      <c r="X143">
        <f>HYPERLINK("https://klasma.github.io/Logging_2283/tillsyn/A 26594-2022 tillsynsbegäran.docx", "A 26594-2022")</f>
        <v/>
      </c>
      <c r="Y143">
        <f>HYPERLINK("https://klasma.github.io/Logging_2283/tillsynsmail/A 26594-2022 tillsynsbegäran mail.docx", "A 26594-2022")</f>
        <v/>
      </c>
      <c r="Z143">
        <f>HYPERLINK("https://klasma.github.io/Logging_2283/fåglar/A 26594-2022 prioriterade fågelarter.docx", "A 26594-2022")</f>
        <v/>
      </c>
    </row>
    <row r="144" ht="15" customHeight="1">
      <c r="A144" t="inlineStr">
        <is>
          <t>A 49747-2025</t>
        </is>
      </c>
      <c r="B144" s="1" t="n">
        <v>45940.34461805555</v>
      </c>
      <c r="C144" s="1" t="n">
        <v>45964</v>
      </c>
      <c r="D144" t="inlineStr">
        <is>
          <t>VÄSTERNORRLANDS LÄN</t>
        </is>
      </c>
      <c r="E144" t="inlineStr">
        <is>
          <t>SOLLEFTEÅ</t>
        </is>
      </c>
      <c r="F144" t="inlineStr">
        <is>
          <t>SCA</t>
        </is>
      </c>
      <c r="G144" t="n">
        <v>3.9</v>
      </c>
      <c r="H144" t="n">
        <v>2</v>
      </c>
      <c r="I144" t="n">
        <v>4</v>
      </c>
      <c r="J144" t="n">
        <v>2</v>
      </c>
      <c r="K144" t="n">
        <v>0</v>
      </c>
      <c r="L144" t="n">
        <v>0</v>
      </c>
      <c r="M144" t="n">
        <v>0</v>
      </c>
      <c r="N144" t="n">
        <v>0</v>
      </c>
      <c r="O144" t="n">
        <v>2</v>
      </c>
      <c r="P144" t="n">
        <v>0</v>
      </c>
      <c r="Q144" t="n">
        <v>6</v>
      </c>
      <c r="R144" s="2" t="inlineStr">
        <is>
          <t>Garnlav
Spillkråka
Bollvitmossa
Lappranunkel
Norrlandslav
Vedticka</t>
        </is>
      </c>
      <c r="S144">
        <f>HYPERLINK("https://klasma.github.io/Logging_2283/artfynd/A 49747-2025 artfynd.xlsx", "A 49747-2025")</f>
        <v/>
      </c>
      <c r="T144">
        <f>HYPERLINK("https://klasma.github.io/Logging_2283/kartor/A 49747-2025 karta.png", "A 49747-2025")</f>
        <v/>
      </c>
      <c r="V144">
        <f>HYPERLINK("https://klasma.github.io/Logging_2283/klagomål/A 49747-2025 FSC-klagomål.docx", "A 49747-2025")</f>
        <v/>
      </c>
      <c r="W144">
        <f>HYPERLINK("https://klasma.github.io/Logging_2283/klagomålsmail/A 49747-2025 FSC-klagomål mail.docx", "A 49747-2025")</f>
        <v/>
      </c>
      <c r="X144">
        <f>HYPERLINK("https://klasma.github.io/Logging_2283/tillsyn/A 49747-2025 tillsynsbegäran.docx", "A 49747-2025")</f>
        <v/>
      </c>
      <c r="Y144">
        <f>HYPERLINK("https://klasma.github.io/Logging_2283/tillsynsmail/A 49747-2025 tillsynsbegäran mail.docx", "A 49747-2025")</f>
        <v/>
      </c>
      <c r="Z144">
        <f>HYPERLINK("https://klasma.github.io/Logging_2283/fåglar/A 49747-2025 prioriterade fågelarter.docx", "A 49747-2025")</f>
        <v/>
      </c>
    </row>
    <row r="145" ht="15" customHeight="1">
      <c r="A145" t="inlineStr">
        <is>
          <t>A 40967-2025</t>
        </is>
      </c>
      <c r="B145" s="1" t="n">
        <v>45897.77547453704</v>
      </c>
      <c r="C145" s="1" t="n">
        <v>45964</v>
      </c>
      <c r="D145" t="inlineStr">
        <is>
          <t>VÄSTERNORRLANDS LÄN</t>
        </is>
      </c>
      <c r="E145" t="inlineStr">
        <is>
          <t>SOLLEFTEÅ</t>
        </is>
      </c>
      <c r="G145" t="n">
        <v>0.8</v>
      </c>
      <c r="H145" t="n">
        <v>2</v>
      </c>
      <c r="I145" t="n">
        <v>2</v>
      </c>
      <c r="J145" t="n">
        <v>2</v>
      </c>
      <c r="K145" t="n">
        <v>1</v>
      </c>
      <c r="L145" t="n">
        <v>0</v>
      </c>
      <c r="M145" t="n">
        <v>0</v>
      </c>
      <c r="N145" t="n">
        <v>0</v>
      </c>
      <c r="O145" t="n">
        <v>3</v>
      </c>
      <c r="P145" t="n">
        <v>1</v>
      </c>
      <c r="Q145" t="n">
        <v>6</v>
      </c>
      <c r="R145" s="2" t="inlineStr">
        <is>
          <t>Knärot
Garnlav
Lunglav
Bårdlav
Stuplav
Revlummer</t>
        </is>
      </c>
      <c r="S145">
        <f>HYPERLINK("https://klasma.github.io/Logging_2283/artfynd/A 40967-2025 artfynd.xlsx", "A 40967-2025")</f>
        <v/>
      </c>
      <c r="T145">
        <f>HYPERLINK("https://klasma.github.io/Logging_2283/kartor/A 40967-2025 karta.png", "A 40967-2025")</f>
        <v/>
      </c>
      <c r="U145">
        <f>HYPERLINK("https://klasma.github.io/Logging_2283/knärot/A 40967-2025 karta knärot.png", "A 40967-2025")</f>
        <v/>
      </c>
      <c r="V145">
        <f>HYPERLINK("https://klasma.github.io/Logging_2283/klagomål/A 40967-2025 FSC-klagomål.docx", "A 40967-2025")</f>
        <v/>
      </c>
      <c r="W145">
        <f>HYPERLINK("https://klasma.github.io/Logging_2283/klagomålsmail/A 40967-2025 FSC-klagomål mail.docx", "A 40967-2025")</f>
        <v/>
      </c>
      <c r="X145">
        <f>HYPERLINK("https://klasma.github.io/Logging_2283/tillsyn/A 40967-2025 tillsynsbegäran.docx", "A 40967-2025")</f>
        <v/>
      </c>
      <c r="Y145">
        <f>HYPERLINK("https://klasma.github.io/Logging_2283/tillsynsmail/A 40967-2025 tillsynsbegäran mail.docx", "A 40967-2025")</f>
        <v/>
      </c>
    </row>
    <row r="146" ht="15" customHeight="1">
      <c r="A146" t="inlineStr">
        <is>
          <t>A 45692-2025</t>
        </is>
      </c>
      <c r="B146" s="1" t="n">
        <v>45923</v>
      </c>
      <c r="C146" s="1" t="n">
        <v>45964</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45964</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2438-2025</t>
        </is>
      </c>
      <c r="B148" s="1" t="n">
        <v>45674.41815972222</v>
      </c>
      <c r="C148" s="1" t="n">
        <v>45964</v>
      </c>
      <c r="D148" t="inlineStr">
        <is>
          <t>VÄSTERNORRLANDS LÄN</t>
        </is>
      </c>
      <c r="E148" t="inlineStr">
        <is>
          <t>SOLLEFTEÅ</t>
        </is>
      </c>
      <c r="G148" t="n">
        <v>6.4</v>
      </c>
      <c r="H148" t="n">
        <v>3</v>
      </c>
      <c r="I148" t="n">
        <v>0</v>
      </c>
      <c r="J148" t="n">
        <v>4</v>
      </c>
      <c r="K148" t="n">
        <v>1</v>
      </c>
      <c r="L148" t="n">
        <v>0</v>
      </c>
      <c r="M148" t="n">
        <v>0</v>
      </c>
      <c r="N148" t="n">
        <v>0</v>
      </c>
      <c r="O148" t="n">
        <v>5</v>
      </c>
      <c r="P148" t="n">
        <v>1</v>
      </c>
      <c r="Q148" t="n">
        <v>5</v>
      </c>
      <c r="R148" s="2" t="inlineStr">
        <is>
          <t>Knärot
Garnlav
Kolflarnlav
Talltita
Tretåig hackspett</t>
        </is>
      </c>
      <c r="S148">
        <f>HYPERLINK("https://klasma.github.io/Logging_2283/artfynd/A 2438-2025 artfynd.xlsx", "A 2438-2025")</f>
        <v/>
      </c>
      <c r="T148">
        <f>HYPERLINK("https://klasma.github.io/Logging_2283/kartor/A 2438-2025 karta.png", "A 2438-2025")</f>
        <v/>
      </c>
      <c r="U148">
        <f>HYPERLINK("https://klasma.github.io/Logging_2283/knärot/A 2438-2025 karta knärot.png", "A 2438-2025")</f>
        <v/>
      </c>
      <c r="V148">
        <f>HYPERLINK("https://klasma.github.io/Logging_2283/klagomål/A 2438-2025 FSC-klagomål.docx", "A 2438-2025")</f>
        <v/>
      </c>
      <c r="W148">
        <f>HYPERLINK("https://klasma.github.io/Logging_2283/klagomålsmail/A 2438-2025 FSC-klagomål mail.docx", "A 2438-2025")</f>
        <v/>
      </c>
      <c r="X148">
        <f>HYPERLINK("https://klasma.github.io/Logging_2283/tillsyn/A 2438-2025 tillsynsbegäran.docx", "A 2438-2025")</f>
        <v/>
      </c>
      <c r="Y148">
        <f>HYPERLINK("https://klasma.github.io/Logging_2283/tillsynsmail/A 2438-2025 tillsynsbegäran mail.docx", "A 2438-2025")</f>
        <v/>
      </c>
      <c r="Z148">
        <f>HYPERLINK("https://klasma.github.io/Logging_2283/fåglar/A 2438-2025 prioriterade fågelarter.docx", "A 2438-2025")</f>
        <v/>
      </c>
    </row>
    <row r="149" ht="15" customHeight="1">
      <c r="A149" t="inlineStr">
        <is>
          <t>A 4552-2022</t>
        </is>
      </c>
      <c r="B149" s="1" t="n">
        <v>44590</v>
      </c>
      <c r="C149" s="1" t="n">
        <v>45964</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16314-2025</t>
        </is>
      </c>
      <c r="B150" s="1" t="n">
        <v>45751.34763888889</v>
      </c>
      <c r="C150" s="1" t="n">
        <v>45964</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57655-2023</t>
        </is>
      </c>
      <c r="B151" s="1" t="n">
        <v>45246</v>
      </c>
      <c r="C151" s="1" t="n">
        <v>45964</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59662-2023</t>
        </is>
      </c>
      <c r="B152" s="1" t="n">
        <v>45254.96438657407</v>
      </c>
      <c r="C152" s="1" t="n">
        <v>45964</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27675-2023</t>
        </is>
      </c>
      <c r="B153" s="1" t="n">
        <v>45097</v>
      </c>
      <c r="C153" s="1" t="n">
        <v>45964</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19081-2024</t>
        </is>
      </c>
      <c r="B154" s="1" t="n">
        <v>45428</v>
      </c>
      <c r="C154" s="1" t="n">
        <v>45964</v>
      </c>
      <c r="D154" t="inlineStr">
        <is>
          <t>VÄSTERNORRLANDS LÄN</t>
        </is>
      </c>
      <c r="E154" t="inlineStr">
        <is>
          <t>SOLLEFTEÅ</t>
        </is>
      </c>
      <c r="F154" t="inlineStr">
        <is>
          <t>SCA</t>
        </is>
      </c>
      <c r="G154" t="n">
        <v>21.5</v>
      </c>
      <c r="H154" t="n">
        <v>2</v>
      </c>
      <c r="I154" t="n">
        <v>0</v>
      </c>
      <c r="J154" t="n">
        <v>4</v>
      </c>
      <c r="K154" t="n">
        <v>0</v>
      </c>
      <c r="L154" t="n">
        <v>0</v>
      </c>
      <c r="M154" t="n">
        <v>0</v>
      </c>
      <c r="N154" t="n">
        <v>0</v>
      </c>
      <c r="O154" t="n">
        <v>4</v>
      </c>
      <c r="P154" t="n">
        <v>0</v>
      </c>
      <c r="Q154" t="n">
        <v>5</v>
      </c>
      <c r="R154" s="2" t="inlineStr">
        <is>
          <t>Garnlav
Granticka
Järpe
Ullticka
Fläcknycklar</t>
        </is>
      </c>
      <c r="S154">
        <f>HYPERLINK("https://klasma.github.io/Logging_2283/artfynd/A 19081-2024 artfynd.xlsx", "A 19081-2024")</f>
        <v/>
      </c>
      <c r="T154">
        <f>HYPERLINK("https://klasma.github.io/Logging_2283/kartor/A 19081-2024 karta.png", "A 19081-2024")</f>
        <v/>
      </c>
      <c r="V154">
        <f>HYPERLINK("https://klasma.github.io/Logging_2283/klagomål/A 19081-2024 FSC-klagomål.docx", "A 19081-2024")</f>
        <v/>
      </c>
      <c r="W154">
        <f>HYPERLINK("https://klasma.github.io/Logging_2283/klagomålsmail/A 19081-2024 FSC-klagomål mail.docx", "A 19081-2024")</f>
        <v/>
      </c>
      <c r="X154">
        <f>HYPERLINK("https://klasma.github.io/Logging_2283/tillsyn/A 19081-2024 tillsynsbegäran.docx", "A 19081-2024")</f>
        <v/>
      </c>
      <c r="Y154">
        <f>HYPERLINK("https://klasma.github.io/Logging_2283/tillsynsmail/A 19081-2024 tillsynsbegäran mail.docx", "A 19081-2024")</f>
        <v/>
      </c>
      <c r="Z154">
        <f>HYPERLINK("https://klasma.github.io/Logging_2283/fåglar/A 19081-2024 prioriterade fågelarter.docx", "A 19081-2024")</f>
        <v/>
      </c>
    </row>
    <row r="155" ht="15" customHeight="1">
      <c r="A155" t="inlineStr">
        <is>
          <t>A 11547-2025</t>
        </is>
      </c>
      <c r="B155" s="1" t="n">
        <v>45727.34447916667</v>
      </c>
      <c r="C155" s="1" t="n">
        <v>45964</v>
      </c>
      <c r="D155" t="inlineStr">
        <is>
          <t>VÄSTERNORRLANDS LÄN</t>
        </is>
      </c>
      <c r="E155" t="inlineStr">
        <is>
          <t>SOLLEFTEÅ</t>
        </is>
      </c>
      <c r="F155" t="inlineStr">
        <is>
          <t>SCA</t>
        </is>
      </c>
      <c r="G155" t="n">
        <v>2.9</v>
      </c>
      <c r="H155" t="n">
        <v>2</v>
      </c>
      <c r="I155" t="n">
        <v>0</v>
      </c>
      <c r="J155" t="n">
        <v>5</v>
      </c>
      <c r="K155" t="n">
        <v>0</v>
      </c>
      <c r="L155" t="n">
        <v>0</v>
      </c>
      <c r="M155" t="n">
        <v>0</v>
      </c>
      <c r="N155" t="n">
        <v>0</v>
      </c>
      <c r="O155" t="n">
        <v>5</v>
      </c>
      <c r="P155" t="n">
        <v>0</v>
      </c>
      <c r="Q155" t="n">
        <v>5</v>
      </c>
      <c r="R155" s="2" t="inlineStr">
        <is>
          <t>Garnlav
Järpe
Lunglav
Tretåig hackspett
Ullticka</t>
        </is>
      </c>
      <c r="S155">
        <f>HYPERLINK("https://klasma.github.io/Logging_2283/artfynd/A 11547-2025 artfynd.xlsx", "A 11547-2025")</f>
        <v/>
      </c>
      <c r="T155">
        <f>HYPERLINK("https://klasma.github.io/Logging_2283/kartor/A 11547-2025 karta.png", "A 11547-2025")</f>
        <v/>
      </c>
      <c r="V155">
        <f>HYPERLINK("https://klasma.github.io/Logging_2283/klagomål/A 11547-2025 FSC-klagomål.docx", "A 11547-2025")</f>
        <v/>
      </c>
      <c r="W155">
        <f>HYPERLINK("https://klasma.github.io/Logging_2283/klagomålsmail/A 11547-2025 FSC-klagomål mail.docx", "A 11547-2025")</f>
        <v/>
      </c>
      <c r="X155">
        <f>HYPERLINK("https://klasma.github.io/Logging_2283/tillsyn/A 11547-2025 tillsynsbegäran.docx", "A 11547-2025")</f>
        <v/>
      </c>
      <c r="Y155">
        <f>HYPERLINK("https://klasma.github.io/Logging_2283/tillsynsmail/A 11547-2025 tillsynsbegäran mail.docx", "A 11547-2025")</f>
        <v/>
      </c>
      <c r="Z155">
        <f>HYPERLINK("https://klasma.github.io/Logging_2283/fåglar/A 11547-2025 prioriterade fågelarter.docx", "A 11547-2025")</f>
        <v/>
      </c>
    </row>
    <row r="156" ht="15" customHeight="1">
      <c r="A156" t="inlineStr">
        <is>
          <t>A 32216-2023</t>
        </is>
      </c>
      <c r="B156" s="1" t="n">
        <v>45119</v>
      </c>
      <c r="C156" s="1" t="n">
        <v>45964</v>
      </c>
      <c r="D156" t="inlineStr">
        <is>
          <t>VÄSTERNORRLANDS LÄN</t>
        </is>
      </c>
      <c r="E156" t="inlineStr">
        <is>
          <t>SOLLEFTEÅ</t>
        </is>
      </c>
      <c r="F156" t="inlineStr">
        <is>
          <t>SCA</t>
        </is>
      </c>
      <c r="G156" t="n">
        <v>2.2</v>
      </c>
      <c r="H156" t="n">
        <v>1</v>
      </c>
      <c r="I156" t="n">
        <v>0</v>
      </c>
      <c r="J156" t="n">
        <v>4</v>
      </c>
      <c r="K156" t="n">
        <v>1</v>
      </c>
      <c r="L156" t="n">
        <v>0</v>
      </c>
      <c r="M156" t="n">
        <v>0</v>
      </c>
      <c r="N156" t="n">
        <v>0</v>
      </c>
      <c r="O156" t="n">
        <v>5</v>
      </c>
      <c r="P156" t="n">
        <v>1</v>
      </c>
      <c r="Q156" t="n">
        <v>5</v>
      </c>
      <c r="R156" s="2" t="inlineStr">
        <is>
          <t>Rynkskinn
Lunglav
Rosenticka
Tretåig hackspett
Ullticka</t>
        </is>
      </c>
      <c r="S156">
        <f>HYPERLINK("https://klasma.github.io/Logging_2283/artfynd/A 32216-2023 artfynd.xlsx", "A 32216-2023")</f>
        <v/>
      </c>
      <c r="T156">
        <f>HYPERLINK("https://klasma.github.io/Logging_2283/kartor/A 32216-2023 karta.png", "A 32216-2023")</f>
        <v/>
      </c>
      <c r="V156">
        <f>HYPERLINK("https://klasma.github.io/Logging_2283/klagomål/A 32216-2023 FSC-klagomål.docx", "A 32216-2023")</f>
        <v/>
      </c>
      <c r="W156">
        <f>HYPERLINK("https://klasma.github.io/Logging_2283/klagomålsmail/A 32216-2023 FSC-klagomål mail.docx", "A 32216-2023")</f>
        <v/>
      </c>
      <c r="X156">
        <f>HYPERLINK("https://klasma.github.io/Logging_2283/tillsyn/A 32216-2023 tillsynsbegäran.docx", "A 32216-2023")</f>
        <v/>
      </c>
      <c r="Y156">
        <f>HYPERLINK("https://klasma.github.io/Logging_2283/tillsynsmail/A 32216-2023 tillsynsbegäran mail.docx", "A 32216-2023")</f>
        <v/>
      </c>
      <c r="Z156">
        <f>HYPERLINK("https://klasma.github.io/Logging_2283/fåglar/A 32216-2023 prioriterade fågelarter.docx", "A 32216-2023")</f>
        <v/>
      </c>
    </row>
    <row r="157" ht="15" customHeight="1">
      <c r="A157" t="inlineStr">
        <is>
          <t>A 21002-2025</t>
        </is>
      </c>
      <c r="B157" s="1" t="n">
        <v>45777.48998842593</v>
      </c>
      <c r="C157" s="1" t="n">
        <v>45964</v>
      </c>
      <c r="D157" t="inlineStr">
        <is>
          <t>VÄSTERNORRLANDS LÄN</t>
        </is>
      </c>
      <c r="E157" t="inlineStr">
        <is>
          <t>SOLLEFTEÅ</t>
        </is>
      </c>
      <c r="F157" t="inlineStr">
        <is>
          <t>SCA</t>
        </is>
      </c>
      <c r="G157" t="n">
        <v>3.1</v>
      </c>
      <c r="H157" t="n">
        <v>1</v>
      </c>
      <c r="I157" t="n">
        <v>2</v>
      </c>
      <c r="J157" t="n">
        <v>3</v>
      </c>
      <c r="K157" t="n">
        <v>0</v>
      </c>
      <c r="L157" t="n">
        <v>0</v>
      </c>
      <c r="M157" t="n">
        <v>0</v>
      </c>
      <c r="N157" t="n">
        <v>0</v>
      </c>
      <c r="O157" t="n">
        <v>3</v>
      </c>
      <c r="P157" t="n">
        <v>0</v>
      </c>
      <c r="Q157" t="n">
        <v>5</v>
      </c>
      <c r="R157" s="2" t="inlineStr">
        <is>
          <t>Granticka
Tretåig hackspett
Ullticka
Norrlandslav
Vedticka</t>
        </is>
      </c>
      <c r="S157">
        <f>HYPERLINK("https://klasma.github.io/Logging_2283/artfynd/A 21002-2025 artfynd.xlsx", "A 21002-2025")</f>
        <v/>
      </c>
      <c r="T157">
        <f>HYPERLINK("https://klasma.github.io/Logging_2283/kartor/A 21002-2025 karta.png", "A 21002-2025")</f>
        <v/>
      </c>
      <c r="V157">
        <f>HYPERLINK("https://klasma.github.io/Logging_2283/klagomål/A 21002-2025 FSC-klagomål.docx", "A 21002-2025")</f>
        <v/>
      </c>
      <c r="W157">
        <f>HYPERLINK("https://klasma.github.io/Logging_2283/klagomålsmail/A 21002-2025 FSC-klagomål mail.docx", "A 21002-2025")</f>
        <v/>
      </c>
      <c r="X157">
        <f>HYPERLINK("https://klasma.github.io/Logging_2283/tillsyn/A 21002-2025 tillsynsbegäran.docx", "A 21002-2025")</f>
        <v/>
      </c>
      <c r="Y157">
        <f>HYPERLINK("https://klasma.github.io/Logging_2283/tillsynsmail/A 21002-2025 tillsynsbegäran mail.docx", "A 21002-2025")</f>
        <v/>
      </c>
      <c r="Z157">
        <f>HYPERLINK("https://klasma.github.io/Logging_2283/fåglar/A 21002-2025 prioriterade fågelarter.docx", "A 21002-2025")</f>
        <v/>
      </c>
    </row>
    <row r="158" ht="15" customHeight="1">
      <c r="A158" t="inlineStr">
        <is>
          <t>A 30235-2022</t>
        </is>
      </c>
      <c r="B158" s="1" t="n">
        <v>44757</v>
      </c>
      <c r="C158" s="1" t="n">
        <v>45964</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57076-2020</t>
        </is>
      </c>
      <c r="B159" s="1" t="n">
        <v>44138</v>
      </c>
      <c r="C159" s="1" t="n">
        <v>45964</v>
      </c>
      <c r="D159" t="inlineStr">
        <is>
          <t>VÄSTERNORRLANDS LÄN</t>
        </is>
      </c>
      <c r="E159" t="inlineStr">
        <is>
          <t>SOLLEFTEÅ</t>
        </is>
      </c>
      <c r="G159" t="n">
        <v>3.8</v>
      </c>
      <c r="H159" t="n">
        <v>3</v>
      </c>
      <c r="I159" t="n">
        <v>1</v>
      </c>
      <c r="J159" t="n">
        <v>3</v>
      </c>
      <c r="K159" t="n">
        <v>0</v>
      </c>
      <c r="L159" t="n">
        <v>0</v>
      </c>
      <c r="M159" t="n">
        <v>0</v>
      </c>
      <c r="N159" t="n">
        <v>0</v>
      </c>
      <c r="O159" t="n">
        <v>3</v>
      </c>
      <c r="P159" t="n">
        <v>0</v>
      </c>
      <c r="Q159" t="n">
        <v>5</v>
      </c>
      <c r="R159" s="2" t="inlineStr">
        <is>
          <t>Kråka
Nipsippa
Rosenticka
Strutbräken
Revlummer</t>
        </is>
      </c>
      <c r="S159">
        <f>HYPERLINK("https://klasma.github.io/Logging_2283/artfynd/A 57076-2020 artfynd.xlsx", "A 57076-2020")</f>
        <v/>
      </c>
      <c r="T159">
        <f>HYPERLINK("https://klasma.github.io/Logging_2283/kartor/A 57076-2020 karta.png", "A 57076-2020")</f>
        <v/>
      </c>
      <c r="V159">
        <f>HYPERLINK("https://klasma.github.io/Logging_2283/klagomål/A 57076-2020 FSC-klagomål.docx", "A 57076-2020")</f>
        <v/>
      </c>
      <c r="W159">
        <f>HYPERLINK("https://klasma.github.io/Logging_2283/klagomålsmail/A 57076-2020 FSC-klagomål mail.docx", "A 57076-2020")</f>
        <v/>
      </c>
      <c r="X159">
        <f>HYPERLINK("https://klasma.github.io/Logging_2283/tillsyn/A 57076-2020 tillsynsbegäran.docx", "A 57076-2020")</f>
        <v/>
      </c>
      <c r="Y159">
        <f>HYPERLINK("https://klasma.github.io/Logging_2283/tillsynsmail/A 57076-2020 tillsynsbegäran mail.docx", "A 57076-2020")</f>
        <v/>
      </c>
      <c r="Z159">
        <f>HYPERLINK("https://klasma.github.io/Logging_2283/fåglar/A 57076-2020 prioriterade fågelarter.docx", "A 57076-2020")</f>
        <v/>
      </c>
    </row>
    <row r="160" ht="15" customHeight="1">
      <c r="A160" t="inlineStr">
        <is>
          <t>A 11490-2022</t>
        </is>
      </c>
      <c r="B160" s="1" t="n">
        <v>44630.93877314815</v>
      </c>
      <c r="C160" s="1" t="n">
        <v>45964</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Lunglav
Spillkråka
Tretåig hackspett
Ullticka</t>
        </is>
      </c>
      <c r="S160">
        <f>HYPERLINK("https://klasma.github.io/Logging_2283/artfynd/A 11490-2022 artfynd.xlsx", "A 11490-2022")</f>
        <v/>
      </c>
      <c r="T160">
        <f>HYPERLINK("https://klasma.github.io/Logging_2283/kartor/A 11490-2022 karta.png", "A 11490-2022")</f>
        <v/>
      </c>
      <c r="V160">
        <f>HYPERLINK("https://klasma.github.io/Logging_2283/klagomål/A 11490-2022 FSC-klagomål.docx", "A 11490-2022")</f>
        <v/>
      </c>
      <c r="W160">
        <f>HYPERLINK("https://klasma.github.io/Logging_2283/klagomålsmail/A 11490-2022 FSC-klagomål mail.docx", "A 11490-2022")</f>
        <v/>
      </c>
      <c r="X160">
        <f>HYPERLINK("https://klasma.github.io/Logging_2283/tillsyn/A 11490-2022 tillsynsbegäran.docx", "A 11490-2022")</f>
        <v/>
      </c>
      <c r="Y160">
        <f>HYPERLINK("https://klasma.github.io/Logging_2283/tillsynsmail/A 11490-2022 tillsynsbegäran mail.docx", "A 11490-2022")</f>
        <v/>
      </c>
      <c r="Z160">
        <f>HYPERLINK("https://klasma.github.io/Logging_2283/fåglar/A 11490-2022 prioriterade fågelarter.docx", "A 11490-2022")</f>
        <v/>
      </c>
    </row>
    <row r="161" ht="15" customHeight="1">
      <c r="A161" t="inlineStr">
        <is>
          <t>A 22797-2025</t>
        </is>
      </c>
      <c r="B161" s="1" t="n">
        <v>45789</v>
      </c>
      <c r="C161" s="1" t="n">
        <v>45964</v>
      </c>
      <c r="D161" t="inlineStr">
        <is>
          <t>VÄSTERNORRLANDS LÄN</t>
        </is>
      </c>
      <c r="E161" t="inlineStr">
        <is>
          <t>SOLLEFTEÅ</t>
        </is>
      </c>
      <c r="G161" t="n">
        <v>0.9</v>
      </c>
      <c r="H161" t="n">
        <v>2</v>
      </c>
      <c r="I161" t="n">
        <v>0</v>
      </c>
      <c r="J161" t="n">
        <v>5</v>
      </c>
      <c r="K161" t="n">
        <v>0</v>
      </c>
      <c r="L161" t="n">
        <v>0</v>
      </c>
      <c r="M161" t="n">
        <v>0</v>
      </c>
      <c r="N161" t="n">
        <v>0</v>
      </c>
      <c r="O161" t="n">
        <v>5</v>
      </c>
      <c r="P161" t="n">
        <v>0</v>
      </c>
      <c r="Q161" t="n">
        <v>5</v>
      </c>
      <c r="R161" s="2" t="inlineStr">
        <is>
          <t>Blanksvart spiklav
Talltita
Tretåig hackspett
Vedskivlav
Vedtrappmossa</t>
        </is>
      </c>
      <c r="S161">
        <f>HYPERLINK("https://klasma.github.io/Logging_2283/artfynd/A 22797-2025 artfynd.xlsx", "A 22797-2025")</f>
        <v/>
      </c>
      <c r="T161">
        <f>HYPERLINK("https://klasma.github.io/Logging_2283/kartor/A 22797-2025 karta.png", "A 22797-2025")</f>
        <v/>
      </c>
      <c r="V161">
        <f>HYPERLINK("https://klasma.github.io/Logging_2283/klagomål/A 22797-2025 FSC-klagomål.docx", "A 22797-2025")</f>
        <v/>
      </c>
      <c r="W161">
        <f>HYPERLINK("https://klasma.github.io/Logging_2283/klagomålsmail/A 22797-2025 FSC-klagomål mail.docx", "A 22797-2025")</f>
        <v/>
      </c>
      <c r="X161">
        <f>HYPERLINK("https://klasma.github.io/Logging_2283/tillsyn/A 22797-2025 tillsynsbegäran.docx", "A 22797-2025")</f>
        <v/>
      </c>
      <c r="Y161">
        <f>HYPERLINK("https://klasma.github.io/Logging_2283/tillsynsmail/A 22797-2025 tillsynsbegäran mail.docx", "A 22797-2025")</f>
        <v/>
      </c>
      <c r="Z161">
        <f>HYPERLINK("https://klasma.github.io/Logging_2283/fåglar/A 22797-2025 prioriterade fågelarter.docx", "A 22797-2025")</f>
        <v/>
      </c>
    </row>
    <row r="162" ht="15" customHeight="1">
      <c r="A162" t="inlineStr">
        <is>
          <t>A 23319-2025</t>
        </is>
      </c>
      <c r="B162" s="1" t="n">
        <v>45791.61511574074</v>
      </c>
      <c r="C162" s="1" t="n">
        <v>45964</v>
      </c>
      <c r="D162" t="inlineStr">
        <is>
          <t>VÄSTERNORRLANDS LÄN</t>
        </is>
      </c>
      <c r="E162" t="inlineStr">
        <is>
          <t>SOLLEFTEÅ</t>
        </is>
      </c>
      <c r="F162" t="inlineStr">
        <is>
          <t>SCA</t>
        </is>
      </c>
      <c r="G162" t="n">
        <v>5.3</v>
      </c>
      <c r="H162" t="n">
        <v>2</v>
      </c>
      <c r="I162" t="n">
        <v>3</v>
      </c>
      <c r="J162" t="n">
        <v>1</v>
      </c>
      <c r="K162" t="n">
        <v>0</v>
      </c>
      <c r="L162" t="n">
        <v>0</v>
      </c>
      <c r="M162" t="n">
        <v>0</v>
      </c>
      <c r="N162" t="n">
        <v>0</v>
      </c>
      <c r="O162" t="n">
        <v>1</v>
      </c>
      <c r="P162" t="n">
        <v>0</v>
      </c>
      <c r="Q162" t="n">
        <v>5</v>
      </c>
      <c r="R162" s="2" t="inlineStr">
        <is>
          <t>Lunglav
Plattlummer
Skinnlav
Stor aspticka
Revlummer</t>
        </is>
      </c>
      <c r="S162">
        <f>HYPERLINK("https://klasma.github.io/Logging_2283/artfynd/A 23319-2025 artfynd.xlsx", "A 23319-2025")</f>
        <v/>
      </c>
      <c r="T162">
        <f>HYPERLINK("https://klasma.github.io/Logging_2283/kartor/A 23319-2025 karta.png", "A 23319-2025")</f>
        <v/>
      </c>
      <c r="V162">
        <f>HYPERLINK("https://klasma.github.io/Logging_2283/klagomål/A 23319-2025 FSC-klagomål.docx", "A 23319-2025")</f>
        <v/>
      </c>
      <c r="W162">
        <f>HYPERLINK("https://klasma.github.io/Logging_2283/klagomålsmail/A 23319-2025 FSC-klagomål mail.docx", "A 23319-2025")</f>
        <v/>
      </c>
      <c r="X162">
        <f>HYPERLINK("https://klasma.github.io/Logging_2283/tillsyn/A 23319-2025 tillsynsbegäran.docx", "A 23319-2025")</f>
        <v/>
      </c>
      <c r="Y162">
        <f>HYPERLINK("https://klasma.github.io/Logging_2283/tillsynsmail/A 23319-2025 tillsynsbegäran mail.docx", "A 23319-2025")</f>
        <v/>
      </c>
    </row>
    <row r="163" ht="15" customHeight="1">
      <c r="A163" t="inlineStr">
        <is>
          <t>A 33519-2024</t>
        </is>
      </c>
      <c r="B163" s="1" t="n">
        <v>45519</v>
      </c>
      <c r="C163" s="1" t="n">
        <v>45964</v>
      </c>
      <c r="D163" t="inlineStr">
        <is>
          <t>VÄSTERNORRLANDS LÄN</t>
        </is>
      </c>
      <c r="E163" t="inlineStr">
        <is>
          <t>SOLLEFTEÅ</t>
        </is>
      </c>
      <c r="G163" t="n">
        <v>3.6</v>
      </c>
      <c r="H163" t="n">
        <v>0</v>
      </c>
      <c r="I163" t="n">
        <v>1</v>
      </c>
      <c r="J163" t="n">
        <v>4</v>
      </c>
      <c r="K163" t="n">
        <v>0</v>
      </c>
      <c r="L163" t="n">
        <v>0</v>
      </c>
      <c r="M163" t="n">
        <v>0</v>
      </c>
      <c r="N163" t="n">
        <v>0</v>
      </c>
      <c r="O163" t="n">
        <v>4</v>
      </c>
      <c r="P163" t="n">
        <v>0</v>
      </c>
      <c r="Q163" t="n">
        <v>5</v>
      </c>
      <c r="R163" s="2" t="inlineStr">
        <is>
          <t>Garnlav
Kolflarnlav
Skrovlig taggsvamp
Vaddporing
Dropptaggsvamp</t>
        </is>
      </c>
      <c r="S163">
        <f>HYPERLINK("https://klasma.github.io/Logging_2283/artfynd/A 33519-2024 artfynd.xlsx", "A 33519-2024")</f>
        <v/>
      </c>
      <c r="T163">
        <f>HYPERLINK("https://klasma.github.io/Logging_2283/kartor/A 33519-2024 karta.png", "A 33519-2024")</f>
        <v/>
      </c>
      <c r="U163">
        <f>HYPERLINK("https://klasma.github.io/Logging_2283/knärot/A 33519-2024 karta knärot.png", "A 33519-2024")</f>
        <v/>
      </c>
      <c r="V163">
        <f>HYPERLINK("https://klasma.github.io/Logging_2283/klagomål/A 33519-2024 FSC-klagomål.docx", "A 33519-2024")</f>
        <v/>
      </c>
      <c r="W163">
        <f>HYPERLINK("https://klasma.github.io/Logging_2283/klagomålsmail/A 33519-2024 FSC-klagomål mail.docx", "A 33519-2024")</f>
        <v/>
      </c>
      <c r="X163">
        <f>HYPERLINK("https://klasma.github.io/Logging_2283/tillsyn/A 33519-2024 tillsynsbegäran.docx", "A 33519-2024")</f>
        <v/>
      </c>
      <c r="Y163">
        <f>HYPERLINK("https://klasma.github.io/Logging_2283/tillsynsmail/A 33519-2024 tillsynsbegäran mail.docx", "A 33519-2024")</f>
        <v/>
      </c>
    </row>
    <row r="164" ht="15" customHeight="1">
      <c r="A164" t="inlineStr">
        <is>
          <t>A 48562-2024</t>
        </is>
      </c>
      <c r="B164" s="1" t="n">
        <v>45593.38597222222</v>
      </c>
      <c r="C164" s="1" t="n">
        <v>45964</v>
      </c>
      <c r="D164" t="inlineStr">
        <is>
          <t>VÄSTERNORRLANDS LÄN</t>
        </is>
      </c>
      <c r="E164" t="inlineStr">
        <is>
          <t>SOLLEFTEÅ</t>
        </is>
      </c>
      <c r="F164" t="inlineStr">
        <is>
          <t>SCA</t>
        </is>
      </c>
      <c r="G164" t="n">
        <v>5.3</v>
      </c>
      <c r="H164" t="n">
        <v>1</v>
      </c>
      <c r="I164" t="n">
        <v>1</v>
      </c>
      <c r="J164" t="n">
        <v>4</v>
      </c>
      <c r="K164" t="n">
        <v>0</v>
      </c>
      <c r="L164" t="n">
        <v>0</v>
      </c>
      <c r="M164" t="n">
        <v>0</v>
      </c>
      <c r="N164" t="n">
        <v>0</v>
      </c>
      <c r="O164" t="n">
        <v>4</v>
      </c>
      <c r="P164" t="n">
        <v>0</v>
      </c>
      <c r="Q164" t="n">
        <v>5</v>
      </c>
      <c r="R164" s="2" t="inlineStr">
        <is>
          <t>Gammelgransskål
Garnlav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41169-2022</t>
        </is>
      </c>
      <c r="B165" s="1" t="n">
        <v>44825</v>
      </c>
      <c r="C165" s="1" t="n">
        <v>45964</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32217-2023</t>
        </is>
      </c>
      <c r="B166" s="1" t="n">
        <v>45119</v>
      </c>
      <c r="C166" s="1" t="n">
        <v>45964</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27910-2024</t>
        </is>
      </c>
      <c r="B167" s="1" t="n">
        <v>45475</v>
      </c>
      <c r="C167" s="1" t="n">
        <v>45964</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46629-2022</t>
        </is>
      </c>
      <c r="B168" s="1" t="n">
        <v>44848</v>
      </c>
      <c r="C168" s="1" t="n">
        <v>45964</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50418-2024</t>
        </is>
      </c>
      <c r="B169" s="1" t="n">
        <v>45601.38575231482</v>
      </c>
      <c r="C169" s="1" t="n">
        <v>45964</v>
      </c>
      <c r="D169" t="inlineStr">
        <is>
          <t>VÄSTERNORRLANDS LÄN</t>
        </is>
      </c>
      <c r="E169" t="inlineStr">
        <is>
          <t>SOLLEFTEÅ</t>
        </is>
      </c>
      <c r="F169" t="inlineStr">
        <is>
          <t>SCA</t>
        </is>
      </c>
      <c r="G169" t="n">
        <v>3.4</v>
      </c>
      <c r="H169" t="n">
        <v>0</v>
      </c>
      <c r="I169" t="n">
        <v>0</v>
      </c>
      <c r="J169" t="n">
        <v>4</v>
      </c>
      <c r="K169" t="n">
        <v>1</v>
      </c>
      <c r="L169" t="n">
        <v>0</v>
      </c>
      <c r="M169" t="n">
        <v>0</v>
      </c>
      <c r="N169" t="n">
        <v>0</v>
      </c>
      <c r="O169" t="n">
        <v>5</v>
      </c>
      <c r="P169" t="n">
        <v>1</v>
      </c>
      <c r="Q169" t="n">
        <v>5</v>
      </c>
      <c r="R169" s="2" t="inlineStr">
        <is>
          <t>Rynkskinn
Garnlav
Granticka
Harticka
Lunglav</t>
        </is>
      </c>
      <c r="S169">
        <f>HYPERLINK("https://klasma.github.io/Logging_2283/artfynd/A 50418-2024 artfynd.xlsx", "A 50418-2024")</f>
        <v/>
      </c>
      <c r="T169">
        <f>HYPERLINK("https://klasma.github.io/Logging_2283/kartor/A 50418-2024 karta.png", "A 50418-2024")</f>
        <v/>
      </c>
      <c r="V169">
        <f>HYPERLINK("https://klasma.github.io/Logging_2283/klagomål/A 50418-2024 FSC-klagomål.docx", "A 50418-2024")</f>
        <v/>
      </c>
      <c r="W169">
        <f>HYPERLINK("https://klasma.github.io/Logging_2283/klagomålsmail/A 50418-2024 FSC-klagomål mail.docx", "A 50418-2024")</f>
        <v/>
      </c>
      <c r="X169">
        <f>HYPERLINK("https://klasma.github.io/Logging_2283/tillsyn/A 50418-2024 tillsynsbegäran.docx", "A 50418-2024")</f>
        <v/>
      </c>
      <c r="Y169">
        <f>HYPERLINK("https://klasma.github.io/Logging_2283/tillsynsmail/A 50418-2024 tillsynsbegäran mail.docx", "A 50418-2024")</f>
        <v/>
      </c>
    </row>
    <row r="170" ht="15" customHeight="1">
      <c r="A170" t="inlineStr">
        <is>
          <t>A 29249-2024</t>
        </is>
      </c>
      <c r="B170" s="1" t="n">
        <v>45482</v>
      </c>
      <c r="C170" s="1" t="n">
        <v>45964</v>
      </c>
      <c r="D170" t="inlineStr">
        <is>
          <t>VÄSTERNORRLANDS LÄN</t>
        </is>
      </c>
      <c r="E170" t="inlineStr">
        <is>
          <t>SOLLEFTEÅ</t>
        </is>
      </c>
      <c r="F170" t="inlineStr">
        <is>
          <t>SCA</t>
        </is>
      </c>
      <c r="G170" t="n">
        <v>7.3</v>
      </c>
      <c r="H170" t="n">
        <v>3</v>
      </c>
      <c r="I170" t="n">
        <v>1</v>
      </c>
      <c r="J170" t="n">
        <v>3</v>
      </c>
      <c r="K170" t="n">
        <v>1</v>
      </c>
      <c r="L170" t="n">
        <v>0</v>
      </c>
      <c r="M170" t="n">
        <v>0</v>
      </c>
      <c r="N170" t="n">
        <v>0</v>
      </c>
      <c r="O170" t="n">
        <v>4</v>
      </c>
      <c r="P170" t="n">
        <v>1</v>
      </c>
      <c r="Q170" t="n">
        <v>5</v>
      </c>
      <c r="R170" s="2" t="inlineStr">
        <is>
          <t>Knärot
Harticka
Talltita
Tretåig hackspett
Stuplav</t>
        </is>
      </c>
      <c r="S170">
        <f>HYPERLINK("https://klasma.github.io/Logging_2283/artfynd/A 29249-2024 artfynd.xlsx", "A 29249-2024")</f>
        <v/>
      </c>
      <c r="T170">
        <f>HYPERLINK("https://klasma.github.io/Logging_2283/kartor/A 29249-2024 karta.png", "A 29249-2024")</f>
        <v/>
      </c>
      <c r="U170">
        <f>HYPERLINK("https://klasma.github.io/Logging_2283/knärot/A 29249-2024 karta knärot.png", "A 29249-2024")</f>
        <v/>
      </c>
      <c r="V170">
        <f>HYPERLINK("https://klasma.github.io/Logging_2283/klagomål/A 29249-2024 FSC-klagomål.docx", "A 29249-2024")</f>
        <v/>
      </c>
      <c r="W170">
        <f>HYPERLINK("https://klasma.github.io/Logging_2283/klagomålsmail/A 29249-2024 FSC-klagomål mail.docx", "A 29249-2024")</f>
        <v/>
      </c>
      <c r="X170">
        <f>HYPERLINK("https://klasma.github.io/Logging_2283/tillsyn/A 29249-2024 tillsynsbegäran.docx", "A 29249-2024")</f>
        <v/>
      </c>
      <c r="Y170">
        <f>HYPERLINK("https://klasma.github.io/Logging_2283/tillsynsmail/A 29249-2024 tillsynsbegäran mail.docx", "A 29249-2024")</f>
        <v/>
      </c>
      <c r="Z170">
        <f>HYPERLINK("https://klasma.github.io/Logging_2283/fåglar/A 29249-2024 prioriterade fågelarter.docx", "A 29249-2024")</f>
        <v/>
      </c>
    </row>
    <row r="171" ht="15" customHeight="1">
      <c r="A171" t="inlineStr">
        <is>
          <t>A 51341-2025</t>
        </is>
      </c>
      <c r="B171" s="1" t="n">
        <v>45950.42761574074</v>
      </c>
      <c r="C171" s="1" t="n">
        <v>45964</v>
      </c>
      <c r="D171" t="inlineStr">
        <is>
          <t>VÄSTERNORRLANDS LÄN</t>
        </is>
      </c>
      <c r="E171" t="inlineStr">
        <is>
          <t>SOLLEFTEÅ</t>
        </is>
      </c>
      <c r="F171" t="inlineStr">
        <is>
          <t>SCA</t>
        </is>
      </c>
      <c r="G171" t="n">
        <v>5.3</v>
      </c>
      <c r="H171" t="n">
        <v>0</v>
      </c>
      <c r="I171" t="n">
        <v>2</v>
      </c>
      <c r="J171" t="n">
        <v>3</v>
      </c>
      <c r="K171" t="n">
        <v>0</v>
      </c>
      <c r="L171" t="n">
        <v>0</v>
      </c>
      <c r="M171" t="n">
        <v>0</v>
      </c>
      <c r="N171" t="n">
        <v>0</v>
      </c>
      <c r="O171" t="n">
        <v>3</v>
      </c>
      <c r="P171" t="n">
        <v>0</v>
      </c>
      <c r="Q171" t="n">
        <v>5</v>
      </c>
      <c r="R171" s="2" t="inlineStr">
        <is>
          <t>Garnlav
Mörk kolflarnlav
Rosenticka
Dropptaggsvamp
Vedticka</t>
        </is>
      </c>
      <c r="S171">
        <f>HYPERLINK("https://klasma.github.io/Logging_2283/artfynd/A 51341-2025 artfynd.xlsx", "A 51341-2025")</f>
        <v/>
      </c>
      <c r="T171">
        <f>HYPERLINK("https://klasma.github.io/Logging_2283/kartor/A 51341-2025 karta.png", "A 51341-2025")</f>
        <v/>
      </c>
      <c r="V171">
        <f>HYPERLINK("https://klasma.github.io/Logging_2283/klagomål/A 51341-2025 FSC-klagomål.docx", "A 51341-2025")</f>
        <v/>
      </c>
      <c r="W171">
        <f>HYPERLINK("https://klasma.github.io/Logging_2283/klagomålsmail/A 51341-2025 FSC-klagomål mail.docx", "A 51341-2025")</f>
        <v/>
      </c>
      <c r="X171">
        <f>HYPERLINK("https://klasma.github.io/Logging_2283/tillsyn/A 51341-2025 tillsynsbegäran.docx", "A 51341-2025")</f>
        <v/>
      </c>
      <c r="Y171">
        <f>HYPERLINK("https://klasma.github.io/Logging_2283/tillsynsmail/A 51341-2025 tillsynsbegäran mail.docx", "A 51341-2025")</f>
        <v/>
      </c>
    </row>
    <row r="172" ht="15" customHeight="1">
      <c r="A172" t="inlineStr">
        <is>
          <t>A 44407-2025</t>
        </is>
      </c>
      <c r="B172" s="1" t="n">
        <v>45916.52679398148</v>
      </c>
      <c r="C172" s="1" t="n">
        <v>45964</v>
      </c>
      <c r="D172" t="inlineStr">
        <is>
          <t>VÄSTERNORRLANDS LÄN</t>
        </is>
      </c>
      <c r="E172" t="inlineStr">
        <is>
          <t>SOLLEFTEÅ</t>
        </is>
      </c>
      <c r="G172" t="n">
        <v>4.1</v>
      </c>
      <c r="H172" t="n">
        <v>1</v>
      </c>
      <c r="I172" t="n">
        <v>3</v>
      </c>
      <c r="J172" t="n">
        <v>1</v>
      </c>
      <c r="K172" t="n">
        <v>0</v>
      </c>
      <c r="L172" t="n">
        <v>0</v>
      </c>
      <c r="M172" t="n">
        <v>0</v>
      </c>
      <c r="N172" t="n">
        <v>0</v>
      </c>
      <c r="O172" t="n">
        <v>1</v>
      </c>
      <c r="P172" t="n">
        <v>0</v>
      </c>
      <c r="Q172" t="n">
        <v>5</v>
      </c>
      <c r="R172" s="2" t="inlineStr">
        <is>
          <t>Granticka
Dvärghäxört
Luddlav
Stuplav
Revlummer</t>
        </is>
      </c>
      <c r="S172">
        <f>HYPERLINK("https://klasma.github.io/Logging_2283/artfynd/A 44407-2025 artfynd.xlsx", "A 44407-2025")</f>
        <v/>
      </c>
      <c r="T172">
        <f>HYPERLINK("https://klasma.github.io/Logging_2283/kartor/A 44407-2025 karta.png", "A 44407-2025")</f>
        <v/>
      </c>
      <c r="V172">
        <f>HYPERLINK("https://klasma.github.io/Logging_2283/klagomål/A 44407-2025 FSC-klagomål.docx", "A 44407-2025")</f>
        <v/>
      </c>
      <c r="W172">
        <f>HYPERLINK("https://klasma.github.io/Logging_2283/klagomålsmail/A 44407-2025 FSC-klagomål mail.docx", "A 44407-2025")</f>
        <v/>
      </c>
      <c r="X172">
        <f>HYPERLINK("https://klasma.github.io/Logging_2283/tillsyn/A 44407-2025 tillsynsbegäran.docx", "A 44407-2025")</f>
        <v/>
      </c>
      <c r="Y172">
        <f>HYPERLINK("https://klasma.github.io/Logging_2283/tillsynsmail/A 44407-2025 tillsynsbegäran mail.docx", "A 44407-2025")</f>
        <v/>
      </c>
    </row>
    <row r="173" ht="15" customHeight="1">
      <c r="A173" t="inlineStr">
        <is>
          <t>A 44797-2025</t>
        </is>
      </c>
      <c r="B173" s="1" t="n">
        <v>45918.34486111111</v>
      </c>
      <c r="C173" s="1" t="n">
        <v>45964</v>
      </c>
      <c r="D173" t="inlineStr">
        <is>
          <t>VÄSTERNORRLANDS LÄN</t>
        </is>
      </c>
      <c r="E173" t="inlineStr">
        <is>
          <t>SOLLEFTEÅ</t>
        </is>
      </c>
      <c r="F173" t="inlineStr">
        <is>
          <t>SCA</t>
        </is>
      </c>
      <c r="G173" t="n">
        <v>2.4</v>
      </c>
      <c r="H173" t="n">
        <v>0</v>
      </c>
      <c r="I173" t="n">
        <v>1</v>
      </c>
      <c r="J173" t="n">
        <v>3</v>
      </c>
      <c r="K173" t="n">
        <v>1</v>
      </c>
      <c r="L173" t="n">
        <v>0</v>
      </c>
      <c r="M173" t="n">
        <v>0</v>
      </c>
      <c r="N173" t="n">
        <v>0</v>
      </c>
      <c r="O173" t="n">
        <v>4</v>
      </c>
      <c r="P173" t="n">
        <v>1</v>
      </c>
      <c r="Q173" t="n">
        <v>5</v>
      </c>
      <c r="R173" s="2" t="inlineStr">
        <is>
          <t>Goliatmusseron
Dvärgbägarlav
Orange taggsvamp
Skrovlig taggsvamp
Skarp dropptaggsvamp</t>
        </is>
      </c>
      <c r="S173">
        <f>HYPERLINK("https://klasma.github.io/Logging_2283/artfynd/A 44797-2025 artfynd.xlsx", "A 44797-2025")</f>
        <v/>
      </c>
      <c r="T173">
        <f>HYPERLINK("https://klasma.github.io/Logging_2283/kartor/A 44797-2025 karta.png", "A 44797-2025")</f>
        <v/>
      </c>
      <c r="V173">
        <f>HYPERLINK("https://klasma.github.io/Logging_2283/klagomål/A 44797-2025 FSC-klagomål.docx", "A 44797-2025")</f>
        <v/>
      </c>
      <c r="W173">
        <f>HYPERLINK("https://klasma.github.io/Logging_2283/klagomålsmail/A 44797-2025 FSC-klagomål mail.docx", "A 44797-2025")</f>
        <v/>
      </c>
      <c r="X173">
        <f>HYPERLINK("https://klasma.github.io/Logging_2283/tillsyn/A 44797-2025 tillsynsbegäran.docx", "A 44797-2025")</f>
        <v/>
      </c>
      <c r="Y173">
        <f>HYPERLINK("https://klasma.github.io/Logging_2283/tillsynsmail/A 44797-2025 tillsynsbegäran mail.docx", "A 44797-2025")</f>
        <v/>
      </c>
    </row>
    <row r="174" ht="15" customHeight="1">
      <c r="A174" t="inlineStr">
        <is>
          <t>A 3795-2022</t>
        </is>
      </c>
      <c r="B174" s="1" t="n">
        <v>44586</v>
      </c>
      <c r="C174" s="1" t="n">
        <v>45964</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45964</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13342-2024</t>
        </is>
      </c>
      <c r="B176" s="1" t="n">
        <v>45386</v>
      </c>
      <c r="C176" s="1" t="n">
        <v>45964</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56248-2023</t>
        </is>
      </c>
      <c r="B177" s="1" t="n">
        <v>45240</v>
      </c>
      <c r="C177" s="1" t="n">
        <v>45964</v>
      </c>
      <c r="D177" t="inlineStr">
        <is>
          <t>VÄSTERNORRLANDS LÄN</t>
        </is>
      </c>
      <c r="E177" t="inlineStr">
        <is>
          <t>SOLLEFTEÅ</t>
        </is>
      </c>
      <c r="F177" t="inlineStr">
        <is>
          <t>SCA</t>
        </is>
      </c>
      <c r="G177" t="n">
        <v>12.2</v>
      </c>
      <c r="H177" t="n">
        <v>3</v>
      </c>
      <c r="I177" t="n">
        <v>0</v>
      </c>
      <c r="J177" t="n">
        <v>3</v>
      </c>
      <c r="K177" t="n">
        <v>0</v>
      </c>
      <c r="L177" t="n">
        <v>0</v>
      </c>
      <c r="M177" t="n">
        <v>0</v>
      </c>
      <c r="N177" t="n">
        <v>0</v>
      </c>
      <c r="O177" t="n">
        <v>3</v>
      </c>
      <c r="P177" t="n">
        <v>0</v>
      </c>
      <c r="Q177" t="n">
        <v>4</v>
      </c>
      <c r="R177" s="2" t="inlineStr">
        <is>
          <t>Granticka
Mindre hackspett
Tretåig hackspett
Lavskrika</t>
        </is>
      </c>
      <c r="S177">
        <f>HYPERLINK("https://klasma.github.io/Logging_2283/artfynd/A 56248-2023 artfynd.xlsx", "A 56248-2023")</f>
        <v/>
      </c>
      <c r="T177">
        <f>HYPERLINK("https://klasma.github.io/Logging_2283/kartor/A 56248-2023 karta.png", "A 56248-2023")</f>
        <v/>
      </c>
      <c r="V177">
        <f>HYPERLINK("https://klasma.github.io/Logging_2283/klagomål/A 56248-2023 FSC-klagomål.docx", "A 56248-2023")</f>
        <v/>
      </c>
      <c r="W177">
        <f>HYPERLINK("https://klasma.github.io/Logging_2283/klagomålsmail/A 56248-2023 FSC-klagomål mail.docx", "A 56248-2023")</f>
        <v/>
      </c>
      <c r="X177">
        <f>HYPERLINK("https://klasma.github.io/Logging_2283/tillsyn/A 56248-2023 tillsynsbegäran.docx", "A 56248-2023")</f>
        <v/>
      </c>
      <c r="Y177">
        <f>HYPERLINK("https://klasma.github.io/Logging_2283/tillsynsmail/A 56248-2023 tillsynsbegäran mail.docx", "A 56248-2023")</f>
        <v/>
      </c>
      <c r="Z177">
        <f>HYPERLINK("https://klasma.github.io/Logging_2283/fåglar/A 56248-2023 prioriterade fågelarter.docx", "A 56248-2023")</f>
        <v/>
      </c>
    </row>
    <row r="178" ht="15" customHeight="1">
      <c r="A178" t="inlineStr">
        <is>
          <t>A 8885-2024</t>
        </is>
      </c>
      <c r="B178" s="1" t="n">
        <v>45357</v>
      </c>
      <c r="C178" s="1" t="n">
        <v>45964</v>
      </c>
      <c r="D178" t="inlineStr">
        <is>
          <t>VÄSTERNORRLANDS LÄN</t>
        </is>
      </c>
      <c r="E178" t="inlineStr">
        <is>
          <t>SOLLEFTEÅ</t>
        </is>
      </c>
      <c r="F178" t="inlineStr">
        <is>
          <t>SCA</t>
        </is>
      </c>
      <c r="G178" t="n">
        <v>4.5</v>
      </c>
      <c r="H178" t="n">
        <v>1</v>
      </c>
      <c r="I178" t="n">
        <v>1</v>
      </c>
      <c r="J178" t="n">
        <v>3</v>
      </c>
      <c r="K178" t="n">
        <v>0</v>
      </c>
      <c r="L178" t="n">
        <v>0</v>
      </c>
      <c r="M178" t="n">
        <v>0</v>
      </c>
      <c r="N178" t="n">
        <v>0</v>
      </c>
      <c r="O178" t="n">
        <v>3</v>
      </c>
      <c r="P178" t="n">
        <v>0</v>
      </c>
      <c r="Q178" t="n">
        <v>4</v>
      </c>
      <c r="R178" s="2" t="inlineStr">
        <is>
          <t>Gammelgransskål
Granticka
Tretåig hackspett
Vedticka</t>
        </is>
      </c>
      <c r="S178">
        <f>HYPERLINK("https://klasma.github.io/Logging_2283/artfynd/A 8885-2024 artfynd.xlsx", "A 8885-2024")</f>
        <v/>
      </c>
      <c r="T178">
        <f>HYPERLINK("https://klasma.github.io/Logging_2283/kartor/A 8885-2024 karta.png", "A 8885-2024")</f>
        <v/>
      </c>
      <c r="V178">
        <f>HYPERLINK("https://klasma.github.io/Logging_2283/klagomål/A 8885-2024 FSC-klagomål.docx", "A 8885-2024")</f>
        <v/>
      </c>
      <c r="W178">
        <f>HYPERLINK("https://klasma.github.io/Logging_2283/klagomålsmail/A 8885-2024 FSC-klagomål mail.docx", "A 8885-2024")</f>
        <v/>
      </c>
      <c r="X178">
        <f>HYPERLINK("https://klasma.github.io/Logging_2283/tillsyn/A 8885-2024 tillsynsbegäran.docx", "A 8885-2024")</f>
        <v/>
      </c>
      <c r="Y178">
        <f>HYPERLINK("https://klasma.github.io/Logging_2283/tillsynsmail/A 8885-2024 tillsynsbegäran mail.docx", "A 8885-2024")</f>
        <v/>
      </c>
      <c r="Z178">
        <f>HYPERLINK("https://klasma.github.io/Logging_2283/fåglar/A 8885-2024 prioriterade fågelarter.docx", "A 8885-2024")</f>
        <v/>
      </c>
    </row>
    <row r="179" ht="15" customHeight="1">
      <c r="A179" t="inlineStr">
        <is>
          <t>A 54093-2024</t>
        </is>
      </c>
      <c r="B179" s="1" t="n">
        <v>45616.51100694444</v>
      </c>
      <c r="C179" s="1" t="n">
        <v>45964</v>
      </c>
      <c r="D179" t="inlineStr">
        <is>
          <t>VÄSTERNORRLANDS LÄN</t>
        </is>
      </c>
      <c r="E179" t="inlineStr">
        <is>
          <t>SOLLEFTEÅ</t>
        </is>
      </c>
      <c r="F179" t="inlineStr">
        <is>
          <t>SCA</t>
        </is>
      </c>
      <c r="G179" t="n">
        <v>3.9</v>
      </c>
      <c r="H179" t="n">
        <v>0</v>
      </c>
      <c r="I179" t="n">
        <v>0</v>
      </c>
      <c r="J179" t="n">
        <v>4</v>
      </c>
      <c r="K179" t="n">
        <v>0</v>
      </c>
      <c r="L179" t="n">
        <v>0</v>
      </c>
      <c r="M179" t="n">
        <v>0</v>
      </c>
      <c r="N179" t="n">
        <v>0</v>
      </c>
      <c r="O179" t="n">
        <v>4</v>
      </c>
      <c r="P179" t="n">
        <v>0</v>
      </c>
      <c r="Q179" t="n">
        <v>4</v>
      </c>
      <c r="R179" s="2" t="inlineStr">
        <is>
          <t>Garnlav
Lunglav
Rosenticka
Ullticka</t>
        </is>
      </c>
      <c r="S179">
        <f>HYPERLINK("https://klasma.github.io/Logging_2283/artfynd/A 54093-2024 artfynd.xlsx", "A 54093-2024")</f>
        <v/>
      </c>
      <c r="T179">
        <f>HYPERLINK("https://klasma.github.io/Logging_2283/kartor/A 54093-2024 karta.png", "A 54093-2024")</f>
        <v/>
      </c>
      <c r="V179">
        <f>HYPERLINK("https://klasma.github.io/Logging_2283/klagomål/A 54093-2024 FSC-klagomål.docx", "A 54093-2024")</f>
        <v/>
      </c>
      <c r="W179">
        <f>HYPERLINK("https://klasma.github.io/Logging_2283/klagomålsmail/A 54093-2024 FSC-klagomål mail.docx", "A 54093-2024")</f>
        <v/>
      </c>
      <c r="X179">
        <f>HYPERLINK("https://klasma.github.io/Logging_2283/tillsyn/A 54093-2024 tillsynsbegäran.docx", "A 54093-2024")</f>
        <v/>
      </c>
      <c r="Y179">
        <f>HYPERLINK("https://klasma.github.io/Logging_2283/tillsynsmail/A 54093-2024 tillsynsbegäran mail.docx", "A 54093-2024")</f>
        <v/>
      </c>
    </row>
    <row r="180" ht="15" customHeight="1">
      <c r="A180" t="inlineStr">
        <is>
          <t>A 62638-2022</t>
        </is>
      </c>
      <c r="B180" s="1" t="n">
        <v>44925</v>
      </c>
      <c r="C180" s="1" t="n">
        <v>45964</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62632-2022</t>
        </is>
      </c>
      <c r="B181" s="1" t="n">
        <v>44925</v>
      </c>
      <c r="C181" s="1" t="n">
        <v>45964</v>
      </c>
      <c r="D181" t="inlineStr">
        <is>
          <t>VÄSTERNORRLANDS LÄN</t>
        </is>
      </c>
      <c r="E181" t="inlineStr">
        <is>
          <t>SOLLEFTEÅ</t>
        </is>
      </c>
      <c r="F181" t="inlineStr">
        <is>
          <t>Holmen skog AB</t>
        </is>
      </c>
      <c r="G181" t="n">
        <v>4.4</v>
      </c>
      <c r="H181" t="n">
        <v>1</v>
      </c>
      <c r="I181" t="n">
        <v>1</v>
      </c>
      <c r="J181" t="n">
        <v>2</v>
      </c>
      <c r="K181" t="n">
        <v>1</v>
      </c>
      <c r="L181" t="n">
        <v>0</v>
      </c>
      <c r="M181" t="n">
        <v>0</v>
      </c>
      <c r="N181" t="n">
        <v>0</v>
      </c>
      <c r="O181" t="n">
        <v>3</v>
      </c>
      <c r="P181" t="n">
        <v>1</v>
      </c>
      <c r="Q181" t="n">
        <v>4</v>
      </c>
      <c r="R181" s="2" t="inlineStr">
        <is>
          <t>Bitter taggsvamp
Blå taggsvamp
Orange taggsvamp
Plattlummer</t>
        </is>
      </c>
      <c r="S181">
        <f>HYPERLINK("https://klasma.github.io/Logging_2283/artfynd/A 62632-2022 artfynd.xlsx", "A 62632-2022")</f>
        <v/>
      </c>
      <c r="T181">
        <f>HYPERLINK("https://klasma.github.io/Logging_2283/kartor/A 62632-2022 karta.png", "A 62632-2022")</f>
        <v/>
      </c>
      <c r="V181">
        <f>HYPERLINK("https://klasma.github.io/Logging_2283/klagomål/A 62632-2022 FSC-klagomål.docx", "A 62632-2022")</f>
        <v/>
      </c>
      <c r="W181">
        <f>HYPERLINK("https://klasma.github.io/Logging_2283/klagomålsmail/A 62632-2022 FSC-klagomål mail.docx", "A 62632-2022")</f>
        <v/>
      </c>
      <c r="X181">
        <f>HYPERLINK("https://klasma.github.io/Logging_2283/tillsyn/A 62632-2022 tillsynsbegäran.docx", "A 62632-2022")</f>
        <v/>
      </c>
      <c r="Y181">
        <f>HYPERLINK("https://klasma.github.io/Logging_2283/tillsynsmail/A 62632-2022 tillsynsbegäran mail.docx", "A 62632-2022")</f>
        <v/>
      </c>
    </row>
    <row r="182" ht="15" customHeight="1">
      <c r="A182" t="inlineStr">
        <is>
          <t>A 20933-2025</t>
        </is>
      </c>
      <c r="B182" s="1" t="n">
        <v>45777.42752314815</v>
      </c>
      <c r="C182" s="1" t="n">
        <v>45964</v>
      </c>
      <c r="D182" t="inlineStr">
        <is>
          <t>VÄSTERNORRLANDS LÄN</t>
        </is>
      </c>
      <c r="E182" t="inlineStr">
        <is>
          <t>SOLLEFTEÅ</t>
        </is>
      </c>
      <c r="F182" t="inlineStr">
        <is>
          <t>SCA</t>
        </is>
      </c>
      <c r="G182" t="n">
        <v>5.9</v>
      </c>
      <c r="H182" t="n">
        <v>0</v>
      </c>
      <c r="I182" t="n">
        <v>1</v>
      </c>
      <c r="J182" t="n">
        <v>3</v>
      </c>
      <c r="K182" t="n">
        <v>0</v>
      </c>
      <c r="L182" t="n">
        <v>0</v>
      </c>
      <c r="M182" t="n">
        <v>0</v>
      </c>
      <c r="N182" t="n">
        <v>0</v>
      </c>
      <c r="O182" t="n">
        <v>3</v>
      </c>
      <c r="P182" t="n">
        <v>0</v>
      </c>
      <c r="Q182" t="n">
        <v>4</v>
      </c>
      <c r="R182" s="2" t="inlineStr">
        <is>
          <t>Orange taggsvamp
Skrovlig taggsvamp
Vitgrynig nållav
Dropptaggsvamp</t>
        </is>
      </c>
      <c r="S182">
        <f>HYPERLINK("https://klasma.github.io/Logging_2283/artfynd/A 20933-2025 artfynd.xlsx", "A 20933-2025")</f>
        <v/>
      </c>
      <c r="T182">
        <f>HYPERLINK("https://klasma.github.io/Logging_2283/kartor/A 20933-2025 karta.png", "A 20933-2025")</f>
        <v/>
      </c>
      <c r="V182">
        <f>HYPERLINK("https://klasma.github.io/Logging_2283/klagomål/A 20933-2025 FSC-klagomål.docx", "A 20933-2025")</f>
        <v/>
      </c>
      <c r="W182">
        <f>HYPERLINK("https://klasma.github.io/Logging_2283/klagomålsmail/A 20933-2025 FSC-klagomål mail.docx", "A 20933-2025")</f>
        <v/>
      </c>
      <c r="X182">
        <f>HYPERLINK("https://klasma.github.io/Logging_2283/tillsyn/A 20933-2025 tillsynsbegäran.docx", "A 20933-2025")</f>
        <v/>
      </c>
      <c r="Y182">
        <f>HYPERLINK("https://klasma.github.io/Logging_2283/tillsynsmail/A 20933-2025 tillsynsbegäran mail.docx", "A 20933-2025")</f>
        <v/>
      </c>
    </row>
    <row r="183" ht="15" customHeight="1">
      <c r="A183" t="inlineStr">
        <is>
          <t>A 57081-2024</t>
        </is>
      </c>
      <c r="B183" s="1" t="n">
        <v>45629</v>
      </c>
      <c r="C183" s="1" t="n">
        <v>45964</v>
      </c>
      <c r="D183" t="inlineStr">
        <is>
          <t>VÄSTERNORRLANDS LÄN</t>
        </is>
      </c>
      <c r="E183" t="inlineStr">
        <is>
          <t>SOLLEFTEÅ</t>
        </is>
      </c>
      <c r="F183" t="inlineStr">
        <is>
          <t>SCA</t>
        </is>
      </c>
      <c r="G183" t="n">
        <v>0.7</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57081-2024 artfynd.xlsx", "A 57081-2024")</f>
        <v/>
      </c>
      <c r="T183">
        <f>HYPERLINK("https://klasma.github.io/Logging_2283/kartor/A 57081-2024 karta.png", "A 57081-2024")</f>
        <v/>
      </c>
      <c r="V183">
        <f>HYPERLINK("https://klasma.github.io/Logging_2283/klagomål/A 57081-2024 FSC-klagomål.docx", "A 57081-2024")</f>
        <v/>
      </c>
      <c r="W183">
        <f>HYPERLINK("https://klasma.github.io/Logging_2283/klagomålsmail/A 57081-2024 FSC-klagomål mail.docx", "A 57081-2024")</f>
        <v/>
      </c>
      <c r="X183">
        <f>HYPERLINK("https://klasma.github.io/Logging_2283/tillsyn/A 57081-2024 tillsynsbegäran.docx", "A 57081-2024")</f>
        <v/>
      </c>
      <c r="Y183">
        <f>HYPERLINK("https://klasma.github.io/Logging_2283/tillsynsmail/A 57081-2024 tillsynsbegäran mail.docx", "A 57081-2024")</f>
        <v/>
      </c>
      <c r="Z183">
        <f>HYPERLINK("https://klasma.github.io/Logging_2283/fåglar/A 57081-2024 prioriterade fågelarter.docx", "A 57081-2024")</f>
        <v/>
      </c>
    </row>
    <row r="184" ht="15" customHeight="1">
      <c r="A184" t="inlineStr">
        <is>
          <t>A 51192-2024</t>
        </is>
      </c>
      <c r="B184" s="1" t="n">
        <v>45603.61493055556</v>
      </c>
      <c r="C184" s="1" t="n">
        <v>45964</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37270-2023</t>
        </is>
      </c>
      <c r="B185" s="1" t="n">
        <v>45155</v>
      </c>
      <c r="C185" s="1" t="n">
        <v>45964</v>
      </c>
      <c r="D185" t="inlineStr">
        <is>
          <t>VÄSTERNORRLANDS LÄN</t>
        </is>
      </c>
      <c r="E185" t="inlineStr">
        <is>
          <t>SOLLEFTEÅ</t>
        </is>
      </c>
      <c r="F185" t="inlineStr">
        <is>
          <t>SCA</t>
        </is>
      </c>
      <c r="G185" t="n">
        <v>2.3</v>
      </c>
      <c r="H185" t="n">
        <v>1</v>
      </c>
      <c r="I185" t="n">
        <v>1</v>
      </c>
      <c r="J185" t="n">
        <v>3</v>
      </c>
      <c r="K185" t="n">
        <v>0</v>
      </c>
      <c r="L185" t="n">
        <v>0</v>
      </c>
      <c r="M185" t="n">
        <v>0</v>
      </c>
      <c r="N185" t="n">
        <v>0</v>
      </c>
      <c r="O185" t="n">
        <v>3</v>
      </c>
      <c r="P185" t="n">
        <v>0</v>
      </c>
      <c r="Q185" t="n">
        <v>4</v>
      </c>
      <c r="R185" s="2" t="inlineStr">
        <is>
          <t>Orange taggsvamp
Tallticka
Tretåig hackspett
Dropptaggsvamp</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9819-2024</t>
        </is>
      </c>
      <c r="B186" s="1" t="n">
        <v>45363</v>
      </c>
      <c r="C186" s="1" t="n">
        <v>45964</v>
      </c>
      <c r="D186" t="inlineStr">
        <is>
          <t>VÄSTERNORRLANDS LÄN</t>
        </is>
      </c>
      <c r="E186" t="inlineStr">
        <is>
          <t>SOLLEFTEÅ</t>
        </is>
      </c>
      <c r="F186" t="inlineStr">
        <is>
          <t>SCA</t>
        </is>
      </c>
      <c r="G186" t="n">
        <v>6.8</v>
      </c>
      <c r="H186" t="n">
        <v>1</v>
      </c>
      <c r="I186" t="n">
        <v>1</v>
      </c>
      <c r="J186" t="n">
        <v>2</v>
      </c>
      <c r="K186" t="n">
        <v>1</v>
      </c>
      <c r="L186" t="n">
        <v>0</v>
      </c>
      <c r="M186" t="n">
        <v>0</v>
      </c>
      <c r="N186" t="n">
        <v>0</v>
      </c>
      <c r="O186" t="n">
        <v>3</v>
      </c>
      <c r="P186" t="n">
        <v>1</v>
      </c>
      <c r="Q186" t="n">
        <v>4</v>
      </c>
      <c r="R186" s="2" t="inlineStr">
        <is>
          <t>Knärot
Motaggsvamp
Vitgrynig nållav
Dropptaggsvamp</t>
        </is>
      </c>
      <c r="S186">
        <f>HYPERLINK("https://klasma.github.io/Logging_2283/artfynd/A 9819-2024 artfynd.xlsx", "A 9819-2024")</f>
        <v/>
      </c>
      <c r="T186">
        <f>HYPERLINK("https://klasma.github.io/Logging_2283/kartor/A 9819-2024 karta.png", "A 9819-2024")</f>
        <v/>
      </c>
      <c r="U186">
        <f>HYPERLINK("https://klasma.github.io/Logging_2283/knärot/A 9819-2024 karta knärot.png", "A 9819-2024")</f>
        <v/>
      </c>
      <c r="V186">
        <f>HYPERLINK("https://klasma.github.io/Logging_2283/klagomål/A 9819-2024 FSC-klagomål.docx", "A 9819-2024")</f>
        <v/>
      </c>
      <c r="W186">
        <f>HYPERLINK("https://klasma.github.io/Logging_2283/klagomålsmail/A 9819-2024 FSC-klagomål mail.docx", "A 9819-2024")</f>
        <v/>
      </c>
      <c r="X186">
        <f>HYPERLINK("https://klasma.github.io/Logging_2283/tillsyn/A 9819-2024 tillsynsbegäran.docx", "A 9819-2024")</f>
        <v/>
      </c>
      <c r="Y186">
        <f>HYPERLINK("https://klasma.github.io/Logging_2283/tillsynsmail/A 9819-2024 tillsynsbegäran mail.docx", "A 9819-2024")</f>
        <v/>
      </c>
    </row>
    <row r="187" ht="15" customHeight="1">
      <c r="A187" t="inlineStr">
        <is>
          <t>A 47527-2024</t>
        </is>
      </c>
      <c r="B187" s="1" t="n">
        <v>45587.63574074074</v>
      </c>
      <c r="C187" s="1" t="n">
        <v>45964</v>
      </c>
      <c r="D187" t="inlineStr">
        <is>
          <t>VÄSTERNORRLANDS LÄN</t>
        </is>
      </c>
      <c r="E187" t="inlineStr">
        <is>
          <t>SOLLEFTEÅ</t>
        </is>
      </c>
      <c r="F187" t="inlineStr">
        <is>
          <t>SCA</t>
        </is>
      </c>
      <c r="G187" t="n">
        <v>3.6</v>
      </c>
      <c r="H187" t="n">
        <v>1</v>
      </c>
      <c r="I187" t="n">
        <v>1</v>
      </c>
      <c r="J187" t="n">
        <v>3</v>
      </c>
      <c r="K187" t="n">
        <v>0</v>
      </c>
      <c r="L187" t="n">
        <v>0</v>
      </c>
      <c r="M187" t="n">
        <v>0</v>
      </c>
      <c r="N187" t="n">
        <v>0</v>
      </c>
      <c r="O187" t="n">
        <v>3</v>
      </c>
      <c r="P187" t="n">
        <v>0</v>
      </c>
      <c r="Q187" t="n">
        <v>4</v>
      </c>
      <c r="R187" s="2" t="inlineStr">
        <is>
          <t>Garnlav
Lunglav
Ullticka
Lappranunkel</t>
        </is>
      </c>
      <c r="S187">
        <f>HYPERLINK("https://klasma.github.io/Logging_2283/artfynd/A 47527-2024 artfynd.xlsx", "A 47527-2024")</f>
        <v/>
      </c>
      <c r="T187">
        <f>HYPERLINK("https://klasma.github.io/Logging_2283/kartor/A 47527-2024 karta.png", "A 47527-2024")</f>
        <v/>
      </c>
      <c r="V187">
        <f>HYPERLINK("https://klasma.github.io/Logging_2283/klagomål/A 47527-2024 FSC-klagomål.docx", "A 47527-2024")</f>
        <v/>
      </c>
      <c r="W187">
        <f>HYPERLINK("https://klasma.github.io/Logging_2283/klagomålsmail/A 47527-2024 FSC-klagomål mail.docx", "A 47527-2024")</f>
        <v/>
      </c>
      <c r="X187">
        <f>HYPERLINK("https://klasma.github.io/Logging_2283/tillsyn/A 47527-2024 tillsynsbegäran.docx", "A 47527-2024")</f>
        <v/>
      </c>
      <c r="Y187">
        <f>HYPERLINK("https://klasma.github.io/Logging_2283/tillsynsmail/A 47527-2024 tillsynsbegäran mail.docx", "A 47527-2024")</f>
        <v/>
      </c>
    </row>
    <row r="188" ht="15" customHeight="1">
      <c r="A188" t="inlineStr">
        <is>
          <t>A 2409-2023</t>
        </is>
      </c>
      <c r="B188" s="1" t="n">
        <v>44942</v>
      </c>
      <c r="C188" s="1" t="n">
        <v>45964</v>
      </c>
      <c r="D188" t="inlineStr">
        <is>
          <t>VÄSTERNORRLANDS LÄN</t>
        </is>
      </c>
      <c r="E188" t="inlineStr">
        <is>
          <t>SOLLEFTEÅ</t>
        </is>
      </c>
      <c r="F188" t="inlineStr">
        <is>
          <t>SCA</t>
        </is>
      </c>
      <c r="G188" t="n">
        <v>2</v>
      </c>
      <c r="H188" t="n">
        <v>0</v>
      </c>
      <c r="I188" t="n">
        <v>1</v>
      </c>
      <c r="J188" t="n">
        <v>3</v>
      </c>
      <c r="K188" t="n">
        <v>0</v>
      </c>
      <c r="L188" t="n">
        <v>0</v>
      </c>
      <c r="M188" t="n">
        <v>0</v>
      </c>
      <c r="N188" t="n">
        <v>0</v>
      </c>
      <c r="O188" t="n">
        <v>3</v>
      </c>
      <c r="P188" t="n">
        <v>0</v>
      </c>
      <c r="Q188" t="n">
        <v>4</v>
      </c>
      <c r="R188" s="2" t="inlineStr">
        <is>
          <t>Rosenticka
Tallticka
Ullticka
Dropptaggsvamp</t>
        </is>
      </c>
      <c r="S188">
        <f>HYPERLINK("https://klasma.github.io/Logging_2283/artfynd/A 2409-2023 artfynd.xlsx", "A 2409-2023")</f>
        <v/>
      </c>
      <c r="T188">
        <f>HYPERLINK("https://klasma.github.io/Logging_2283/kartor/A 2409-2023 karta.png", "A 2409-2023")</f>
        <v/>
      </c>
      <c r="V188">
        <f>HYPERLINK("https://klasma.github.io/Logging_2283/klagomål/A 2409-2023 FSC-klagomål.docx", "A 2409-2023")</f>
        <v/>
      </c>
      <c r="W188">
        <f>HYPERLINK("https://klasma.github.io/Logging_2283/klagomålsmail/A 2409-2023 FSC-klagomål mail.docx", "A 2409-2023")</f>
        <v/>
      </c>
      <c r="X188">
        <f>HYPERLINK("https://klasma.github.io/Logging_2283/tillsyn/A 2409-2023 tillsynsbegäran.docx", "A 2409-2023")</f>
        <v/>
      </c>
      <c r="Y188">
        <f>HYPERLINK("https://klasma.github.io/Logging_2283/tillsynsmail/A 2409-2023 tillsynsbegäran mail.docx", "A 2409-2023")</f>
        <v/>
      </c>
    </row>
    <row r="189" ht="15" customHeight="1">
      <c r="A189" t="inlineStr">
        <is>
          <t>A 20572-2025</t>
        </is>
      </c>
      <c r="B189" s="1" t="n">
        <v>45775.67054398148</v>
      </c>
      <c r="C189" s="1" t="n">
        <v>45964</v>
      </c>
      <c r="D189" t="inlineStr">
        <is>
          <t>VÄSTERNORRLANDS LÄN</t>
        </is>
      </c>
      <c r="E189" t="inlineStr">
        <is>
          <t>SOLLEFTEÅ</t>
        </is>
      </c>
      <c r="G189" t="n">
        <v>1.6</v>
      </c>
      <c r="H189" t="n">
        <v>4</v>
      </c>
      <c r="I189" t="n">
        <v>0</v>
      </c>
      <c r="J189" t="n">
        <v>2</v>
      </c>
      <c r="K189" t="n">
        <v>0</v>
      </c>
      <c r="L189" t="n">
        <v>0</v>
      </c>
      <c r="M189" t="n">
        <v>0</v>
      </c>
      <c r="N189" t="n">
        <v>0</v>
      </c>
      <c r="O189" t="n">
        <v>2</v>
      </c>
      <c r="P189" t="n">
        <v>0</v>
      </c>
      <c r="Q189" t="n">
        <v>4</v>
      </c>
      <c r="R189" s="2" t="inlineStr">
        <is>
          <t>Blå kärrhök
Spillkråka
Göktyta
Sångsvan</t>
        </is>
      </c>
      <c r="S189">
        <f>HYPERLINK("https://klasma.github.io/Logging_2283/artfynd/A 20572-2025 artfynd.xlsx", "A 20572-2025")</f>
        <v/>
      </c>
      <c r="T189">
        <f>HYPERLINK("https://klasma.github.io/Logging_2283/kartor/A 20572-2025 karta.png", "A 20572-2025")</f>
        <v/>
      </c>
      <c r="V189">
        <f>HYPERLINK("https://klasma.github.io/Logging_2283/klagomål/A 20572-2025 FSC-klagomål.docx", "A 20572-2025")</f>
        <v/>
      </c>
      <c r="W189">
        <f>HYPERLINK("https://klasma.github.io/Logging_2283/klagomålsmail/A 20572-2025 FSC-klagomål mail.docx", "A 20572-2025")</f>
        <v/>
      </c>
      <c r="X189">
        <f>HYPERLINK("https://klasma.github.io/Logging_2283/tillsyn/A 20572-2025 tillsynsbegäran.docx", "A 20572-2025")</f>
        <v/>
      </c>
      <c r="Y189">
        <f>HYPERLINK("https://klasma.github.io/Logging_2283/tillsynsmail/A 20572-2025 tillsynsbegäran mail.docx", "A 20572-2025")</f>
        <v/>
      </c>
      <c r="Z189">
        <f>HYPERLINK("https://klasma.github.io/Logging_2283/fåglar/A 20572-2025 prioriterade fågelarter.docx", "A 20572-2025")</f>
        <v/>
      </c>
    </row>
    <row r="190" ht="15" customHeight="1">
      <c r="A190" t="inlineStr">
        <is>
          <t>A 2349-2025</t>
        </is>
      </c>
      <c r="B190" s="1" t="n">
        <v>45673.67807870371</v>
      </c>
      <c r="C190" s="1" t="n">
        <v>45964</v>
      </c>
      <c r="D190" t="inlineStr">
        <is>
          <t>VÄSTERNORRLANDS LÄN</t>
        </is>
      </c>
      <c r="E190" t="inlineStr">
        <is>
          <t>SOLLEFTEÅ</t>
        </is>
      </c>
      <c r="F190" t="inlineStr">
        <is>
          <t>SCA</t>
        </is>
      </c>
      <c r="G190" t="n">
        <v>3.5</v>
      </c>
      <c r="H190" t="n">
        <v>2</v>
      </c>
      <c r="I190" t="n">
        <v>0</v>
      </c>
      <c r="J190" t="n">
        <v>3</v>
      </c>
      <c r="K190" t="n">
        <v>0</v>
      </c>
      <c r="L190" t="n">
        <v>0</v>
      </c>
      <c r="M190" t="n">
        <v>0</v>
      </c>
      <c r="N190" t="n">
        <v>0</v>
      </c>
      <c r="O190" t="n">
        <v>3</v>
      </c>
      <c r="P190" t="n">
        <v>0</v>
      </c>
      <c r="Q190" t="n">
        <v>4</v>
      </c>
      <c r="R190" s="2" t="inlineStr">
        <is>
          <t>Garnlav
Spillkråka
Ullticka
Tjäder</t>
        </is>
      </c>
      <c r="S190">
        <f>HYPERLINK("https://klasma.github.io/Logging_2283/artfynd/A 2349-2025 artfynd.xlsx", "A 2349-2025")</f>
        <v/>
      </c>
      <c r="T190">
        <f>HYPERLINK("https://klasma.github.io/Logging_2283/kartor/A 2349-2025 karta.png", "A 2349-2025")</f>
        <v/>
      </c>
      <c r="V190">
        <f>HYPERLINK("https://klasma.github.io/Logging_2283/klagomål/A 2349-2025 FSC-klagomål.docx", "A 2349-2025")</f>
        <v/>
      </c>
      <c r="W190">
        <f>HYPERLINK("https://klasma.github.io/Logging_2283/klagomålsmail/A 2349-2025 FSC-klagomål mail.docx", "A 2349-2025")</f>
        <v/>
      </c>
      <c r="X190">
        <f>HYPERLINK("https://klasma.github.io/Logging_2283/tillsyn/A 2349-2025 tillsynsbegäran.docx", "A 2349-2025")</f>
        <v/>
      </c>
      <c r="Y190">
        <f>HYPERLINK("https://klasma.github.io/Logging_2283/tillsynsmail/A 2349-2025 tillsynsbegäran mail.docx", "A 2349-2025")</f>
        <v/>
      </c>
      <c r="Z190">
        <f>HYPERLINK("https://klasma.github.io/Logging_2283/fåglar/A 2349-2025 prioriterade fågelarter.docx", "A 2349-2025")</f>
        <v/>
      </c>
    </row>
    <row r="191" ht="15" customHeight="1">
      <c r="A191" t="inlineStr">
        <is>
          <t>A 26467-2024</t>
        </is>
      </c>
      <c r="B191" s="1" t="n">
        <v>45469</v>
      </c>
      <c r="C191" s="1" t="n">
        <v>45964</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29561-2025</t>
        </is>
      </c>
      <c r="B192" s="1" t="n">
        <v>45825.36510416667</v>
      </c>
      <c r="C192" s="1" t="n">
        <v>45964</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53898-2024</t>
        </is>
      </c>
      <c r="B193" s="1" t="n">
        <v>45615.69824074074</v>
      </c>
      <c r="C193" s="1" t="n">
        <v>45964</v>
      </c>
      <c r="D193" t="inlineStr">
        <is>
          <t>VÄSTERNORRLANDS LÄN</t>
        </is>
      </c>
      <c r="E193" t="inlineStr">
        <is>
          <t>SOLLEFTEÅ</t>
        </is>
      </c>
      <c r="F193" t="inlineStr">
        <is>
          <t>SCA</t>
        </is>
      </c>
      <c r="G193" t="n">
        <v>2</v>
      </c>
      <c r="H193" t="n">
        <v>0</v>
      </c>
      <c r="I193" t="n">
        <v>2</v>
      </c>
      <c r="J193" t="n">
        <v>2</v>
      </c>
      <c r="K193" t="n">
        <v>0</v>
      </c>
      <c r="L193" t="n">
        <v>0</v>
      </c>
      <c r="M193" t="n">
        <v>0</v>
      </c>
      <c r="N193" t="n">
        <v>0</v>
      </c>
      <c r="O193" t="n">
        <v>2</v>
      </c>
      <c r="P193" t="n">
        <v>0</v>
      </c>
      <c r="Q193" t="n">
        <v>4</v>
      </c>
      <c r="R193" s="2" t="inlineStr">
        <is>
          <t>Garnlav
Lunglav
Norrlandslav
Stuplav</t>
        </is>
      </c>
      <c r="S193">
        <f>HYPERLINK("https://klasma.github.io/Logging_2283/artfynd/A 53898-2024 artfynd.xlsx", "A 53898-2024")</f>
        <v/>
      </c>
      <c r="T193">
        <f>HYPERLINK("https://klasma.github.io/Logging_2283/kartor/A 53898-2024 karta.png", "A 53898-2024")</f>
        <v/>
      </c>
      <c r="V193">
        <f>HYPERLINK("https://klasma.github.io/Logging_2283/klagomål/A 53898-2024 FSC-klagomål.docx", "A 53898-2024")</f>
        <v/>
      </c>
      <c r="W193">
        <f>HYPERLINK("https://klasma.github.io/Logging_2283/klagomålsmail/A 53898-2024 FSC-klagomål mail.docx", "A 53898-2024")</f>
        <v/>
      </c>
      <c r="X193">
        <f>HYPERLINK("https://klasma.github.io/Logging_2283/tillsyn/A 53898-2024 tillsynsbegäran.docx", "A 53898-2024")</f>
        <v/>
      </c>
      <c r="Y193">
        <f>HYPERLINK("https://klasma.github.io/Logging_2283/tillsynsmail/A 53898-2024 tillsynsbegäran mail.docx", "A 53898-2024")</f>
        <v/>
      </c>
    </row>
    <row r="194" ht="15" customHeight="1">
      <c r="A194" t="inlineStr">
        <is>
          <t>A 5018-2025</t>
        </is>
      </c>
      <c r="B194" s="1" t="n">
        <v>45691</v>
      </c>
      <c r="C194" s="1" t="n">
        <v>45964</v>
      </c>
      <c r="D194" t="inlineStr">
        <is>
          <t>VÄSTERNORRLANDS LÄN</t>
        </is>
      </c>
      <c r="E194" t="inlineStr">
        <is>
          <t>SOLLEFTEÅ</t>
        </is>
      </c>
      <c r="G194" t="n">
        <v>11.5</v>
      </c>
      <c r="H194" t="n">
        <v>1</v>
      </c>
      <c r="I194" t="n">
        <v>0</v>
      </c>
      <c r="J194" t="n">
        <v>3</v>
      </c>
      <c r="K194" t="n">
        <v>0</v>
      </c>
      <c r="L194" t="n">
        <v>0</v>
      </c>
      <c r="M194" t="n">
        <v>0</v>
      </c>
      <c r="N194" t="n">
        <v>0</v>
      </c>
      <c r="O194" t="n">
        <v>3</v>
      </c>
      <c r="P194" t="n">
        <v>0</v>
      </c>
      <c r="Q194" t="n">
        <v>4</v>
      </c>
      <c r="R194" s="2" t="inlineStr">
        <is>
          <t>Garnlav
Granticka
Rosenticka
Tjäder</t>
        </is>
      </c>
      <c r="S194">
        <f>HYPERLINK("https://klasma.github.io/Logging_2283/artfynd/A 5018-2025 artfynd.xlsx", "A 5018-2025")</f>
        <v/>
      </c>
      <c r="T194">
        <f>HYPERLINK("https://klasma.github.io/Logging_2283/kartor/A 5018-2025 karta.png", "A 5018-2025")</f>
        <v/>
      </c>
      <c r="V194">
        <f>HYPERLINK("https://klasma.github.io/Logging_2283/klagomål/A 5018-2025 FSC-klagomål.docx", "A 5018-2025")</f>
        <v/>
      </c>
      <c r="W194">
        <f>HYPERLINK("https://klasma.github.io/Logging_2283/klagomålsmail/A 5018-2025 FSC-klagomål mail.docx", "A 5018-2025")</f>
        <v/>
      </c>
      <c r="X194">
        <f>HYPERLINK("https://klasma.github.io/Logging_2283/tillsyn/A 5018-2025 tillsynsbegäran.docx", "A 5018-2025")</f>
        <v/>
      </c>
      <c r="Y194">
        <f>HYPERLINK("https://klasma.github.io/Logging_2283/tillsynsmail/A 5018-2025 tillsynsbegäran mail.docx", "A 5018-2025")</f>
        <v/>
      </c>
      <c r="Z194">
        <f>HYPERLINK("https://klasma.github.io/Logging_2283/fåglar/A 5018-2025 prioriterade fågelarter.docx", "A 5018-2025")</f>
        <v/>
      </c>
    </row>
    <row r="195" ht="15" customHeight="1">
      <c r="A195" t="inlineStr">
        <is>
          <t>A 32218-2023</t>
        </is>
      </c>
      <c r="B195" s="1" t="n">
        <v>45119</v>
      </c>
      <c r="C195" s="1" t="n">
        <v>45964</v>
      </c>
      <c r="D195" t="inlineStr">
        <is>
          <t>VÄSTERNORRLANDS LÄN</t>
        </is>
      </c>
      <c r="E195" t="inlineStr">
        <is>
          <t>SOLLEFTEÅ</t>
        </is>
      </c>
      <c r="F195" t="inlineStr">
        <is>
          <t>SCA</t>
        </is>
      </c>
      <c r="G195" t="n">
        <v>2.1</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32218-2023 artfynd.xlsx", "A 32218-2023")</f>
        <v/>
      </c>
      <c r="T195">
        <f>HYPERLINK("https://klasma.github.io/Logging_2283/kartor/A 32218-2023 karta.png", "A 32218-2023")</f>
        <v/>
      </c>
      <c r="V195">
        <f>HYPERLINK("https://klasma.github.io/Logging_2283/klagomål/A 32218-2023 FSC-klagomål.docx", "A 32218-2023")</f>
        <v/>
      </c>
      <c r="W195">
        <f>HYPERLINK("https://klasma.github.io/Logging_2283/klagomålsmail/A 32218-2023 FSC-klagomål mail.docx", "A 32218-2023")</f>
        <v/>
      </c>
      <c r="X195">
        <f>HYPERLINK("https://klasma.github.io/Logging_2283/tillsyn/A 32218-2023 tillsynsbegäran.docx", "A 32218-2023")</f>
        <v/>
      </c>
      <c r="Y195">
        <f>HYPERLINK("https://klasma.github.io/Logging_2283/tillsynsmail/A 32218-2023 tillsynsbegäran mail.docx", "A 32218-2023")</f>
        <v/>
      </c>
      <c r="Z195">
        <f>HYPERLINK("https://klasma.github.io/Logging_2283/fåglar/A 32218-2023 prioriterade fågelarter.docx", "A 32218-2023")</f>
        <v/>
      </c>
    </row>
    <row r="196" ht="15" customHeight="1">
      <c r="A196" t="inlineStr">
        <is>
          <t>A 50839-2023</t>
        </is>
      </c>
      <c r="B196" s="1" t="n">
        <v>45217</v>
      </c>
      <c r="C196" s="1" t="n">
        <v>45964</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19898-2025</t>
        </is>
      </c>
      <c r="B197" s="1" t="n">
        <v>45771.58626157408</v>
      </c>
      <c r="C197" s="1" t="n">
        <v>45964</v>
      </c>
      <c r="D197" t="inlineStr">
        <is>
          <t>VÄSTERNORRLANDS LÄN</t>
        </is>
      </c>
      <c r="E197" t="inlineStr">
        <is>
          <t>SOLLEFTEÅ</t>
        </is>
      </c>
      <c r="G197" t="n">
        <v>12.4</v>
      </c>
      <c r="H197" t="n">
        <v>0</v>
      </c>
      <c r="I197" t="n">
        <v>1</v>
      </c>
      <c r="J197" t="n">
        <v>3</v>
      </c>
      <c r="K197" t="n">
        <v>0</v>
      </c>
      <c r="L197" t="n">
        <v>0</v>
      </c>
      <c r="M197" t="n">
        <v>0</v>
      </c>
      <c r="N197" t="n">
        <v>0</v>
      </c>
      <c r="O197" t="n">
        <v>3</v>
      </c>
      <c r="P197" t="n">
        <v>0</v>
      </c>
      <c r="Q197" t="n">
        <v>4</v>
      </c>
      <c r="R197" s="2" t="inlineStr">
        <is>
          <t>Garnlav
Rosenticka
Vitgrynig nållav
Barkticka</t>
        </is>
      </c>
      <c r="S197">
        <f>HYPERLINK("https://klasma.github.io/Logging_2283/artfynd/A 19898-2025 artfynd.xlsx", "A 19898-2025")</f>
        <v/>
      </c>
      <c r="T197">
        <f>HYPERLINK("https://klasma.github.io/Logging_2283/kartor/A 19898-2025 karta.png", "A 19898-2025")</f>
        <v/>
      </c>
      <c r="V197">
        <f>HYPERLINK("https://klasma.github.io/Logging_2283/klagomål/A 19898-2025 FSC-klagomål.docx", "A 19898-2025")</f>
        <v/>
      </c>
      <c r="W197">
        <f>HYPERLINK("https://klasma.github.io/Logging_2283/klagomålsmail/A 19898-2025 FSC-klagomål mail.docx", "A 19898-2025")</f>
        <v/>
      </c>
      <c r="X197">
        <f>HYPERLINK("https://klasma.github.io/Logging_2283/tillsyn/A 19898-2025 tillsynsbegäran.docx", "A 19898-2025")</f>
        <v/>
      </c>
      <c r="Y197">
        <f>HYPERLINK("https://klasma.github.io/Logging_2283/tillsynsmail/A 19898-2025 tillsynsbegäran mail.docx", "A 19898-2025")</f>
        <v/>
      </c>
    </row>
    <row r="198" ht="15" customHeight="1">
      <c r="A198" t="inlineStr">
        <is>
          <t>A 59381-2024</t>
        </is>
      </c>
      <c r="B198" s="1" t="n">
        <v>45638</v>
      </c>
      <c r="C198" s="1" t="n">
        <v>45964</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53130-2022</t>
        </is>
      </c>
      <c r="B199" s="1" t="n">
        <v>44873</v>
      </c>
      <c r="C199" s="1" t="n">
        <v>45964</v>
      </c>
      <c r="D199" t="inlineStr">
        <is>
          <t>VÄSTERNORRLANDS LÄN</t>
        </is>
      </c>
      <c r="E199" t="inlineStr">
        <is>
          <t>SOLLEFTEÅ</t>
        </is>
      </c>
      <c r="G199" t="n">
        <v>19.8</v>
      </c>
      <c r="H199" t="n">
        <v>2</v>
      </c>
      <c r="I199" t="n">
        <v>1</v>
      </c>
      <c r="J199" t="n">
        <v>2</v>
      </c>
      <c r="K199" t="n">
        <v>0</v>
      </c>
      <c r="L199" t="n">
        <v>0</v>
      </c>
      <c r="M199" t="n">
        <v>0</v>
      </c>
      <c r="N199" t="n">
        <v>0</v>
      </c>
      <c r="O199" t="n">
        <v>2</v>
      </c>
      <c r="P199" t="n">
        <v>0</v>
      </c>
      <c r="Q199" t="n">
        <v>4</v>
      </c>
      <c r="R199" s="2" t="inlineStr">
        <is>
          <t>Lunglav
Myrbräcka
Bårdlav
Fläcknycklar</t>
        </is>
      </c>
      <c r="S199">
        <f>HYPERLINK("https://klasma.github.io/Logging_2283/artfynd/A 53130-2022 artfynd.xlsx", "A 53130-2022")</f>
        <v/>
      </c>
      <c r="T199">
        <f>HYPERLINK("https://klasma.github.io/Logging_2283/kartor/A 53130-2022 karta.png", "A 53130-2022")</f>
        <v/>
      </c>
      <c r="V199">
        <f>HYPERLINK("https://klasma.github.io/Logging_2283/klagomål/A 53130-2022 FSC-klagomål.docx", "A 53130-2022")</f>
        <v/>
      </c>
      <c r="W199">
        <f>HYPERLINK("https://klasma.github.io/Logging_2283/klagomålsmail/A 53130-2022 FSC-klagomål mail.docx", "A 53130-2022")</f>
        <v/>
      </c>
      <c r="X199">
        <f>HYPERLINK("https://klasma.github.io/Logging_2283/tillsyn/A 53130-2022 tillsynsbegäran.docx", "A 53130-2022")</f>
        <v/>
      </c>
      <c r="Y199">
        <f>HYPERLINK("https://klasma.github.io/Logging_2283/tillsynsmail/A 53130-2022 tillsynsbegäran mail.docx", "A 53130-2022")</f>
        <v/>
      </c>
    </row>
    <row r="200" ht="15" customHeight="1">
      <c r="A200" t="inlineStr">
        <is>
          <t>A 62364-2023</t>
        </is>
      </c>
      <c r="B200" s="1" t="n">
        <v>45267.95166666667</v>
      </c>
      <c r="C200" s="1" t="n">
        <v>45964</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36943-2025</t>
        </is>
      </c>
      <c r="B201" s="1" t="n">
        <v>45874.59422453704</v>
      </c>
      <c r="C201" s="1" t="n">
        <v>45964</v>
      </c>
      <c r="D201" t="inlineStr">
        <is>
          <t>VÄSTERNORRLANDS LÄN</t>
        </is>
      </c>
      <c r="E201" t="inlineStr">
        <is>
          <t>SOLLEFTEÅ</t>
        </is>
      </c>
      <c r="F201" t="inlineStr">
        <is>
          <t>SCA</t>
        </is>
      </c>
      <c r="G201" t="n">
        <v>5.3</v>
      </c>
      <c r="H201" t="n">
        <v>1</v>
      </c>
      <c r="I201" t="n">
        <v>1</v>
      </c>
      <c r="J201" t="n">
        <v>2</v>
      </c>
      <c r="K201" t="n">
        <v>1</v>
      </c>
      <c r="L201" t="n">
        <v>0</v>
      </c>
      <c r="M201" t="n">
        <v>0</v>
      </c>
      <c r="N201" t="n">
        <v>0</v>
      </c>
      <c r="O201" t="n">
        <v>3</v>
      </c>
      <c r="P201" t="n">
        <v>1</v>
      </c>
      <c r="Q201" t="n">
        <v>4</v>
      </c>
      <c r="R201" s="2" t="inlineStr">
        <is>
          <t>Doftticka
Garnlav
Lunglav
Luddlav</t>
        </is>
      </c>
      <c r="S201">
        <f>HYPERLINK("https://klasma.github.io/Logging_2283/artfynd/A 36943-2025 artfynd.xlsx", "A 36943-2025")</f>
        <v/>
      </c>
      <c r="T201">
        <f>HYPERLINK("https://klasma.github.io/Logging_2283/kartor/A 36943-2025 karta.png", "A 36943-2025")</f>
        <v/>
      </c>
      <c r="V201">
        <f>HYPERLINK("https://klasma.github.io/Logging_2283/klagomål/A 36943-2025 FSC-klagomål.docx", "A 36943-2025")</f>
        <v/>
      </c>
      <c r="W201">
        <f>HYPERLINK("https://klasma.github.io/Logging_2283/klagomålsmail/A 36943-2025 FSC-klagomål mail.docx", "A 36943-2025")</f>
        <v/>
      </c>
      <c r="X201">
        <f>HYPERLINK("https://klasma.github.io/Logging_2283/tillsyn/A 36943-2025 tillsynsbegäran.docx", "A 36943-2025")</f>
        <v/>
      </c>
      <c r="Y201">
        <f>HYPERLINK("https://klasma.github.io/Logging_2283/tillsynsmail/A 36943-2025 tillsynsbegäran mail.docx", "A 36943-2025")</f>
        <v/>
      </c>
    </row>
    <row r="202" ht="15" customHeight="1">
      <c r="A202" t="inlineStr">
        <is>
          <t>A 39095-2025</t>
        </is>
      </c>
      <c r="B202" s="1" t="n">
        <v>45888.49751157407</v>
      </c>
      <c r="C202" s="1" t="n">
        <v>45964</v>
      </c>
      <c r="D202" t="inlineStr">
        <is>
          <t>VÄSTERNORRLANDS LÄN</t>
        </is>
      </c>
      <c r="E202" t="inlineStr">
        <is>
          <t>SOLLEFTEÅ</t>
        </is>
      </c>
      <c r="F202" t="inlineStr">
        <is>
          <t>Holmen skog AB</t>
        </is>
      </c>
      <c r="G202" t="n">
        <v>1.3</v>
      </c>
      <c r="H202" t="n">
        <v>3</v>
      </c>
      <c r="I202" t="n">
        <v>0</v>
      </c>
      <c r="J202" t="n">
        <v>3</v>
      </c>
      <c r="K202" t="n">
        <v>0</v>
      </c>
      <c r="L202" t="n">
        <v>0</v>
      </c>
      <c r="M202" t="n">
        <v>0</v>
      </c>
      <c r="N202" t="n">
        <v>0</v>
      </c>
      <c r="O202" t="n">
        <v>3</v>
      </c>
      <c r="P202" t="n">
        <v>0</v>
      </c>
      <c r="Q202" t="n">
        <v>4</v>
      </c>
      <c r="R202" s="2" t="inlineStr">
        <is>
          <t>Garnlav
Talltita
Tretåig hackspett
Tjäder</t>
        </is>
      </c>
      <c r="S202">
        <f>HYPERLINK("https://klasma.github.io/Logging_2283/artfynd/A 39095-2025 artfynd.xlsx", "A 39095-2025")</f>
        <v/>
      </c>
      <c r="T202">
        <f>HYPERLINK("https://klasma.github.io/Logging_2283/kartor/A 39095-2025 karta.png", "A 39095-2025")</f>
        <v/>
      </c>
      <c r="V202">
        <f>HYPERLINK("https://klasma.github.io/Logging_2283/klagomål/A 39095-2025 FSC-klagomål.docx", "A 39095-2025")</f>
        <v/>
      </c>
      <c r="W202">
        <f>HYPERLINK("https://klasma.github.io/Logging_2283/klagomålsmail/A 39095-2025 FSC-klagomål mail.docx", "A 39095-2025")</f>
        <v/>
      </c>
      <c r="X202">
        <f>HYPERLINK("https://klasma.github.io/Logging_2283/tillsyn/A 39095-2025 tillsynsbegäran.docx", "A 39095-2025")</f>
        <v/>
      </c>
      <c r="Y202">
        <f>HYPERLINK("https://klasma.github.io/Logging_2283/tillsynsmail/A 39095-2025 tillsynsbegäran mail.docx", "A 39095-2025")</f>
        <v/>
      </c>
      <c r="Z202">
        <f>HYPERLINK("https://klasma.github.io/Logging_2283/fåglar/A 39095-2025 prioriterade fågelarter.docx", "A 39095-2025")</f>
        <v/>
      </c>
    </row>
    <row r="203" ht="15" customHeight="1">
      <c r="A203" t="inlineStr">
        <is>
          <t>A 31560-2024</t>
        </is>
      </c>
      <c r="B203" s="1" t="n">
        <v>45505</v>
      </c>
      <c r="C203" s="1" t="n">
        <v>45964</v>
      </c>
      <c r="D203" t="inlineStr">
        <is>
          <t>VÄSTERNORRLANDS LÄN</t>
        </is>
      </c>
      <c r="E203" t="inlineStr">
        <is>
          <t>SOLLEFTEÅ</t>
        </is>
      </c>
      <c r="F203" t="inlineStr">
        <is>
          <t>SCA</t>
        </is>
      </c>
      <c r="G203" t="n">
        <v>6</v>
      </c>
      <c r="H203" t="n">
        <v>0</v>
      </c>
      <c r="I203" t="n">
        <v>0</v>
      </c>
      <c r="J203" t="n">
        <v>2</v>
      </c>
      <c r="K203" t="n">
        <v>2</v>
      </c>
      <c r="L203" t="n">
        <v>0</v>
      </c>
      <c r="M203" t="n">
        <v>0</v>
      </c>
      <c r="N203" t="n">
        <v>0</v>
      </c>
      <c r="O203" t="n">
        <v>4</v>
      </c>
      <c r="P203" t="n">
        <v>2</v>
      </c>
      <c r="Q203" t="n">
        <v>4</v>
      </c>
      <c r="R203" s="2" t="inlineStr">
        <is>
          <t>Lappticka
Rynkskinn
Rosenticka
Ullticka</t>
        </is>
      </c>
      <c r="S203">
        <f>HYPERLINK("https://klasma.github.io/Logging_2283/artfynd/A 31560-2024 artfynd.xlsx", "A 31560-2024")</f>
        <v/>
      </c>
      <c r="T203">
        <f>HYPERLINK("https://klasma.github.io/Logging_2283/kartor/A 31560-2024 karta.png", "A 31560-2024")</f>
        <v/>
      </c>
      <c r="V203">
        <f>HYPERLINK("https://klasma.github.io/Logging_2283/klagomål/A 31560-2024 FSC-klagomål.docx", "A 31560-2024")</f>
        <v/>
      </c>
      <c r="W203">
        <f>HYPERLINK("https://klasma.github.io/Logging_2283/klagomålsmail/A 31560-2024 FSC-klagomål mail.docx", "A 31560-2024")</f>
        <v/>
      </c>
      <c r="X203">
        <f>HYPERLINK("https://klasma.github.io/Logging_2283/tillsyn/A 31560-2024 tillsynsbegäran.docx", "A 31560-2024")</f>
        <v/>
      </c>
      <c r="Y203">
        <f>HYPERLINK("https://klasma.github.io/Logging_2283/tillsynsmail/A 31560-2024 tillsynsbegäran mail.docx", "A 31560-2024")</f>
        <v/>
      </c>
    </row>
    <row r="204" ht="15" customHeight="1">
      <c r="A204" t="inlineStr">
        <is>
          <t>A 40740-2025</t>
        </is>
      </c>
      <c r="B204" s="1" t="n">
        <v>45897.36840277778</v>
      </c>
      <c r="C204" s="1" t="n">
        <v>45964</v>
      </c>
      <c r="D204" t="inlineStr">
        <is>
          <t>VÄSTERNORRLANDS LÄN</t>
        </is>
      </c>
      <c r="E204" t="inlineStr">
        <is>
          <t>SOLLEFTEÅ</t>
        </is>
      </c>
      <c r="G204" t="n">
        <v>6.3</v>
      </c>
      <c r="H204" t="n">
        <v>0</v>
      </c>
      <c r="I204" t="n">
        <v>0</v>
      </c>
      <c r="J204" t="n">
        <v>4</v>
      </c>
      <c r="K204" t="n">
        <v>0</v>
      </c>
      <c r="L204" t="n">
        <v>0</v>
      </c>
      <c r="M204" t="n">
        <v>0</v>
      </c>
      <c r="N204" t="n">
        <v>0</v>
      </c>
      <c r="O204" t="n">
        <v>4</v>
      </c>
      <c r="P204" t="n">
        <v>0</v>
      </c>
      <c r="Q204" t="n">
        <v>4</v>
      </c>
      <c r="R204" s="2" t="inlineStr">
        <is>
          <t>Garnlav
Kolflarnlav
Vedflamlav
Vedskivlav</t>
        </is>
      </c>
      <c r="S204">
        <f>HYPERLINK("https://klasma.github.io/Logging_2283/artfynd/A 40740-2025 artfynd.xlsx", "A 40740-2025")</f>
        <v/>
      </c>
      <c r="T204">
        <f>HYPERLINK("https://klasma.github.io/Logging_2283/kartor/A 40740-2025 karta.png", "A 40740-2025")</f>
        <v/>
      </c>
      <c r="V204">
        <f>HYPERLINK("https://klasma.github.io/Logging_2283/klagomål/A 40740-2025 FSC-klagomål.docx", "A 40740-2025")</f>
        <v/>
      </c>
      <c r="W204">
        <f>HYPERLINK("https://klasma.github.io/Logging_2283/klagomålsmail/A 40740-2025 FSC-klagomål mail.docx", "A 40740-2025")</f>
        <v/>
      </c>
      <c r="X204">
        <f>HYPERLINK("https://klasma.github.io/Logging_2283/tillsyn/A 40740-2025 tillsynsbegäran.docx", "A 40740-2025")</f>
        <v/>
      </c>
      <c r="Y204">
        <f>HYPERLINK("https://klasma.github.io/Logging_2283/tillsynsmail/A 40740-2025 tillsynsbegäran mail.docx", "A 40740-2025")</f>
        <v/>
      </c>
    </row>
    <row r="205" ht="15" customHeight="1">
      <c r="A205" t="inlineStr">
        <is>
          <t>A 25954-2025</t>
        </is>
      </c>
      <c r="B205" s="1" t="n">
        <v>45804</v>
      </c>
      <c r="C205" s="1" t="n">
        <v>45964</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45030-2025</t>
        </is>
      </c>
      <c r="B206" s="1" t="n">
        <v>45918.69851851852</v>
      </c>
      <c r="C206" s="1" t="n">
        <v>45964</v>
      </c>
      <c r="D206" t="inlineStr">
        <is>
          <t>VÄSTERNORRLANDS LÄN</t>
        </is>
      </c>
      <c r="E206" t="inlineStr">
        <is>
          <t>SOLLEFTEÅ</t>
        </is>
      </c>
      <c r="F206" t="inlineStr">
        <is>
          <t>SCA</t>
        </is>
      </c>
      <c r="G206" t="n">
        <v>8.1</v>
      </c>
      <c r="H206" t="n">
        <v>3</v>
      </c>
      <c r="I206" t="n">
        <v>1</v>
      </c>
      <c r="J206" t="n">
        <v>2</v>
      </c>
      <c r="K206" t="n">
        <v>0</v>
      </c>
      <c r="L206" t="n">
        <v>0</v>
      </c>
      <c r="M206" t="n">
        <v>0</v>
      </c>
      <c r="N206" t="n">
        <v>0</v>
      </c>
      <c r="O206" t="n">
        <v>2</v>
      </c>
      <c r="P206" t="n">
        <v>0</v>
      </c>
      <c r="Q206" t="n">
        <v>4</v>
      </c>
      <c r="R206" s="2" t="inlineStr">
        <is>
          <t>Garnlav
Talltita
Korallrot
Revlummer</t>
        </is>
      </c>
      <c r="S206">
        <f>HYPERLINK("https://klasma.github.io/Logging_2283/artfynd/A 45030-2025 artfynd.xlsx", "A 45030-2025")</f>
        <v/>
      </c>
      <c r="T206">
        <f>HYPERLINK("https://klasma.github.io/Logging_2283/kartor/A 45030-2025 karta.png", "A 45030-2025")</f>
        <v/>
      </c>
      <c r="V206">
        <f>HYPERLINK("https://klasma.github.io/Logging_2283/klagomål/A 45030-2025 FSC-klagomål.docx", "A 45030-2025")</f>
        <v/>
      </c>
      <c r="W206">
        <f>HYPERLINK("https://klasma.github.io/Logging_2283/klagomålsmail/A 45030-2025 FSC-klagomål mail.docx", "A 45030-2025")</f>
        <v/>
      </c>
      <c r="X206">
        <f>HYPERLINK("https://klasma.github.io/Logging_2283/tillsyn/A 45030-2025 tillsynsbegäran.docx", "A 45030-2025")</f>
        <v/>
      </c>
      <c r="Y206">
        <f>HYPERLINK("https://klasma.github.io/Logging_2283/tillsynsmail/A 45030-2025 tillsynsbegäran mail.docx", "A 45030-2025")</f>
        <v/>
      </c>
      <c r="Z206">
        <f>HYPERLINK("https://klasma.github.io/Logging_2283/fåglar/A 45030-2025 prioriterade fågelarter.docx", "A 45030-2025")</f>
        <v/>
      </c>
    </row>
    <row r="207" ht="15" customHeight="1">
      <c r="A207" t="inlineStr">
        <is>
          <t>A 44599-2021</t>
        </is>
      </c>
      <c r="B207" s="1" t="n">
        <v>44435.94106481481</v>
      </c>
      <c r="C207" s="1" t="n">
        <v>45964</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42301-2022</t>
        </is>
      </c>
      <c r="B208" s="1" t="n">
        <v>44830.95461805556</v>
      </c>
      <c r="C208" s="1" t="n">
        <v>45964</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45964</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31354-2021</t>
        </is>
      </c>
      <c r="B210" s="1" t="n">
        <v>44368.93938657407</v>
      </c>
      <c r="C210" s="1" t="n">
        <v>45964</v>
      </c>
      <c r="D210" t="inlineStr">
        <is>
          <t>VÄSTERNORRLANDS LÄN</t>
        </is>
      </c>
      <c r="E210" t="inlineStr">
        <is>
          <t>SOLLEFTEÅ</t>
        </is>
      </c>
      <c r="F210" t="inlineStr">
        <is>
          <t>SCA</t>
        </is>
      </c>
      <c r="G210" t="n">
        <v>1.5</v>
      </c>
      <c r="H210" t="n">
        <v>1</v>
      </c>
      <c r="I210" t="n">
        <v>1</v>
      </c>
      <c r="J210" t="n">
        <v>1</v>
      </c>
      <c r="K210" t="n">
        <v>1</v>
      </c>
      <c r="L210" t="n">
        <v>0</v>
      </c>
      <c r="M210" t="n">
        <v>0</v>
      </c>
      <c r="N210" t="n">
        <v>0</v>
      </c>
      <c r="O210" t="n">
        <v>2</v>
      </c>
      <c r="P210" t="n">
        <v>1</v>
      </c>
      <c r="Q210" t="n">
        <v>3</v>
      </c>
      <c r="R210" s="2" t="inlineStr">
        <is>
          <t>Knärot
Garnlav
Norrlandslav</t>
        </is>
      </c>
      <c r="S210">
        <f>HYPERLINK("https://klasma.github.io/Logging_2283/artfynd/A 31354-2021 artfynd.xlsx", "A 31354-2021")</f>
        <v/>
      </c>
      <c r="T210">
        <f>HYPERLINK("https://klasma.github.io/Logging_2283/kartor/A 31354-2021 karta.png", "A 31354-2021")</f>
        <v/>
      </c>
      <c r="U210">
        <f>HYPERLINK("https://klasma.github.io/Logging_2283/knärot/A 31354-2021 karta knärot.png", "A 31354-2021")</f>
        <v/>
      </c>
      <c r="V210">
        <f>HYPERLINK("https://klasma.github.io/Logging_2283/klagomål/A 31354-2021 FSC-klagomål.docx", "A 31354-2021")</f>
        <v/>
      </c>
      <c r="W210">
        <f>HYPERLINK("https://klasma.github.io/Logging_2283/klagomålsmail/A 31354-2021 FSC-klagomål mail.docx", "A 31354-2021")</f>
        <v/>
      </c>
      <c r="X210">
        <f>HYPERLINK("https://klasma.github.io/Logging_2283/tillsyn/A 31354-2021 tillsynsbegäran.docx", "A 31354-2021")</f>
        <v/>
      </c>
      <c r="Y210">
        <f>HYPERLINK("https://klasma.github.io/Logging_2283/tillsynsmail/A 31354-2021 tillsynsbegäran mail.docx", "A 31354-2021")</f>
        <v/>
      </c>
    </row>
    <row r="211" ht="15" customHeight="1">
      <c r="A211" t="inlineStr">
        <is>
          <t>A 18012-2022</t>
        </is>
      </c>
      <c r="B211" s="1" t="n">
        <v>44683</v>
      </c>
      <c r="C211" s="1" t="n">
        <v>45964</v>
      </c>
      <c r="D211" t="inlineStr">
        <is>
          <t>VÄSTERNORRLANDS LÄN</t>
        </is>
      </c>
      <c r="E211" t="inlineStr">
        <is>
          <t>SOLLEFTEÅ</t>
        </is>
      </c>
      <c r="F211" t="inlineStr">
        <is>
          <t>SCA</t>
        </is>
      </c>
      <c r="G211" t="n">
        <v>1.7</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HYPERLINK("https://klasma.github.io/Logging_2283/artfynd/A 18012-2022 artfynd.xlsx", "A 18012-2022")</f>
        <v/>
      </c>
      <c r="T211">
        <f>HYPERLINK("https://klasma.github.io/Logging_2283/kartor/A 18012-2022 karta.png", "A 18012-2022")</f>
        <v/>
      </c>
      <c r="U211">
        <f>HYPERLINK("https://klasma.github.io/Logging_2283/knärot/A 18012-2022 karta knärot.png", "A 18012-2022")</f>
        <v/>
      </c>
      <c r="V211">
        <f>HYPERLINK("https://klasma.github.io/Logging_2283/klagomål/A 18012-2022 FSC-klagomål.docx", "A 18012-2022")</f>
        <v/>
      </c>
      <c r="W211">
        <f>HYPERLINK("https://klasma.github.io/Logging_2283/klagomålsmail/A 18012-2022 FSC-klagomål mail.docx", "A 18012-2022")</f>
        <v/>
      </c>
      <c r="X211">
        <f>HYPERLINK("https://klasma.github.io/Logging_2283/tillsyn/A 18012-2022 tillsynsbegäran.docx", "A 18012-2022")</f>
        <v/>
      </c>
      <c r="Y211">
        <f>HYPERLINK("https://klasma.github.io/Logging_2283/tillsynsmail/A 18012-2022 tillsynsbegäran mail.docx", "A 18012-2022")</f>
        <v/>
      </c>
      <c r="Z211">
        <f>HYPERLINK("https://klasma.github.io/Logging_2283/fåglar/A 18012-2022 prioriterade fågelarter.docx", "A 18012-2022")</f>
        <v/>
      </c>
    </row>
    <row r="212" ht="15" customHeight="1">
      <c r="A212" t="inlineStr">
        <is>
          <t>A 6235-2023</t>
        </is>
      </c>
      <c r="B212" s="1" t="n">
        <v>44964</v>
      </c>
      <c r="C212" s="1" t="n">
        <v>45964</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59046-2022</t>
        </is>
      </c>
      <c r="B213" s="1" t="n">
        <v>44903</v>
      </c>
      <c r="C213" s="1" t="n">
        <v>45964</v>
      </c>
      <c r="D213" t="inlineStr">
        <is>
          <t>VÄSTERNORRLANDS LÄN</t>
        </is>
      </c>
      <c r="E213" t="inlineStr">
        <is>
          <t>SOLLEFTEÅ</t>
        </is>
      </c>
      <c r="F213" t="inlineStr">
        <is>
          <t>SCA</t>
        </is>
      </c>
      <c r="G213" t="n">
        <v>10.3</v>
      </c>
      <c r="H213" t="n">
        <v>1</v>
      </c>
      <c r="I213" t="n">
        <v>0</v>
      </c>
      <c r="J213" t="n">
        <v>3</v>
      </c>
      <c r="K213" t="n">
        <v>0</v>
      </c>
      <c r="L213" t="n">
        <v>0</v>
      </c>
      <c r="M213" t="n">
        <v>0</v>
      </c>
      <c r="N213" t="n">
        <v>0</v>
      </c>
      <c r="O213" t="n">
        <v>3</v>
      </c>
      <c r="P213" t="n">
        <v>0</v>
      </c>
      <c r="Q213" t="n">
        <v>3</v>
      </c>
      <c r="R213" s="2" t="inlineStr">
        <is>
          <t>Lunglav
Orange taggsvamp
Tretåig hackspett</t>
        </is>
      </c>
      <c r="S213">
        <f>HYPERLINK("https://klasma.github.io/Logging_2283/artfynd/A 59046-2022 artfynd.xlsx", "A 59046-2022")</f>
        <v/>
      </c>
      <c r="T213">
        <f>HYPERLINK("https://klasma.github.io/Logging_2283/kartor/A 59046-2022 karta.png", "A 59046-2022")</f>
        <v/>
      </c>
      <c r="V213">
        <f>HYPERLINK("https://klasma.github.io/Logging_2283/klagomål/A 59046-2022 FSC-klagomål.docx", "A 59046-2022")</f>
        <v/>
      </c>
      <c r="W213">
        <f>HYPERLINK("https://klasma.github.io/Logging_2283/klagomålsmail/A 59046-2022 FSC-klagomål mail.docx", "A 59046-2022")</f>
        <v/>
      </c>
      <c r="X213">
        <f>HYPERLINK("https://klasma.github.io/Logging_2283/tillsyn/A 59046-2022 tillsynsbegäran.docx", "A 59046-2022")</f>
        <v/>
      </c>
      <c r="Y213">
        <f>HYPERLINK("https://klasma.github.io/Logging_2283/tillsynsmail/A 59046-2022 tillsynsbegäran mail.docx", "A 59046-2022")</f>
        <v/>
      </c>
      <c r="Z213">
        <f>HYPERLINK("https://klasma.github.io/Logging_2283/fåglar/A 59046-2022 prioriterade fågelarter.docx", "A 59046-2022")</f>
        <v/>
      </c>
    </row>
    <row r="214" ht="15" customHeight="1">
      <c r="A214" t="inlineStr">
        <is>
          <t>A 45007-2023</t>
        </is>
      </c>
      <c r="B214" s="1" t="n">
        <v>45190</v>
      </c>
      <c r="C214" s="1" t="n">
        <v>45964</v>
      </c>
      <c r="D214" t="inlineStr">
        <is>
          <t>VÄSTERNORRLANDS LÄN</t>
        </is>
      </c>
      <c r="E214" t="inlineStr">
        <is>
          <t>SOLLEFTEÅ</t>
        </is>
      </c>
      <c r="F214" t="inlineStr">
        <is>
          <t>SCA</t>
        </is>
      </c>
      <c r="G214" t="n">
        <v>2.1</v>
      </c>
      <c r="H214" t="n">
        <v>2</v>
      </c>
      <c r="I214" t="n">
        <v>0</v>
      </c>
      <c r="J214" t="n">
        <v>3</v>
      </c>
      <c r="K214" t="n">
        <v>0</v>
      </c>
      <c r="L214" t="n">
        <v>0</v>
      </c>
      <c r="M214" t="n">
        <v>0</v>
      </c>
      <c r="N214" t="n">
        <v>0</v>
      </c>
      <c r="O214" t="n">
        <v>3</v>
      </c>
      <c r="P214" t="n">
        <v>0</v>
      </c>
      <c r="Q214" t="n">
        <v>3</v>
      </c>
      <c r="R214" s="2" t="inlineStr">
        <is>
          <t>Spillkråka
Tretåig hackspett
Ullticka</t>
        </is>
      </c>
      <c r="S214">
        <f>HYPERLINK("https://klasma.github.io/Logging_2283/artfynd/A 45007-2023 artfynd.xlsx", "A 45007-2023")</f>
        <v/>
      </c>
      <c r="T214">
        <f>HYPERLINK("https://klasma.github.io/Logging_2283/kartor/A 45007-2023 karta.png", "A 45007-2023")</f>
        <v/>
      </c>
      <c r="V214">
        <f>HYPERLINK("https://klasma.github.io/Logging_2283/klagomål/A 45007-2023 FSC-klagomål.docx", "A 45007-2023")</f>
        <v/>
      </c>
      <c r="W214">
        <f>HYPERLINK("https://klasma.github.io/Logging_2283/klagomålsmail/A 45007-2023 FSC-klagomål mail.docx", "A 45007-2023")</f>
        <v/>
      </c>
      <c r="X214">
        <f>HYPERLINK("https://klasma.github.io/Logging_2283/tillsyn/A 45007-2023 tillsynsbegäran.docx", "A 45007-2023")</f>
        <v/>
      </c>
      <c r="Y214">
        <f>HYPERLINK("https://klasma.github.io/Logging_2283/tillsynsmail/A 45007-2023 tillsynsbegäran mail.docx", "A 45007-2023")</f>
        <v/>
      </c>
      <c r="Z214">
        <f>HYPERLINK("https://klasma.github.io/Logging_2283/fåglar/A 45007-2023 prioriterade fågelarter.docx", "A 45007-2023")</f>
        <v/>
      </c>
    </row>
    <row r="215" ht="15" customHeight="1">
      <c r="A215" t="inlineStr">
        <is>
          <t>A 20781-2023</t>
        </is>
      </c>
      <c r="B215" s="1" t="n">
        <v>45058</v>
      </c>
      <c r="C215" s="1" t="n">
        <v>45964</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53682-2024</t>
        </is>
      </c>
      <c r="B216" s="1" t="n">
        <v>45615</v>
      </c>
      <c r="C216" s="1" t="n">
        <v>45964</v>
      </c>
      <c r="D216" t="inlineStr">
        <is>
          <t>VÄSTERNORRLANDS LÄN</t>
        </is>
      </c>
      <c r="E216" t="inlineStr">
        <is>
          <t>SOLLEFTEÅ</t>
        </is>
      </c>
      <c r="F216" t="inlineStr">
        <is>
          <t>SCA</t>
        </is>
      </c>
      <c r="G216" t="n">
        <v>9.5</v>
      </c>
      <c r="H216" t="n">
        <v>0</v>
      </c>
      <c r="I216" t="n">
        <v>0</v>
      </c>
      <c r="J216" t="n">
        <v>2</v>
      </c>
      <c r="K216" t="n">
        <v>1</v>
      </c>
      <c r="L216" t="n">
        <v>0</v>
      </c>
      <c r="M216" t="n">
        <v>0</v>
      </c>
      <c r="N216" t="n">
        <v>0</v>
      </c>
      <c r="O216" t="n">
        <v>3</v>
      </c>
      <c r="P216" t="n">
        <v>1</v>
      </c>
      <c r="Q216" t="n">
        <v>3</v>
      </c>
      <c r="R216" s="2" t="inlineStr">
        <is>
          <t>Tallgråticka
Blå taggsvamp
Skrovlig taggsvamp</t>
        </is>
      </c>
      <c r="S216">
        <f>HYPERLINK("https://klasma.github.io/Logging_2283/artfynd/A 53682-2024 artfynd.xlsx", "A 53682-2024")</f>
        <v/>
      </c>
      <c r="T216">
        <f>HYPERLINK("https://klasma.github.io/Logging_2283/kartor/A 53682-2024 karta.png", "A 53682-2024")</f>
        <v/>
      </c>
      <c r="V216">
        <f>HYPERLINK("https://klasma.github.io/Logging_2283/klagomål/A 53682-2024 FSC-klagomål.docx", "A 53682-2024")</f>
        <v/>
      </c>
      <c r="W216">
        <f>HYPERLINK("https://klasma.github.io/Logging_2283/klagomålsmail/A 53682-2024 FSC-klagomål mail.docx", "A 53682-2024")</f>
        <v/>
      </c>
      <c r="X216">
        <f>HYPERLINK("https://klasma.github.io/Logging_2283/tillsyn/A 53682-2024 tillsynsbegäran.docx", "A 53682-2024")</f>
        <v/>
      </c>
      <c r="Y216">
        <f>HYPERLINK("https://klasma.github.io/Logging_2283/tillsynsmail/A 53682-2024 tillsynsbegäran mail.docx", "A 53682-2024")</f>
        <v/>
      </c>
    </row>
    <row r="217" ht="15" customHeight="1">
      <c r="A217" t="inlineStr">
        <is>
          <t>A 24757-2024</t>
        </is>
      </c>
      <c r="B217" s="1" t="n">
        <v>45460.67375</v>
      </c>
      <c r="C217" s="1" t="n">
        <v>45964</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48017-2024</t>
        </is>
      </c>
      <c r="B218" s="1" t="n">
        <v>45589.46935185185</v>
      </c>
      <c r="C218" s="1" t="n">
        <v>45964</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5121-2025</t>
        </is>
      </c>
      <c r="B219" s="1" t="n">
        <v>45691</v>
      </c>
      <c r="C219" s="1" t="n">
        <v>45964</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13877-2025</t>
        </is>
      </c>
      <c r="B220" s="1" t="n">
        <v>45737.59407407408</v>
      </c>
      <c r="C220" s="1" t="n">
        <v>45964</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21097-2024</t>
        </is>
      </c>
      <c r="B221" s="1" t="n">
        <v>45439</v>
      </c>
      <c r="C221" s="1" t="n">
        <v>45964</v>
      </c>
      <c r="D221" t="inlineStr">
        <is>
          <t>VÄSTERNORRLANDS LÄN</t>
        </is>
      </c>
      <c r="E221" t="inlineStr">
        <is>
          <t>SOLLEFTEÅ</t>
        </is>
      </c>
      <c r="F221" t="inlineStr">
        <is>
          <t>SCA</t>
        </is>
      </c>
      <c r="G221" t="n">
        <v>7.7</v>
      </c>
      <c r="H221" t="n">
        <v>1</v>
      </c>
      <c r="I221" t="n">
        <v>1</v>
      </c>
      <c r="J221" t="n">
        <v>2</v>
      </c>
      <c r="K221" t="n">
        <v>0</v>
      </c>
      <c r="L221" t="n">
        <v>0</v>
      </c>
      <c r="M221" t="n">
        <v>0</v>
      </c>
      <c r="N221" t="n">
        <v>0</v>
      </c>
      <c r="O221" t="n">
        <v>2</v>
      </c>
      <c r="P221" t="n">
        <v>0</v>
      </c>
      <c r="Q221" t="n">
        <v>3</v>
      </c>
      <c r="R221" s="2" t="inlineStr">
        <is>
          <t>Lunglav
Ullticka
Lappranunkel</t>
        </is>
      </c>
      <c r="S221">
        <f>HYPERLINK("https://klasma.github.io/Logging_2283/artfynd/A 21097-2024 artfynd.xlsx", "A 21097-2024")</f>
        <v/>
      </c>
      <c r="T221">
        <f>HYPERLINK("https://klasma.github.io/Logging_2283/kartor/A 21097-2024 karta.png", "A 21097-2024")</f>
        <v/>
      </c>
      <c r="V221">
        <f>HYPERLINK("https://klasma.github.io/Logging_2283/klagomål/A 21097-2024 FSC-klagomål.docx", "A 21097-2024")</f>
        <v/>
      </c>
      <c r="W221">
        <f>HYPERLINK("https://klasma.github.io/Logging_2283/klagomålsmail/A 21097-2024 FSC-klagomål mail.docx", "A 21097-2024")</f>
        <v/>
      </c>
      <c r="X221">
        <f>HYPERLINK("https://klasma.github.io/Logging_2283/tillsyn/A 21097-2024 tillsynsbegäran.docx", "A 21097-2024")</f>
        <v/>
      </c>
      <c r="Y221">
        <f>HYPERLINK("https://klasma.github.io/Logging_2283/tillsynsmail/A 21097-2024 tillsynsbegäran mail.docx", "A 21097-2024")</f>
        <v/>
      </c>
    </row>
    <row r="222" ht="15" customHeight="1">
      <c r="A222" t="inlineStr">
        <is>
          <t>A 26374-2023</t>
        </is>
      </c>
      <c r="B222" s="1" t="n">
        <v>45091.94403935185</v>
      </c>
      <c r="C222" s="1" t="n">
        <v>45964</v>
      </c>
      <c r="D222" t="inlineStr">
        <is>
          <t>VÄSTERNORRLANDS LÄN</t>
        </is>
      </c>
      <c r="E222" t="inlineStr">
        <is>
          <t>SOLLEFTEÅ</t>
        </is>
      </c>
      <c r="F222" t="inlineStr">
        <is>
          <t>SCA</t>
        </is>
      </c>
      <c r="G222" t="n">
        <v>0.9</v>
      </c>
      <c r="H222" t="n">
        <v>0</v>
      </c>
      <c r="I222" t="n">
        <v>0</v>
      </c>
      <c r="J222" t="n">
        <v>2</v>
      </c>
      <c r="K222" t="n">
        <v>1</v>
      </c>
      <c r="L222" t="n">
        <v>0</v>
      </c>
      <c r="M222" t="n">
        <v>0</v>
      </c>
      <c r="N222" t="n">
        <v>0</v>
      </c>
      <c r="O222" t="n">
        <v>3</v>
      </c>
      <c r="P222" t="n">
        <v>1</v>
      </c>
      <c r="Q222" t="n">
        <v>3</v>
      </c>
      <c r="R222" s="2" t="inlineStr">
        <is>
          <t>Blackticka
Granticka
Ullticka</t>
        </is>
      </c>
      <c r="S222">
        <f>HYPERLINK("https://klasma.github.io/Logging_2283/artfynd/A 26374-2023 artfynd.xlsx", "A 26374-2023")</f>
        <v/>
      </c>
      <c r="T222">
        <f>HYPERLINK("https://klasma.github.io/Logging_2283/kartor/A 26374-2023 karta.png", "A 26374-2023")</f>
        <v/>
      </c>
      <c r="V222">
        <f>HYPERLINK("https://klasma.github.io/Logging_2283/klagomål/A 26374-2023 FSC-klagomål.docx", "A 26374-2023")</f>
        <v/>
      </c>
      <c r="W222">
        <f>HYPERLINK("https://klasma.github.io/Logging_2283/klagomålsmail/A 26374-2023 FSC-klagomål mail.docx", "A 26374-2023")</f>
        <v/>
      </c>
      <c r="X222">
        <f>HYPERLINK("https://klasma.github.io/Logging_2283/tillsyn/A 26374-2023 tillsynsbegäran.docx", "A 26374-2023")</f>
        <v/>
      </c>
      <c r="Y222">
        <f>HYPERLINK("https://klasma.github.io/Logging_2283/tillsynsmail/A 26374-2023 tillsynsbegäran mail.docx", "A 26374-2023")</f>
        <v/>
      </c>
    </row>
    <row r="223" ht="15" customHeight="1">
      <c r="A223" t="inlineStr">
        <is>
          <t>A 22183-2025</t>
        </is>
      </c>
      <c r="B223" s="1" t="n">
        <v>45785.61677083333</v>
      </c>
      <c r="C223" s="1" t="n">
        <v>45964</v>
      </c>
      <c r="D223" t="inlineStr">
        <is>
          <t>VÄSTERNORRLANDS LÄN</t>
        </is>
      </c>
      <c r="E223" t="inlineStr">
        <is>
          <t>SOLLEFTEÅ</t>
        </is>
      </c>
      <c r="F223" t="inlineStr">
        <is>
          <t>SCA</t>
        </is>
      </c>
      <c r="G223" t="n">
        <v>0.3</v>
      </c>
      <c r="H223" t="n">
        <v>0</v>
      </c>
      <c r="I223" t="n">
        <v>1</v>
      </c>
      <c r="J223" t="n">
        <v>2</v>
      </c>
      <c r="K223" t="n">
        <v>0</v>
      </c>
      <c r="L223" t="n">
        <v>0</v>
      </c>
      <c r="M223" t="n">
        <v>0</v>
      </c>
      <c r="N223" t="n">
        <v>0</v>
      </c>
      <c r="O223" t="n">
        <v>2</v>
      </c>
      <c r="P223" t="n">
        <v>0</v>
      </c>
      <c r="Q223" t="n">
        <v>3</v>
      </c>
      <c r="R223" s="2" t="inlineStr">
        <is>
          <t>Garnlav
Rosenticka
Trådticka</t>
        </is>
      </c>
      <c r="S223">
        <f>HYPERLINK("https://klasma.github.io/Logging_2283/artfynd/A 22183-2025 artfynd.xlsx", "A 22183-2025")</f>
        <v/>
      </c>
      <c r="T223">
        <f>HYPERLINK("https://klasma.github.io/Logging_2283/kartor/A 22183-2025 karta.png", "A 22183-2025")</f>
        <v/>
      </c>
      <c r="V223">
        <f>HYPERLINK("https://klasma.github.io/Logging_2283/klagomål/A 22183-2025 FSC-klagomål.docx", "A 22183-2025")</f>
        <v/>
      </c>
      <c r="W223">
        <f>HYPERLINK("https://klasma.github.io/Logging_2283/klagomålsmail/A 22183-2025 FSC-klagomål mail.docx", "A 22183-2025")</f>
        <v/>
      </c>
      <c r="X223">
        <f>HYPERLINK("https://klasma.github.io/Logging_2283/tillsyn/A 22183-2025 tillsynsbegäran.docx", "A 22183-2025")</f>
        <v/>
      </c>
      <c r="Y223">
        <f>HYPERLINK("https://klasma.github.io/Logging_2283/tillsynsmail/A 22183-2025 tillsynsbegäran mail.docx", "A 22183-2025")</f>
        <v/>
      </c>
    </row>
    <row r="224" ht="15" customHeight="1">
      <c r="A224" t="inlineStr">
        <is>
          <t>A 51212-2022</t>
        </is>
      </c>
      <c r="B224" s="1" t="n">
        <v>44868.62265046296</v>
      </c>
      <c r="C224" s="1" t="n">
        <v>45964</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23939-2024</t>
        </is>
      </c>
      <c r="B225" s="1" t="n">
        <v>45455.96303240741</v>
      </c>
      <c r="C225" s="1" t="n">
        <v>45964</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25707-2025</t>
        </is>
      </c>
      <c r="B226" s="1" t="n">
        <v>45803.67806712963</v>
      </c>
      <c r="C226" s="1" t="n">
        <v>45964</v>
      </c>
      <c r="D226" t="inlineStr">
        <is>
          <t>VÄSTERNORRLANDS LÄN</t>
        </is>
      </c>
      <c r="E226" t="inlineStr">
        <is>
          <t>SOLLEFTEÅ</t>
        </is>
      </c>
      <c r="F226" t="inlineStr">
        <is>
          <t>SCA</t>
        </is>
      </c>
      <c r="G226" t="n">
        <v>2.6</v>
      </c>
      <c r="H226" t="n">
        <v>1</v>
      </c>
      <c r="I226" t="n">
        <v>1</v>
      </c>
      <c r="J226" t="n">
        <v>2</v>
      </c>
      <c r="K226" t="n">
        <v>0</v>
      </c>
      <c r="L226" t="n">
        <v>0</v>
      </c>
      <c r="M226" t="n">
        <v>0</v>
      </c>
      <c r="N226" t="n">
        <v>0</v>
      </c>
      <c r="O226" t="n">
        <v>2</v>
      </c>
      <c r="P226" t="n">
        <v>0</v>
      </c>
      <c r="Q226" t="n">
        <v>3</v>
      </c>
      <c r="R226" s="2" t="inlineStr">
        <is>
          <t>Kolflarnlav
Talltita
Norrlandslav</t>
        </is>
      </c>
      <c r="S226">
        <f>HYPERLINK("https://klasma.github.io/Logging_2283/artfynd/A 25707-2025 artfynd.xlsx", "A 25707-2025")</f>
        <v/>
      </c>
      <c r="T226">
        <f>HYPERLINK("https://klasma.github.io/Logging_2283/kartor/A 25707-2025 karta.png", "A 25707-2025")</f>
        <v/>
      </c>
      <c r="V226">
        <f>HYPERLINK("https://klasma.github.io/Logging_2283/klagomål/A 25707-2025 FSC-klagomål.docx", "A 25707-2025")</f>
        <v/>
      </c>
      <c r="W226">
        <f>HYPERLINK("https://klasma.github.io/Logging_2283/klagomålsmail/A 25707-2025 FSC-klagomål mail.docx", "A 25707-2025")</f>
        <v/>
      </c>
      <c r="X226">
        <f>HYPERLINK("https://klasma.github.io/Logging_2283/tillsyn/A 25707-2025 tillsynsbegäran.docx", "A 25707-2025")</f>
        <v/>
      </c>
      <c r="Y226">
        <f>HYPERLINK("https://klasma.github.io/Logging_2283/tillsynsmail/A 25707-2025 tillsynsbegäran mail.docx", "A 25707-2025")</f>
        <v/>
      </c>
      <c r="Z226">
        <f>HYPERLINK("https://klasma.github.io/Logging_2283/fåglar/A 25707-2025 prioriterade fågelarter.docx", "A 25707-2025")</f>
        <v/>
      </c>
    </row>
    <row r="227" ht="15" customHeight="1">
      <c r="A227" t="inlineStr">
        <is>
          <t>A 54624-2024</t>
        </is>
      </c>
      <c r="B227" s="1" t="n">
        <v>45617</v>
      </c>
      <c r="C227" s="1" t="n">
        <v>45964</v>
      </c>
      <c r="D227" t="inlineStr">
        <is>
          <t>VÄSTERNORRLANDS LÄN</t>
        </is>
      </c>
      <c r="E227" t="inlineStr">
        <is>
          <t>SOLLEFTEÅ</t>
        </is>
      </c>
      <c r="G227" t="n">
        <v>11.5</v>
      </c>
      <c r="H227" t="n">
        <v>0</v>
      </c>
      <c r="I227" t="n">
        <v>2</v>
      </c>
      <c r="J227" t="n">
        <v>1</v>
      </c>
      <c r="K227" t="n">
        <v>0</v>
      </c>
      <c r="L227" t="n">
        <v>0</v>
      </c>
      <c r="M227" t="n">
        <v>0</v>
      </c>
      <c r="N227" t="n">
        <v>0</v>
      </c>
      <c r="O227" t="n">
        <v>1</v>
      </c>
      <c r="P227" t="n">
        <v>0</v>
      </c>
      <c r="Q227" t="n">
        <v>3</v>
      </c>
      <c r="R227" s="2" t="inlineStr">
        <is>
          <t>Ullticka
Stuplav
Vedticka</t>
        </is>
      </c>
      <c r="S227">
        <f>HYPERLINK("https://klasma.github.io/Logging_2283/artfynd/A 54624-2024 artfynd.xlsx", "A 54624-2024")</f>
        <v/>
      </c>
      <c r="T227">
        <f>HYPERLINK("https://klasma.github.io/Logging_2283/kartor/A 54624-2024 karta.png", "A 54624-2024")</f>
        <v/>
      </c>
      <c r="V227">
        <f>HYPERLINK("https://klasma.github.io/Logging_2283/klagomål/A 54624-2024 FSC-klagomål.docx", "A 54624-2024")</f>
        <v/>
      </c>
      <c r="W227">
        <f>HYPERLINK("https://klasma.github.io/Logging_2283/klagomålsmail/A 54624-2024 FSC-klagomål mail.docx", "A 54624-2024")</f>
        <v/>
      </c>
      <c r="X227">
        <f>HYPERLINK("https://klasma.github.io/Logging_2283/tillsyn/A 54624-2024 tillsynsbegäran.docx", "A 54624-2024")</f>
        <v/>
      </c>
      <c r="Y227">
        <f>HYPERLINK("https://klasma.github.io/Logging_2283/tillsynsmail/A 54624-2024 tillsynsbegäran mail.docx", "A 54624-2024")</f>
        <v/>
      </c>
    </row>
    <row r="228" ht="15" customHeight="1">
      <c r="A228" t="inlineStr">
        <is>
          <t>A 32256-2024</t>
        </is>
      </c>
      <c r="B228" s="1" t="n">
        <v>45511</v>
      </c>
      <c r="C228" s="1" t="n">
        <v>45964</v>
      </c>
      <c r="D228" t="inlineStr">
        <is>
          <t>VÄSTERNORRLANDS LÄN</t>
        </is>
      </c>
      <c r="E228" t="inlineStr">
        <is>
          <t>SOLLEFTEÅ</t>
        </is>
      </c>
      <c r="F228" t="inlineStr">
        <is>
          <t>SCA</t>
        </is>
      </c>
      <c r="G228" t="n">
        <v>3.9</v>
      </c>
      <c r="H228" t="n">
        <v>1</v>
      </c>
      <c r="I228" t="n">
        <v>1</v>
      </c>
      <c r="J228" t="n">
        <v>2</v>
      </c>
      <c r="K228" t="n">
        <v>0</v>
      </c>
      <c r="L228" t="n">
        <v>0</v>
      </c>
      <c r="M228" t="n">
        <v>0</v>
      </c>
      <c r="N228" t="n">
        <v>0</v>
      </c>
      <c r="O228" t="n">
        <v>2</v>
      </c>
      <c r="P228" t="n">
        <v>0</v>
      </c>
      <c r="Q228" t="n">
        <v>3</v>
      </c>
      <c r="R228" s="2" t="inlineStr">
        <is>
          <t>Tretåig hackspett
Vedtrappmossa
Fjällig taggsvamp s.str.</t>
        </is>
      </c>
      <c r="S228">
        <f>HYPERLINK("https://klasma.github.io/Logging_2283/artfynd/A 32256-2024 artfynd.xlsx", "A 32256-2024")</f>
        <v/>
      </c>
      <c r="T228">
        <f>HYPERLINK("https://klasma.github.io/Logging_2283/kartor/A 32256-2024 karta.png", "A 32256-2024")</f>
        <v/>
      </c>
      <c r="V228">
        <f>HYPERLINK("https://klasma.github.io/Logging_2283/klagomål/A 32256-2024 FSC-klagomål.docx", "A 32256-2024")</f>
        <v/>
      </c>
      <c r="W228">
        <f>HYPERLINK("https://klasma.github.io/Logging_2283/klagomålsmail/A 32256-2024 FSC-klagomål mail.docx", "A 32256-2024")</f>
        <v/>
      </c>
      <c r="X228">
        <f>HYPERLINK("https://klasma.github.io/Logging_2283/tillsyn/A 32256-2024 tillsynsbegäran.docx", "A 32256-2024")</f>
        <v/>
      </c>
      <c r="Y228">
        <f>HYPERLINK("https://klasma.github.io/Logging_2283/tillsynsmail/A 32256-2024 tillsynsbegäran mail.docx", "A 32256-2024")</f>
        <v/>
      </c>
      <c r="Z228">
        <f>HYPERLINK("https://klasma.github.io/Logging_2283/fåglar/A 32256-2024 prioriterade fågelarter.docx", "A 32256-2024")</f>
        <v/>
      </c>
    </row>
    <row r="229" ht="15" customHeight="1">
      <c r="A229" t="inlineStr">
        <is>
          <t>A 48489-2023</t>
        </is>
      </c>
      <c r="B229" s="1" t="n">
        <v>45206</v>
      </c>
      <c r="C229" s="1" t="n">
        <v>45964</v>
      </c>
      <c r="D229" t="inlineStr">
        <is>
          <t>VÄSTERNORRLANDS LÄN</t>
        </is>
      </c>
      <c r="E229" t="inlineStr">
        <is>
          <t>SOLLEFTEÅ</t>
        </is>
      </c>
      <c r="F229" t="inlineStr">
        <is>
          <t>SCA</t>
        </is>
      </c>
      <c r="G229" t="n">
        <v>51.8</v>
      </c>
      <c r="H229" t="n">
        <v>3</v>
      </c>
      <c r="I229" t="n">
        <v>0</v>
      </c>
      <c r="J229" t="n">
        <v>2</v>
      </c>
      <c r="K229" t="n">
        <v>0</v>
      </c>
      <c r="L229" t="n">
        <v>0</v>
      </c>
      <c r="M229" t="n">
        <v>0</v>
      </c>
      <c r="N229" t="n">
        <v>0</v>
      </c>
      <c r="O229" t="n">
        <v>2</v>
      </c>
      <c r="P229" t="n">
        <v>0</v>
      </c>
      <c r="Q229" t="n">
        <v>3</v>
      </c>
      <c r="R229" s="2" t="inlineStr">
        <is>
          <t>Spillkråka
Talltita
Lavskrika</t>
        </is>
      </c>
      <c r="S229">
        <f>HYPERLINK("https://klasma.github.io/Logging_2283/artfynd/A 48489-2023 artfynd.xlsx", "A 48489-2023")</f>
        <v/>
      </c>
      <c r="T229">
        <f>HYPERLINK("https://klasma.github.io/Logging_2283/kartor/A 48489-2023 karta.png", "A 48489-2023")</f>
        <v/>
      </c>
      <c r="V229">
        <f>HYPERLINK("https://klasma.github.io/Logging_2283/klagomål/A 48489-2023 FSC-klagomål.docx", "A 48489-2023")</f>
        <v/>
      </c>
      <c r="W229">
        <f>HYPERLINK("https://klasma.github.io/Logging_2283/klagomålsmail/A 48489-2023 FSC-klagomål mail.docx", "A 48489-2023")</f>
        <v/>
      </c>
      <c r="X229">
        <f>HYPERLINK("https://klasma.github.io/Logging_2283/tillsyn/A 48489-2023 tillsynsbegäran.docx", "A 48489-2023")</f>
        <v/>
      </c>
      <c r="Y229">
        <f>HYPERLINK("https://klasma.github.io/Logging_2283/tillsynsmail/A 48489-2023 tillsynsbegäran mail.docx", "A 48489-2023")</f>
        <v/>
      </c>
      <c r="Z229">
        <f>HYPERLINK("https://klasma.github.io/Logging_2283/fåglar/A 48489-2023 prioriterade fågelarter.docx", "A 48489-2023")</f>
        <v/>
      </c>
    </row>
    <row r="230" ht="15" customHeight="1">
      <c r="A230" t="inlineStr">
        <is>
          <t>A 38096-2024</t>
        </is>
      </c>
      <c r="B230" s="1" t="n">
        <v>45545.345</v>
      </c>
      <c r="C230" s="1" t="n">
        <v>45964</v>
      </c>
      <c r="D230" t="inlineStr">
        <is>
          <t>VÄSTERNORRLANDS LÄN</t>
        </is>
      </c>
      <c r="E230" t="inlineStr">
        <is>
          <t>SOLLEFTEÅ</t>
        </is>
      </c>
      <c r="F230" t="inlineStr">
        <is>
          <t>SCA</t>
        </is>
      </c>
      <c r="G230" t="n">
        <v>5.2</v>
      </c>
      <c r="H230" t="n">
        <v>1</v>
      </c>
      <c r="I230" t="n">
        <v>2</v>
      </c>
      <c r="J230" t="n">
        <v>1</v>
      </c>
      <c r="K230" t="n">
        <v>0</v>
      </c>
      <c r="L230" t="n">
        <v>0</v>
      </c>
      <c r="M230" t="n">
        <v>0</v>
      </c>
      <c r="N230" t="n">
        <v>0</v>
      </c>
      <c r="O230" t="n">
        <v>1</v>
      </c>
      <c r="P230" t="n">
        <v>0</v>
      </c>
      <c r="Q230" t="n">
        <v>3</v>
      </c>
      <c r="R230" s="2" t="inlineStr">
        <is>
          <t>Lunglav
Bollvitmossa
Lappranunkel</t>
        </is>
      </c>
      <c r="S230">
        <f>HYPERLINK("https://klasma.github.io/Logging_2283/artfynd/A 38096-2024 artfynd.xlsx", "A 38096-2024")</f>
        <v/>
      </c>
      <c r="T230">
        <f>HYPERLINK("https://klasma.github.io/Logging_2283/kartor/A 38096-2024 karta.png", "A 38096-2024")</f>
        <v/>
      </c>
      <c r="V230">
        <f>HYPERLINK("https://klasma.github.io/Logging_2283/klagomål/A 38096-2024 FSC-klagomål.docx", "A 38096-2024")</f>
        <v/>
      </c>
      <c r="W230">
        <f>HYPERLINK("https://klasma.github.io/Logging_2283/klagomålsmail/A 38096-2024 FSC-klagomål mail.docx", "A 38096-2024")</f>
        <v/>
      </c>
      <c r="X230">
        <f>HYPERLINK("https://klasma.github.io/Logging_2283/tillsyn/A 38096-2024 tillsynsbegäran.docx", "A 38096-2024")</f>
        <v/>
      </c>
      <c r="Y230">
        <f>HYPERLINK("https://klasma.github.io/Logging_2283/tillsynsmail/A 38096-2024 tillsynsbegäran mail.docx", "A 38096-2024")</f>
        <v/>
      </c>
    </row>
    <row r="231" ht="15" customHeight="1">
      <c r="A231" t="inlineStr">
        <is>
          <t>A 32070-2025</t>
        </is>
      </c>
      <c r="B231" s="1" t="n">
        <v>45835.44885416667</v>
      </c>
      <c r="C231" s="1" t="n">
        <v>45964</v>
      </c>
      <c r="D231" t="inlineStr">
        <is>
          <t>VÄSTERNORRLANDS LÄN</t>
        </is>
      </c>
      <c r="E231" t="inlineStr">
        <is>
          <t>SOLLEFTEÅ</t>
        </is>
      </c>
      <c r="F231" t="inlineStr">
        <is>
          <t>SCA</t>
        </is>
      </c>
      <c r="G231" t="n">
        <v>6.4</v>
      </c>
      <c r="H231" t="n">
        <v>0</v>
      </c>
      <c r="I231" t="n">
        <v>1</v>
      </c>
      <c r="J231" t="n">
        <v>1</v>
      </c>
      <c r="K231" t="n">
        <v>1</v>
      </c>
      <c r="L231" t="n">
        <v>0</v>
      </c>
      <c r="M231" t="n">
        <v>0</v>
      </c>
      <c r="N231" t="n">
        <v>0</v>
      </c>
      <c r="O231" t="n">
        <v>2</v>
      </c>
      <c r="P231" t="n">
        <v>1</v>
      </c>
      <c r="Q231" t="n">
        <v>3</v>
      </c>
      <c r="R231" s="2" t="inlineStr">
        <is>
          <t>Rynkskinn
Garnlav
Vedticka</t>
        </is>
      </c>
      <c r="S231">
        <f>HYPERLINK("https://klasma.github.io/Logging_2283/artfynd/A 32070-2025 artfynd.xlsx", "A 32070-2025")</f>
        <v/>
      </c>
      <c r="T231">
        <f>HYPERLINK("https://klasma.github.io/Logging_2283/kartor/A 32070-2025 karta.png", "A 32070-2025")</f>
        <v/>
      </c>
      <c r="V231">
        <f>HYPERLINK("https://klasma.github.io/Logging_2283/klagomål/A 32070-2025 FSC-klagomål.docx", "A 32070-2025")</f>
        <v/>
      </c>
      <c r="W231">
        <f>HYPERLINK("https://klasma.github.io/Logging_2283/klagomålsmail/A 32070-2025 FSC-klagomål mail.docx", "A 32070-2025")</f>
        <v/>
      </c>
      <c r="X231">
        <f>HYPERLINK("https://klasma.github.io/Logging_2283/tillsyn/A 32070-2025 tillsynsbegäran.docx", "A 32070-2025")</f>
        <v/>
      </c>
      <c r="Y231">
        <f>HYPERLINK("https://klasma.github.io/Logging_2283/tillsynsmail/A 32070-2025 tillsynsbegäran mail.docx", "A 32070-2025")</f>
        <v/>
      </c>
    </row>
    <row r="232" ht="15" customHeight="1">
      <c r="A232" t="inlineStr">
        <is>
          <t>A 50838-2023</t>
        </is>
      </c>
      <c r="B232" s="1" t="n">
        <v>45217</v>
      </c>
      <c r="C232" s="1" t="n">
        <v>45964</v>
      </c>
      <c r="D232" t="inlineStr">
        <is>
          <t>VÄSTERNORRLANDS LÄN</t>
        </is>
      </c>
      <c r="E232" t="inlineStr">
        <is>
          <t>SOLLEFTEÅ</t>
        </is>
      </c>
      <c r="F232" t="inlineStr">
        <is>
          <t>SCA</t>
        </is>
      </c>
      <c r="G232" t="n">
        <v>2.1</v>
      </c>
      <c r="H232" t="n">
        <v>2</v>
      </c>
      <c r="I232" t="n">
        <v>0</v>
      </c>
      <c r="J232" t="n">
        <v>1</v>
      </c>
      <c r="K232" t="n">
        <v>2</v>
      </c>
      <c r="L232" t="n">
        <v>0</v>
      </c>
      <c r="M232" t="n">
        <v>0</v>
      </c>
      <c r="N232" t="n">
        <v>0</v>
      </c>
      <c r="O232" t="n">
        <v>3</v>
      </c>
      <c r="P232" t="n">
        <v>2</v>
      </c>
      <c r="Q232" t="n">
        <v>3</v>
      </c>
      <c r="R232" s="2" t="inlineStr">
        <is>
          <t>Doftticka
Knärot
Lunglav</t>
        </is>
      </c>
      <c r="S232">
        <f>HYPERLINK("https://klasma.github.io/Logging_2283/artfynd/A 50838-2023 artfynd.xlsx", "A 50838-2023")</f>
        <v/>
      </c>
      <c r="T232">
        <f>HYPERLINK("https://klasma.github.io/Logging_2283/kartor/A 50838-2023 karta.png", "A 50838-2023")</f>
        <v/>
      </c>
      <c r="U232">
        <f>HYPERLINK("https://klasma.github.io/Logging_2283/knärot/A 50838-2023 karta knärot.png", "A 50838-2023")</f>
        <v/>
      </c>
      <c r="V232">
        <f>HYPERLINK("https://klasma.github.io/Logging_2283/klagomål/A 50838-2023 FSC-klagomål.docx", "A 50838-2023")</f>
        <v/>
      </c>
      <c r="W232">
        <f>HYPERLINK("https://klasma.github.io/Logging_2283/klagomålsmail/A 50838-2023 FSC-klagomål mail.docx", "A 50838-2023")</f>
        <v/>
      </c>
      <c r="X232">
        <f>HYPERLINK("https://klasma.github.io/Logging_2283/tillsyn/A 50838-2023 tillsynsbegäran.docx", "A 50838-2023")</f>
        <v/>
      </c>
      <c r="Y232">
        <f>HYPERLINK("https://klasma.github.io/Logging_2283/tillsynsmail/A 50838-2023 tillsynsbegäran mail.docx", "A 50838-2023")</f>
        <v/>
      </c>
    </row>
    <row r="233" ht="15" customHeight="1">
      <c r="A233" t="inlineStr">
        <is>
          <t>A 61481-2021</t>
        </is>
      </c>
      <c r="B233" s="1" t="n">
        <v>44500</v>
      </c>
      <c r="C233" s="1" t="n">
        <v>45964</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8077-2025</t>
        </is>
      </c>
      <c r="B234" s="1" t="n">
        <v>45707.65659722222</v>
      </c>
      <c r="C234" s="1" t="n">
        <v>45964</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53852-2024</t>
        </is>
      </c>
      <c r="B235" s="1" t="n">
        <v>45615.63590277778</v>
      </c>
      <c r="C235" s="1" t="n">
        <v>45964</v>
      </c>
      <c r="D235" t="inlineStr">
        <is>
          <t>VÄSTERNORRLANDS LÄN</t>
        </is>
      </c>
      <c r="E235" t="inlineStr">
        <is>
          <t>SOLLEFTEÅ</t>
        </is>
      </c>
      <c r="F235" t="inlineStr">
        <is>
          <t>SCA</t>
        </is>
      </c>
      <c r="G235" t="n">
        <v>0.7</v>
      </c>
      <c r="H235" t="n">
        <v>1</v>
      </c>
      <c r="I235" t="n">
        <v>2</v>
      </c>
      <c r="J235" t="n">
        <v>1</v>
      </c>
      <c r="K235" t="n">
        <v>0</v>
      </c>
      <c r="L235" t="n">
        <v>0</v>
      </c>
      <c r="M235" t="n">
        <v>0</v>
      </c>
      <c r="N235" t="n">
        <v>0</v>
      </c>
      <c r="O235" t="n">
        <v>1</v>
      </c>
      <c r="P235" t="n">
        <v>0</v>
      </c>
      <c r="Q235" t="n">
        <v>3</v>
      </c>
      <c r="R235" s="2" t="inlineStr">
        <is>
          <t>Garnlav
Korallrot
Ögonpyrola</t>
        </is>
      </c>
      <c r="S235">
        <f>HYPERLINK("https://klasma.github.io/Logging_2283/artfynd/A 53852-2024 artfynd.xlsx", "A 53852-2024")</f>
        <v/>
      </c>
      <c r="T235">
        <f>HYPERLINK("https://klasma.github.io/Logging_2283/kartor/A 53852-2024 karta.png", "A 53852-2024")</f>
        <v/>
      </c>
      <c r="V235">
        <f>HYPERLINK("https://klasma.github.io/Logging_2283/klagomål/A 53852-2024 FSC-klagomål.docx", "A 53852-2024")</f>
        <v/>
      </c>
      <c r="W235">
        <f>HYPERLINK("https://klasma.github.io/Logging_2283/klagomålsmail/A 53852-2024 FSC-klagomål mail.docx", "A 53852-2024")</f>
        <v/>
      </c>
      <c r="X235">
        <f>HYPERLINK("https://klasma.github.io/Logging_2283/tillsyn/A 53852-2024 tillsynsbegäran.docx", "A 53852-2024")</f>
        <v/>
      </c>
      <c r="Y235">
        <f>HYPERLINK("https://klasma.github.io/Logging_2283/tillsynsmail/A 53852-2024 tillsynsbegäran mail.docx", "A 53852-2024")</f>
        <v/>
      </c>
    </row>
    <row r="236" ht="15" customHeight="1">
      <c r="A236" t="inlineStr">
        <is>
          <t>A 40866-2023</t>
        </is>
      </c>
      <c r="B236" s="1" t="n">
        <v>45173</v>
      </c>
      <c r="C236" s="1" t="n">
        <v>45964</v>
      </c>
      <c r="D236" t="inlineStr">
        <is>
          <t>VÄSTERNORRLANDS LÄN</t>
        </is>
      </c>
      <c r="E236" t="inlineStr">
        <is>
          <t>SOLLEFTEÅ</t>
        </is>
      </c>
      <c r="G236" t="n">
        <v>1.7</v>
      </c>
      <c r="H236" t="n">
        <v>2</v>
      </c>
      <c r="I236" t="n">
        <v>1</v>
      </c>
      <c r="J236" t="n">
        <v>1</v>
      </c>
      <c r="K236" t="n">
        <v>0</v>
      </c>
      <c r="L236" t="n">
        <v>0</v>
      </c>
      <c r="M236" t="n">
        <v>0</v>
      </c>
      <c r="N236" t="n">
        <v>0</v>
      </c>
      <c r="O236" t="n">
        <v>1</v>
      </c>
      <c r="P236" t="n">
        <v>0</v>
      </c>
      <c r="Q236" t="n">
        <v>3</v>
      </c>
      <c r="R236" s="2" t="inlineStr">
        <is>
          <t>Spillkråka
Tibast
Skogsödla</t>
        </is>
      </c>
      <c r="S236">
        <f>HYPERLINK("https://klasma.github.io/Logging_2283/artfynd/A 40866-2023 artfynd.xlsx", "A 40866-2023")</f>
        <v/>
      </c>
      <c r="T236">
        <f>HYPERLINK("https://klasma.github.io/Logging_2283/kartor/A 40866-2023 karta.png", "A 40866-2023")</f>
        <v/>
      </c>
      <c r="V236">
        <f>HYPERLINK("https://klasma.github.io/Logging_2283/klagomål/A 40866-2023 FSC-klagomål.docx", "A 40866-2023")</f>
        <v/>
      </c>
      <c r="W236">
        <f>HYPERLINK("https://klasma.github.io/Logging_2283/klagomålsmail/A 40866-2023 FSC-klagomål mail.docx", "A 40866-2023")</f>
        <v/>
      </c>
      <c r="X236">
        <f>HYPERLINK("https://klasma.github.io/Logging_2283/tillsyn/A 40866-2023 tillsynsbegäran.docx", "A 40866-2023")</f>
        <v/>
      </c>
      <c r="Y236">
        <f>HYPERLINK("https://klasma.github.io/Logging_2283/tillsynsmail/A 40866-2023 tillsynsbegäran mail.docx", "A 40866-2023")</f>
        <v/>
      </c>
      <c r="Z236">
        <f>HYPERLINK("https://klasma.github.io/Logging_2283/fåglar/A 40866-2023 prioriterade fågelarter.docx", "A 40866-2023")</f>
        <v/>
      </c>
    </row>
    <row r="237" ht="15" customHeight="1">
      <c r="A237" t="inlineStr">
        <is>
          <t>A 48369-2025</t>
        </is>
      </c>
      <c r="B237" s="1" t="n">
        <v>45933.67747685185</v>
      </c>
      <c r="C237" s="1" t="n">
        <v>45964</v>
      </c>
      <c r="D237" t="inlineStr">
        <is>
          <t>VÄSTERNORRLANDS LÄN</t>
        </is>
      </c>
      <c r="E237" t="inlineStr">
        <is>
          <t>SOLLEFTEÅ</t>
        </is>
      </c>
      <c r="F237" t="inlineStr">
        <is>
          <t>SCA</t>
        </is>
      </c>
      <c r="G237" t="n">
        <v>12.6</v>
      </c>
      <c r="H237" t="n">
        <v>1</v>
      </c>
      <c r="I237" t="n">
        <v>0</v>
      </c>
      <c r="J237" t="n">
        <v>3</v>
      </c>
      <c r="K237" t="n">
        <v>0</v>
      </c>
      <c r="L237" t="n">
        <v>0</v>
      </c>
      <c r="M237" t="n">
        <v>0</v>
      </c>
      <c r="N237" t="n">
        <v>0</v>
      </c>
      <c r="O237" t="n">
        <v>3</v>
      </c>
      <c r="P237" t="n">
        <v>0</v>
      </c>
      <c r="Q237" t="n">
        <v>3</v>
      </c>
      <c r="R237" s="2" t="inlineStr">
        <is>
          <t>Gammelgransskål
Garnlav
Tretåig hackspett</t>
        </is>
      </c>
      <c r="S237">
        <f>HYPERLINK("https://klasma.github.io/Logging_2283/artfynd/A 48369-2025 artfynd.xlsx", "A 48369-2025")</f>
        <v/>
      </c>
      <c r="T237">
        <f>HYPERLINK("https://klasma.github.io/Logging_2283/kartor/A 48369-2025 karta.png", "A 48369-2025")</f>
        <v/>
      </c>
      <c r="V237">
        <f>HYPERLINK("https://klasma.github.io/Logging_2283/klagomål/A 48369-2025 FSC-klagomål.docx", "A 48369-2025")</f>
        <v/>
      </c>
      <c r="W237">
        <f>HYPERLINK("https://klasma.github.io/Logging_2283/klagomålsmail/A 48369-2025 FSC-klagomål mail.docx", "A 48369-2025")</f>
        <v/>
      </c>
      <c r="X237">
        <f>HYPERLINK("https://klasma.github.io/Logging_2283/tillsyn/A 48369-2025 tillsynsbegäran.docx", "A 48369-2025")</f>
        <v/>
      </c>
      <c r="Y237">
        <f>HYPERLINK("https://klasma.github.io/Logging_2283/tillsynsmail/A 48369-2025 tillsynsbegäran mail.docx", "A 48369-2025")</f>
        <v/>
      </c>
      <c r="Z237">
        <f>HYPERLINK("https://klasma.github.io/Logging_2283/fåglar/A 48369-2025 prioriterade fågelarter.docx", "A 48369-2025")</f>
        <v/>
      </c>
    </row>
    <row r="238" ht="15" customHeight="1">
      <c r="A238" t="inlineStr">
        <is>
          <t>A 43279-2025</t>
        </is>
      </c>
      <c r="B238" s="1" t="n">
        <v>45910.59446759259</v>
      </c>
      <c r="C238" s="1" t="n">
        <v>45964</v>
      </c>
      <c r="D238" t="inlineStr">
        <is>
          <t>VÄSTERNORRLANDS LÄN</t>
        </is>
      </c>
      <c r="E238" t="inlineStr">
        <is>
          <t>SOLLEFTEÅ</t>
        </is>
      </c>
      <c r="F238" t="inlineStr">
        <is>
          <t>SCA</t>
        </is>
      </c>
      <c r="G238" t="n">
        <v>1.7</v>
      </c>
      <c r="H238" t="n">
        <v>0</v>
      </c>
      <c r="I238" t="n">
        <v>1</v>
      </c>
      <c r="J238" t="n">
        <v>2</v>
      </c>
      <c r="K238" t="n">
        <v>0</v>
      </c>
      <c r="L238" t="n">
        <v>0</v>
      </c>
      <c r="M238" t="n">
        <v>0</v>
      </c>
      <c r="N238" t="n">
        <v>0</v>
      </c>
      <c r="O238" t="n">
        <v>2</v>
      </c>
      <c r="P238" t="n">
        <v>0</v>
      </c>
      <c r="Q238" t="n">
        <v>3</v>
      </c>
      <c r="R238" s="2" t="inlineStr">
        <is>
          <t>Garnlav
Orange taggsvamp
Dropptaggsvamp</t>
        </is>
      </c>
      <c r="S238">
        <f>HYPERLINK("https://klasma.github.io/Logging_2283/artfynd/A 43279-2025 artfynd.xlsx", "A 43279-2025")</f>
        <v/>
      </c>
      <c r="T238">
        <f>HYPERLINK("https://klasma.github.io/Logging_2283/kartor/A 43279-2025 karta.png", "A 43279-2025")</f>
        <v/>
      </c>
      <c r="V238">
        <f>HYPERLINK("https://klasma.github.io/Logging_2283/klagomål/A 43279-2025 FSC-klagomål.docx", "A 43279-2025")</f>
        <v/>
      </c>
      <c r="W238">
        <f>HYPERLINK("https://klasma.github.io/Logging_2283/klagomålsmail/A 43279-2025 FSC-klagomål mail.docx", "A 43279-2025")</f>
        <v/>
      </c>
      <c r="X238">
        <f>HYPERLINK("https://klasma.github.io/Logging_2283/tillsyn/A 43279-2025 tillsynsbegäran.docx", "A 43279-2025")</f>
        <v/>
      </c>
      <c r="Y238">
        <f>HYPERLINK("https://klasma.github.io/Logging_2283/tillsynsmail/A 43279-2025 tillsynsbegäran mail.docx", "A 43279-2025")</f>
        <v/>
      </c>
    </row>
    <row r="239" ht="15" customHeight="1">
      <c r="A239" t="inlineStr">
        <is>
          <t>A 25919-2025</t>
        </is>
      </c>
      <c r="B239" s="1" t="n">
        <v>45804</v>
      </c>
      <c r="C239" s="1" t="n">
        <v>45964</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45964</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45964</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45964</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45964</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45964</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45964</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45964</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45964</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45964</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35071-2021</t>
        </is>
      </c>
      <c r="B249" s="1" t="n">
        <v>44383</v>
      </c>
      <c r="C249" s="1" t="n">
        <v>45964</v>
      </c>
      <c r="D249" t="inlineStr">
        <is>
          <t>VÄSTERNORRLANDS LÄN</t>
        </is>
      </c>
      <c r="E249" t="inlineStr">
        <is>
          <t>SOLLEFTEÅ</t>
        </is>
      </c>
      <c r="F249" t="inlineStr">
        <is>
          <t>SCA</t>
        </is>
      </c>
      <c r="G249" t="n">
        <v>1.8</v>
      </c>
      <c r="H249" t="n">
        <v>0</v>
      </c>
      <c r="I249" t="n">
        <v>2</v>
      </c>
      <c r="J249" t="n">
        <v>0</v>
      </c>
      <c r="K249" t="n">
        <v>0</v>
      </c>
      <c r="L249" t="n">
        <v>0</v>
      </c>
      <c r="M249" t="n">
        <v>0</v>
      </c>
      <c r="N249" t="n">
        <v>0</v>
      </c>
      <c r="O249" t="n">
        <v>0</v>
      </c>
      <c r="P249" t="n">
        <v>0</v>
      </c>
      <c r="Q249" t="n">
        <v>2</v>
      </c>
      <c r="R249" s="2" t="inlineStr">
        <is>
          <t>Norrlandslav
Vedticka</t>
        </is>
      </c>
      <c r="S249">
        <f>HYPERLINK("https://klasma.github.io/Logging_2283/artfynd/A 35071-2021 artfynd.xlsx", "A 35071-2021")</f>
        <v/>
      </c>
      <c r="T249">
        <f>HYPERLINK("https://klasma.github.io/Logging_2283/kartor/A 35071-2021 karta.png", "A 35071-2021")</f>
        <v/>
      </c>
      <c r="V249">
        <f>HYPERLINK("https://klasma.github.io/Logging_2283/klagomål/A 35071-2021 FSC-klagomål.docx", "A 35071-2021")</f>
        <v/>
      </c>
      <c r="W249">
        <f>HYPERLINK("https://klasma.github.io/Logging_2283/klagomålsmail/A 35071-2021 FSC-klagomål mail.docx", "A 35071-2021")</f>
        <v/>
      </c>
      <c r="X249">
        <f>HYPERLINK("https://klasma.github.io/Logging_2283/tillsyn/A 35071-2021 tillsynsbegäran.docx", "A 35071-2021")</f>
        <v/>
      </c>
      <c r="Y249">
        <f>HYPERLINK("https://klasma.github.io/Logging_2283/tillsynsmail/A 35071-2021 tillsynsbegäran mail.docx", "A 35071-2021")</f>
        <v/>
      </c>
    </row>
    <row r="250" ht="15" customHeight="1">
      <c r="A250" t="inlineStr">
        <is>
          <t>A 13658-2022</t>
        </is>
      </c>
      <c r="B250" s="1" t="n">
        <v>44648</v>
      </c>
      <c r="C250" s="1" t="n">
        <v>45964</v>
      </c>
      <c r="D250" t="inlineStr">
        <is>
          <t>VÄSTERNORRLANDS LÄN</t>
        </is>
      </c>
      <c r="E250" t="inlineStr">
        <is>
          <t>SOLLEFTEÅ</t>
        </is>
      </c>
      <c r="G250" t="n">
        <v>7.4</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13658-2022 artfynd.xlsx", "A 13658-2022")</f>
        <v/>
      </c>
      <c r="T250">
        <f>HYPERLINK("https://klasma.github.io/Logging_2283/kartor/A 13658-2022 karta.png", "A 13658-2022")</f>
        <v/>
      </c>
      <c r="V250">
        <f>HYPERLINK("https://klasma.github.io/Logging_2283/klagomål/A 13658-2022 FSC-klagomål.docx", "A 13658-2022")</f>
        <v/>
      </c>
      <c r="W250">
        <f>HYPERLINK("https://klasma.github.io/Logging_2283/klagomålsmail/A 13658-2022 FSC-klagomål mail.docx", "A 13658-2022")</f>
        <v/>
      </c>
      <c r="X250">
        <f>HYPERLINK("https://klasma.github.io/Logging_2283/tillsyn/A 13658-2022 tillsynsbegäran.docx", "A 13658-2022")</f>
        <v/>
      </c>
      <c r="Y250">
        <f>HYPERLINK("https://klasma.github.io/Logging_2283/tillsynsmail/A 13658-2022 tillsynsbegäran mail.docx", "A 13658-2022")</f>
        <v/>
      </c>
    </row>
    <row r="251" ht="15" customHeight="1">
      <c r="A251" t="inlineStr">
        <is>
          <t>A 68863-2021</t>
        </is>
      </c>
      <c r="B251" s="1" t="n">
        <v>44530</v>
      </c>
      <c r="C251" s="1" t="n">
        <v>45964</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6698-2024</t>
        </is>
      </c>
      <c r="B252" s="1" t="n">
        <v>45341</v>
      </c>
      <c r="C252" s="1" t="n">
        <v>45964</v>
      </c>
      <c r="D252" t="inlineStr">
        <is>
          <t>VÄSTERNORRLANDS LÄN</t>
        </is>
      </c>
      <c r="E252" t="inlineStr">
        <is>
          <t>SOLLEFTEÅ</t>
        </is>
      </c>
      <c r="F252" t="inlineStr">
        <is>
          <t>SCA</t>
        </is>
      </c>
      <c r="G252" t="n">
        <v>3</v>
      </c>
      <c r="H252" t="n">
        <v>0</v>
      </c>
      <c r="I252" t="n">
        <v>0</v>
      </c>
      <c r="J252" t="n">
        <v>2</v>
      </c>
      <c r="K252" t="n">
        <v>0</v>
      </c>
      <c r="L252" t="n">
        <v>0</v>
      </c>
      <c r="M252" t="n">
        <v>0</v>
      </c>
      <c r="N252" t="n">
        <v>0</v>
      </c>
      <c r="O252" t="n">
        <v>2</v>
      </c>
      <c r="P252" t="n">
        <v>0</v>
      </c>
      <c r="Q252" t="n">
        <v>2</v>
      </c>
      <c r="R252" s="2" t="inlineStr">
        <is>
          <t>Granticka
Harticka</t>
        </is>
      </c>
      <c r="S252">
        <f>HYPERLINK("https://klasma.github.io/Logging_2283/artfynd/A 6698-2024 artfynd.xlsx", "A 6698-2024")</f>
        <v/>
      </c>
      <c r="T252">
        <f>HYPERLINK("https://klasma.github.io/Logging_2283/kartor/A 6698-2024 karta.png", "A 6698-2024")</f>
        <v/>
      </c>
      <c r="V252">
        <f>HYPERLINK("https://klasma.github.io/Logging_2283/klagomål/A 6698-2024 FSC-klagomål.docx", "A 6698-2024")</f>
        <v/>
      </c>
      <c r="W252">
        <f>HYPERLINK("https://klasma.github.io/Logging_2283/klagomålsmail/A 6698-2024 FSC-klagomål mail.docx", "A 6698-2024")</f>
        <v/>
      </c>
      <c r="X252">
        <f>HYPERLINK("https://klasma.github.io/Logging_2283/tillsyn/A 6698-2024 tillsynsbegäran.docx", "A 6698-2024")</f>
        <v/>
      </c>
      <c r="Y252">
        <f>HYPERLINK("https://klasma.github.io/Logging_2283/tillsynsmail/A 6698-2024 tillsynsbegäran mail.docx", "A 6698-2024")</f>
        <v/>
      </c>
    </row>
    <row r="253" ht="15" customHeight="1">
      <c r="A253" t="inlineStr">
        <is>
          <t>A 54486-2024</t>
        </is>
      </c>
      <c r="B253" s="1" t="n">
        <v>45617</v>
      </c>
      <c r="C253" s="1" t="n">
        <v>45964</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58880-2024</t>
        </is>
      </c>
      <c r="B254" s="1" t="n">
        <v>45636.44836805556</v>
      </c>
      <c r="C254" s="1" t="n">
        <v>45964</v>
      </c>
      <c r="D254" t="inlineStr">
        <is>
          <t>VÄSTERNORRLANDS LÄN</t>
        </is>
      </c>
      <c r="E254" t="inlineStr">
        <is>
          <t>SOLLEFTEÅ</t>
        </is>
      </c>
      <c r="F254" t="inlineStr">
        <is>
          <t>SCA</t>
        </is>
      </c>
      <c r="G254" t="n">
        <v>2</v>
      </c>
      <c r="H254" t="n">
        <v>0</v>
      </c>
      <c r="I254" t="n">
        <v>0</v>
      </c>
      <c r="J254" t="n">
        <v>2</v>
      </c>
      <c r="K254" t="n">
        <v>0</v>
      </c>
      <c r="L254" t="n">
        <v>0</v>
      </c>
      <c r="M254" t="n">
        <v>0</v>
      </c>
      <c r="N254" t="n">
        <v>0</v>
      </c>
      <c r="O254" t="n">
        <v>2</v>
      </c>
      <c r="P254" t="n">
        <v>0</v>
      </c>
      <c r="Q254" t="n">
        <v>2</v>
      </c>
      <c r="R254" s="2" t="inlineStr">
        <is>
          <t>Gammelgransskål
Garnlav</t>
        </is>
      </c>
      <c r="S254">
        <f>HYPERLINK("https://klasma.github.io/Logging_2283/artfynd/A 58880-2024 artfynd.xlsx", "A 58880-2024")</f>
        <v/>
      </c>
      <c r="T254">
        <f>HYPERLINK("https://klasma.github.io/Logging_2283/kartor/A 58880-2024 karta.png", "A 58880-2024")</f>
        <v/>
      </c>
      <c r="V254">
        <f>HYPERLINK("https://klasma.github.io/Logging_2283/klagomål/A 58880-2024 FSC-klagomål.docx", "A 58880-2024")</f>
        <v/>
      </c>
      <c r="W254">
        <f>HYPERLINK("https://klasma.github.io/Logging_2283/klagomålsmail/A 58880-2024 FSC-klagomål mail.docx", "A 58880-2024")</f>
        <v/>
      </c>
      <c r="X254">
        <f>HYPERLINK("https://klasma.github.io/Logging_2283/tillsyn/A 58880-2024 tillsynsbegäran.docx", "A 58880-2024")</f>
        <v/>
      </c>
      <c r="Y254">
        <f>HYPERLINK("https://klasma.github.io/Logging_2283/tillsynsmail/A 58880-2024 tillsynsbegäran mail.docx", "A 58880-2024")</f>
        <v/>
      </c>
    </row>
    <row r="255" ht="15" customHeight="1">
      <c r="A255" t="inlineStr">
        <is>
          <t>A 53949-2023</t>
        </is>
      </c>
      <c r="B255" s="1" t="n">
        <v>45224</v>
      </c>
      <c r="C255" s="1" t="n">
        <v>45964</v>
      </c>
      <c r="D255" t="inlineStr">
        <is>
          <t>VÄSTERNORRLANDS LÄN</t>
        </is>
      </c>
      <c r="E255" t="inlineStr">
        <is>
          <t>SOLLEFTEÅ</t>
        </is>
      </c>
      <c r="G255" t="n">
        <v>4</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53949-2023 artfynd.xlsx", "A 53949-2023")</f>
        <v/>
      </c>
      <c r="T255">
        <f>HYPERLINK("https://klasma.github.io/Logging_2283/kartor/A 53949-2023 karta.png", "A 53949-2023")</f>
        <v/>
      </c>
      <c r="V255">
        <f>HYPERLINK("https://klasma.github.io/Logging_2283/klagomål/A 53949-2023 FSC-klagomål.docx", "A 53949-2023")</f>
        <v/>
      </c>
      <c r="W255">
        <f>HYPERLINK("https://klasma.github.io/Logging_2283/klagomålsmail/A 53949-2023 FSC-klagomål mail.docx", "A 53949-2023")</f>
        <v/>
      </c>
      <c r="X255">
        <f>HYPERLINK("https://klasma.github.io/Logging_2283/tillsyn/A 53949-2023 tillsynsbegäran.docx", "A 53949-2023")</f>
        <v/>
      </c>
      <c r="Y255">
        <f>HYPERLINK("https://klasma.github.io/Logging_2283/tillsynsmail/A 53949-2023 tillsynsbegäran mail.docx", "A 53949-2023")</f>
        <v/>
      </c>
    </row>
    <row r="256" ht="15" customHeight="1">
      <c r="A256" t="inlineStr">
        <is>
          <t>A 31491-2024</t>
        </is>
      </c>
      <c r="B256" s="1" t="n">
        <v>45505</v>
      </c>
      <c r="C256" s="1" t="n">
        <v>45964</v>
      </c>
      <c r="D256" t="inlineStr">
        <is>
          <t>VÄSTERNORRLANDS LÄN</t>
        </is>
      </c>
      <c r="E256" t="inlineStr">
        <is>
          <t>SOLLEFTEÅ</t>
        </is>
      </c>
      <c r="F256" t="inlineStr">
        <is>
          <t>SCA</t>
        </is>
      </c>
      <c r="G256" t="n">
        <v>17.2</v>
      </c>
      <c r="H256" t="n">
        <v>1</v>
      </c>
      <c r="I256" t="n">
        <v>0</v>
      </c>
      <c r="J256" t="n">
        <v>2</v>
      </c>
      <c r="K256" t="n">
        <v>0</v>
      </c>
      <c r="L256" t="n">
        <v>0</v>
      </c>
      <c r="M256" t="n">
        <v>0</v>
      </c>
      <c r="N256" t="n">
        <v>0</v>
      </c>
      <c r="O256" t="n">
        <v>2</v>
      </c>
      <c r="P256" t="n">
        <v>0</v>
      </c>
      <c r="Q256" t="n">
        <v>2</v>
      </c>
      <c r="R256" s="2" t="inlineStr">
        <is>
          <t>Lunglav
Tretåig hackspett</t>
        </is>
      </c>
      <c r="S256">
        <f>HYPERLINK("https://klasma.github.io/Logging_2283/artfynd/A 31491-2024 artfynd.xlsx", "A 31491-2024")</f>
        <v/>
      </c>
      <c r="T256">
        <f>HYPERLINK("https://klasma.github.io/Logging_2283/kartor/A 31491-2024 karta.png", "A 31491-2024")</f>
        <v/>
      </c>
      <c r="V256">
        <f>HYPERLINK("https://klasma.github.io/Logging_2283/klagomål/A 31491-2024 FSC-klagomål.docx", "A 31491-2024")</f>
        <v/>
      </c>
      <c r="W256">
        <f>HYPERLINK("https://klasma.github.io/Logging_2283/klagomålsmail/A 31491-2024 FSC-klagomål mail.docx", "A 31491-2024")</f>
        <v/>
      </c>
      <c r="X256">
        <f>HYPERLINK("https://klasma.github.io/Logging_2283/tillsyn/A 31491-2024 tillsynsbegäran.docx", "A 31491-2024")</f>
        <v/>
      </c>
      <c r="Y256">
        <f>HYPERLINK("https://klasma.github.io/Logging_2283/tillsynsmail/A 31491-2024 tillsynsbegäran mail.docx", "A 31491-2024")</f>
        <v/>
      </c>
      <c r="Z256">
        <f>HYPERLINK("https://klasma.github.io/Logging_2283/fåglar/A 31491-2024 prioriterade fågelarter.docx", "A 31491-2024")</f>
        <v/>
      </c>
    </row>
    <row r="257" ht="15" customHeight="1">
      <c r="A257" t="inlineStr">
        <is>
          <t>A 45119-2022</t>
        </is>
      </c>
      <c r="B257" s="1" t="n">
        <v>44843</v>
      </c>
      <c r="C257" s="1" t="n">
        <v>45964</v>
      </c>
      <c r="D257" t="inlineStr">
        <is>
          <t>VÄSTERNORRLANDS LÄN</t>
        </is>
      </c>
      <c r="E257" t="inlineStr">
        <is>
          <t>SOLLEFTEÅ</t>
        </is>
      </c>
      <c r="F257" t="inlineStr">
        <is>
          <t>SCA</t>
        </is>
      </c>
      <c r="G257" t="n">
        <v>1.3</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45119-2022 artfynd.xlsx", "A 45119-2022")</f>
        <v/>
      </c>
      <c r="T257">
        <f>HYPERLINK("https://klasma.github.io/Logging_2283/kartor/A 45119-2022 karta.png", "A 45119-2022")</f>
        <v/>
      </c>
      <c r="U257">
        <f>HYPERLINK("https://klasma.github.io/Logging_2283/knärot/A 45119-2022 karta knärot.png", "A 45119-2022")</f>
        <v/>
      </c>
      <c r="V257">
        <f>HYPERLINK("https://klasma.github.io/Logging_2283/klagomål/A 45119-2022 FSC-klagomål.docx", "A 45119-2022")</f>
        <v/>
      </c>
      <c r="W257">
        <f>HYPERLINK("https://klasma.github.io/Logging_2283/klagomålsmail/A 45119-2022 FSC-klagomål mail.docx", "A 45119-2022")</f>
        <v/>
      </c>
      <c r="X257">
        <f>HYPERLINK("https://klasma.github.io/Logging_2283/tillsyn/A 45119-2022 tillsynsbegäran.docx", "A 45119-2022")</f>
        <v/>
      </c>
      <c r="Y257">
        <f>HYPERLINK("https://klasma.github.io/Logging_2283/tillsynsmail/A 45119-2022 tillsynsbegäran mail.docx", "A 45119-2022")</f>
        <v/>
      </c>
    </row>
    <row r="258" ht="15" customHeight="1">
      <c r="A258" t="inlineStr">
        <is>
          <t>A 13743-2025</t>
        </is>
      </c>
      <c r="B258" s="1" t="n">
        <v>45737.40663194445</v>
      </c>
      <c r="C258" s="1" t="n">
        <v>45964</v>
      </c>
      <c r="D258" t="inlineStr">
        <is>
          <t>VÄSTERNORRLANDS LÄN</t>
        </is>
      </c>
      <c r="E258" t="inlineStr">
        <is>
          <t>SOLLEFTEÅ</t>
        </is>
      </c>
      <c r="F258" t="inlineStr">
        <is>
          <t>SCA</t>
        </is>
      </c>
      <c r="G258" t="n">
        <v>2.1</v>
      </c>
      <c r="H258" t="n">
        <v>2</v>
      </c>
      <c r="I258" t="n">
        <v>0</v>
      </c>
      <c r="J258" t="n">
        <v>0</v>
      </c>
      <c r="K258" t="n">
        <v>0</v>
      </c>
      <c r="L258" t="n">
        <v>0</v>
      </c>
      <c r="M258" t="n">
        <v>0</v>
      </c>
      <c r="N258" t="n">
        <v>0</v>
      </c>
      <c r="O258" t="n">
        <v>0</v>
      </c>
      <c r="P258" t="n">
        <v>0</v>
      </c>
      <c r="Q258" t="n">
        <v>2</v>
      </c>
      <c r="R258" s="2" t="inlineStr">
        <is>
          <t>Vanlig groda
Revlummer</t>
        </is>
      </c>
      <c r="S258">
        <f>HYPERLINK("https://klasma.github.io/Logging_2283/artfynd/A 13743-2025 artfynd.xlsx", "A 13743-2025")</f>
        <v/>
      </c>
      <c r="T258">
        <f>HYPERLINK("https://klasma.github.io/Logging_2283/kartor/A 13743-2025 karta.png", "A 13743-2025")</f>
        <v/>
      </c>
      <c r="V258">
        <f>HYPERLINK("https://klasma.github.io/Logging_2283/klagomål/A 13743-2025 FSC-klagomål.docx", "A 13743-2025")</f>
        <v/>
      </c>
      <c r="W258">
        <f>HYPERLINK("https://klasma.github.io/Logging_2283/klagomålsmail/A 13743-2025 FSC-klagomål mail.docx", "A 13743-2025")</f>
        <v/>
      </c>
      <c r="X258">
        <f>HYPERLINK("https://klasma.github.io/Logging_2283/tillsyn/A 13743-2025 tillsynsbegäran.docx", "A 13743-2025")</f>
        <v/>
      </c>
      <c r="Y258">
        <f>HYPERLINK("https://klasma.github.io/Logging_2283/tillsynsmail/A 13743-2025 tillsynsbegäran mail.docx", "A 13743-2025")</f>
        <v/>
      </c>
    </row>
    <row r="259" ht="15" customHeight="1">
      <c r="A259" t="inlineStr">
        <is>
          <t>A 45016-2023</t>
        </is>
      </c>
      <c r="B259" s="1" t="n">
        <v>45190.96188657408</v>
      </c>
      <c r="C259" s="1" t="n">
        <v>45964</v>
      </c>
      <c r="D259" t="inlineStr">
        <is>
          <t>VÄSTERNORRLANDS LÄN</t>
        </is>
      </c>
      <c r="E259" t="inlineStr">
        <is>
          <t>SOLLEFTEÅ</t>
        </is>
      </c>
      <c r="F259" t="inlineStr">
        <is>
          <t>SCA</t>
        </is>
      </c>
      <c r="G259" t="n">
        <v>1.5</v>
      </c>
      <c r="H259" t="n">
        <v>0</v>
      </c>
      <c r="I259" t="n">
        <v>0</v>
      </c>
      <c r="J259" t="n">
        <v>2</v>
      </c>
      <c r="K259" t="n">
        <v>0</v>
      </c>
      <c r="L259" t="n">
        <v>0</v>
      </c>
      <c r="M259" t="n">
        <v>0</v>
      </c>
      <c r="N259" t="n">
        <v>0</v>
      </c>
      <c r="O259" t="n">
        <v>2</v>
      </c>
      <c r="P259" t="n">
        <v>0</v>
      </c>
      <c r="Q259" t="n">
        <v>2</v>
      </c>
      <c r="R259" s="2" t="inlineStr">
        <is>
          <t>Garnlav
Lunglav</t>
        </is>
      </c>
      <c r="S259">
        <f>HYPERLINK("https://klasma.github.io/Logging_2283/artfynd/A 45016-2023 artfynd.xlsx", "A 45016-2023")</f>
        <v/>
      </c>
      <c r="T259">
        <f>HYPERLINK("https://klasma.github.io/Logging_2283/kartor/A 45016-2023 karta.png", "A 45016-2023")</f>
        <v/>
      </c>
      <c r="V259">
        <f>HYPERLINK("https://klasma.github.io/Logging_2283/klagomål/A 45016-2023 FSC-klagomål.docx", "A 45016-2023")</f>
        <v/>
      </c>
      <c r="W259">
        <f>HYPERLINK("https://klasma.github.io/Logging_2283/klagomålsmail/A 45016-2023 FSC-klagomål mail.docx", "A 45016-2023")</f>
        <v/>
      </c>
      <c r="X259">
        <f>HYPERLINK("https://klasma.github.io/Logging_2283/tillsyn/A 45016-2023 tillsynsbegäran.docx", "A 45016-2023")</f>
        <v/>
      </c>
      <c r="Y259">
        <f>HYPERLINK("https://klasma.github.io/Logging_2283/tillsynsmail/A 45016-2023 tillsynsbegäran mail.docx", "A 45016-2023")</f>
        <v/>
      </c>
    </row>
    <row r="260" ht="15" customHeight="1">
      <c r="A260" t="inlineStr">
        <is>
          <t>A 59020-2024</t>
        </is>
      </c>
      <c r="B260" s="1" t="n">
        <v>45636.67765046296</v>
      </c>
      <c r="C260" s="1" t="n">
        <v>45964</v>
      </c>
      <c r="D260" t="inlineStr">
        <is>
          <t>VÄSTERNORRLANDS LÄN</t>
        </is>
      </c>
      <c r="E260" t="inlineStr">
        <is>
          <t>SOLLEFTEÅ</t>
        </is>
      </c>
      <c r="F260" t="inlineStr">
        <is>
          <t>SCA</t>
        </is>
      </c>
      <c r="G260" t="n">
        <v>9.300000000000001</v>
      </c>
      <c r="H260" t="n">
        <v>0</v>
      </c>
      <c r="I260" t="n">
        <v>1</v>
      </c>
      <c r="J260" t="n">
        <v>1</v>
      </c>
      <c r="K260" t="n">
        <v>0</v>
      </c>
      <c r="L260" t="n">
        <v>0</v>
      </c>
      <c r="M260" t="n">
        <v>0</v>
      </c>
      <c r="N260" t="n">
        <v>0</v>
      </c>
      <c r="O260" t="n">
        <v>1</v>
      </c>
      <c r="P260" t="n">
        <v>0</v>
      </c>
      <c r="Q260" t="n">
        <v>2</v>
      </c>
      <c r="R260" s="2" t="inlineStr">
        <is>
          <t>Kortskaftad ärgspik
Bronshjon</t>
        </is>
      </c>
      <c r="S260">
        <f>HYPERLINK("https://klasma.github.io/Logging_2283/artfynd/A 59020-2024 artfynd.xlsx", "A 59020-2024")</f>
        <v/>
      </c>
      <c r="T260">
        <f>HYPERLINK("https://klasma.github.io/Logging_2283/kartor/A 59020-2024 karta.png", "A 59020-2024")</f>
        <v/>
      </c>
      <c r="V260">
        <f>HYPERLINK("https://klasma.github.io/Logging_2283/klagomål/A 59020-2024 FSC-klagomål.docx", "A 59020-2024")</f>
        <v/>
      </c>
      <c r="W260">
        <f>HYPERLINK("https://klasma.github.io/Logging_2283/klagomålsmail/A 59020-2024 FSC-klagomål mail.docx", "A 59020-2024")</f>
        <v/>
      </c>
      <c r="X260">
        <f>HYPERLINK("https://klasma.github.io/Logging_2283/tillsyn/A 59020-2024 tillsynsbegäran.docx", "A 59020-2024")</f>
        <v/>
      </c>
      <c r="Y260">
        <f>HYPERLINK("https://klasma.github.io/Logging_2283/tillsynsmail/A 59020-2024 tillsynsbegäran mail.docx", "A 59020-2024")</f>
        <v/>
      </c>
    </row>
    <row r="261" ht="15" customHeight="1">
      <c r="A261" t="inlineStr">
        <is>
          <t>A 12269-2025</t>
        </is>
      </c>
      <c r="B261" s="1" t="n">
        <v>45729.63542824074</v>
      </c>
      <c r="C261" s="1" t="n">
        <v>45964</v>
      </c>
      <c r="D261" t="inlineStr">
        <is>
          <t>VÄSTERNORRLANDS LÄN</t>
        </is>
      </c>
      <c r="E261" t="inlineStr">
        <is>
          <t>SOLLEFTEÅ</t>
        </is>
      </c>
      <c r="G261" t="n">
        <v>10.9</v>
      </c>
      <c r="H261" t="n">
        <v>0</v>
      </c>
      <c r="I261" t="n">
        <v>0</v>
      </c>
      <c r="J261" t="n">
        <v>2</v>
      </c>
      <c r="K261" t="n">
        <v>0</v>
      </c>
      <c r="L261" t="n">
        <v>0</v>
      </c>
      <c r="M261" t="n">
        <v>0</v>
      </c>
      <c r="N261" t="n">
        <v>0</v>
      </c>
      <c r="O261" t="n">
        <v>2</v>
      </c>
      <c r="P261" t="n">
        <v>0</v>
      </c>
      <c r="Q261" t="n">
        <v>2</v>
      </c>
      <c r="R261" s="2" t="inlineStr">
        <is>
          <t>Garnlav
Lunglav</t>
        </is>
      </c>
      <c r="S261">
        <f>HYPERLINK("https://klasma.github.io/Logging_2283/artfynd/A 12269-2025 artfynd.xlsx", "A 12269-2025")</f>
        <v/>
      </c>
      <c r="T261">
        <f>HYPERLINK("https://klasma.github.io/Logging_2283/kartor/A 12269-2025 karta.png", "A 12269-2025")</f>
        <v/>
      </c>
      <c r="V261">
        <f>HYPERLINK("https://klasma.github.io/Logging_2283/klagomål/A 12269-2025 FSC-klagomål.docx", "A 12269-2025")</f>
        <v/>
      </c>
      <c r="W261">
        <f>HYPERLINK("https://klasma.github.io/Logging_2283/klagomålsmail/A 12269-2025 FSC-klagomål mail.docx", "A 12269-2025")</f>
        <v/>
      </c>
      <c r="X261">
        <f>HYPERLINK("https://klasma.github.io/Logging_2283/tillsyn/A 12269-2025 tillsynsbegäran.docx", "A 12269-2025")</f>
        <v/>
      </c>
      <c r="Y261">
        <f>HYPERLINK("https://klasma.github.io/Logging_2283/tillsynsmail/A 12269-2025 tillsynsbegäran mail.docx", "A 12269-2025")</f>
        <v/>
      </c>
    </row>
    <row r="262" ht="15" customHeight="1">
      <c r="A262" t="inlineStr">
        <is>
          <t>A 2347-2025</t>
        </is>
      </c>
      <c r="B262" s="1" t="n">
        <v>45673.67782407408</v>
      </c>
      <c r="C262" s="1" t="n">
        <v>45964</v>
      </c>
      <c r="D262" t="inlineStr">
        <is>
          <t>VÄSTERNORRLANDS LÄN</t>
        </is>
      </c>
      <c r="E262" t="inlineStr">
        <is>
          <t>SOLLEFTEÅ</t>
        </is>
      </c>
      <c r="F262" t="inlineStr">
        <is>
          <t>SCA</t>
        </is>
      </c>
      <c r="G262" t="n">
        <v>3.3</v>
      </c>
      <c r="H262" t="n">
        <v>1</v>
      </c>
      <c r="I262" t="n">
        <v>0</v>
      </c>
      <c r="J262" t="n">
        <v>2</v>
      </c>
      <c r="K262" t="n">
        <v>0</v>
      </c>
      <c r="L262" t="n">
        <v>0</v>
      </c>
      <c r="M262" t="n">
        <v>0</v>
      </c>
      <c r="N262" t="n">
        <v>0</v>
      </c>
      <c r="O262" t="n">
        <v>2</v>
      </c>
      <c r="P262" t="n">
        <v>0</v>
      </c>
      <c r="Q262" t="n">
        <v>2</v>
      </c>
      <c r="R262" s="2" t="inlineStr">
        <is>
          <t>Garnlav
Spillkråka</t>
        </is>
      </c>
      <c r="S262">
        <f>HYPERLINK("https://klasma.github.io/Logging_2283/artfynd/A 2347-2025 artfynd.xlsx", "A 2347-2025")</f>
        <v/>
      </c>
      <c r="T262">
        <f>HYPERLINK("https://klasma.github.io/Logging_2283/kartor/A 2347-2025 karta.png", "A 2347-2025")</f>
        <v/>
      </c>
      <c r="V262">
        <f>HYPERLINK("https://klasma.github.io/Logging_2283/klagomål/A 2347-2025 FSC-klagomål.docx", "A 2347-2025")</f>
        <v/>
      </c>
      <c r="W262">
        <f>HYPERLINK("https://klasma.github.io/Logging_2283/klagomålsmail/A 2347-2025 FSC-klagomål mail.docx", "A 2347-2025")</f>
        <v/>
      </c>
      <c r="X262">
        <f>HYPERLINK("https://klasma.github.io/Logging_2283/tillsyn/A 2347-2025 tillsynsbegäran.docx", "A 2347-2025")</f>
        <v/>
      </c>
      <c r="Y262">
        <f>HYPERLINK("https://klasma.github.io/Logging_2283/tillsynsmail/A 2347-2025 tillsynsbegäran mail.docx", "A 2347-2025")</f>
        <v/>
      </c>
      <c r="Z262">
        <f>HYPERLINK("https://klasma.github.io/Logging_2283/fåglar/A 2347-2025 prioriterade fågelarter.docx", "A 2347-2025")</f>
        <v/>
      </c>
    </row>
    <row r="263" ht="15" customHeight="1">
      <c r="A263" t="inlineStr">
        <is>
          <t>A 27644-2024</t>
        </is>
      </c>
      <c r="B263" s="1" t="n">
        <v>45474</v>
      </c>
      <c r="C263" s="1" t="n">
        <v>45964</v>
      </c>
      <c r="D263" t="inlineStr">
        <is>
          <t>VÄSTERNORRLANDS LÄN</t>
        </is>
      </c>
      <c r="E263" t="inlineStr">
        <is>
          <t>SOLLEFTEÅ</t>
        </is>
      </c>
      <c r="F263" t="inlineStr">
        <is>
          <t>SCA</t>
        </is>
      </c>
      <c r="G263" t="n">
        <v>2.8</v>
      </c>
      <c r="H263" t="n">
        <v>1</v>
      </c>
      <c r="I263" t="n">
        <v>0</v>
      </c>
      <c r="J263" t="n">
        <v>1</v>
      </c>
      <c r="K263" t="n">
        <v>0</v>
      </c>
      <c r="L263" t="n">
        <v>0</v>
      </c>
      <c r="M263" t="n">
        <v>0</v>
      </c>
      <c r="N263" t="n">
        <v>0</v>
      </c>
      <c r="O263" t="n">
        <v>1</v>
      </c>
      <c r="P263" t="n">
        <v>0</v>
      </c>
      <c r="Q263" t="n">
        <v>2</v>
      </c>
      <c r="R263" s="2" t="inlineStr">
        <is>
          <t>Granticka
Fläcknycklar</t>
        </is>
      </c>
      <c r="S263">
        <f>HYPERLINK("https://klasma.github.io/Logging_2283/artfynd/A 27644-2024 artfynd.xlsx", "A 27644-2024")</f>
        <v/>
      </c>
      <c r="T263">
        <f>HYPERLINK("https://klasma.github.io/Logging_2283/kartor/A 27644-2024 karta.png", "A 27644-2024")</f>
        <v/>
      </c>
      <c r="V263">
        <f>HYPERLINK("https://klasma.github.io/Logging_2283/klagomål/A 27644-2024 FSC-klagomål.docx", "A 27644-2024")</f>
        <v/>
      </c>
      <c r="W263">
        <f>HYPERLINK("https://klasma.github.io/Logging_2283/klagomålsmail/A 27644-2024 FSC-klagomål mail.docx", "A 27644-2024")</f>
        <v/>
      </c>
      <c r="X263">
        <f>HYPERLINK("https://klasma.github.io/Logging_2283/tillsyn/A 27644-2024 tillsynsbegäran.docx", "A 27644-2024")</f>
        <v/>
      </c>
      <c r="Y263">
        <f>HYPERLINK("https://klasma.github.io/Logging_2283/tillsynsmail/A 27644-2024 tillsynsbegäran mail.docx", "A 27644-2024")</f>
        <v/>
      </c>
    </row>
    <row r="264" ht="15" customHeight="1">
      <c r="A264" t="inlineStr">
        <is>
          <t>A 7837-2025</t>
        </is>
      </c>
      <c r="B264" s="1" t="n">
        <v>45706</v>
      </c>
      <c r="C264" s="1" t="n">
        <v>45964</v>
      </c>
      <c r="D264" t="inlineStr">
        <is>
          <t>VÄSTERNORRLANDS LÄN</t>
        </is>
      </c>
      <c r="E264" t="inlineStr">
        <is>
          <t>SOLLEFTEÅ</t>
        </is>
      </c>
      <c r="F264" t="inlineStr">
        <is>
          <t>SCA</t>
        </is>
      </c>
      <c r="G264" t="n">
        <v>2</v>
      </c>
      <c r="H264" t="n">
        <v>0</v>
      </c>
      <c r="I264" t="n">
        <v>1</v>
      </c>
      <c r="J264" t="n">
        <v>1</v>
      </c>
      <c r="K264" t="n">
        <v>0</v>
      </c>
      <c r="L264" t="n">
        <v>0</v>
      </c>
      <c r="M264" t="n">
        <v>0</v>
      </c>
      <c r="N264" t="n">
        <v>0</v>
      </c>
      <c r="O264" t="n">
        <v>1</v>
      </c>
      <c r="P264" t="n">
        <v>0</v>
      </c>
      <c r="Q264" t="n">
        <v>2</v>
      </c>
      <c r="R264" s="2" t="inlineStr">
        <is>
          <t>Gammelgransskål
Norrlandslav</t>
        </is>
      </c>
      <c r="S264">
        <f>HYPERLINK("https://klasma.github.io/Logging_2283/artfynd/A 7837-2025 artfynd.xlsx", "A 7837-2025")</f>
        <v/>
      </c>
      <c r="T264">
        <f>HYPERLINK("https://klasma.github.io/Logging_2283/kartor/A 7837-2025 karta.png", "A 7837-2025")</f>
        <v/>
      </c>
      <c r="V264">
        <f>HYPERLINK("https://klasma.github.io/Logging_2283/klagomål/A 7837-2025 FSC-klagomål.docx", "A 7837-2025")</f>
        <v/>
      </c>
      <c r="W264">
        <f>HYPERLINK("https://klasma.github.io/Logging_2283/klagomålsmail/A 7837-2025 FSC-klagomål mail.docx", "A 7837-2025")</f>
        <v/>
      </c>
      <c r="X264">
        <f>HYPERLINK("https://klasma.github.io/Logging_2283/tillsyn/A 7837-2025 tillsynsbegäran.docx", "A 7837-2025")</f>
        <v/>
      </c>
      <c r="Y264">
        <f>HYPERLINK("https://klasma.github.io/Logging_2283/tillsynsmail/A 7837-2025 tillsynsbegäran mail.docx", "A 7837-2025")</f>
        <v/>
      </c>
    </row>
    <row r="265" ht="15" customHeight="1">
      <c r="A265" t="inlineStr">
        <is>
          <t>A 16718-2025</t>
        </is>
      </c>
      <c r="B265" s="1" t="n">
        <v>45754.48990740741</v>
      </c>
      <c r="C265" s="1" t="n">
        <v>45964</v>
      </c>
      <c r="D265" t="inlineStr">
        <is>
          <t>VÄSTERNORRLANDS LÄN</t>
        </is>
      </c>
      <c r="E265" t="inlineStr">
        <is>
          <t>SOLLEFTEÅ</t>
        </is>
      </c>
      <c r="G265" t="n">
        <v>3.9</v>
      </c>
      <c r="H265" t="n">
        <v>1</v>
      </c>
      <c r="I265" t="n">
        <v>0</v>
      </c>
      <c r="J265" t="n">
        <v>1</v>
      </c>
      <c r="K265" t="n">
        <v>0</v>
      </c>
      <c r="L265" t="n">
        <v>0</v>
      </c>
      <c r="M265" t="n">
        <v>0</v>
      </c>
      <c r="N265" t="n">
        <v>0</v>
      </c>
      <c r="O265" t="n">
        <v>1</v>
      </c>
      <c r="P265" t="n">
        <v>0</v>
      </c>
      <c r="Q265" t="n">
        <v>2</v>
      </c>
      <c r="R265" s="2" t="inlineStr">
        <is>
          <t>Garnlav
Lavskrika</t>
        </is>
      </c>
      <c r="S265">
        <f>HYPERLINK("https://klasma.github.io/Logging_2283/artfynd/A 16718-2025 artfynd.xlsx", "A 16718-2025")</f>
        <v/>
      </c>
      <c r="T265">
        <f>HYPERLINK("https://klasma.github.io/Logging_2283/kartor/A 16718-2025 karta.png", "A 16718-2025")</f>
        <v/>
      </c>
      <c r="V265">
        <f>HYPERLINK("https://klasma.github.io/Logging_2283/klagomål/A 16718-2025 FSC-klagomål.docx", "A 16718-2025")</f>
        <v/>
      </c>
      <c r="W265">
        <f>HYPERLINK("https://klasma.github.io/Logging_2283/klagomålsmail/A 16718-2025 FSC-klagomål mail.docx", "A 16718-2025")</f>
        <v/>
      </c>
      <c r="X265">
        <f>HYPERLINK("https://klasma.github.io/Logging_2283/tillsyn/A 16718-2025 tillsynsbegäran.docx", "A 16718-2025")</f>
        <v/>
      </c>
      <c r="Y265">
        <f>HYPERLINK("https://klasma.github.io/Logging_2283/tillsynsmail/A 16718-2025 tillsynsbegäran mail.docx", "A 16718-2025")</f>
        <v/>
      </c>
      <c r="Z265">
        <f>HYPERLINK("https://klasma.github.io/Logging_2283/fåglar/A 16718-2025 prioriterade fågelarter.docx", "A 16718-2025")</f>
        <v/>
      </c>
    </row>
    <row r="266" ht="15" customHeight="1">
      <c r="A266" t="inlineStr">
        <is>
          <t>A 58314-2024</t>
        </is>
      </c>
      <c r="B266" s="1" t="n">
        <v>45632.61516203704</v>
      </c>
      <c r="C266" s="1" t="n">
        <v>45964</v>
      </c>
      <c r="D266" t="inlineStr">
        <is>
          <t>VÄSTERNORRLANDS LÄN</t>
        </is>
      </c>
      <c r="E266" t="inlineStr">
        <is>
          <t>SOLLEFTEÅ</t>
        </is>
      </c>
      <c r="F266" t="inlineStr">
        <is>
          <t>SCA</t>
        </is>
      </c>
      <c r="G266" t="n">
        <v>3.3</v>
      </c>
      <c r="H266" t="n">
        <v>0</v>
      </c>
      <c r="I266" t="n">
        <v>0</v>
      </c>
      <c r="J266" t="n">
        <v>2</v>
      </c>
      <c r="K266" t="n">
        <v>0</v>
      </c>
      <c r="L266" t="n">
        <v>0</v>
      </c>
      <c r="M266" t="n">
        <v>0</v>
      </c>
      <c r="N266" t="n">
        <v>0</v>
      </c>
      <c r="O266" t="n">
        <v>2</v>
      </c>
      <c r="P266" t="n">
        <v>0</v>
      </c>
      <c r="Q266" t="n">
        <v>2</v>
      </c>
      <c r="R266" s="2" t="inlineStr">
        <is>
          <t>Garnlav
Gränsticka</t>
        </is>
      </c>
      <c r="S266">
        <f>HYPERLINK("https://klasma.github.io/Logging_2283/artfynd/A 58314-2024 artfynd.xlsx", "A 58314-2024")</f>
        <v/>
      </c>
      <c r="T266">
        <f>HYPERLINK("https://klasma.github.io/Logging_2283/kartor/A 58314-2024 karta.png", "A 58314-2024")</f>
        <v/>
      </c>
      <c r="V266">
        <f>HYPERLINK("https://klasma.github.io/Logging_2283/klagomål/A 58314-2024 FSC-klagomål.docx", "A 58314-2024")</f>
        <v/>
      </c>
      <c r="W266">
        <f>HYPERLINK("https://klasma.github.io/Logging_2283/klagomålsmail/A 58314-2024 FSC-klagomål mail.docx", "A 58314-2024")</f>
        <v/>
      </c>
      <c r="X266">
        <f>HYPERLINK("https://klasma.github.io/Logging_2283/tillsyn/A 58314-2024 tillsynsbegäran.docx", "A 58314-2024")</f>
        <v/>
      </c>
      <c r="Y266">
        <f>HYPERLINK("https://klasma.github.io/Logging_2283/tillsynsmail/A 58314-2024 tillsynsbegäran mail.docx", "A 58314-2024")</f>
        <v/>
      </c>
    </row>
    <row r="267" ht="15" customHeight="1">
      <c r="A267" t="inlineStr">
        <is>
          <t>A 48016-2024</t>
        </is>
      </c>
      <c r="B267" s="1" t="n">
        <v>45589.46909722222</v>
      </c>
      <c r="C267" s="1" t="n">
        <v>45964</v>
      </c>
      <c r="D267" t="inlineStr">
        <is>
          <t>VÄSTERNORRLANDS LÄN</t>
        </is>
      </c>
      <c r="E267" t="inlineStr">
        <is>
          <t>SOLLEFTEÅ</t>
        </is>
      </c>
      <c r="F267" t="inlineStr">
        <is>
          <t>SCA</t>
        </is>
      </c>
      <c r="G267" t="n">
        <v>2.6</v>
      </c>
      <c r="H267" t="n">
        <v>1</v>
      </c>
      <c r="I267" t="n">
        <v>0</v>
      </c>
      <c r="J267" t="n">
        <v>2</v>
      </c>
      <c r="K267" t="n">
        <v>0</v>
      </c>
      <c r="L267" t="n">
        <v>0</v>
      </c>
      <c r="M267" t="n">
        <v>0</v>
      </c>
      <c r="N267" t="n">
        <v>0</v>
      </c>
      <c r="O267" t="n">
        <v>2</v>
      </c>
      <c r="P267" t="n">
        <v>0</v>
      </c>
      <c r="Q267" t="n">
        <v>2</v>
      </c>
      <c r="R267" s="2" t="inlineStr">
        <is>
          <t>Järpe
Ullticka</t>
        </is>
      </c>
      <c r="S267">
        <f>HYPERLINK("https://klasma.github.io/Logging_2283/artfynd/A 48016-2024 artfynd.xlsx", "A 48016-2024")</f>
        <v/>
      </c>
      <c r="T267">
        <f>HYPERLINK("https://klasma.github.io/Logging_2283/kartor/A 48016-2024 karta.png", "A 48016-2024")</f>
        <v/>
      </c>
      <c r="V267">
        <f>HYPERLINK("https://klasma.github.io/Logging_2283/klagomål/A 48016-2024 FSC-klagomål.docx", "A 48016-2024")</f>
        <v/>
      </c>
      <c r="W267">
        <f>HYPERLINK("https://klasma.github.io/Logging_2283/klagomålsmail/A 48016-2024 FSC-klagomål mail.docx", "A 48016-2024")</f>
        <v/>
      </c>
      <c r="X267">
        <f>HYPERLINK("https://klasma.github.io/Logging_2283/tillsyn/A 48016-2024 tillsynsbegäran.docx", "A 48016-2024")</f>
        <v/>
      </c>
      <c r="Y267">
        <f>HYPERLINK("https://klasma.github.io/Logging_2283/tillsynsmail/A 48016-2024 tillsynsbegäran mail.docx", "A 48016-2024")</f>
        <v/>
      </c>
      <c r="Z267">
        <f>HYPERLINK("https://klasma.github.io/Logging_2283/fåglar/A 48016-2024 prioriterade fågelarter.docx", "A 48016-2024")</f>
        <v/>
      </c>
    </row>
    <row r="268" ht="15" customHeight="1">
      <c r="A268" t="inlineStr">
        <is>
          <t>A 20836-2021</t>
        </is>
      </c>
      <c r="B268" s="1" t="n">
        <v>44318</v>
      </c>
      <c r="C268" s="1" t="n">
        <v>45964</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38017-2024</t>
        </is>
      </c>
      <c r="B269" s="1" t="n">
        <v>45544</v>
      </c>
      <c r="C269" s="1" t="n">
        <v>45964</v>
      </c>
      <c r="D269" t="inlineStr">
        <is>
          <t>VÄSTERNORRLANDS LÄN</t>
        </is>
      </c>
      <c r="E269" t="inlineStr">
        <is>
          <t>SOLLEFTEÅ</t>
        </is>
      </c>
      <c r="F269" t="inlineStr">
        <is>
          <t>SCA</t>
        </is>
      </c>
      <c r="G269" t="n">
        <v>1.9</v>
      </c>
      <c r="H269" t="n">
        <v>0</v>
      </c>
      <c r="I269" t="n">
        <v>1</v>
      </c>
      <c r="J269" t="n">
        <v>1</v>
      </c>
      <c r="K269" t="n">
        <v>0</v>
      </c>
      <c r="L269" t="n">
        <v>0</v>
      </c>
      <c r="M269" t="n">
        <v>0</v>
      </c>
      <c r="N269" t="n">
        <v>0</v>
      </c>
      <c r="O269" t="n">
        <v>1</v>
      </c>
      <c r="P269" t="n">
        <v>0</v>
      </c>
      <c r="Q269" t="n">
        <v>2</v>
      </c>
      <c r="R269" s="2" t="inlineStr">
        <is>
          <t>Garnlav
Bårdlav</t>
        </is>
      </c>
      <c r="S269">
        <f>HYPERLINK("https://klasma.github.io/Logging_2283/artfynd/A 38017-2024 artfynd.xlsx", "A 38017-2024")</f>
        <v/>
      </c>
      <c r="T269">
        <f>HYPERLINK("https://klasma.github.io/Logging_2283/kartor/A 38017-2024 karta.png", "A 38017-2024")</f>
        <v/>
      </c>
      <c r="V269">
        <f>HYPERLINK("https://klasma.github.io/Logging_2283/klagomål/A 38017-2024 FSC-klagomål.docx", "A 38017-2024")</f>
        <v/>
      </c>
      <c r="W269">
        <f>HYPERLINK("https://klasma.github.io/Logging_2283/klagomålsmail/A 38017-2024 FSC-klagomål mail.docx", "A 38017-2024")</f>
        <v/>
      </c>
      <c r="X269">
        <f>HYPERLINK("https://klasma.github.io/Logging_2283/tillsyn/A 38017-2024 tillsynsbegäran.docx", "A 38017-2024")</f>
        <v/>
      </c>
      <c r="Y269">
        <f>HYPERLINK("https://klasma.github.io/Logging_2283/tillsynsmail/A 38017-2024 tillsynsbegäran mail.docx", "A 38017-2024")</f>
        <v/>
      </c>
    </row>
    <row r="270" ht="15" customHeight="1">
      <c r="A270" t="inlineStr">
        <is>
          <t>A 34814-2024</t>
        </is>
      </c>
      <c r="B270" s="1" t="n">
        <v>45526.70703703703</v>
      </c>
      <c r="C270" s="1" t="n">
        <v>45964</v>
      </c>
      <c r="D270" t="inlineStr">
        <is>
          <t>VÄSTERNORRLANDS LÄN</t>
        </is>
      </c>
      <c r="E270" t="inlineStr">
        <is>
          <t>SOLLEFTEÅ</t>
        </is>
      </c>
      <c r="F270" t="inlineStr">
        <is>
          <t>SCA</t>
        </is>
      </c>
      <c r="G270" t="n">
        <v>6.9</v>
      </c>
      <c r="H270" t="n">
        <v>0</v>
      </c>
      <c r="I270" t="n">
        <v>0</v>
      </c>
      <c r="J270" t="n">
        <v>2</v>
      </c>
      <c r="K270" t="n">
        <v>0</v>
      </c>
      <c r="L270" t="n">
        <v>0</v>
      </c>
      <c r="M270" t="n">
        <v>0</v>
      </c>
      <c r="N270" t="n">
        <v>0</v>
      </c>
      <c r="O270" t="n">
        <v>2</v>
      </c>
      <c r="P270" t="n">
        <v>0</v>
      </c>
      <c r="Q270" t="n">
        <v>2</v>
      </c>
      <c r="R270" s="2" t="inlineStr">
        <is>
          <t>Kolflarnlav
Lunglav</t>
        </is>
      </c>
      <c r="S270">
        <f>HYPERLINK("https://klasma.github.io/Logging_2283/artfynd/A 34814-2024 artfynd.xlsx", "A 34814-2024")</f>
        <v/>
      </c>
      <c r="T270">
        <f>HYPERLINK("https://klasma.github.io/Logging_2283/kartor/A 34814-2024 karta.png", "A 34814-2024")</f>
        <v/>
      </c>
      <c r="V270">
        <f>HYPERLINK("https://klasma.github.io/Logging_2283/klagomål/A 34814-2024 FSC-klagomål.docx", "A 34814-2024")</f>
        <v/>
      </c>
      <c r="W270">
        <f>HYPERLINK("https://klasma.github.io/Logging_2283/klagomålsmail/A 34814-2024 FSC-klagomål mail.docx", "A 34814-2024")</f>
        <v/>
      </c>
      <c r="X270">
        <f>HYPERLINK("https://klasma.github.io/Logging_2283/tillsyn/A 34814-2024 tillsynsbegäran.docx", "A 34814-2024")</f>
        <v/>
      </c>
      <c r="Y270">
        <f>HYPERLINK("https://klasma.github.io/Logging_2283/tillsynsmail/A 34814-2024 tillsynsbegäran mail.docx", "A 34814-2024")</f>
        <v/>
      </c>
    </row>
    <row r="271" ht="15" customHeight="1">
      <c r="A271" t="inlineStr">
        <is>
          <t>A 11578-2025</t>
        </is>
      </c>
      <c r="B271" s="1" t="n">
        <v>45727.38609953703</v>
      </c>
      <c r="C271" s="1" t="n">
        <v>45964</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17377-2021</t>
        </is>
      </c>
      <c r="B272" s="1" t="n">
        <v>44298</v>
      </c>
      <c r="C272" s="1" t="n">
        <v>45964</v>
      </c>
      <c r="D272" t="inlineStr">
        <is>
          <t>VÄSTERNORRLANDS LÄN</t>
        </is>
      </c>
      <c r="E272" t="inlineStr">
        <is>
          <t>SOLLEFTEÅ</t>
        </is>
      </c>
      <c r="G272" t="n">
        <v>5.1</v>
      </c>
      <c r="H272" t="n">
        <v>1</v>
      </c>
      <c r="I272" t="n">
        <v>0</v>
      </c>
      <c r="J272" t="n">
        <v>2</v>
      </c>
      <c r="K272" t="n">
        <v>0</v>
      </c>
      <c r="L272" t="n">
        <v>0</v>
      </c>
      <c r="M272" t="n">
        <v>0</v>
      </c>
      <c r="N272" t="n">
        <v>0</v>
      </c>
      <c r="O272" t="n">
        <v>2</v>
      </c>
      <c r="P272" t="n">
        <v>0</v>
      </c>
      <c r="Q272" t="n">
        <v>2</v>
      </c>
      <c r="R272" s="2" t="inlineStr">
        <is>
          <t>Tretåig hackspett
Ullticka</t>
        </is>
      </c>
      <c r="S272">
        <f>HYPERLINK("https://klasma.github.io/Logging_2283/artfynd/A 17377-2021 artfynd.xlsx", "A 17377-2021")</f>
        <v/>
      </c>
      <c r="T272">
        <f>HYPERLINK("https://klasma.github.io/Logging_2283/kartor/A 17377-2021 karta.png", "A 17377-2021")</f>
        <v/>
      </c>
      <c r="V272">
        <f>HYPERLINK("https://klasma.github.io/Logging_2283/klagomål/A 17377-2021 FSC-klagomål.docx", "A 17377-2021")</f>
        <v/>
      </c>
      <c r="W272">
        <f>HYPERLINK("https://klasma.github.io/Logging_2283/klagomålsmail/A 17377-2021 FSC-klagomål mail.docx", "A 17377-2021")</f>
        <v/>
      </c>
      <c r="X272">
        <f>HYPERLINK("https://klasma.github.io/Logging_2283/tillsyn/A 17377-2021 tillsynsbegäran.docx", "A 17377-2021")</f>
        <v/>
      </c>
      <c r="Y272">
        <f>HYPERLINK("https://klasma.github.io/Logging_2283/tillsynsmail/A 17377-2021 tillsynsbegäran mail.docx", "A 17377-2021")</f>
        <v/>
      </c>
      <c r="Z272">
        <f>HYPERLINK("https://klasma.github.io/Logging_2283/fåglar/A 17377-2021 prioriterade fågelarter.docx", "A 17377-2021")</f>
        <v/>
      </c>
    </row>
    <row r="273" ht="15" customHeight="1">
      <c r="A273" t="inlineStr">
        <is>
          <t>A 21742-2025</t>
        </is>
      </c>
      <c r="B273" s="1" t="n">
        <v>45783.59428240741</v>
      </c>
      <c r="C273" s="1" t="n">
        <v>45964</v>
      </c>
      <c r="D273" t="inlineStr">
        <is>
          <t>VÄSTERNORRLANDS LÄN</t>
        </is>
      </c>
      <c r="E273" t="inlineStr">
        <is>
          <t>SOLLEFTEÅ</t>
        </is>
      </c>
      <c r="F273" t="inlineStr">
        <is>
          <t>SCA</t>
        </is>
      </c>
      <c r="G273" t="n">
        <v>1.5</v>
      </c>
      <c r="H273" t="n">
        <v>1</v>
      </c>
      <c r="I273" t="n">
        <v>0</v>
      </c>
      <c r="J273" t="n">
        <v>1</v>
      </c>
      <c r="K273" t="n">
        <v>0</v>
      </c>
      <c r="L273" t="n">
        <v>0</v>
      </c>
      <c r="M273" t="n">
        <v>0</v>
      </c>
      <c r="N273" t="n">
        <v>0</v>
      </c>
      <c r="O273" t="n">
        <v>1</v>
      </c>
      <c r="P273" t="n">
        <v>0</v>
      </c>
      <c r="Q273" t="n">
        <v>2</v>
      </c>
      <c r="R273" s="2" t="inlineStr">
        <is>
          <t>Garnlav
Revlummer</t>
        </is>
      </c>
      <c r="S273">
        <f>HYPERLINK("https://klasma.github.io/Logging_2283/artfynd/A 21742-2025 artfynd.xlsx", "A 21742-2025")</f>
        <v/>
      </c>
      <c r="T273">
        <f>HYPERLINK("https://klasma.github.io/Logging_2283/kartor/A 21742-2025 karta.png", "A 21742-2025")</f>
        <v/>
      </c>
      <c r="V273">
        <f>HYPERLINK("https://klasma.github.io/Logging_2283/klagomål/A 21742-2025 FSC-klagomål.docx", "A 21742-2025")</f>
        <v/>
      </c>
      <c r="W273">
        <f>HYPERLINK("https://klasma.github.io/Logging_2283/klagomålsmail/A 21742-2025 FSC-klagomål mail.docx", "A 21742-2025")</f>
        <v/>
      </c>
      <c r="X273">
        <f>HYPERLINK("https://klasma.github.io/Logging_2283/tillsyn/A 21742-2025 tillsynsbegäran.docx", "A 21742-2025")</f>
        <v/>
      </c>
      <c r="Y273">
        <f>HYPERLINK("https://klasma.github.io/Logging_2283/tillsynsmail/A 21742-2025 tillsynsbegäran mail.docx", "A 21742-2025")</f>
        <v/>
      </c>
    </row>
    <row r="274" ht="15" customHeight="1">
      <c r="A274" t="inlineStr">
        <is>
          <t>A 54153-2021</t>
        </is>
      </c>
      <c r="B274" s="1" t="n">
        <v>44469</v>
      </c>
      <c r="C274" s="1" t="n">
        <v>45964</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21485-2025</t>
        </is>
      </c>
      <c r="B275" s="1" t="n">
        <v>45782.59512731482</v>
      </c>
      <c r="C275" s="1" t="n">
        <v>45964</v>
      </c>
      <c r="D275" t="inlineStr">
        <is>
          <t>VÄSTERNORRLANDS LÄN</t>
        </is>
      </c>
      <c r="E275" t="inlineStr">
        <is>
          <t>SOLLEFTEÅ</t>
        </is>
      </c>
      <c r="F275" t="inlineStr">
        <is>
          <t>SCA</t>
        </is>
      </c>
      <c r="G275" t="n">
        <v>5.4</v>
      </c>
      <c r="H275" t="n">
        <v>0</v>
      </c>
      <c r="I275" t="n">
        <v>1</v>
      </c>
      <c r="J275" t="n">
        <v>1</v>
      </c>
      <c r="K275" t="n">
        <v>0</v>
      </c>
      <c r="L275" t="n">
        <v>0</v>
      </c>
      <c r="M275" t="n">
        <v>0</v>
      </c>
      <c r="N275" t="n">
        <v>0</v>
      </c>
      <c r="O275" t="n">
        <v>1</v>
      </c>
      <c r="P275" t="n">
        <v>0</v>
      </c>
      <c r="Q275" t="n">
        <v>2</v>
      </c>
      <c r="R275" s="2" t="inlineStr">
        <is>
          <t>Garnlav
Vågbandad barkbock</t>
        </is>
      </c>
      <c r="S275">
        <f>HYPERLINK("https://klasma.github.io/Logging_2283/artfynd/A 21485-2025 artfynd.xlsx", "A 21485-2025")</f>
        <v/>
      </c>
      <c r="T275">
        <f>HYPERLINK("https://klasma.github.io/Logging_2283/kartor/A 21485-2025 karta.png", "A 21485-2025")</f>
        <v/>
      </c>
      <c r="V275">
        <f>HYPERLINK("https://klasma.github.io/Logging_2283/klagomål/A 21485-2025 FSC-klagomål.docx", "A 21485-2025")</f>
        <v/>
      </c>
      <c r="W275">
        <f>HYPERLINK("https://klasma.github.io/Logging_2283/klagomålsmail/A 21485-2025 FSC-klagomål mail.docx", "A 21485-2025")</f>
        <v/>
      </c>
      <c r="X275">
        <f>HYPERLINK("https://klasma.github.io/Logging_2283/tillsyn/A 21485-2025 tillsynsbegäran.docx", "A 21485-2025")</f>
        <v/>
      </c>
      <c r="Y275">
        <f>HYPERLINK("https://klasma.github.io/Logging_2283/tillsynsmail/A 21485-2025 tillsynsbegäran mail.docx", "A 21485-2025")</f>
        <v/>
      </c>
    </row>
    <row r="276" ht="15" customHeight="1">
      <c r="A276" t="inlineStr">
        <is>
          <t>A 34812-2024</t>
        </is>
      </c>
      <c r="B276" s="1" t="n">
        <v>45526</v>
      </c>
      <c r="C276" s="1" t="n">
        <v>45964</v>
      </c>
      <c r="D276" t="inlineStr">
        <is>
          <t>VÄSTERNORRLANDS LÄN</t>
        </is>
      </c>
      <c r="E276" t="inlineStr">
        <is>
          <t>SOLLEFTEÅ</t>
        </is>
      </c>
      <c r="G276" t="n">
        <v>8.1</v>
      </c>
      <c r="H276" t="n">
        <v>0</v>
      </c>
      <c r="I276" t="n">
        <v>1</v>
      </c>
      <c r="J276" t="n">
        <v>1</v>
      </c>
      <c r="K276" t="n">
        <v>0</v>
      </c>
      <c r="L276" t="n">
        <v>0</v>
      </c>
      <c r="M276" t="n">
        <v>0</v>
      </c>
      <c r="N276" t="n">
        <v>0</v>
      </c>
      <c r="O276" t="n">
        <v>1</v>
      </c>
      <c r="P276" t="n">
        <v>0</v>
      </c>
      <c r="Q276" t="n">
        <v>2</v>
      </c>
      <c r="R276" s="2" t="inlineStr">
        <is>
          <t>Garnlav
Dropptaggsvamp</t>
        </is>
      </c>
      <c r="S276">
        <f>HYPERLINK("https://klasma.github.io/Logging_2283/artfynd/A 34812-2024 artfynd.xlsx", "A 34812-2024")</f>
        <v/>
      </c>
      <c r="T276">
        <f>HYPERLINK("https://klasma.github.io/Logging_2283/kartor/A 34812-2024 karta.png", "A 34812-2024")</f>
        <v/>
      </c>
      <c r="V276">
        <f>HYPERLINK("https://klasma.github.io/Logging_2283/klagomål/A 34812-2024 FSC-klagomål.docx", "A 34812-2024")</f>
        <v/>
      </c>
      <c r="W276">
        <f>HYPERLINK("https://klasma.github.io/Logging_2283/klagomålsmail/A 34812-2024 FSC-klagomål mail.docx", "A 34812-2024")</f>
        <v/>
      </c>
      <c r="X276">
        <f>HYPERLINK("https://klasma.github.io/Logging_2283/tillsyn/A 34812-2024 tillsynsbegäran.docx", "A 34812-2024")</f>
        <v/>
      </c>
      <c r="Y276">
        <f>HYPERLINK("https://klasma.github.io/Logging_2283/tillsynsmail/A 34812-2024 tillsynsbegäran mail.docx", "A 34812-2024")</f>
        <v/>
      </c>
    </row>
    <row r="277" ht="15" customHeight="1">
      <c r="A277" t="inlineStr">
        <is>
          <t>A 13309-2022</t>
        </is>
      </c>
      <c r="B277" s="1" t="n">
        <v>44644.93670138889</v>
      </c>
      <c r="C277" s="1" t="n">
        <v>45964</v>
      </c>
      <c r="D277" t="inlineStr">
        <is>
          <t>VÄSTERNORRLANDS LÄN</t>
        </is>
      </c>
      <c r="E277" t="inlineStr">
        <is>
          <t>SOLLEFTEÅ</t>
        </is>
      </c>
      <c r="F277" t="inlineStr">
        <is>
          <t>SCA</t>
        </is>
      </c>
      <c r="G277" t="n">
        <v>2.3</v>
      </c>
      <c r="H277" t="n">
        <v>0</v>
      </c>
      <c r="I277" t="n">
        <v>0</v>
      </c>
      <c r="J277" t="n">
        <v>1</v>
      </c>
      <c r="K277" t="n">
        <v>1</v>
      </c>
      <c r="L277" t="n">
        <v>0</v>
      </c>
      <c r="M277" t="n">
        <v>0</v>
      </c>
      <c r="N277" t="n">
        <v>0</v>
      </c>
      <c r="O277" t="n">
        <v>2</v>
      </c>
      <c r="P277" t="n">
        <v>1</v>
      </c>
      <c r="Q277" t="n">
        <v>2</v>
      </c>
      <c r="R277" s="2" t="inlineStr">
        <is>
          <t>Rynkskinn
Koralltaggsvamp</t>
        </is>
      </c>
      <c r="S277">
        <f>HYPERLINK("https://klasma.github.io/Logging_2283/artfynd/A 13309-2022 artfynd.xlsx", "A 13309-2022")</f>
        <v/>
      </c>
      <c r="T277">
        <f>HYPERLINK("https://klasma.github.io/Logging_2283/kartor/A 13309-2022 karta.png", "A 13309-2022")</f>
        <v/>
      </c>
      <c r="V277">
        <f>HYPERLINK("https://klasma.github.io/Logging_2283/klagomål/A 13309-2022 FSC-klagomål.docx", "A 13309-2022")</f>
        <v/>
      </c>
      <c r="W277">
        <f>HYPERLINK("https://klasma.github.io/Logging_2283/klagomålsmail/A 13309-2022 FSC-klagomål mail.docx", "A 13309-2022")</f>
        <v/>
      </c>
      <c r="X277">
        <f>HYPERLINK("https://klasma.github.io/Logging_2283/tillsyn/A 13309-2022 tillsynsbegäran.docx", "A 13309-2022")</f>
        <v/>
      </c>
      <c r="Y277">
        <f>HYPERLINK("https://klasma.github.io/Logging_2283/tillsynsmail/A 13309-2022 tillsynsbegäran mail.docx", "A 13309-2022")</f>
        <v/>
      </c>
    </row>
    <row r="278" ht="15" customHeight="1">
      <c r="A278" t="inlineStr">
        <is>
          <t>A 22220-2025</t>
        </is>
      </c>
      <c r="B278" s="1" t="n">
        <v>45785.65862268519</v>
      </c>
      <c r="C278" s="1" t="n">
        <v>45964</v>
      </c>
      <c r="D278" t="inlineStr">
        <is>
          <t>VÄSTERNORRLANDS LÄN</t>
        </is>
      </c>
      <c r="E278" t="inlineStr">
        <is>
          <t>SOLLEFTEÅ</t>
        </is>
      </c>
      <c r="F278" t="inlineStr">
        <is>
          <t>SCA</t>
        </is>
      </c>
      <c r="G278" t="n">
        <v>4.6</v>
      </c>
      <c r="H278" t="n">
        <v>0</v>
      </c>
      <c r="I278" t="n">
        <v>1</v>
      </c>
      <c r="J278" t="n">
        <v>1</v>
      </c>
      <c r="K278" t="n">
        <v>0</v>
      </c>
      <c r="L278" t="n">
        <v>0</v>
      </c>
      <c r="M278" t="n">
        <v>0</v>
      </c>
      <c r="N278" t="n">
        <v>0</v>
      </c>
      <c r="O278" t="n">
        <v>1</v>
      </c>
      <c r="P278" t="n">
        <v>0</v>
      </c>
      <c r="Q278" t="n">
        <v>2</v>
      </c>
      <c r="R278" s="2" t="inlineStr">
        <is>
          <t>Lunglav
Stor aspticka</t>
        </is>
      </c>
      <c r="S278">
        <f>HYPERLINK("https://klasma.github.io/Logging_2283/artfynd/A 22220-2025 artfynd.xlsx", "A 22220-2025")</f>
        <v/>
      </c>
      <c r="T278">
        <f>HYPERLINK("https://klasma.github.io/Logging_2283/kartor/A 22220-2025 karta.png", "A 22220-2025")</f>
        <v/>
      </c>
      <c r="V278">
        <f>HYPERLINK("https://klasma.github.io/Logging_2283/klagomål/A 22220-2025 FSC-klagomål.docx", "A 22220-2025")</f>
        <v/>
      </c>
      <c r="W278">
        <f>HYPERLINK("https://klasma.github.io/Logging_2283/klagomålsmail/A 22220-2025 FSC-klagomål mail.docx", "A 22220-2025")</f>
        <v/>
      </c>
      <c r="X278">
        <f>HYPERLINK("https://klasma.github.io/Logging_2283/tillsyn/A 22220-2025 tillsynsbegäran.docx", "A 22220-2025")</f>
        <v/>
      </c>
      <c r="Y278">
        <f>HYPERLINK("https://klasma.github.io/Logging_2283/tillsynsmail/A 22220-2025 tillsynsbegäran mail.docx", "A 22220-2025")</f>
        <v/>
      </c>
    </row>
    <row r="279" ht="15" customHeight="1">
      <c r="A279" t="inlineStr">
        <is>
          <t>A 20347-2025</t>
        </is>
      </c>
      <c r="B279" s="1" t="n">
        <v>45775</v>
      </c>
      <c r="C279" s="1" t="n">
        <v>45964</v>
      </c>
      <c r="D279" t="inlineStr">
        <is>
          <t>VÄSTERNORRLANDS LÄN</t>
        </is>
      </c>
      <c r="E279" t="inlineStr">
        <is>
          <t>SOLLEFTEÅ</t>
        </is>
      </c>
      <c r="G279" t="n">
        <v>8.699999999999999</v>
      </c>
      <c r="H279" t="n">
        <v>1</v>
      </c>
      <c r="I279" t="n">
        <v>1</v>
      </c>
      <c r="J279" t="n">
        <v>0</v>
      </c>
      <c r="K279" t="n">
        <v>0</v>
      </c>
      <c r="L279" t="n">
        <v>0</v>
      </c>
      <c r="M279" t="n">
        <v>0</v>
      </c>
      <c r="N279" t="n">
        <v>0</v>
      </c>
      <c r="O279" t="n">
        <v>0</v>
      </c>
      <c r="P279" t="n">
        <v>0</v>
      </c>
      <c r="Q279" t="n">
        <v>2</v>
      </c>
      <c r="R279" s="2" t="inlineStr">
        <is>
          <t>Gräsull
Fläcknycklar</t>
        </is>
      </c>
      <c r="S279">
        <f>HYPERLINK("https://klasma.github.io/Logging_2283/artfynd/A 20347-2025 artfynd.xlsx", "A 20347-2025")</f>
        <v/>
      </c>
      <c r="T279">
        <f>HYPERLINK("https://klasma.github.io/Logging_2283/kartor/A 20347-2025 karta.png", "A 20347-2025")</f>
        <v/>
      </c>
      <c r="V279">
        <f>HYPERLINK("https://klasma.github.io/Logging_2283/klagomål/A 20347-2025 FSC-klagomål.docx", "A 20347-2025")</f>
        <v/>
      </c>
      <c r="W279">
        <f>HYPERLINK("https://klasma.github.io/Logging_2283/klagomålsmail/A 20347-2025 FSC-klagomål mail.docx", "A 20347-2025")</f>
        <v/>
      </c>
      <c r="X279">
        <f>HYPERLINK("https://klasma.github.io/Logging_2283/tillsyn/A 20347-2025 tillsynsbegäran.docx", "A 20347-2025")</f>
        <v/>
      </c>
      <c r="Y279">
        <f>HYPERLINK("https://klasma.github.io/Logging_2283/tillsynsmail/A 20347-2025 tillsynsbegäran mail.docx", "A 20347-2025")</f>
        <v/>
      </c>
    </row>
    <row r="280" ht="15" customHeight="1">
      <c r="A280" t="inlineStr">
        <is>
          <t>A 22518-2025</t>
        </is>
      </c>
      <c r="B280" s="1" t="n">
        <v>45786.67831018518</v>
      </c>
      <c r="C280" s="1" t="n">
        <v>45964</v>
      </c>
      <c r="D280" t="inlineStr">
        <is>
          <t>VÄSTERNORRLANDS LÄN</t>
        </is>
      </c>
      <c r="E280" t="inlineStr">
        <is>
          <t>SOLLEFTEÅ</t>
        </is>
      </c>
      <c r="F280" t="inlineStr">
        <is>
          <t>SCA</t>
        </is>
      </c>
      <c r="G280" t="n">
        <v>4</v>
      </c>
      <c r="H280" t="n">
        <v>0</v>
      </c>
      <c r="I280" t="n">
        <v>0</v>
      </c>
      <c r="J280" t="n">
        <v>2</v>
      </c>
      <c r="K280" t="n">
        <v>0</v>
      </c>
      <c r="L280" t="n">
        <v>0</v>
      </c>
      <c r="M280" t="n">
        <v>0</v>
      </c>
      <c r="N280" t="n">
        <v>0</v>
      </c>
      <c r="O280" t="n">
        <v>2</v>
      </c>
      <c r="P280" t="n">
        <v>0</v>
      </c>
      <c r="Q280" t="n">
        <v>2</v>
      </c>
      <c r="R280" s="2" t="inlineStr">
        <is>
          <t>Garnlav
Ullticka</t>
        </is>
      </c>
      <c r="S280">
        <f>HYPERLINK("https://klasma.github.io/Logging_2283/artfynd/A 22518-2025 artfynd.xlsx", "A 22518-2025")</f>
        <v/>
      </c>
      <c r="T280">
        <f>HYPERLINK("https://klasma.github.io/Logging_2283/kartor/A 22518-2025 karta.png", "A 22518-2025")</f>
        <v/>
      </c>
      <c r="V280">
        <f>HYPERLINK("https://klasma.github.io/Logging_2283/klagomål/A 22518-2025 FSC-klagomål.docx", "A 22518-2025")</f>
        <v/>
      </c>
      <c r="W280">
        <f>HYPERLINK("https://klasma.github.io/Logging_2283/klagomålsmail/A 22518-2025 FSC-klagomål mail.docx", "A 22518-2025")</f>
        <v/>
      </c>
      <c r="X280">
        <f>HYPERLINK("https://klasma.github.io/Logging_2283/tillsyn/A 22518-2025 tillsynsbegäran.docx", "A 22518-2025")</f>
        <v/>
      </c>
      <c r="Y280">
        <f>HYPERLINK("https://klasma.github.io/Logging_2283/tillsynsmail/A 22518-2025 tillsynsbegäran mail.docx", "A 22518-2025")</f>
        <v/>
      </c>
    </row>
    <row r="281" ht="15" customHeight="1">
      <c r="A281" t="inlineStr">
        <is>
          <t>A 22808-2025</t>
        </is>
      </c>
      <c r="B281" s="1" t="n">
        <v>45789</v>
      </c>
      <c r="C281" s="1" t="n">
        <v>45964</v>
      </c>
      <c r="D281" t="inlineStr">
        <is>
          <t>VÄSTERNORRLANDS LÄN</t>
        </is>
      </c>
      <c r="E281" t="inlineStr">
        <is>
          <t>SOLLEFTEÅ</t>
        </is>
      </c>
      <c r="G281" t="n">
        <v>0.7</v>
      </c>
      <c r="H281" t="n">
        <v>0</v>
      </c>
      <c r="I281" t="n">
        <v>1</v>
      </c>
      <c r="J281" t="n">
        <v>1</v>
      </c>
      <c r="K281" t="n">
        <v>0</v>
      </c>
      <c r="L281" t="n">
        <v>0</v>
      </c>
      <c r="M281" t="n">
        <v>0</v>
      </c>
      <c r="N281" t="n">
        <v>0</v>
      </c>
      <c r="O281" t="n">
        <v>1</v>
      </c>
      <c r="P281" t="n">
        <v>0</v>
      </c>
      <c r="Q281" t="n">
        <v>2</v>
      </c>
      <c r="R281" s="2" t="inlineStr">
        <is>
          <t>Lunglav
Bårdlav</t>
        </is>
      </c>
      <c r="S281">
        <f>HYPERLINK("https://klasma.github.io/Logging_2283/artfynd/A 22808-2025 artfynd.xlsx", "A 22808-2025")</f>
        <v/>
      </c>
      <c r="T281">
        <f>HYPERLINK("https://klasma.github.io/Logging_2283/kartor/A 22808-2025 karta.png", "A 22808-2025")</f>
        <v/>
      </c>
      <c r="V281">
        <f>HYPERLINK("https://klasma.github.io/Logging_2283/klagomål/A 22808-2025 FSC-klagomål.docx", "A 22808-2025")</f>
        <v/>
      </c>
      <c r="W281">
        <f>HYPERLINK("https://klasma.github.io/Logging_2283/klagomålsmail/A 22808-2025 FSC-klagomål mail.docx", "A 22808-2025")</f>
        <v/>
      </c>
      <c r="X281">
        <f>HYPERLINK("https://klasma.github.io/Logging_2283/tillsyn/A 22808-2025 tillsynsbegäran.docx", "A 22808-2025")</f>
        <v/>
      </c>
      <c r="Y281">
        <f>HYPERLINK("https://klasma.github.io/Logging_2283/tillsynsmail/A 22808-2025 tillsynsbegäran mail.docx", "A 22808-2025")</f>
        <v/>
      </c>
    </row>
    <row r="282" ht="15" customHeight="1">
      <c r="A282" t="inlineStr">
        <is>
          <t>A 20329-2025</t>
        </is>
      </c>
      <c r="B282" s="1" t="n">
        <v>45775</v>
      </c>
      <c r="C282" s="1" t="n">
        <v>45964</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25522-2025</t>
        </is>
      </c>
      <c r="B283" s="1" t="n">
        <v>45803.38619212963</v>
      </c>
      <c r="C283" s="1" t="n">
        <v>45964</v>
      </c>
      <c r="D283" t="inlineStr">
        <is>
          <t>VÄSTERNORRLANDS LÄN</t>
        </is>
      </c>
      <c r="E283" t="inlineStr">
        <is>
          <t>SOLLEFTEÅ</t>
        </is>
      </c>
      <c r="F283" t="inlineStr">
        <is>
          <t>SCA</t>
        </is>
      </c>
      <c r="G283" t="n">
        <v>0.8</v>
      </c>
      <c r="H283" t="n">
        <v>0</v>
      </c>
      <c r="I283" t="n">
        <v>0</v>
      </c>
      <c r="J283" t="n">
        <v>2</v>
      </c>
      <c r="K283" t="n">
        <v>0</v>
      </c>
      <c r="L283" t="n">
        <v>0</v>
      </c>
      <c r="M283" t="n">
        <v>0</v>
      </c>
      <c r="N283" t="n">
        <v>0</v>
      </c>
      <c r="O283" t="n">
        <v>2</v>
      </c>
      <c r="P283" t="n">
        <v>0</v>
      </c>
      <c r="Q283" t="n">
        <v>2</v>
      </c>
      <c r="R283" s="2" t="inlineStr">
        <is>
          <t>Garnlav
Granticka</t>
        </is>
      </c>
      <c r="S283">
        <f>HYPERLINK("https://klasma.github.io/Logging_2283/artfynd/A 25522-2025 artfynd.xlsx", "A 25522-2025")</f>
        <v/>
      </c>
      <c r="T283">
        <f>HYPERLINK("https://klasma.github.io/Logging_2283/kartor/A 25522-2025 karta.png", "A 25522-2025")</f>
        <v/>
      </c>
      <c r="V283">
        <f>HYPERLINK("https://klasma.github.io/Logging_2283/klagomål/A 25522-2025 FSC-klagomål.docx", "A 25522-2025")</f>
        <v/>
      </c>
      <c r="W283">
        <f>HYPERLINK("https://klasma.github.io/Logging_2283/klagomålsmail/A 25522-2025 FSC-klagomål mail.docx", "A 25522-2025")</f>
        <v/>
      </c>
      <c r="X283">
        <f>HYPERLINK("https://klasma.github.io/Logging_2283/tillsyn/A 25522-2025 tillsynsbegäran.docx", "A 25522-2025")</f>
        <v/>
      </c>
      <c r="Y283">
        <f>HYPERLINK("https://klasma.github.io/Logging_2283/tillsynsmail/A 25522-2025 tillsynsbegäran mail.docx", "A 25522-2025")</f>
        <v/>
      </c>
    </row>
    <row r="284" ht="15" customHeight="1">
      <c r="A284" t="inlineStr">
        <is>
          <t>A 27983-2021</t>
        </is>
      </c>
      <c r="B284" s="1" t="n">
        <v>44354</v>
      </c>
      <c r="C284" s="1" t="n">
        <v>45964</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2515-2024</t>
        </is>
      </c>
      <c r="B285" s="1" t="n">
        <v>45313</v>
      </c>
      <c r="C285" s="1" t="n">
        <v>45964</v>
      </c>
      <c r="D285" t="inlineStr">
        <is>
          <t>VÄSTERNORRLANDS LÄN</t>
        </is>
      </c>
      <c r="E285" t="inlineStr">
        <is>
          <t>SOLLEFTEÅ</t>
        </is>
      </c>
      <c r="F285" t="inlineStr">
        <is>
          <t>Kommuner</t>
        </is>
      </c>
      <c r="G285" t="n">
        <v>8.699999999999999</v>
      </c>
      <c r="H285" t="n">
        <v>1</v>
      </c>
      <c r="I285" t="n">
        <v>0</v>
      </c>
      <c r="J285" t="n">
        <v>2</v>
      </c>
      <c r="K285" t="n">
        <v>0</v>
      </c>
      <c r="L285" t="n">
        <v>0</v>
      </c>
      <c r="M285" t="n">
        <v>0</v>
      </c>
      <c r="N285" t="n">
        <v>0</v>
      </c>
      <c r="O285" t="n">
        <v>2</v>
      </c>
      <c r="P285" t="n">
        <v>0</v>
      </c>
      <c r="Q285" t="n">
        <v>2</v>
      </c>
      <c r="R285" s="2" t="inlineStr">
        <is>
          <t>Granticka
Talltita</t>
        </is>
      </c>
      <c r="S285">
        <f>HYPERLINK("https://klasma.github.io/Logging_2283/artfynd/A 2515-2024 artfynd.xlsx", "A 2515-2024")</f>
        <v/>
      </c>
      <c r="T285">
        <f>HYPERLINK("https://klasma.github.io/Logging_2283/kartor/A 2515-2024 karta.png", "A 2515-2024")</f>
        <v/>
      </c>
      <c r="V285">
        <f>HYPERLINK("https://klasma.github.io/Logging_2283/klagomål/A 2515-2024 FSC-klagomål.docx", "A 2515-2024")</f>
        <v/>
      </c>
      <c r="W285">
        <f>HYPERLINK("https://klasma.github.io/Logging_2283/klagomålsmail/A 2515-2024 FSC-klagomål mail.docx", "A 2515-2024")</f>
        <v/>
      </c>
      <c r="X285">
        <f>HYPERLINK("https://klasma.github.io/Logging_2283/tillsyn/A 2515-2024 tillsynsbegäran.docx", "A 2515-2024")</f>
        <v/>
      </c>
      <c r="Y285">
        <f>HYPERLINK("https://klasma.github.io/Logging_2283/tillsynsmail/A 2515-2024 tillsynsbegäran mail.docx", "A 2515-2024")</f>
        <v/>
      </c>
      <c r="Z285">
        <f>HYPERLINK("https://klasma.github.io/Logging_2283/fåglar/A 2515-2024 prioriterade fågelarter.docx", "A 2515-2024")</f>
        <v/>
      </c>
    </row>
    <row r="286" ht="15" customHeight="1">
      <c r="A286" t="inlineStr">
        <is>
          <t>A 30972-2025</t>
        </is>
      </c>
      <c r="B286" s="1" t="n">
        <v>45832.4615625</v>
      </c>
      <c r="C286" s="1" t="n">
        <v>45964</v>
      </c>
      <c r="D286" t="inlineStr">
        <is>
          <t>VÄSTERNORRLANDS LÄN</t>
        </is>
      </c>
      <c r="E286" t="inlineStr">
        <is>
          <t>SOLLEFTEÅ</t>
        </is>
      </c>
      <c r="G286" t="n">
        <v>0.6</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30972-2025 artfynd.xlsx", "A 30972-2025")</f>
        <v/>
      </c>
      <c r="T286">
        <f>HYPERLINK("https://klasma.github.io/Logging_2283/kartor/A 30972-2025 karta.png", "A 30972-2025")</f>
        <v/>
      </c>
      <c r="V286">
        <f>HYPERLINK("https://klasma.github.io/Logging_2283/klagomål/A 30972-2025 FSC-klagomål.docx", "A 30972-2025")</f>
        <v/>
      </c>
      <c r="W286">
        <f>HYPERLINK("https://klasma.github.io/Logging_2283/klagomålsmail/A 30972-2025 FSC-klagomål mail.docx", "A 30972-2025")</f>
        <v/>
      </c>
      <c r="X286">
        <f>HYPERLINK("https://klasma.github.io/Logging_2283/tillsyn/A 30972-2025 tillsynsbegäran.docx", "A 30972-2025")</f>
        <v/>
      </c>
      <c r="Y286">
        <f>HYPERLINK("https://klasma.github.io/Logging_2283/tillsynsmail/A 30972-2025 tillsynsbegäran mail.docx", "A 30972-2025")</f>
        <v/>
      </c>
    </row>
    <row r="287" ht="15" customHeight="1">
      <c r="A287" t="inlineStr">
        <is>
          <t>A 31503-2025</t>
        </is>
      </c>
      <c r="B287" s="1" t="n">
        <v>45833.59417824074</v>
      </c>
      <c r="C287" s="1" t="n">
        <v>45964</v>
      </c>
      <c r="D287" t="inlineStr">
        <is>
          <t>VÄSTERNORRLANDS LÄN</t>
        </is>
      </c>
      <c r="E287" t="inlineStr">
        <is>
          <t>SOLLEFTEÅ</t>
        </is>
      </c>
      <c r="F287" t="inlineStr">
        <is>
          <t>SCA</t>
        </is>
      </c>
      <c r="G287" t="n">
        <v>22.8</v>
      </c>
      <c r="H287" t="n">
        <v>2</v>
      </c>
      <c r="I287" t="n">
        <v>1</v>
      </c>
      <c r="J287" t="n">
        <v>0</v>
      </c>
      <c r="K287" t="n">
        <v>1</v>
      </c>
      <c r="L287" t="n">
        <v>0</v>
      </c>
      <c r="M287" t="n">
        <v>0</v>
      </c>
      <c r="N287" t="n">
        <v>0</v>
      </c>
      <c r="O287" t="n">
        <v>1</v>
      </c>
      <c r="P287" t="n">
        <v>1</v>
      </c>
      <c r="Q287" t="n">
        <v>2</v>
      </c>
      <c r="R287" s="2" t="inlineStr">
        <is>
          <t>Knärot
Plattlummer</t>
        </is>
      </c>
      <c r="S287">
        <f>HYPERLINK("https://klasma.github.io/Logging_2283/artfynd/A 31503-2025 artfynd.xlsx", "A 31503-2025")</f>
        <v/>
      </c>
      <c r="T287">
        <f>HYPERLINK("https://klasma.github.io/Logging_2283/kartor/A 31503-2025 karta.png", "A 31503-2025")</f>
        <v/>
      </c>
      <c r="U287">
        <f>HYPERLINK("https://klasma.github.io/Logging_2283/knärot/A 31503-2025 karta knärot.png", "A 31503-2025")</f>
        <v/>
      </c>
      <c r="V287">
        <f>HYPERLINK("https://klasma.github.io/Logging_2283/klagomål/A 31503-2025 FSC-klagomål.docx", "A 31503-2025")</f>
        <v/>
      </c>
      <c r="W287">
        <f>HYPERLINK("https://klasma.github.io/Logging_2283/klagomålsmail/A 31503-2025 FSC-klagomål mail.docx", "A 31503-2025")</f>
        <v/>
      </c>
      <c r="X287">
        <f>HYPERLINK("https://klasma.github.io/Logging_2283/tillsyn/A 31503-2025 tillsynsbegäran.docx", "A 31503-2025")</f>
        <v/>
      </c>
      <c r="Y287">
        <f>HYPERLINK("https://klasma.github.io/Logging_2283/tillsynsmail/A 31503-2025 tillsynsbegäran mail.docx", "A 31503-2025")</f>
        <v/>
      </c>
    </row>
    <row r="288" ht="15" customHeight="1">
      <c r="A288" t="inlineStr">
        <is>
          <t>A 59997-2024</t>
        </is>
      </c>
      <c r="B288" s="1" t="n">
        <v>45642.40715277778</v>
      </c>
      <c r="C288" s="1" t="n">
        <v>45964</v>
      </c>
      <c r="D288" t="inlineStr">
        <is>
          <t>VÄSTERNORRLANDS LÄN</t>
        </is>
      </c>
      <c r="E288" t="inlineStr">
        <is>
          <t>SOLLEFTEÅ</t>
        </is>
      </c>
      <c r="F288" t="inlineStr">
        <is>
          <t>SCA</t>
        </is>
      </c>
      <c r="G288" t="n">
        <v>2.8</v>
      </c>
      <c r="H288" t="n">
        <v>1</v>
      </c>
      <c r="I288" t="n">
        <v>0</v>
      </c>
      <c r="J288" t="n">
        <v>1</v>
      </c>
      <c r="K288" t="n">
        <v>1</v>
      </c>
      <c r="L288" t="n">
        <v>0</v>
      </c>
      <c r="M288" t="n">
        <v>0</v>
      </c>
      <c r="N288" t="n">
        <v>0</v>
      </c>
      <c r="O288" t="n">
        <v>2</v>
      </c>
      <c r="P288" t="n">
        <v>1</v>
      </c>
      <c r="Q288" t="n">
        <v>2</v>
      </c>
      <c r="R288" s="2" t="inlineStr">
        <is>
          <t>Knärot
Garnlav</t>
        </is>
      </c>
      <c r="S288">
        <f>HYPERLINK("https://klasma.github.io/Logging_2283/artfynd/A 59997-2024 artfynd.xlsx", "A 59997-2024")</f>
        <v/>
      </c>
      <c r="T288">
        <f>HYPERLINK("https://klasma.github.io/Logging_2283/kartor/A 59997-2024 karta.png", "A 59997-2024")</f>
        <v/>
      </c>
      <c r="U288">
        <f>HYPERLINK("https://klasma.github.io/Logging_2283/knärot/A 59997-2024 karta knärot.png", "A 59997-2024")</f>
        <v/>
      </c>
      <c r="V288">
        <f>HYPERLINK("https://klasma.github.io/Logging_2283/klagomål/A 59997-2024 FSC-klagomål.docx", "A 59997-2024")</f>
        <v/>
      </c>
      <c r="W288">
        <f>HYPERLINK("https://klasma.github.io/Logging_2283/klagomålsmail/A 59997-2024 FSC-klagomål mail.docx", "A 59997-2024")</f>
        <v/>
      </c>
      <c r="X288">
        <f>HYPERLINK("https://klasma.github.io/Logging_2283/tillsyn/A 59997-2024 tillsynsbegäran.docx", "A 59997-2024")</f>
        <v/>
      </c>
      <c r="Y288">
        <f>HYPERLINK("https://klasma.github.io/Logging_2283/tillsynsmail/A 59997-2024 tillsynsbegäran mail.docx", "A 59997-2024")</f>
        <v/>
      </c>
    </row>
    <row r="289" ht="15" customHeight="1">
      <c r="A289" t="inlineStr">
        <is>
          <t>A 32738-2025</t>
        </is>
      </c>
      <c r="B289" s="1" t="n">
        <v>45839.41827546297</v>
      </c>
      <c r="C289" s="1" t="n">
        <v>45964</v>
      </c>
      <c r="D289" t="inlineStr">
        <is>
          <t>VÄSTERNORRLANDS LÄN</t>
        </is>
      </c>
      <c r="E289" t="inlineStr">
        <is>
          <t>SOLLEFTEÅ</t>
        </is>
      </c>
      <c r="G289" t="n">
        <v>3.1</v>
      </c>
      <c r="H289" t="n">
        <v>2</v>
      </c>
      <c r="I289" t="n">
        <v>0</v>
      </c>
      <c r="J289" t="n">
        <v>1</v>
      </c>
      <c r="K289" t="n">
        <v>0</v>
      </c>
      <c r="L289" t="n">
        <v>0</v>
      </c>
      <c r="M289" t="n">
        <v>0</v>
      </c>
      <c r="N289" t="n">
        <v>0</v>
      </c>
      <c r="O289" t="n">
        <v>1</v>
      </c>
      <c r="P289" t="n">
        <v>0</v>
      </c>
      <c r="Q289" t="n">
        <v>2</v>
      </c>
      <c r="R289" s="2" t="inlineStr">
        <is>
          <t>Spillkråka
Tjäder</t>
        </is>
      </c>
      <c r="S289">
        <f>HYPERLINK("https://klasma.github.io/Logging_2283/artfynd/A 32738-2025 artfynd.xlsx", "A 32738-2025")</f>
        <v/>
      </c>
      <c r="T289">
        <f>HYPERLINK("https://klasma.github.io/Logging_2283/kartor/A 32738-2025 karta.png", "A 32738-2025")</f>
        <v/>
      </c>
      <c r="V289">
        <f>HYPERLINK("https://klasma.github.io/Logging_2283/klagomål/A 32738-2025 FSC-klagomål.docx", "A 32738-2025")</f>
        <v/>
      </c>
      <c r="W289">
        <f>HYPERLINK("https://klasma.github.io/Logging_2283/klagomålsmail/A 32738-2025 FSC-klagomål mail.docx", "A 32738-2025")</f>
        <v/>
      </c>
      <c r="X289">
        <f>HYPERLINK("https://klasma.github.io/Logging_2283/tillsyn/A 32738-2025 tillsynsbegäran.docx", "A 32738-2025")</f>
        <v/>
      </c>
      <c r="Y289">
        <f>HYPERLINK("https://klasma.github.io/Logging_2283/tillsynsmail/A 32738-2025 tillsynsbegäran mail.docx", "A 32738-2025")</f>
        <v/>
      </c>
      <c r="Z289">
        <f>HYPERLINK("https://klasma.github.io/Logging_2283/fåglar/A 32738-2025 prioriterade fågelarter.docx", "A 32738-2025")</f>
        <v/>
      </c>
    </row>
    <row r="290" ht="15" customHeight="1">
      <c r="A290" t="inlineStr">
        <is>
          <t>A 7108-2024</t>
        </is>
      </c>
      <c r="B290" s="1" t="n">
        <v>45343</v>
      </c>
      <c r="C290" s="1" t="n">
        <v>45964</v>
      </c>
      <c r="D290" t="inlineStr">
        <is>
          <t>VÄSTERNORRLANDS LÄN</t>
        </is>
      </c>
      <c r="E290" t="inlineStr">
        <is>
          <t>SOLLEFTEÅ</t>
        </is>
      </c>
      <c r="F290" t="inlineStr">
        <is>
          <t>SCA</t>
        </is>
      </c>
      <c r="G290" t="n">
        <v>3.8</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HYPERLINK("https://klasma.github.io/Logging_2283/artfynd/A 7108-2024 artfynd.xlsx", "A 7108-2024")</f>
        <v/>
      </c>
      <c r="T290">
        <f>HYPERLINK("https://klasma.github.io/Logging_2283/kartor/A 7108-2024 karta.png", "A 7108-2024")</f>
        <v/>
      </c>
      <c r="V290">
        <f>HYPERLINK("https://klasma.github.io/Logging_2283/klagomål/A 7108-2024 FSC-klagomål.docx", "A 7108-2024")</f>
        <v/>
      </c>
      <c r="W290">
        <f>HYPERLINK("https://klasma.github.io/Logging_2283/klagomålsmail/A 7108-2024 FSC-klagomål mail.docx", "A 7108-2024")</f>
        <v/>
      </c>
      <c r="X290">
        <f>HYPERLINK("https://klasma.github.io/Logging_2283/tillsyn/A 7108-2024 tillsynsbegäran.docx", "A 7108-2024")</f>
        <v/>
      </c>
      <c r="Y290">
        <f>HYPERLINK("https://klasma.github.io/Logging_2283/tillsynsmail/A 7108-2024 tillsynsbegäran mail.docx", "A 7108-2024")</f>
        <v/>
      </c>
    </row>
    <row r="291" ht="15" customHeight="1">
      <c r="A291" t="inlineStr">
        <is>
          <t>A 50751-2024</t>
        </is>
      </c>
      <c r="B291" s="1" t="n">
        <v>45602</v>
      </c>
      <c r="C291" s="1" t="n">
        <v>45964</v>
      </c>
      <c r="D291" t="inlineStr">
        <is>
          <t>VÄSTERNORRLANDS LÄN</t>
        </is>
      </c>
      <c r="E291" t="inlineStr">
        <is>
          <t>SOLLEFTEÅ</t>
        </is>
      </c>
      <c r="G291" t="n">
        <v>4.4</v>
      </c>
      <c r="H291" t="n">
        <v>0</v>
      </c>
      <c r="I291" t="n">
        <v>1</v>
      </c>
      <c r="J291" t="n">
        <v>1</v>
      </c>
      <c r="K291" t="n">
        <v>0</v>
      </c>
      <c r="L291" t="n">
        <v>0</v>
      </c>
      <c r="M291" t="n">
        <v>0</v>
      </c>
      <c r="N291" t="n">
        <v>0</v>
      </c>
      <c r="O291" t="n">
        <v>1</v>
      </c>
      <c r="P291" t="n">
        <v>0</v>
      </c>
      <c r="Q291" t="n">
        <v>2</v>
      </c>
      <c r="R291" s="2" t="inlineStr">
        <is>
          <t>Garnlav
Norrlandslav</t>
        </is>
      </c>
      <c r="S291">
        <f>HYPERLINK("https://klasma.github.io/Logging_2283/artfynd/A 50751-2024 artfynd.xlsx", "A 50751-2024")</f>
        <v/>
      </c>
      <c r="T291">
        <f>HYPERLINK("https://klasma.github.io/Logging_2283/kartor/A 50751-2024 karta.png", "A 50751-2024")</f>
        <v/>
      </c>
      <c r="V291">
        <f>HYPERLINK("https://klasma.github.io/Logging_2283/klagomål/A 50751-2024 FSC-klagomål.docx", "A 50751-2024")</f>
        <v/>
      </c>
      <c r="W291">
        <f>HYPERLINK("https://klasma.github.io/Logging_2283/klagomålsmail/A 50751-2024 FSC-klagomål mail.docx", "A 50751-2024")</f>
        <v/>
      </c>
      <c r="X291">
        <f>HYPERLINK("https://klasma.github.io/Logging_2283/tillsyn/A 50751-2024 tillsynsbegäran.docx", "A 50751-2024")</f>
        <v/>
      </c>
      <c r="Y291">
        <f>HYPERLINK("https://klasma.github.io/Logging_2283/tillsynsmail/A 50751-2024 tillsynsbegäran mail.docx", "A 50751-2024")</f>
        <v/>
      </c>
    </row>
    <row r="292" ht="15" customHeight="1">
      <c r="A292" t="inlineStr">
        <is>
          <t>A 36912-2024</t>
        </is>
      </c>
      <c r="B292" s="1" t="n">
        <v>45538.63604166666</v>
      </c>
      <c r="C292" s="1" t="n">
        <v>45964</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46630-2022</t>
        </is>
      </c>
      <c r="B293" s="1" t="n">
        <v>44848</v>
      </c>
      <c r="C293" s="1" t="n">
        <v>45964</v>
      </c>
      <c r="D293" t="inlineStr">
        <is>
          <t>VÄSTERNORRLANDS LÄN</t>
        </is>
      </c>
      <c r="E293" t="inlineStr">
        <is>
          <t>SOLLEFTEÅ</t>
        </is>
      </c>
      <c r="F293" t="inlineStr">
        <is>
          <t>SCA</t>
        </is>
      </c>
      <c r="G293" t="n">
        <v>3.1</v>
      </c>
      <c r="H293" t="n">
        <v>2</v>
      </c>
      <c r="I293" t="n">
        <v>0</v>
      </c>
      <c r="J293" t="n">
        <v>1</v>
      </c>
      <c r="K293" t="n">
        <v>1</v>
      </c>
      <c r="L293" t="n">
        <v>0</v>
      </c>
      <c r="M293" t="n">
        <v>0</v>
      </c>
      <c r="N293" t="n">
        <v>0</v>
      </c>
      <c r="O293" t="n">
        <v>2</v>
      </c>
      <c r="P293" t="n">
        <v>1</v>
      </c>
      <c r="Q293" t="n">
        <v>2</v>
      </c>
      <c r="R293" s="2" t="inlineStr">
        <is>
          <t>Knärot
Tretåig hackspett</t>
        </is>
      </c>
      <c r="S293">
        <f>HYPERLINK("https://klasma.github.io/Logging_2283/artfynd/A 46630-2022 artfynd.xlsx", "A 46630-2022")</f>
        <v/>
      </c>
      <c r="T293">
        <f>HYPERLINK("https://klasma.github.io/Logging_2283/kartor/A 46630-2022 karta.png", "A 46630-2022")</f>
        <v/>
      </c>
      <c r="U293">
        <f>HYPERLINK("https://klasma.github.io/Logging_2283/knärot/A 46630-2022 karta knärot.png", "A 46630-2022")</f>
        <v/>
      </c>
      <c r="V293">
        <f>HYPERLINK("https://klasma.github.io/Logging_2283/klagomål/A 46630-2022 FSC-klagomål.docx", "A 46630-2022")</f>
        <v/>
      </c>
      <c r="W293">
        <f>HYPERLINK("https://klasma.github.io/Logging_2283/klagomålsmail/A 46630-2022 FSC-klagomål mail.docx", "A 46630-2022")</f>
        <v/>
      </c>
      <c r="X293">
        <f>HYPERLINK("https://klasma.github.io/Logging_2283/tillsyn/A 46630-2022 tillsynsbegäran.docx", "A 46630-2022")</f>
        <v/>
      </c>
      <c r="Y293">
        <f>HYPERLINK("https://klasma.github.io/Logging_2283/tillsynsmail/A 46630-2022 tillsynsbegäran mail.docx", "A 46630-2022")</f>
        <v/>
      </c>
      <c r="Z293">
        <f>HYPERLINK("https://klasma.github.io/Logging_2283/fåglar/A 46630-2022 prioriterade fågelarter.docx", "A 46630-2022")</f>
        <v/>
      </c>
    </row>
    <row r="294" ht="15" customHeight="1">
      <c r="A294" t="inlineStr">
        <is>
          <t>A 38911-2025</t>
        </is>
      </c>
      <c r="B294" s="1" t="n">
        <v>45887.61534722222</v>
      </c>
      <c r="C294" s="1" t="n">
        <v>45964</v>
      </c>
      <c r="D294" t="inlineStr">
        <is>
          <t>VÄSTERNORRLANDS LÄN</t>
        </is>
      </c>
      <c r="E294" t="inlineStr">
        <is>
          <t>SOLLEFTEÅ</t>
        </is>
      </c>
      <c r="F294" t="inlineStr">
        <is>
          <t>SCA</t>
        </is>
      </c>
      <c r="G294" t="n">
        <v>10.5</v>
      </c>
      <c r="H294" t="n">
        <v>0</v>
      </c>
      <c r="I294" t="n">
        <v>1</v>
      </c>
      <c r="J294" t="n">
        <v>1</v>
      </c>
      <c r="K294" t="n">
        <v>0</v>
      </c>
      <c r="L294" t="n">
        <v>0</v>
      </c>
      <c r="M294" t="n">
        <v>0</v>
      </c>
      <c r="N294" t="n">
        <v>0</v>
      </c>
      <c r="O294" t="n">
        <v>1</v>
      </c>
      <c r="P294" t="n">
        <v>0</v>
      </c>
      <c r="Q294" t="n">
        <v>2</v>
      </c>
      <c r="R294" s="2" t="inlineStr">
        <is>
          <t>Garnlav
Vedticka</t>
        </is>
      </c>
      <c r="S294">
        <f>HYPERLINK("https://klasma.github.io/Logging_2283/artfynd/A 38911-2025 artfynd.xlsx", "A 38911-2025")</f>
        <v/>
      </c>
      <c r="T294">
        <f>HYPERLINK("https://klasma.github.io/Logging_2283/kartor/A 38911-2025 karta.png", "A 38911-2025")</f>
        <v/>
      </c>
      <c r="U294">
        <f>HYPERLINK("https://klasma.github.io/Logging_2283/knärot/A 38911-2025 karta knärot.png", "A 38911-2025")</f>
        <v/>
      </c>
      <c r="V294">
        <f>HYPERLINK("https://klasma.github.io/Logging_2283/klagomål/A 38911-2025 FSC-klagomål.docx", "A 38911-2025")</f>
        <v/>
      </c>
      <c r="W294">
        <f>HYPERLINK("https://klasma.github.io/Logging_2283/klagomålsmail/A 38911-2025 FSC-klagomål mail.docx", "A 38911-2025")</f>
        <v/>
      </c>
      <c r="X294">
        <f>HYPERLINK("https://klasma.github.io/Logging_2283/tillsyn/A 38911-2025 tillsynsbegäran.docx", "A 38911-2025")</f>
        <v/>
      </c>
      <c r="Y294">
        <f>HYPERLINK("https://klasma.github.io/Logging_2283/tillsynsmail/A 38911-2025 tillsynsbegäran mail.docx", "A 38911-2025")</f>
        <v/>
      </c>
    </row>
    <row r="295" ht="15" customHeight="1">
      <c r="A295" t="inlineStr">
        <is>
          <t>A 47216-2025</t>
        </is>
      </c>
      <c r="B295" s="1" t="n">
        <v>45930.38612268519</v>
      </c>
      <c r="C295" s="1" t="n">
        <v>45964</v>
      </c>
      <c r="D295" t="inlineStr">
        <is>
          <t>VÄSTERNORRLANDS LÄN</t>
        </is>
      </c>
      <c r="E295" t="inlineStr">
        <is>
          <t>SOLLEFTEÅ</t>
        </is>
      </c>
      <c r="F295" t="inlineStr">
        <is>
          <t>SCA</t>
        </is>
      </c>
      <c r="G295" t="n">
        <v>13.6</v>
      </c>
      <c r="H295" t="n">
        <v>0</v>
      </c>
      <c r="I295" t="n">
        <v>0</v>
      </c>
      <c r="J295" t="n">
        <v>2</v>
      </c>
      <c r="K295" t="n">
        <v>0</v>
      </c>
      <c r="L295" t="n">
        <v>0</v>
      </c>
      <c r="M295" t="n">
        <v>0</v>
      </c>
      <c r="N295" t="n">
        <v>0</v>
      </c>
      <c r="O295" t="n">
        <v>2</v>
      </c>
      <c r="P295" t="n">
        <v>0</v>
      </c>
      <c r="Q295" t="n">
        <v>2</v>
      </c>
      <c r="R295" s="2" t="inlineStr">
        <is>
          <t>Lunglav
Skrovellav</t>
        </is>
      </c>
      <c r="S295">
        <f>HYPERLINK("https://klasma.github.io/Logging_2283/artfynd/A 47216-2025 artfynd.xlsx", "A 47216-2025")</f>
        <v/>
      </c>
      <c r="T295">
        <f>HYPERLINK("https://klasma.github.io/Logging_2283/kartor/A 47216-2025 karta.png", "A 47216-2025")</f>
        <v/>
      </c>
      <c r="V295">
        <f>HYPERLINK("https://klasma.github.io/Logging_2283/klagomål/A 47216-2025 FSC-klagomål.docx", "A 47216-2025")</f>
        <v/>
      </c>
      <c r="W295">
        <f>HYPERLINK("https://klasma.github.io/Logging_2283/klagomålsmail/A 47216-2025 FSC-klagomål mail.docx", "A 47216-2025")</f>
        <v/>
      </c>
      <c r="X295">
        <f>HYPERLINK("https://klasma.github.io/Logging_2283/tillsyn/A 47216-2025 tillsynsbegäran.docx", "A 47216-2025")</f>
        <v/>
      </c>
      <c r="Y295">
        <f>HYPERLINK("https://klasma.github.io/Logging_2283/tillsynsmail/A 47216-2025 tillsynsbegäran mail.docx", "A 47216-2025")</f>
        <v/>
      </c>
    </row>
    <row r="296" ht="15" customHeight="1">
      <c r="A296" t="inlineStr">
        <is>
          <t>A 36563-2025</t>
        </is>
      </c>
      <c r="B296" s="1" t="n">
        <v>45870.37332175926</v>
      </c>
      <c r="C296" s="1" t="n">
        <v>45964</v>
      </c>
      <c r="D296" t="inlineStr">
        <is>
          <t>VÄSTERNORRLANDS LÄN</t>
        </is>
      </c>
      <c r="E296" t="inlineStr">
        <is>
          <t>SOLLEFTEÅ</t>
        </is>
      </c>
      <c r="G296" t="n">
        <v>5.9</v>
      </c>
      <c r="H296" t="n">
        <v>1</v>
      </c>
      <c r="I296" t="n">
        <v>0</v>
      </c>
      <c r="J296" t="n">
        <v>0</v>
      </c>
      <c r="K296" t="n">
        <v>0</v>
      </c>
      <c r="L296" t="n">
        <v>1</v>
      </c>
      <c r="M296" t="n">
        <v>0</v>
      </c>
      <c r="N296" t="n">
        <v>0</v>
      </c>
      <c r="O296" t="n">
        <v>1</v>
      </c>
      <c r="P296" t="n">
        <v>1</v>
      </c>
      <c r="Q296" t="n">
        <v>2</v>
      </c>
      <c r="R296" s="2" t="inlineStr">
        <is>
          <t>Fältgentiana
Fläcknycklar</t>
        </is>
      </c>
      <c r="S296">
        <f>HYPERLINK("https://klasma.github.io/Logging_2283/artfynd/A 36563-2025 artfynd.xlsx", "A 36563-2025")</f>
        <v/>
      </c>
      <c r="T296">
        <f>HYPERLINK("https://klasma.github.io/Logging_2283/kartor/A 36563-2025 karta.png", "A 36563-2025")</f>
        <v/>
      </c>
      <c r="V296">
        <f>HYPERLINK("https://klasma.github.io/Logging_2283/klagomål/A 36563-2025 FSC-klagomål.docx", "A 36563-2025")</f>
        <v/>
      </c>
      <c r="W296">
        <f>HYPERLINK("https://klasma.github.io/Logging_2283/klagomålsmail/A 36563-2025 FSC-klagomål mail.docx", "A 36563-2025")</f>
        <v/>
      </c>
      <c r="X296">
        <f>HYPERLINK("https://klasma.github.io/Logging_2283/tillsyn/A 36563-2025 tillsynsbegäran.docx", "A 36563-2025")</f>
        <v/>
      </c>
      <c r="Y296">
        <f>HYPERLINK("https://klasma.github.io/Logging_2283/tillsynsmail/A 36563-2025 tillsynsbegäran mail.docx", "A 36563-2025")</f>
        <v/>
      </c>
    </row>
    <row r="297" ht="15" customHeight="1">
      <c r="A297" t="inlineStr">
        <is>
          <t>A 29264-2024</t>
        </is>
      </c>
      <c r="B297" s="1" t="n">
        <v>45482</v>
      </c>
      <c r="C297" s="1" t="n">
        <v>45964</v>
      </c>
      <c r="D297" t="inlineStr">
        <is>
          <t>VÄSTERNORRLANDS LÄN</t>
        </is>
      </c>
      <c r="E297" t="inlineStr">
        <is>
          <t>SOLLEFTEÅ</t>
        </is>
      </c>
      <c r="F297" t="inlineStr">
        <is>
          <t>SCA</t>
        </is>
      </c>
      <c r="G297" t="n">
        <v>3</v>
      </c>
      <c r="H297" t="n">
        <v>2</v>
      </c>
      <c r="I297" t="n">
        <v>0</v>
      </c>
      <c r="J297" t="n">
        <v>1</v>
      </c>
      <c r="K297" t="n">
        <v>0</v>
      </c>
      <c r="L297" t="n">
        <v>0</v>
      </c>
      <c r="M297" t="n">
        <v>0</v>
      </c>
      <c r="N297" t="n">
        <v>0</v>
      </c>
      <c r="O297" t="n">
        <v>1</v>
      </c>
      <c r="P297" t="n">
        <v>0</v>
      </c>
      <c r="Q297" t="n">
        <v>2</v>
      </c>
      <c r="R297" s="2" t="inlineStr">
        <is>
          <t>Tretåig hackspett
Fläcknycklar</t>
        </is>
      </c>
      <c r="S297">
        <f>HYPERLINK("https://klasma.github.io/Logging_2283/artfynd/A 29264-2024 artfynd.xlsx", "A 29264-2024")</f>
        <v/>
      </c>
      <c r="T297">
        <f>HYPERLINK("https://klasma.github.io/Logging_2283/kartor/A 29264-2024 karta.png", "A 29264-2024")</f>
        <v/>
      </c>
      <c r="V297">
        <f>HYPERLINK("https://klasma.github.io/Logging_2283/klagomål/A 29264-2024 FSC-klagomål.docx", "A 29264-2024")</f>
        <v/>
      </c>
      <c r="W297">
        <f>HYPERLINK("https://klasma.github.io/Logging_2283/klagomålsmail/A 29264-2024 FSC-klagomål mail.docx", "A 29264-2024")</f>
        <v/>
      </c>
      <c r="X297">
        <f>HYPERLINK("https://klasma.github.io/Logging_2283/tillsyn/A 29264-2024 tillsynsbegäran.docx", "A 29264-2024")</f>
        <v/>
      </c>
      <c r="Y297">
        <f>HYPERLINK("https://klasma.github.io/Logging_2283/tillsynsmail/A 29264-2024 tillsynsbegäran mail.docx", "A 29264-2024")</f>
        <v/>
      </c>
      <c r="Z297">
        <f>HYPERLINK("https://klasma.github.io/Logging_2283/fåglar/A 29264-2024 prioriterade fågelarter.docx", "A 29264-2024")</f>
        <v/>
      </c>
    </row>
    <row r="298" ht="15" customHeight="1">
      <c r="A298" t="inlineStr">
        <is>
          <t>A 45083-2022</t>
        </is>
      </c>
      <c r="B298" s="1" t="n">
        <v>44841</v>
      </c>
      <c r="C298" s="1" t="n">
        <v>45964</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49189-2025</t>
        </is>
      </c>
      <c r="B299" s="1" t="n">
        <v>45938</v>
      </c>
      <c r="C299" s="1" t="n">
        <v>45964</v>
      </c>
      <c r="D299" t="inlineStr">
        <is>
          <t>VÄSTERNORRLANDS LÄN</t>
        </is>
      </c>
      <c r="E299" t="inlineStr">
        <is>
          <t>SOLLEFTEÅ</t>
        </is>
      </c>
      <c r="F299" t="inlineStr">
        <is>
          <t>SCA</t>
        </is>
      </c>
      <c r="G299" t="n">
        <v>9.6</v>
      </c>
      <c r="H299" t="n">
        <v>1</v>
      </c>
      <c r="I299" t="n">
        <v>0</v>
      </c>
      <c r="J299" t="n">
        <v>1</v>
      </c>
      <c r="K299" t="n">
        <v>1</v>
      </c>
      <c r="L299" t="n">
        <v>0</v>
      </c>
      <c r="M299" t="n">
        <v>0</v>
      </c>
      <c r="N299" t="n">
        <v>0</v>
      </c>
      <c r="O299" t="n">
        <v>2</v>
      </c>
      <c r="P299" t="n">
        <v>1</v>
      </c>
      <c r="Q299" t="n">
        <v>2</v>
      </c>
      <c r="R299" s="2" t="inlineStr">
        <is>
          <t>Knärot
Rosenticka</t>
        </is>
      </c>
      <c r="S299">
        <f>HYPERLINK("https://klasma.github.io/Logging_2283/artfynd/A 49189-2025 artfynd.xlsx", "A 49189-2025")</f>
        <v/>
      </c>
      <c r="T299">
        <f>HYPERLINK("https://klasma.github.io/Logging_2283/kartor/A 49189-2025 karta.png", "A 49189-2025")</f>
        <v/>
      </c>
      <c r="U299">
        <f>HYPERLINK("https://klasma.github.io/Logging_2283/knärot/A 49189-2025 karta knärot.png", "A 49189-2025")</f>
        <v/>
      </c>
      <c r="V299">
        <f>HYPERLINK("https://klasma.github.io/Logging_2283/klagomål/A 49189-2025 FSC-klagomål.docx", "A 49189-2025")</f>
        <v/>
      </c>
      <c r="W299">
        <f>HYPERLINK("https://klasma.github.io/Logging_2283/klagomålsmail/A 49189-2025 FSC-klagomål mail.docx", "A 49189-2025")</f>
        <v/>
      </c>
      <c r="X299">
        <f>HYPERLINK("https://klasma.github.io/Logging_2283/tillsyn/A 49189-2025 tillsynsbegäran.docx", "A 49189-2025")</f>
        <v/>
      </c>
      <c r="Y299">
        <f>HYPERLINK("https://klasma.github.io/Logging_2283/tillsynsmail/A 49189-2025 tillsynsbegäran mail.docx", "A 49189-2025")</f>
        <v/>
      </c>
    </row>
    <row r="300" ht="15" customHeight="1">
      <c r="A300" t="inlineStr">
        <is>
          <t>A 58572-2021</t>
        </is>
      </c>
      <c r="B300" s="1" t="n">
        <v>44488</v>
      </c>
      <c r="C300" s="1" t="n">
        <v>45964</v>
      </c>
      <c r="D300" t="inlineStr">
        <is>
          <t>VÄSTERNORRLANDS LÄN</t>
        </is>
      </c>
      <c r="E300" t="inlineStr">
        <is>
          <t>SOLLEFTEÅ</t>
        </is>
      </c>
      <c r="G300" t="n">
        <v>0.1</v>
      </c>
      <c r="H300" t="n">
        <v>0</v>
      </c>
      <c r="I300" t="n">
        <v>0</v>
      </c>
      <c r="J300" t="n">
        <v>1</v>
      </c>
      <c r="K300" t="n">
        <v>0</v>
      </c>
      <c r="L300" t="n">
        <v>0</v>
      </c>
      <c r="M300" t="n">
        <v>0</v>
      </c>
      <c r="N300" t="n">
        <v>0</v>
      </c>
      <c r="O300" t="n">
        <v>1</v>
      </c>
      <c r="P300" t="n">
        <v>0</v>
      </c>
      <c r="Q300" t="n">
        <v>1</v>
      </c>
      <c r="R300" s="2" t="inlineStr">
        <is>
          <t>Brunklöver</t>
        </is>
      </c>
      <c r="S300">
        <f>HYPERLINK("https://klasma.github.io/Logging_2283/artfynd/A 58572-2021 artfynd.xlsx", "A 58572-2021")</f>
        <v/>
      </c>
      <c r="T300">
        <f>HYPERLINK("https://klasma.github.io/Logging_2283/kartor/A 58572-2021 karta.png", "A 58572-2021")</f>
        <v/>
      </c>
      <c r="V300">
        <f>HYPERLINK("https://klasma.github.io/Logging_2283/klagomål/A 58572-2021 FSC-klagomål.docx", "A 58572-2021")</f>
        <v/>
      </c>
      <c r="W300">
        <f>HYPERLINK("https://klasma.github.io/Logging_2283/klagomålsmail/A 58572-2021 FSC-klagomål mail.docx", "A 58572-2021")</f>
        <v/>
      </c>
      <c r="X300">
        <f>HYPERLINK("https://klasma.github.io/Logging_2283/tillsyn/A 58572-2021 tillsynsbegäran.docx", "A 58572-2021")</f>
        <v/>
      </c>
      <c r="Y300">
        <f>HYPERLINK("https://klasma.github.io/Logging_2283/tillsynsmail/A 58572-2021 tillsynsbegäran mail.docx", "A 58572-2021")</f>
        <v/>
      </c>
    </row>
    <row r="301" ht="15" customHeight="1">
      <c r="A301" t="inlineStr">
        <is>
          <t>A 68789-2020</t>
        </is>
      </c>
      <c r="B301" s="1" t="n">
        <v>44186</v>
      </c>
      <c r="C301" s="1" t="n">
        <v>45964</v>
      </c>
      <c r="D301" t="inlineStr">
        <is>
          <t>VÄSTERNORRLANDS LÄN</t>
        </is>
      </c>
      <c r="E301" t="inlineStr">
        <is>
          <t>SOLLEFTEÅ</t>
        </is>
      </c>
      <c r="G301" t="n">
        <v>2.1</v>
      </c>
      <c r="H301" t="n">
        <v>0</v>
      </c>
      <c r="I301" t="n">
        <v>1</v>
      </c>
      <c r="J301" t="n">
        <v>0</v>
      </c>
      <c r="K301" t="n">
        <v>0</v>
      </c>
      <c r="L301" t="n">
        <v>0</v>
      </c>
      <c r="M301" t="n">
        <v>0</v>
      </c>
      <c r="N301" t="n">
        <v>0</v>
      </c>
      <c r="O301" t="n">
        <v>0</v>
      </c>
      <c r="P301" t="n">
        <v>0</v>
      </c>
      <c r="Q301" t="n">
        <v>1</v>
      </c>
      <c r="R301" s="2" t="inlineStr">
        <is>
          <t>Svart trolldruva</t>
        </is>
      </c>
      <c r="S301">
        <f>HYPERLINK("https://klasma.github.io/Logging_2283/artfynd/A 68789-2020 artfynd.xlsx", "A 68789-2020")</f>
        <v/>
      </c>
      <c r="T301">
        <f>HYPERLINK("https://klasma.github.io/Logging_2283/kartor/A 68789-2020 karta.png", "A 68789-2020")</f>
        <v/>
      </c>
      <c r="U301">
        <f>HYPERLINK("https://klasma.github.io/Logging_2283/knärot/A 68789-2020 karta knärot.png", "A 68789-2020")</f>
        <v/>
      </c>
      <c r="V301">
        <f>HYPERLINK("https://klasma.github.io/Logging_2283/klagomål/A 68789-2020 FSC-klagomål.docx", "A 68789-2020")</f>
        <v/>
      </c>
      <c r="W301">
        <f>HYPERLINK("https://klasma.github.io/Logging_2283/klagomålsmail/A 68789-2020 FSC-klagomål mail.docx", "A 68789-2020")</f>
        <v/>
      </c>
      <c r="X301">
        <f>HYPERLINK("https://klasma.github.io/Logging_2283/tillsyn/A 68789-2020 tillsynsbegäran.docx", "A 68789-2020")</f>
        <v/>
      </c>
      <c r="Y301">
        <f>HYPERLINK("https://klasma.github.io/Logging_2283/tillsynsmail/A 68789-2020 tillsynsbegäran mail.docx", "A 68789-2020")</f>
        <v/>
      </c>
    </row>
    <row r="302" ht="15" customHeight="1">
      <c r="A302" t="inlineStr">
        <is>
          <t>A 29037-2022</t>
        </is>
      </c>
      <c r="B302" s="1" t="n">
        <v>44749</v>
      </c>
      <c r="C302" s="1" t="n">
        <v>45964</v>
      </c>
      <c r="D302" t="inlineStr">
        <is>
          <t>VÄSTERNORRLANDS LÄN</t>
        </is>
      </c>
      <c r="E302" t="inlineStr">
        <is>
          <t>SOLLEFTEÅ</t>
        </is>
      </c>
      <c r="F302" t="inlineStr">
        <is>
          <t>SCA</t>
        </is>
      </c>
      <c r="G302" t="n">
        <v>1</v>
      </c>
      <c r="H302" t="n">
        <v>0</v>
      </c>
      <c r="I302" t="n">
        <v>1</v>
      </c>
      <c r="J302" t="n">
        <v>0</v>
      </c>
      <c r="K302" t="n">
        <v>0</v>
      </c>
      <c r="L302" t="n">
        <v>0</v>
      </c>
      <c r="M302" t="n">
        <v>0</v>
      </c>
      <c r="N302" t="n">
        <v>0</v>
      </c>
      <c r="O302" t="n">
        <v>0</v>
      </c>
      <c r="P302" t="n">
        <v>0</v>
      </c>
      <c r="Q302" t="n">
        <v>1</v>
      </c>
      <c r="R302" s="2" t="inlineStr">
        <is>
          <t>Vanlig flatbagge</t>
        </is>
      </c>
      <c r="S302">
        <f>HYPERLINK("https://klasma.github.io/Logging_2283/artfynd/A 29037-2022 artfynd.xlsx", "A 29037-2022")</f>
        <v/>
      </c>
      <c r="T302">
        <f>HYPERLINK("https://klasma.github.io/Logging_2283/kartor/A 29037-2022 karta.png", "A 29037-2022")</f>
        <v/>
      </c>
      <c r="V302">
        <f>HYPERLINK("https://klasma.github.io/Logging_2283/klagomål/A 29037-2022 FSC-klagomål.docx", "A 29037-2022")</f>
        <v/>
      </c>
      <c r="W302">
        <f>HYPERLINK("https://klasma.github.io/Logging_2283/klagomålsmail/A 29037-2022 FSC-klagomål mail.docx", "A 29037-2022")</f>
        <v/>
      </c>
      <c r="X302">
        <f>HYPERLINK("https://klasma.github.io/Logging_2283/tillsyn/A 29037-2022 tillsynsbegäran.docx", "A 29037-2022")</f>
        <v/>
      </c>
      <c r="Y302">
        <f>HYPERLINK("https://klasma.github.io/Logging_2283/tillsynsmail/A 29037-2022 tillsynsbegäran mail.docx", "A 29037-2022")</f>
        <v/>
      </c>
    </row>
    <row r="303" ht="15" customHeight="1">
      <c r="A303" t="inlineStr">
        <is>
          <t>A 51019-2021</t>
        </is>
      </c>
      <c r="B303" s="1" t="n">
        <v>44460</v>
      </c>
      <c r="C303" s="1" t="n">
        <v>45964</v>
      </c>
      <c r="D303" t="inlineStr">
        <is>
          <t>VÄSTERNORRLANDS LÄN</t>
        </is>
      </c>
      <c r="E303" t="inlineStr">
        <is>
          <t>SOLLEFTEÅ</t>
        </is>
      </c>
      <c r="F303" t="inlineStr">
        <is>
          <t>SCA</t>
        </is>
      </c>
      <c r="G303" t="n">
        <v>2.1</v>
      </c>
      <c r="H303" t="n">
        <v>1</v>
      </c>
      <c r="I303" t="n">
        <v>0</v>
      </c>
      <c r="J303" t="n">
        <v>0</v>
      </c>
      <c r="K303" t="n">
        <v>0</v>
      </c>
      <c r="L303" t="n">
        <v>0</v>
      </c>
      <c r="M303" t="n">
        <v>0</v>
      </c>
      <c r="N303" t="n">
        <v>0</v>
      </c>
      <c r="O303" t="n">
        <v>0</v>
      </c>
      <c r="P303" t="n">
        <v>0</v>
      </c>
      <c r="Q303" t="n">
        <v>1</v>
      </c>
      <c r="R303" s="2" t="inlineStr">
        <is>
          <t>Fläcknycklar</t>
        </is>
      </c>
      <c r="S303">
        <f>HYPERLINK("https://klasma.github.io/Logging_2283/artfynd/A 51019-2021 artfynd.xlsx", "A 51019-2021")</f>
        <v/>
      </c>
      <c r="T303">
        <f>HYPERLINK("https://klasma.github.io/Logging_2283/kartor/A 51019-2021 karta.png", "A 51019-2021")</f>
        <v/>
      </c>
      <c r="V303">
        <f>HYPERLINK("https://klasma.github.io/Logging_2283/klagomål/A 51019-2021 FSC-klagomål.docx", "A 51019-2021")</f>
        <v/>
      </c>
      <c r="W303">
        <f>HYPERLINK("https://klasma.github.io/Logging_2283/klagomålsmail/A 51019-2021 FSC-klagomål mail.docx", "A 51019-2021")</f>
        <v/>
      </c>
      <c r="X303">
        <f>HYPERLINK("https://klasma.github.io/Logging_2283/tillsyn/A 51019-2021 tillsynsbegäran.docx", "A 51019-2021")</f>
        <v/>
      </c>
      <c r="Y303">
        <f>HYPERLINK("https://klasma.github.io/Logging_2283/tillsynsmail/A 51019-2021 tillsynsbegäran mail.docx", "A 51019-2021")</f>
        <v/>
      </c>
    </row>
    <row r="304" ht="15" customHeight="1">
      <c r="A304" t="inlineStr">
        <is>
          <t>A 67402-2021</t>
        </is>
      </c>
      <c r="B304" s="1" t="n">
        <v>44523</v>
      </c>
      <c r="C304" s="1" t="n">
        <v>45964</v>
      </c>
      <c r="D304" t="inlineStr">
        <is>
          <t>VÄSTERNORRLANDS LÄN</t>
        </is>
      </c>
      <c r="E304" t="inlineStr">
        <is>
          <t>SOLLEFTEÅ</t>
        </is>
      </c>
      <c r="F304" t="inlineStr">
        <is>
          <t>SCA</t>
        </is>
      </c>
      <c r="G304" t="n">
        <v>11</v>
      </c>
      <c r="H304" t="n">
        <v>1</v>
      </c>
      <c r="I304" t="n">
        <v>0</v>
      </c>
      <c r="J304" t="n">
        <v>0</v>
      </c>
      <c r="K304" t="n">
        <v>1</v>
      </c>
      <c r="L304" t="n">
        <v>0</v>
      </c>
      <c r="M304" t="n">
        <v>0</v>
      </c>
      <c r="N304" t="n">
        <v>0</v>
      </c>
      <c r="O304" t="n">
        <v>1</v>
      </c>
      <c r="P304" t="n">
        <v>1</v>
      </c>
      <c r="Q304" t="n">
        <v>1</v>
      </c>
      <c r="R304" s="2" t="inlineStr">
        <is>
          <t>Knärot</t>
        </is>
      </c>
      <c r="S304">
        <f>HYPERLINK("https://klasma.github.io/Logging_2283/artfynd/A 67402-2021 artfynd.xlsx", "A 67402-2021")</f>
        <v/>
      </c>
      <c r="T304">
        <f>HYPERLINK("https://klasma.github.io/Logging_2283/kartor/A 67402-2021 karta.png", "A 67402-2021")</f>
        <v/>
      </c>
      <c r="U304">
        <f>HYPERLINK("https://klasma.github.io/Logging_2283/knärot/A 67402-2021 karta knärot.png", "A 67402-2021")</f>
        <v/>
      </c>
      <c r="V304">
        <f>HYPERLINK("https://klasma.github.io/Logging_2283/klagomål/A 67402-2021 FSC-klagomål.docx", "A 67402-2021")</f>
        <v/>
      </c>
      <c r="W304">
        <f>HYPERLINK("https://klasma.github.io/Logging_2283/klagomålsmail/A 67402-2021 FSC-klagomål mail.docx", "A 67402-2021")</f>
        <v/>
      </c>
      <c r="X304">
        <f>HYPERLINK("https://klasma.github.io/Logging_2283/tillsyn/A 67402-2021 tillsynsbegäran.docx", "A 67402-2021")</f>
        <v/>
      </c>
      <c r="Y304">
        <f>HYPERLINK("https://klasma.github.io/Logging_2283/tillsynsmail/A 67402-2021 tillsynsbegäran mail.docx", "A 67402-2021")</f>
        <v/>
      </c>
    </row>
    <row r="305" ht="15" customHeight="1">
      <c r="A305" t="inlineStr">
        <is>
          <t>A 15101-2021</t>
        </is>
      </c>
      <c r="B305" s="1" t="n">
        <v>44281.93871527778</v>
      </c>
      <c r="C305" s="1" t="n">
        <v>45964</v>
      </c>
      <c r="D305" t="inlineStr">
        <is>
          <t>VÄSTERNORRLANDS LÄN</t>
        </is>
      </c>
      <c r="E305" t="inlineStr">
        <is>
          <t>SOLLEFTEÅ</t>
        </is>
      </c>
      <c r="F305" t="inlineStr">
        <is>
          <t>SCA</t>
        </is>
      </c>
      <c r="G305" t="n">
        <v>1.1</v>
      </c>
      <c r="H305" t="n">
        <v>0</v>
      </c>
      <c r="I305" t="n">
        <v>0</v>
      </c>
      <c r="J305" t="n">
        <v>1</v>
      </c>
      <c r="K305" t="n">
        <v>0</v>
      </c>
      <c r="L305" t="n">
        <v>0</v>
      </c>
      <c r="M305" t="n">
        <v>0</v>
      </c>
      <c r="N305" t="n">
        <v>0</v>
      </c>
      <c r="O305" t="n">
        <v>1</v>
      </c>
      <c r="P305" t="n">
        <v>0</v>
      </c>
      <c r="Q305" t="n">
        <v>1</v>
      </c>
      <c r="R305" s="2" t="inlineStr">
        <is>
          <t>Garnlav</t>
        </is>
      </c>
      <c r="S305">
        <f>HYPERLINK("https://klasma.github.io/Logging_2283/artfynd/A 15101-2021 artfynd.xlsx", "A 15101-2021")</f>
        <v/>
      </c>
      <c r="T305">
        <f>HYPERLINK("https://klasma.github.io/Logging_2283/kartor/A 15101-2021 karta.png", "A 15101-2021")</f>
        <v/>
      </c>
      <c r="V305">
        <f>HYPERLINK("https://klasma.github.io/Logging_2283/klagomål/A 15101-2021 FSC-klagomål.docx", "A 15101-2021")</f>
        <v/>
      </c>
      <c r="W305">
        <f>HYPERLINK("https://klasma.github.io/Logging_2283/klagomålsmail/A 15101-2021 FSC-klagomål mail.docx", "A 15101-2021")</f>
        <v/>
      </c>
      <c r="X305">
        <f>HYPERLINK("https://klasma.github.io/Logging_2283/tillsyn/A 15101-2021 tillsynsbegäran.docx", "A 15101-2021")</f>
        <v/>
      </c>
      <c r="Y305">
        <f>HYPERLINK("https://klasma.github.io/Logging_2283/tillsynsmail/A 15101-2021 tillsynsbegäran mail.docx", "A 15101-2021")</f>
        <v/>
      </c>
    </row>
    <row r="306" ht="15" customHeight="1">
      <c r="A306" t="inlineStr">
        <is>
          <t>A 71349-2021</t>
        </is>
      </c>
      <c r="B306" s="1" t="n">
        <v>44539</v>
      </c>
      <c r="C306" s="1" t="n">
        <v>45964</v>
      </c>
      <c r="D306" t="inlineStr">
        <is>
          <t>VÄSTERNORRLANDS LÄN</t>
        </is>
      </c>
      <c r="E306" t="inlineStr">
        <is>
          <t>SOLLEFTEÅ</t>
        </is>
      </c>
      <c r="G306" t="n">
        <v>0.5</v>
      </c>
      <c r="H306" t="n">
        <v>1</v>
      </c>
      <c r="I306" t="n">
        <v>0</v>
      </c>
      <c r="J306" t="n">
        <v>1</v>
      </c>
      <c r="K306" t="n">
        <v>0</v>
      </c>
      <c r="L306" t="n">
        <v>0</v>
      </c>
      <c r="M306" t="n">
        <v>0</v>
      </c>
      <c r="N306" t="n">
        <v>0</v>
      </c>
      <c r="O306" t="n">
        <v>1</v>
      </c>
      <c r="P306" t="n">
        <v>0</v>
      </c>
      <c r="Q306" t="n">
        <v>1</v>
      </c>
      <c r="R306" s="2" t="inlineStr">
        <is>
          <t>Björktrast</t>
        </is>
      </c>
      <c r="S306">
        <f>HYPERLINK("https://klasma.github.io/Logging_2283/artfynd/A 71349-2021 artfynd.xlsx", "A 71349-2021")</f>
        <v/>
      </c>
      <c r="T306">
        <f>HYPERLINK("https://klasma.github.io/Logging_2283/kartor/A 71349-2021 karta.png", "A 71349-2021")</f>
        <v/>
      </c>
      <c r="V306">
        <f>HYPERLINK("https://klasma.github.io/Logging_2283/klagomål/A 71349-2021 FSC-klagomål.docx", "A 71349-2021")</f>
        <v/>
      </c>
      <c r="W306">
        <f>HYPERLINK("https://klasma.github.io/Logging_2283/klagomålsmail/A 71349-2021 FSC-klagomål mail.docx", "A 71349-2021")</f>
        <v/>
      </c>
      <c r="X306">
        <f>HYPERLINK("https://klasma.github.io/Logging_2283/tillsyn/A 71349-2021 tillsynsbegäran.docx", "A 71349-2021")</f>
        <v/>
      </c>
      <c r="Y306">
        <f>HYPERLINK("https://klasma.github.io/Logging_2283/tillsynsmail/A 71349-2021 tillsynsbegäran mail.docx", "A 71349-2021")</f>
        <v/>
      </c>
      <c r="Z306">
        <f>HYPERLINK("https://klasma.github.io/Logging_2283/fåglar/A 71349-2021 prioriterade fågelarter.docx", "A 71349-2021")</f>
        <v/>
      </c>
    </row>
    <row r="307" ht="15" customHeight="1">
      <c r="A307" t="inlineStr">
        <is>
          <t>A 30047-2022</t>
        </is>
      </c>
      <c r="B307" s="1" t="n">
        <v>44756.94622685185</v>
      </c>
      <c r="C307" s="1" t="n">
        <v>45964</v>
      </c>
      <c r="D307" t="inlineStr">
        <is>
          <t>VÄSTERNORRLANDS LÄN</t>
        </is>
      </c>
      <c r="E307" t="inlineStr">
        <is>
          <t>SOLLEFTEÅ</t>
        </is>
      </c>
      <c r="F307" t="inlineStr">
        <is>
          <t>SCA</t>
        </is>
      </c>
      <c r="G307" t="n">
        <v>2.5</v>
      </c>
      <c r="H307" t="n">
        <v>0</v>
      </c>
      <c r="I307" t="n">
        <v>0</v>
      </c>
      <c r="J307" t="n">
        <v>1</v>
      </c>
      <c r="K307" t="n">
        <v>0</v>
      </c>
      <c r="L307" t="n">
        <v>0</v>
      </c>
      <c r="M307" t="n">
        <v>0</v>
      </c>
      <c r="N307" t="n">
        <v>0</v>
      </c>
      <c r="O307" t="n">
        <v>1</v>
      </c>
      <c r="P307" t="n">
        <v>0</v>
      </c>
      <c r="Q307" t="n">
        <v>1</v>
      </c>
      <c r="R307" s="2" t="inlineStr">
        <is>
          <t>Garnlav</t>
        </is>
      </c>
      <c r="S307">
        <f>HYPERLINK("https://klasma.github.io/Logging_2283/artfynd/A 30047-2022 artfynd.xlsx", "A 30047-2022")</f>
        <v/>
      </c>
      <c r="T307">
        <f>HYPERLINK("https://klasma.github.io/Logging_2283/kartor/A 30047-2022 karta.png", "A 30047-2022")</f>
        <v/>
      </c>
      <c r="V307">
        <f>HYPERLINK("https://klasma.github.io/Logging_2283/klagomål/A 30047-2022 FSC-klagomål.docx", "A 30047-2022")</f>
        <v/>
      </c>
      <c r="W307">
        <f>HYPERLINK("https://klasma.github.io/Logging_2283/klagomålsmail/A 30047-2022 FSC-klagomål mail.docx", "A 30047-2022")</f>
        <v/>
      </c>
      <c r="X307">
        <f>HYPERLINK("https://klasma.github.io/Logging_2283/tillsyn/A 30047-2022 tillsynsbegäran.docx", "A 30047-2022")</f>
        <v/>
      </c>
      <c r="Y307">
        <f>HYPERLINK("https://klasma.github.io/Logging_2283/tillsynsmail/A 30047-2022 tillsynsbegäran mail.docx", "A 30047-2022")</f>
        <v/>
      </c>
    </row>
    <row r="308" ht="15" customHeight="1">
      <c r="A308" t="inlineStr">
        <is>
          <t>A 40626-2022</t>
        </is>
      </c>
      <c r="B308" s="1" t="n">
        <v>44823.95071759259</v>
      </c>
      <c r="C308" s="1" t="n">
        <v>45964</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45964</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22323-2022</t>
        </is>
      </c>
      <c r="B310" s="1" t="n">
        <v>44712.94081018519</v>
      </c>
      <c r="C310" s="1" t="n">
        <v>45964</v>
      </c>
      <c r="D310" t="inlineStr">
        <is>
          <t>VÄSTERNORRLANDS LÄN</t>
        </is>
      </c>
      <c r="E310" t="inlineStr">
        <is>
          <t>SOLLEFTEÅ</t>
        </is>
      </c>
      <c r="F310" t="inlineStr">
        <is>
          <t>SCA</t>
        </is>
      </c>
      <c r="G310" t="n">
        <v>1.8</v>
      </c>
      <c r="H310" t="n">
        <v>0</v>
      </c>
      <c r="I310" t="n">
        <v>0</v>
      </c>
      <c r="J310" t="n">
        <v>1</v>
      </c>
      <c r="K310" t="n">
        <v>0</v>
      </c>
      <c r="L310" t="n">
        <v>0</v>
      </c>
      <c r="M310" t="n">
        <v>0</v>
      </c>
      <c r="N310" t="n">
        <v>0</v>
      </c>
      <c r="O310" t="n">
        <v>1</v>
      </c>
      <c r="P310" t="n">
        <v>0</v>
      </c>
      <c r="Q310" t="n">
        <v>1</v>
      </c>
      <c r="R310" s="2" t="inlineStr">
        <is>
          <t>Granticka</t>
        </is>
      </c>
      <c r="S310">
        <f>HYPERLINK("https://klasma.github.io/Logging_2283/artfynd/A 22323-2022 artfynd.xlsx", "A 22323-2022")</f>
        <v/>
      </c>
      <c r="T310">
        <f>HYPERLINK("https://klasma.github.io/Logging_2283/kartor/A 22323-2022 karta.png", "A 22323-2022")</f>
        <v/>
      </c>
      <c r="V310">
        <f>HYPERLINK("https://klasma.github.io/Logging_2283/klagomål/A 22323-2022 FSC-klagomål.docx", "A 22323-2022")</f>
        <v/>
      </c>
      <c r="W310">
        <f>HYPERLINK("https://klasma.github.io/Logging_2283/klagomålsmail/A 22323-2022 FSC-klagomål mail.docx", "A 22323-2022")</f>
        <v/>
      </c>
      <c r="X310">
        <f>HYPERLINK("https://klasma.github.io/Logging_2283/tillsyn/A 22323-2022 tillsynsbegäran.docx", "A 22323-2022")</f>
        <v/>
      </c>
      <c r="Y310">
        <f>HYPERLINK("https://klasma.github.io/Logging_2283/tillsynsmail/A 22323-2022 tillsynsbegäran mail.docx", "A 22323-2022")</f>
        <v/>
      </c>
    </row>
    <row r="311" ht="15" customHeight="1">
      <c r="A311" t="inlineStr">
        <is>
          <t>A 35295-2023</t>
        </is>
      </c>
      <c r="B311" s="1" t="n">
        <v>45145</v>
      </c>
      <c r="C311" s="1" t="n">
        <v>45964</v>
      </c>
      <c r="D311" t="inlineStr">
        <is>
          <t>VÄSTERNORRLANDS LÄN</t>
        </is>
      </c>
      <c r="E311" t="inlineStr">
        <is>
          <t>SOLLEFTEÅ</t>
        </is>
      </c>
      <c r="F311" t="inlineStr">
        <is>
          <t>SCA</t>
        </is>
      </c>
      <c r="G311" t="n">
        <v>8.9</v>
      </c>
      <c r="H311" t="n">
        <v>1</v>
      </c>
      <c r="I311" t="n">
        <v>0</v>
      </c>
      <c r="J311" t="n">
        <v>1</v>
      </c>
      <c r="K311" t="n">
        <v>0</v>
      </c>
      <c r="L311" t="n">
        <v>0</v>
      </c>
      <c r="M311" t="n">
        <v>0</v>
      </c>
      <c r="N311" t="n">
        <v>0</v>
      </c>
      <c r="O311" t="n">
        <v>1</v>
      </c>
      <c r="P311" t="n">
        <v>0</v>
      </c>
      <c r="Q311" t="n">
        <v>1</v>
      </c>
      <c r="R311" s="2" t="inlineStr">
        <is>
          <t>Talltita</t>
        </is>
      </c>
      <c r="S311">
        <f>HYPERLINK("https://klasma.github.io/Logging_2283/artfynd/A 35295-2023 artfynd.xlsx", "A 35295-2023")</f>
        <v/>
      </c>
      <c r="T311">
        <f>HYPERLINK("https://klasma.github.io/Logging_2283/kartor/A 35295-2023 karta.png", "A 35295-2023")</f>
        <v/>
      </c>
      <c r="V311">
        <f>HYPERLINK("https://klasma.github.io/Logging_2283/klagomål/A 35295-2023 FSC-klagomål.docx", "A 35295-2023")</f>
        <v/>
      </c>
      <c r="W311">
        <f>HYPERLINK("https://klasma.github.io/Logging_2283/klagomålsmail/A 35295-2023 FSC-klagomål mail.docx", "A 35295-2023")</f>
        <v/>
      </c>
      <c r="X311">
        <f>HYPERLINK("https://klasma.github.io/Logging_2283/tillsyn/A 35295-2023 tillsynsbegäran.docx", "A 35295-2023")</f>
        <v/>
      </c>
      <c r="Y311">
        <f>HYPERLINK("https://klasma.github.io/Logging_2283/tillsynsmail/A 35295-2023 tillsynsbegäran mail.docx", "A 35295-2023")</f>
        <v/>
      </c>
      <c r="Z311">
        <f>HYPERLINK("https://klasma.github.io/Logging_2283/fåglar/A 35295-2023 prioriterade fågelarter.docx", "A 35295-2023")</f>
        <v/>
      </c>
    </row>
    <row r="312" ht="15" customHeight="1">
      <c r="A312" t="inlineStr">
        <is>
          <t>A 37589-2022</t>
        </is>
      </c>
      <c r="B312" s="1" t="n">
        <v>44809.94556712963</v>
      </c>
      <c r="C312" s="1" t="n">
        <v>45964</v>
      </c>
      <c r="D312" t="inlineStr">
        <is>
          <t>VÄSTERNORRLANDS LÄN</t>
        </is>
      </c>
      <c r="E312" t="inlineStr">
        <is>
          <t>SOLLEFTEÅ</t>
        </is>
      </c>
      <c r="F312" t="inlineStr">
        <is>
          <t>SCA</t>
        </is>
      </c>
      <c r="G312" t="n">
        <v>2.6</v>
      </c>
      <c r="H312" t="n">
        <v>1</v>
      </c>
      <c r="I312" t="n">
        <v>0</v>
      </c>
      <c r="J312" t="n">
        <v>0</v>
      </c>
      <c r="K312" t="n">
        <v>0</v>
      </c>
      <c r="L312" t="n">
        <v>0</v>
      </c>
      <c r="M312" t="n">
        <v>0</v>
      </c>
      <c r="N312" t="n">
        <v>0</v>
      </c>
      <c r="O312" t="n">
        <v>0</v>
      </c>
      <c r="P312" t="n">
        <v>0</v>
      </c>
      <c r="Q312" t="n">
        <v>1</v>
      </c>
      <c r="R312" s="2" t="inlineStr">
        <is>
          <t>Tjäder</t>
        </is>
      </c>
      <c r="S312">
        <f>HYPERLINK("https://klasma.github.io/Logging_2283/artfynd/A 37589-2022 artfynd.xlsx", "A 37589-2022")</f>
        <v/>
      </c>
      <c r="T312">
        <f>HYPERLINK("https://klasma.github.io/Logging_2283/kartor/A 37589-2022 karta.png", "A 37589-2022")</f>
        <v/>
      </c>
      <c r="V312">
        <f>HYPERLINK("https://klasma.github.io/Logging_2283/klagomål/A 37589-2022 FSC-klagomål.docx", "A 37589-2022")</f>
        <v/>
      </c>
      <c r="W312">
        <f>HYPERLINK("https://klasma.github.io/Logging_2283/klagomålsmail/A 37589-2022 FSC-klagomål mail.docx", "A 37589-2022")</f>
        <v/>
      </c>
      <c r="X312">
        <f>HYPERLINK("https://klasma.github.io/Logging_2283/tillsyn/A 37589-2022 tillsynsbegäran.docx", "A 37589-2022")</f>
        <v/>
      </c>
      <c r="Y312">
        <f>HYPERLINK("https://klasma.github.io/Logging_2283/tillsynsmail/A 37589-2022 tillsynsbegäran mail.docx", "A 37589-2022")</f>
        <v/>
      </c>
      <c r="Z312">
        <f>HYPERLINK("https://klasma.github.io/Logging_2283/fåglar/A 37589-2022 prioriterade fågelarter.docx", "A 37589-2022")</f>
        <v/>
      </c>
    </row>
    <row r="313" ht="15" customHeight="1">
      <c r="A313" t="inlineStr">
        <is>
          <t>A 21708-2022</t>
        </is>
      </c>
      <c r="B313" s="1" t="n">
        <v>44707</v>
      </c>
      <c r="C313" s="1" t="n">
        <v>45964</v>
      </c>
      <c r="D313" t="inlineStr">
        <is>
          <t>VÄSTERNORRLANDS LÄN</t>
        </is>
      </c>
      <c r="E313" t="inlineStr">
        <is>
          <t>SOLLEFTEÅ</t>
        </is>
      </c>
      <c r="F313" t="inlineStr">
        <is>
          <t>SCA</t>
        </is>
      </c>
      <c r="G313" t="n">
        <v>2.6</v>
      </c>
      <c r="H313" t="n">
        <v>0</v>
      </c>
      <c r="I313" t="n">
        <v>0</v>
      </c>
      <c r="J313" t="n">
        <v>1</v>
      </c>
      <c r="K313" t="n">
        <v>0</v>
      </c>
      <c r="L313" t="n">
        <v>0</v>
      </c>
      <c r="M313" t="n">
        <v>0</v>
      </c>
      <c r="N313" t="n">
        <v>0</v>
      </c>
      <c r="O313" t="n">
        <v>1</v>
      </c>
      <c r="P313" t="n">
        <v>0</v>
      </c>
      <c r="Q313" t="n">
        <v>1</v>
      </c>
      <c r="R313" s="2" t="inlineStr">
        <is>
          <t>Lunglav</t>
        </is>
      </c>
      <c r="S313">
        <f>HYPERLINK("https://klasma.github.io/Logging_2283/artfynd/A 21708-2022 artfynd.xlsx", "A 21708-2022")</f>
        <v/>
      </c>
      <c r="T313">
        <f>HYPERLINK("https://klasma.github.io/Logging_2283/kartor/A 21708-2022 karta.png", "A 21708-2022")</f>
        <v/>
      </c>
      <c r="V313">
        <f>HYPERLINK("https://klasma.github.io/Logging_2283/klagomål/A 21708-2022 FSC-klagomål.docx", "A 21708-2022")</f>
        <v/>
      </c>
      <c r="W313">
        <f>HYPERLINK("https://klasma.github.io/Logging_2283/klagomålsmail/A 21708-2022 FSC-klagomål mail.docx", "A 21708-2022")</f>
        <v/>
      </c>
      <c r="X313">
        <f>HYPERLINK("https://klasma.github.io/Logging_2283/tillsyn/A 21708-2022 tillsynsbegäran.docx", "A 21708-2022")</f>
        <v/>
      </c>
      <c r="Y313">
        <f>HYPERLINK("https://klasma.github.io/Logging_2283/tillsynsmail/A 21708-2022 tillsynsbegäran mail.docx", "A 21708-2022")</f>
        <v/>
      </c>
    </row>
    <row r="314" ht="15" customHeight="1">
      <c r="A314" t="inlineStr">
        <is>
          <t>A 53059-2023</t>
        </is>
      </c>
      <c r="B314" s="1" t="n">
        <v>45226</v>
      </c>
      <c r="C314" s="1" t="n">
        <v>45964</v>
      </c>
      <c r="D314" t="inlineStr">
        <is>
          <t>VÄSTERNORRLANDS LÄN</t>
        </is>
      </c>
      <c r="E314" t="inlineStr">
        <is>
          <t>SOLLEFTEÅ</t>
        </is>
      </c>
      <c r="F314" t="inlineStr">
        <is>
          <t>SCA</t>
        </is>
      </c>
      <c r="G314" t="n">
        <v>1.3</v>
      </c>
      <c r="H314" t="n">
        <v>1</v>
      </c>
      <c r="I314" t="n">
        <v>0</v>
      </c>
      <c r="J314" t="n">
        <v>0</v>
      </c>
      <c r="K314" t="n">
        <v>1</v>
      </c>
      <c r="L314" t="n">
        <v>0</v>
      </c>
      <c r="M314" t="n">
        <v>0</v>
      </c>
      <c r="N314" t="n">
        <v>0</v>
      </c>
      <c r="O314" t="n">
        <v>1</v>
      </c>
      <c r="P314" t="n">
        <v>1</v>
      </c>
      <c r="Q314" t="n">
        <v>1</v>
      </c>
      <c r="R314" s="2" t="inlineStr">
        <is>
          <t>Knärot</t>
        </is>
      </c>
      <c r="S314">
        <f>HYPERLINK("https://klasma.github.io/Logging_2283/artfynd/A 53059-2023 artfynd.xlsx", "A 53059-2023")</f>
        <v/>
      </c>
      <c r="T314">
        <f>HYPERLINK("https://klasma.github.io/Logging_2283/kartor/A 53059-2023 karta.png", "A 53059-2023")</f>
        <v/>
      </c>
      <c r="U314">
        <f>HYPERLINK("https://klasma.github.io/Logging_2283/knärot/A 53059-2023 karta knärot.png", "A 53059-2023")</f>
        <v/>
      </c>
      <c r="V314">
        <f>HYPERLINK("https://klasma.github.io/Logging_2283/klagomål/A 53059-2023 FSC-klagomål.docx", "A 53059-2023")</f>
        <v/>
      </c>
      <c r="W314">
        <f>HYPERLINK("https://klasma.github.io/Logging_2283/klagomålsmail/A 53059-2023 FSC-klagomål mail.docx", "A 53059-2023")</f>
        <v/>
      </c>
      <c r="X314">
        <f>HYPERLINK("https://klasma.github.io/Logging_2283/tillsyn/A 53059-2023 tillsynsbegäran.docx", "A 53059-2023")</f>
        <v/>
      </c>
      <c r="Y314">
        <f>HYPERLINK("https://klasma.github.io/Logging_2283/tillsynsmail/A 53059-2023 tillsynsbegäran mail.docx", "A 53059-2023")</f>
        <v/>
      </c>
    </row>
    <row r="315" ht="15" customHeight="1">
      <c r="A315" t="inlineStr">
        <is>
          <t>A 37206-2024</t>
        </is>
      </c>
      <c r="B315" s="1" t="n">
        <v>45539</v>
      </c>
      <c r="C315" s="1" t="n">
        <v>45964</v>
      </c>
      <c r="D315" t="inlineStr">
        <is>
          <t>VÄSTERNORRLANDS LÄN</t>
        </is>
      </c>
      <c r="E315" t="inlineStr">
        <is>
          <t>SOLLEFTEÅ</t>
        </is>
      </c>
      <c r="F315" t="inlineStr">
        <is>
          <t>SCA</t>
        </is>
      </c>
      <c r="G315" t="n">
        <v>3.6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37206-2024 artfynd.xlsx", "A 37206-2024")</f>
        <v/>
      </c>
      <c r="T315">
        <f>HYPERLINK("https://klasma.github.io/Logging_2283/kartor/A 37206-2024 karta.png", "A 37206-2024")</f>
        <v/>
      </c>
      <c r="V315">
        <f>HYPERLINK("https://klasma.github.io/Logging_2283/klagomål/A 37206-2024 FSC-klagomål.docx", "A 37206-2024")</f>
        <v/>
      </c>
      <c r="W315">
        <f>HYPERLINK("https://klasma.github.io/Logging_2283/klagomålsmail/A 37206-2024 FSC-klagomål mail.docx", "A 37206-2024")</f>
        <v/>
      </c>
      <c r="X315">
        <f>HYPERLINK("https://klasma.github.io/Logging_2283/tillsyn/A 37206-2024 tillsynsbegäran.docx", "A 37206-2024")</f>
        <v/>
      </c>
      <c r="Y315">
        <f>HYPERLINK("https://klasma.github.io/Logging_2283/tillsynsmail/A 37206-2024 tillsynsbegäran mail.docx", "A 37206-2024")</f>
        <v/>
      </c>
      <c r="Z315">
        <f>HYPERLINK("https://klasma.github.io/Logging_2283/fåglar/A 37206-2024 prioriterade fågelarter.docx", "A 37206-2024")</f>
        <v/>
      </c>
    </row>
    <row r="316" ht="15" customHeight="1">
      <c r="A316" t="inlineStr">
        <is>
          <t>A 16269-2022</t>
        </is>
      </c>
      <c r="B316" s="1" t="n">
        <v>44670</v>
      </c>
      <c r="C316" s="1" t="n">
        <v>45964</v>
      </c>
      <c r="D316" t="inlineStr">
        <is>
          <t>VÄSTERNORRLANDS LÄN</t>
        </is>
      </c>
      <c r="E316" t="inlineStr">
        <is>
          <t>SOLLEFTEÅ</t>
        </is>
      </c>
      <c r="F316" t="inlineStr">
        <is>
          <t>Holmen skog AB</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16269-2022 artfynd.xlsx", "A 16269-2022")</f>
        <v/>
      </c>
      <c r="T316">
        <f>HYPERLINK("https://klasma.github.io/Logging_2283/kartor/A 16269-2022 karta.png", "A 16269-2022")</f>
        <v/>
      </c>
      <c r="V316">
        <f>HYPERLINK("https://klasma.github.io/Logging_2283/klagomål/A 16269-2022 FSC-klagomål.docx", "A 16269-2022")</f>
        <v/>
      </c>
      <c r="W316">
        <f>HYPERLINK("https://klasma.github.io/Logging_2283/klagomålsmail/A 16269-2022 FSC-klagomål mail.docx", "A 16269-2022")</f>
        <v/>
      </c>
      <c r="X316">
        <f>HYPERLINK("https://klasma.github.io/Logging_2283/tillsyn/A 16269-2022 tillsynsbegäran.docx", "A 16269-2022")</f>
        <v/>
      </c>
      <c r="Y316">
        <f>HYPERLINK("https://klasma.github.io/Logging_2283/tillsynsmail/A 16269-2022 tillsynsbegäran mail.docx", "A 16269-2022")</f>
        <v/>
      </c>
      <c r="Z316">
        <f>HYPERLINK("https://klasma.github.io/Logging_2283/fåglar/A 16269-2022 prioriterade fågelarter.docx", "A 16269-2022")</f>
        <v/>
      </c>
    </row>
    <row r="317" ht="15" customHeight="1">
      <c r="A317" t="inlineStr">
        <is>
          <t>A 21360-2021</t>
        </is>
      </c>
      <c r="B317" s="1" t="n">
        <v>44320</v>
      </c>
      <c r="C317" s="1" t="n">
        <v>45964</v>
      </c>
      <c r="D317" t="inlineStr">
        <is>
          <t>VÄSTERNORRLANDS LÄN</t>
        </is>
      </c>
      <c r="E317" t="inlineStr">
        <is>
          <t>SOLLEFTEÅ</t>
        </is>
      </c>
      <c r="G317" t="n">
        <v>6.8</v>
      </c>
      <c r="H317" t="n">
        <v>1</v>
      </c>
      <c r="I317" t="n">
        <v>0</v>
      </c>
      <c r="J317" t="n">
        <v>0</v>
      </c>
      <c r="K317" t="n">
        <v>1</v>
      </c>
      <c r="L317" t="n">
        <v>0</v>
      </c>
      <c r="M317" t="n">
        <v>0</v>
      </c>
      <c r="N317" t="n">
        <v>0</v>
      </c>
      <c r="O317" t="n">
        <v>1</v>
      </c>
      <c r="P317" t="n">
        <v>1</v>
      </c>
      <c r="Q317" t="n">
        <v>1</v>
      </c>
      <c r="R317" s="2" t="inlineStr">
        <is>
          <t>Knärot</t>
        </is>
      </c>
      <c r="S317">
        <f>HYPERLINK("https://klasma.github.io/Logging_2283/artfynd/A 21360-2021 artfynd.xlsx", "A 21360-2021")</f>
        <v/>
      </c>
      <c r="T317">
        <f>HYPERLINK("https://klasma.github.io/Logging_2283/kartor/A 21360-2021 karta.png", "A 21360-2021")</f>
        <v/>
      </c>
      <c r="U317">
        <f>HYPERLINK("https://klasma.github.io/Logging_2283/knärot/A 21360-2021 karta knärot.png", "A 21360-2021")</f>
        <v/>
      </c>
      <c r="V317">
        <f>HYPERLINK("https://klasma.github.io/Logging_2283/klagomål/A 21360-2021 FSC-klagomål.docx", "A 21360-2021")</f>
        <v/>
      </c>
      <c r="W317">
        <f>HYPERLINK("https://klasma.github.io/Logging_2283/klagomålsmail/A 21360-2021 FSC-klagomål mail.docx", "A 21360-2021")</f>
        <v/>
      </c>
      <c r="X317">
        <f>HYPERLINK("https://klasma.github.io/Logging_2283/tillsyn/A 21360-2021 tillsynsbegäran.docx", "A 21360-2021")</f>
        <v/>
      </c>
      <c r="Y317">
        <f>HYPERLINK("https://klasma.github.io/Logging_2283/tillsynsmail/A 21360-2021 tillsynsbegäran mail.docx", "A 21360-2021")</f>
        <v/>
      </c>
    </row>
    <row r="318" ht="15" customHeight="1">
      <c r="A318" t="inlineStr">
        <is>
          <t>A 48948-2024</t>
        </is>
      </c>
      <c r="B318" s="1" t="n">
        <v>45594.42767361111</v>
      </c>
      <c r="C318" s="1" t="n">
        <v>45964</v>
      </c>
      <c r="D318" t="inlineStr">
        <is>
          <t>VÄSTERNORRLANDS LÄN</t>
        </is>
      </c>
      <c r="E318" t="inlineStr">
        <is>
          <t>SOLLEFTEÅ</t>
        </is>
      </c>
      <c r="F318" t="inlineStr">
        <is>
          <t>SCA</t>
        </is>
      </c>
      <c r="G318" t="n">
        <v>15</v>
      </c>
      <c r="H318" t="n">
        <v>1</v>
      </c>
      <c r="I318" t="n">
        <v>0</v>
      </c>
      <c r="J318" t="n">
        <v>0</v>
      </c>
      <c r="K318" t="n">
        <v>0</v>
      </c>
      <c r="L318" t="n">
        <v>0</v>
      </c>
      <c r="M318" t="n">
        <v>0</v>
      </c>
      <c r="N318" t="n">
        <v>0</v>
      </c>
      <c r="O318" t="n">
        <v>0</v>
      </c>
      <c r="P318" t="n">
        <v>0</v>
      </c>
      <c r="Q318" t="n">
        <v>1</v>
      </c>
      <c r="R318" s="2" t="inlineStr">
        <is>
          <t>Mattlummer</t>
        </is>
      </c>
      <c r="S318">
        <f>HYPERLINK("https://klasma.github.io/Logging_2283/artfynd/A 48948-2024 artfynd.xlsx", "A 48948-2024")</f>
        <v/>
      </c>
      <c r="T318">
        <f>HYPERLINK("https://klasma.github.io/Logging_2283/kartor/A 48948-2024 karta.png", "A 48948-2024")</f>
        <v/>
      </c>
      <c r="V318">
        <f>HYPERLINK("https://klasma.github.io/Logging_2283/klagomål/A 48948-2024 FSC-klagomål.docx", "A 48948-2024")</f>
        <v/>
      </c>
      <c r="W318">
        <f>HYPERLINK("https://klasma.github.io/Logging_2283/klagomålsmail/A 48948-2024 FSC-klagomål mail.docx", "A 48948-2024")</f>
        <v/>
      </c>
      <c r="X318">
        <f>HYPERLINK("https://klasma.github.io/Logging_2283/tillsyn/A 48948-2024 tillsynsbegäran.docx", "A 48948-2024")</f>
        <v/>
      </c>
      <c r="Y318">
        <f>HYPERLINK("https://klasma.github.io/Logging_2283/tillsynsmail/A 48948-2024 tillsynsbegäran mail.docx", "A 48948-2024")</f>
        <v/>
      </c>
    </row>
    <row r="319" ht="15" customHeight="1">
      <c r="A319" t="inlineStr">
        <is>
          <t>A 14805-2024</t>
        </is>
      </c>
      <c r="B319" s="1" t="n">
        <v>45397</v>
      </c>
      <c r="C319" s="1" t="n">
        <v>45964</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Dvärgbägarlav</t>
        </is>
      </c>
      <c r="S319">
        <f>HYPERLINK("https://klasma.github.io/Logging_2283/artfynd/A 14805-2024 artfynd.xlsx", "A 14805-2024")</f>
        <v/>
      </c>
      <c r="T319">
        <f>HYPERLINK("https://klasma.github.io/Logging_2283/kartor/A 14805-2024 karta.png", "A 14805-2024")</f>
        <v/>
      </c>
      <c r="V319">
        <f>HYPERLINK("https://klasma.github.io/Logging_2283/klagomål/A 14805-2024 FSC-klagomål.docx", "A 14805-2024")</f>
        <v/>
      </c>
      <c r="W319">
        <f>HYPERLINK("https://klasma.github.io/Logging_2283/klagomålsmail/A 14805-2024 FSC-klagomål mail.docx", "A 14805-2024")</f>
        <v/>
      </c>
      <c r="X319">
        <f>HYPERLINK("https://klasma.github.io/Logging_2283/tillsyn/A 14805-2024 tillsynsbegäran.docx", "A 14805-2024")</f>
        <v/>
      </c>
      <c r="Y319">
        <f>HYPERLINK("https://klasma.github.io/Logging_2283/tillsynsmail/A 14805-2024 tillsynsbegäran mail.docx", "A 14805-2024")</f>
        <v/>
      </c>
    </row>
    <row r="320" ht="15" customHeight="1">
      <c r="A320" t="inlineStr">
        <is>
          <t>A 54734-2024</t>
        </is>
      </c>
      <c r="B320" s="1" t="n">
        <v>45618.43879629629</v>
      </c>
      <c r="C320" s="1" t="n">
        <v>45964</v>
      </c>
      <c r="D320" t="inlineStr">
        <is>
          <t>VÄSTERNORRLANDS LÄN</t>
        </is>
      </c>
      <c r="E320" t="inlineStr">
        <is>
          <t>SOLLEFTEÅ</t>
        </is>
      </c>
      <c r="F320" t="inlineStr">
        <is>
          <t>SCA</t>
        </is>
      </c>
      <c r="G320" t="n">
        <v>3.2</v>
      </c>
      <c r="H320" t="n">
        <v>0</v>
      </c>
      <c r="I320" t="n">
        <v>0</v>
      </c>
      <c r="J320" t="n">
        <v>1</v>
      </c>
      <c r="K320" t="n">
        <v>0</v>
      </c>
      <c r="L320" t="n">
        <v>0</v>
      </c>
      <c r="M320" t="n">
        <v>0</v>
      </c>
      <c r="N320" t="n">
        <v>0</v>
      </c>
      <c r="O320" t="n">
        <v>1</v>
      </c>
      <c r="P320" t="n">
        <v>0</v>
      </c>
      <c r="Q320" t="n">
        <v>1</v>
      </c>
      <c r="R320" s="2" t="inlineStr">
        <is>
          <t>Ullticka</t>
        </is>
      </c>
      <c r="S320">
        <f>HYPERLINK("https://klasma.github.io/Logging_2283/artfynd/A 54734-2024 artfynd.xlsx", "A 54734-2024")</f>
        <v/>
      </c>
      <c r="T320">
        <f>HYPERLINK("https://klasma.github.io/Logging_2283/kartor/A 54734-2024 karta.png", "A 54734-2024")</f>
        <v/>
      </c>
      <c r="V320">
        <f>HYPERLINK("https://klasma.github.io/Logging_2283/klagomål/A 54734-2024 FSC-klagomål.docx", "A 54734-2024")</f>
        <v/>
      </c>
      <c r="W320">
        <f>HYPERLINK("https://klasma.github.io/Logging_2283/klagomålsmail/A 54734-2024 FSC-klagomål mail.docx", "A 54734-2024")</f>
        <v/>
      </c>
      <c r="X320">
        <f>HYPERLINK("https://klasma.github.io/Logging_2283/tillsyn/A 54734-2024 tillsynsbegäran.docx", "A 54734-2024")</f>
        <v/>
      </c>
      <c r="Y320">
        <f>HYPERLINK("https://klasma.github.io/Logging_2283/tillsynsmail/A 54734-2024 tillsynsbegäran mail.docx", "A 54734-2024")</f>
        <v/>
      </c>
    </row>
    <row r="321" ht="15" customHeight="1">
      <c r="A321" t="inlineStr">
        <is>
          <t>A 18697-2025</t>
        </is>
      </c>
      <c r="B321" s="1" t="n">
        <v>45763.61592592593</v>
      </c>
      <c r="C321" s="1" t="n">
        <v>45964</v>
      </c>
      <c r="D321" t="inlineStr">
        <is>
          <t>VÄSTERNORRLANDS LÄN</t>
        </is>
      </c>
      <c r="E321" t="inlineStr">
        <is>
          <t>SOLLEFTEÅ</t>
        </is>
      </c>
      <c r="F321" t="inlineStr">
        <is>
          <t>SCA</t>
        </is>
      </c>
      <c r="G321" t="n">
        <v>6.4</v>
      </c>
      <c r="H321" t="n">
        <v>0</v>
      </c>
      <c r="I321" t="n">
        <v>0</v>
      </c>
      <c r="J321" t="n">
        <v>1</v>
      </c>
      <c r="K321" t="n">
        <v>0</v>
      </c>
      <c r="L321" t="n">
        <v>0</v>
      </c>
      <c r="M321" t="n">
        <v>0</v>
      </c>
      <c r="N321" t="n">
        <v>0</v>
      </c>
      <c r="O321" t="n">
        <v>1</v>
      </c>
      <c r="P321" t="n">
        <v>0</v>
      </c>
      <c r="Q321" t="n">
        <v>1</v>
      </c>
      <c r="R321" s="2" t="inlineStr">
        <is>
          <t>Kolflarnlav</t>
        </is>
      </c>
      <c r="S321">
        <f>HYPERLINK("https://klasma.github.io/Logging_2283/artfynd/A 18697-2025 artfynd.xlsx", "A 18697-2025")</f>
        <v/>
      </c>
      <c r="T321">
        <f>HYPERLINK("https://klasma.github.io/Logging_2283/kartor/A 18697-2025 karta.png", "A 18697-2025")</f>
        <v/>
      </c>
      <c r="V321">
        <f>HYPERLINK("https://klasma.github.io/Logging_2283/klagomål/A 18697-2025 FSC-klagomål.docx", "A 18697-2025")</f>
        <v/>
      </c>
      <c r="W321">
        <f>HYPERLINK("https://klasma.github.io/Logging_2283/klagomålsmail/A 18697-2025 FSC-klagomål mail.docx", "A 18697-2025")</f>
        <v/>
      </c>
      <c r="X321">
        <f>HYPERLINK("https://klasma.github.io/Logging_2283/tillsyn/A 18697-2025 tillsynsbegäran.docx", "A 18697-2025")</f>
        <v/>
      </c>
      <c r="Y321">
        <f>HYPERLINK("https://klasma.github.io/Logging_2283/tillsynsmail/A 18697-2025 tillsynsbegäran mail.docx", "A 18697-2025")</f>
        <v/>
      </c>
    </row>
    <row r="322" ht="15" customHeight="1">
      <c r="A322" t="inlineStr">
        <is>
          <t>A 17215-2025</t>
        </is>
      </c>
      <c r="B322" s="1" t="n">
        <v>45756.44856481482</v>
      </c>
      <c r="C322" s="1" t="n">
        <v>45964</v>
      </c>
      <c r="D322" t="inlineStr">
        <is>
          <t>VÄSTERNORRLANDS LÄN</t>
        </is>
      </c>
      <c r="E322" t="inlineStr">
        <is>
          <t>SOLLEFTEÅ</t>
        </is>
      </c>
      <c r="F322" t="inlineStr">
        <is>
          <t>SCA</t>
        </is>
      </c>
      <c r="G322" t="n">
        <v>5</v>
      </c>
      <c r="H322" t="n">
        <v>0</v>
      </c>
      <c r="I322" t="n">
        <v>0</v>
      </c>
      <c r="J322" t="n">
        <v>1</v>
      </c>
      <c r="K322" t="n">
        <v>0</v>
      </c>
      <c r="L322" t="n">
        <v>0</v>
      </c>
      <c r="M322" t="n">
        <v>0</v>
      </c>
      <c r="N322" t="n">
        <v>0</v>
      </c>
      <c r="O322" t="n">
        <v>1</v>
      </c>
      <c r="P322" t="n">
        <v>0</v>
      </c>
      <c r="Q322" t="n">
        <v>1</v>
      </c>
      <c r="R322" s="2" t="inlineStr">
        <is>
          <t>Vitgrynig nållav</t>
        </is>
      </c>
      <c r="S322">
        <f>HYPERLINK("https://klasma.github.io/Logging_2283/artfynd/A 17215-2025 artfynd.xlsx", "A 17215-2025")</f>
        <v/>
      </c>
      <c r="T322">
        <f>HYPERLINK("https://klasma.github.io/Logging_2283/kartor/A 17215-2025 karta.png", "A 17215-2025")</f>
        <v/>
      </c>
      <c r="V322">
        <f>HYPERLINK("https://klasma.github.io/Logging_2283/klagomål/A 17215-2025 FSC-klagomål.docx", "A 17215-2025")</f>
        <v/>
      </c>
      <c r="W322">
        <f>HYPERLINK("https://klasma.github.io/Logging_2283/klagomålsmail/A 17215-2025 FSC-klagomål mail.docx", "A 17215-2025")</f>
        <v/>
      </c>
      <c r="X322">
        <f>HYPERLINK("https://klasma.github.io/Logging_2283/tillsyn/A 17215-2025 tillsynsbegäran.docx", "A 17215-2025")</f>
        <v/>
      </c>
      <c r="Y322">
        <f>HYPERLINK("https://klasma.github.io/Logging_2283/tillsynsmail/A 17215-2025 tillsynsbegäran mail.docx", "A 17215-2025")</f>
        <v/>
      </c>
    </row>
    <row r="323" ht="15" customHeight="1">
      <c r="A323" t="inlineStr">
        <is>
          <t>A 53039-2023</t>
        </is>
      </c>
      <c r="B323" s="1" t="n">
        <v>45226</v>
      </c>
      <c r="C323" s="1" t="n">
        <v>45964</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Nordfladdermus</t>
        </is>
      </c>
      <c r="S323">
        <f>HYPERLINK("https://klasma.github.io/Logging_2283/artfynd/A 53039-2023 artfynd.xlsx", "A 53039-2023")</f>
        <v/>
      </c>
      <c r="T323">
        <f>HYPERLINK("https://klasma.github.io/Logging_2283/kartor/A 53039-2023 karta.png", "A 53039-2023")</f>
        <v/>
      </c>
      <c r="V323">
        <f>HYPERLINK("https://klasma.github.io/Logging_2283/klagomål/A 53039-2023 FSC-klagomål.docx", "A 53039-2023")</f>
        <v/>
      </c>
      <c r="W323">
        <f>HYPERLINK("https://klasma.github.io/Logging_2283/klagomålsmail/A 53039-2023 FSC-klagomål mail.docx", "A 53039-2023")</f>
        <v/>
      </c>
      <c r="X323">
        <f>HYPERLINK("https://klasma.github.io/Logging_2283/tillsyn/A 53039-2023 tillsynsbegäran.docx", "A 53039-2023")</f>
        <v/>
      </c>
      <c r="Y323">
        <f>HYPERLINK("https://klasma.github.io/Logging_2283/tillsynsmail/A 53039-2023 tillsynsbegäran mail.docx", "A 53039-2023")</f>
        <v/>
      </c>
    </row>
    <row r="324" ht="15" customHeight="1">
      <c r="A324" t="inlineStr">
        <is>
          <t>A 49367-2024</t>
        </is>
      </c>
      <c r="B324" s="1" t="n">
        <v>45595.63591435185</v>
      </c>
      <c r="C324" s="1" t="n">
        <v>45964</v>
      </c>
      <c r="D324" t="inlineStr">
        <is>
          <t>VÄSTERNORRLANDS LÄN</t>
        </is>
      </c>
      <c r="E324" t="inlineStr">
        <is>
          <t>SOLLEFTEÅ</t>
        </is>
      </c>
      <c r="F324" t="inlineStr">
        <is>
          <t>SCA</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HYPERLINK("https://klasma.github.io/Logging_2283/artfynd/A 49367-2024 artfynd.xlsx", "A 49367-2024")</f>
        <v/>
      </c>
      <c r="T324">
        <f>HYPERLINK("https://klasma.github.io/Logging_2283/kartor/A 49367-2024 karta.png", "A 49367-2024")</f>
        <v/>
      </c>
      <c r="U324">
        <f>HYPERLINK("https://klasma.github.io/Logging_2283/knärot/A 49367-2024 karta knärot.png", "A 49367-2024")</f>
        <v/>
      </c>
      <c r="V324">
        <f>HYPERLINK("https://klasma.github.io/Logging_2283/klagomål/A 49367-2024 FSC-klagomål.docx", "A 49367-2024")</f>
        <v/>
      </c>
      <c r="W324">
        <f>HYPERLINK("https://klasma.github.io/Logging_2283/klagomålsmail/A 49367-2024 FSC-klagomål mail.docx", "A 49367-2024")</f>
        <v/>
      </c>
      <c r="X324">
        <f>HYPERLINK("https://klasma.github.io/Logging_2283/tillsyn/A 49367-2024 tillsynsbegäran.docx", "A 49367-2024")</f>
        <v/>
      </c>
      <c r="Y324">
        <f>HYPERLINK("https://klasma.github.io/Logging_2283/tillsynsmail/A 49367-2024 tillsynsbegäran mail.docx", "A 49367-2024")</f>
        <v/>
      </c>
    </row>
    <row r="325" ht="15" customHeight="1">
      <c r="A325" t="inlineStr">
        <is>
          <t>A 33504-2022</t>
        </is>
      </c>
      <c r="B325" s="1" t="n">
        <v>44788</v>
      </c>
      <c r="C325" s="1" t="n">
        <v>45964</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22345-2025</t>
        </is>
      </c>
      <c r="B326" s="1" t="n">
        <v>45786.44869212963</v>
      </c>
      <c r="C326" s="1" t="n">
        <v>45964</v>
      </c>
      <c r="D326" t="inlineStr">
        <is>
          <t>VÄSTERNORRLANDS LÄN</t>
        </is>
      </c>
      <c r="E326" t="inlineStr">
        <is>
          <t>SOLLEFTEÅ</t>
        </is>
      </c>
      <c r="F326" t="inlineStr">
        <is>
          <t>SCA</t>
        </is>
      </c>
      <c r="G326" t="n">
        <v>7.2</v>
      </c>
      <c r="H326" t="n">
        <v>0</v>
      </c>
      <c r="I326" t="n">
        <v>0</v>
      </c>
      <c r="J326" t="n">
        <v>1</v>
      </c>
      <c r="K326" t="n">
        <v>0</v>
      </c>
      <c r="L326" t="n">
        <v>0</v>
      </c>
      <c r="M326" t="n">
        <v>0</v>
      </c>
      <c r="N326" t="n">
        <v>0</v>
      </c>
      <c r="O326" t="n">
        <v>1</v>
      </c>
      <c r="P326" t="n">
        <v>0</v>
      </c>
      <c r="Q326" t="n">
        <v>1</v>
      </c>
      <c r="R326" s="2" t="inlineStr">
        <is>
          <t>Gammelgransskål</t>
        </is>
      </c>
      <c r="S326">
        <f>HYPERLINK("https://klasma.github.io/Logging_2283/artfynd/A 22345-2025 artfynd.xlsx", "A 22345-2025")</f>
        <v/>
      </c>
      <c r="T326">
        <f>HYPERLINK("https://klasma.github.io/Logging_2283/kartor/A 22345-2025 karta.png", "A 22345-2025")</f>
        <v/>
      </c>
      <c r="V326">
        <f>HYPERLINK("https://klasma.github.io/Logging_2283/klagomål/A 22345-2025 FSC-klagomål.docx", "A 22345-2025")</f>
        <v/>
      </c>
      <c r="W326">
        <f>HYPERLINK("https://klasma.github.io/Logging_2283/klagomålsmail/A 22345-2025 FSC-klagomål mail.docx", "A 22345-2025")</f>
        <v/>
      </c>
      <c r="X326">
        <f>HYPERLINK("https://klasma.github.io/Logging_2283/tillsyn/A 22345-2025 tillsynsbegäran.docx", "A 22345-2025")</f>
        <v/>
      </c>
      <c r="Y326">
        <f>HYPERLINK("https://klasma.github.io/Logging_2283/tillsynsmail/A 22345-2025 tillsynsbegäran mail.docx", "A 22345-2025")</f>
        <v/>
      </c>
    </row>
    <row r="327" ht="15" customHeight="1">
      <c r="A327" t="inlineStr">
        <is>
          <t>A 22768-2025</t>
        </is>
      </c>
      <c r="B327" s="1" t="n">
        <v>45789.63329861111</v>
      </c>
      <c r="C327" s="1" t="n">
        <v>45964</v>
      </c>
      <c r="D327" t="inlineStr">
        <is>
          <t>VÄSTERNORRLANDS LÄN</t>
        </is>
      </c>
      <c r="E327" t="inlineStr">
        <is>
          <t>SOLLEFTEÅ</t>
        </is>
      </c>
      <c r="G327" t="n">
        <v>1.9</v>
      </c>
      <c r="H327" t="n">
        <v>0</v>
      </c>
      <c r="I327" t="n">
        <v>0</v>
      </c>
      <c r="J327" t="n">
        <v>1</v>
      </c>
      <c r="K327" t="n">
        <v>0</v>
      </c>
      <c r="L327" t="n">
        <v>0</v>
      </c>
      <c r="M327" t="n">
        <v>0</v>
      </c>
      <c r="N327" t="n">
        <v>0</v>
      </c>
      <c r="O327" t="n">
        <v>1</v>
      </c>
      <c r="P327" t="n">
        <v>0</v>
      </c>
      <c r="Q327" t="n">
        <v>1</v>
      </c>
      <c r="R327" s="2" t="inlineStr">
        <is>
          <t>Granticka</t>
        </is>
      </c>
      <c r="S327">
        <f>HYPERLINK("https://klasma.github.io/Logging_2283/artfynd/A 22768-2025 artfynd.xlsx", "A 22768-2025")</f>
        <v/>
      </c>
      <c r="T327">
        <f>HYPERLINK("https://klasma.github.io/Logging_2283/kartor/A 22768-2025 karta.png", "A 22768-2025")</f>
        <v/>
      </c>
      <c r="V327">
        <f>HYPERLINK("https://klasma.github.io/Logging_2283/klagomål/A 22768-2025 FSC-klagomål.docx", "A 22768-2025")</f>
        <v/>
      </c>
      <c r="W327">
        <f>HYPERLINK("https://klasma.github.io/Logging_2283/klagomålsmail/A 22768-2025 FSC-klagomål mail.docx", "A 22768-2025")</f>
        <v/>
      </c>
      <c r="X327">
        <f>HYPERLINK("https://klasma.github.io/Logging_2283/tillsyn/A 22768-2025 tillsynsbegäran.docx", "A 22768-2025")</f>
        <v/>
      </c>
      <c r="Y327">
        <f>HYPERLINK("https://klasma.github.io/Logging_2283/tillsynsmail/A 22768-2025 tillsynsbegäran mail.docx", "A 22768-2025")</f>
        <v/>
      </c>
    </row>
    <row r="328" ht="15" customHeight="1">
      <c r="A328" t="inlineStr">
        <is>
          <t>A 27901-2024</t>
        </is>
      </c>
      <c r="B328" s="1" t="n">
        <v>45475.92859953704</v>
      </c>
      <c r="C328" s="1" t="n">
        <v>45964</v>
      </c>
      <c r="D328" t="inlineStr">
        <is>
          <t>VÄSTERNORRLANDS LÄN</t>
        </is>
      </c>
      <c r="E328" t="inlineStr">
        <is>
          <t>SOLLEFTEÅ</t>
        </is>
      </c>
      <c r="G328" t="n">
        <v>12.7</v>
      </c>
      <c r="H328" t="n">
        <v>0</v>
      </c>
      <c r="I328" t="n">
        <v>0</v>
      </c>
      <c r="J328" t="n">
        <v>1</v>
      </c>
      <c r="K328" t="n">
        <v>0</v>
      </c>
      <c r="L328" t="n">
        <v>0</v>
      </c>
      <c r="M328" t="n">
        <v>0</v>
      </c>
      <c r="N328" t="n">
        <v>0</v>
      </c>
      <c r="O328" t="n">
        <v>1</v>
      </c>
      <c r="P328" t="n">
        <v>0</v>
      </c>
      <c r="Q328" t="n">
        <v>1</v>
      </c>
      <c r="R328" s="2" t="inlineStr">
        <is>
          <t>Garnlav</t>
        </is>
      </c>
      <c r="S328">
        <f>HYPERLINK("https://klasma.github.io/Logging_2283/artfynd/A 27901-2024 artfynd.xlsx", "A 27901-2024")</f>
        <v/>
      </c>
      <c r="T328">
        <f>HYPERLINK("https://klasma.github.io/Logging_2283/kartor/A 27901-2024 karta.png", "A 27901-2024")</f>
        <v/>
      </c>
      <c r="V328">
        <f>HYPERLINK("https://klasma.github.io/Logging_2283/klagomål/A 27901-2024 FSC-klagomål.docx", "A 27901-2024")</f>
        <v/>
      </c>
      <c r="W328">
        <f>HYPERLINK("https://klasma.github.io/Logging_2283/klagomålsmail/A 27901-2024 FSC-klagomål mail.docx", "A 27901-2024")</f>
        <v/>
      </c>
      <c r="X328">
        <f>HYPERLINK("https://klasma.github.io/Logging_2283/tillsyn/A 27901-2024 tillsynsbegäran.docx", "A 27901-2024")</f>
        <v/>
      </c>
      <c r="Y328">
        <f>HYPERLINK("https://klasma.github.io/Logging_2283/tillsynsmail/A 27901-2024 tillsynsbegäran mail.docx", "A 27901-2024")</f>
        <v/>
      </c>
    </row>
    <row r="329" ht="15" customHeight="1">
      <c r="A329" t="inlineStr">
        <is>
          <t>A 48087-2023</t>
        </is>
      </c>
      <c r="B329" s="1" t="n">
        <v>45204</v>
      </c>
      <c r="C329" s="1" t="n">
        <v>45964</v>
      </c>
      <c r="D329" t="inlineStr">
        <is>
          <t>VÄSTERNORRLANDS LÄN</t>
        </is>
      </c>
      <c r="E329" t="inlineStr">
        <is>
          <t>SOLLEFTEÅ</t>
        </is>
      </c>
      <c r="F329" t="inlineStr">
        <is>
          <t>SCA</t>
        </is>
      </c>
      <c r="G329" t="n">
        <v>0.6</v>
      </c>
      <c r="H329" t="n">
        <v>0</v>
      </c>
      <c r="I329" t="n">
        <v>0</v>
      </c>
      <c r="J329" t="n">
        <v>1</v>
      </c>
      <c r="K329" t="n">
        <v>0</v>
      </c>
      <c r="L329" t="n">
        <v>0</v>
      </c>
      <c r="M329" t="n">
        <v>0</v>
      </c>
      <c r="N329" t="n">
        <v>0</v>
      </c>
      <c r="O329" t="n">
        <v>1</v>
      </c>
      <c r="P329" t="n">
        <v>0</v>
      </c>
      <c r="Q329" t="n">
        <v>1</v>
      </c>
      <c r="R329" s="2" t="inlineStr">
        <is>
          <t>Doftskinn</t>
        </is>
      </c>
      <c r="S329">
        <f>HYPERLINK("https://klasma.github.io/Logging_2283/artfynd/A 48087-2023 artfynd.xlsx", "A 48087-2023")</f>
        <v/>
      </c>
      <c r="T329">
        <f>HYPERLINK("https://klasma.github.io/Logging_2283/kartor/A 48087-2023 karta.png", "A 48087-2023")</f>
        <v/>
      </c>
      <c r="V329">
        <f>HYPERLINK("https://klasma.github.io/Logging_2283/klagomål/A 48087-2023 FSC-klagomål.docx", "A 48087-2023")</f>
        <v/>
      </c>
      <c r="W329">
        <f>HYPERLINK("https://klasma.github.io/Logging_2283/klagomålsmail/A 48087-2023 FSC-klagomål mail.docx", "A 48087-2023")</f>
        <v/>
      </c>
      <c r="X329">
        <f>HYPERLINK("https://klasma.github.io/Logging_2283/tillsyn/A 48087-2023 tillsynsbegäran.docx", "A 48087-2023")</f>
        <v/>
      </c>
      <c r="Y329">
        <f>HYPERLINK("https://klasma.github.io/Logging_2283/tillsynsmail/A 48087-2023 tillsynsbegäran mail.docx", "A 48087-2023")</f>
        <v/>
      </c>
    </row>
    <row r="330" ht="15" customHeight="1">
      <c r="A330" t="inlineStr">
        <is>
          <t>A 1343-2025</t>
        </is>
      </c>
      <c r="B330" s="1" t="n">
        <v>45667.6043287037</v>
      </c>
      <c r="C330" s="1" t="n">
        <v>45964</v>
      </c>
      <c r="D330" t="inlineStr">
        <is>
          <t>VÄSTERNORRLANDS LÄN</t>
        </is>
      </c>
      <c r="E330" t="inlineStr">
        <is>
          <t>SOLLEFTEÅ</t>
        </is>
      </c>
      <c r="G330" t="n">
        <v>5.2</v>
      </c>
      <c r="H330" t="n">
        <v>0</v>
      </c>
      <c r="I330" t="n">
        <v>0</v>
      </c>
      <c r="J330" t="n">
        <v>1</v>
      </c>
      <c r="K330" t="n">
        <v>0</v>
      </c>
      <c r="L330" t="n">
        <v>0</v>
      </c>
      <c r="M330" t="n">
        <v>0</v>
      </c>
      <c r="N330" t="n">
        <v>0</v>
      </c>
      <c r="O330" t="n">
        <v>1</v>
      </c>
      <c r="P330" t="n">
        <v>0</v>
      </c>
      <c r="Q330" t="n">
        <v>1</v>
      </c>
      <c r="R330" s="2" t="inlineStr">
        <is>
          <t>Granticka</t>
        </is>
      </c>
      <c r="S330">
        <f>HYPERLINK("https://klasma.github.io/Logging_2283/artfynd/A 1343-2025 artfynd.xlsx", "A 1343-2025")</f>
        <v/>
      </c>
      <c r="T330">
        <f>HYPERLINK("https://klasma.github.io/Logging_2283/kartor/A 1343-2025 karta.png", "A 1343-2025")</f>
        <v/>
      </c>
      <c r="V330">
        <f>HYPERLINK("https://klasma.github.io/Logging_2283/klagomål/A 1343-2025 FSC-klagomål.docx", "A 1343-2025")</f>
        <v/>
      </c>
      <c r="W330">
        <f>HYPERLINK("https://klasma.github.io/Logging_2283/klagomålsmail/A 1343-2025 FSC-klagomål mail.docx", "A 1343-2025")</f>
        <v/>
      </c>
      <c r="X330">
        <f>HYPERLINK("https://klasma.github.io/Logging_2283/tillsyn/A 1343-2025 tillsynsbegäran.docx", "A 1343-2025")</f>
        <v/>
      </c>
      <c r="Y330">
        <f>HYPERLINK("https://klasma.github.io/Logging_2283/tillsynsmail/A 1343-2025 tillsynsbegäran mail.docx", "A 1343-2025")</f>
        <v/>
      </c>
    </row>
    <row r="331" ht="15" customHeight="1">
      <c r="A331" t="inlineStr">
        <is>
          <t>A 3959-2024</t>
        </is>
      </c>
      <c r="B331" s="1" t="n">
        <v>45322</v>
      </c>
      <c r="C331" s="1" t="n">
        <v>45964</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11667-2025</t>
        </is>
      </c>
      <c r="B332" s="1" t="n">
        <v>45727.51074074074</v>
      </c>
      <c r="C332" s="1" t="n">
        <v>45964</v>
      </c>
      <c r="D332" t="inlineStr">
        <is>
          <t>VÄSTERNORRLANDS LÄN</t>
        </is>
      </c>
      <c r="E332" t="inlineStr">
        <is>
          <t>SOLLEFTEÅ</t>
        </is>
      </c>
      <c r="F332" t="inlineStr">
        <is>
          <t>SCA</t>
        </is>
      </c>
      <c r="G332" t="n">
        <v>4.5</v>
      </c>
      <c r="H332" t="n">
        <v>1</v>
      </c>
      <c r="I332" t="n">
        <v>0</v>
      </c>
      <c r="J332" t="n">
        <v>1</v>
      </c>
      <c r="K332" t="n">
        <v>0</v>
      </c>
      <c r="L332" t="n">
        <v>0</v>
      </c>
      <c r="M332" t="n">
        <v>0</v>
      </c>
      <c r="N332" t="n">
        <v>0</v>
      </c>
      <c r="O332" t="n">
        <v>1</v>
      </c>
      <c r="P332" t="n">
        <v>0</v>
      </c>
      <c r="Q332" t="n">
        <v>1</v>
      </c>
      <c r="R332" s="2" t="inlineStr">
        <is>
          <t>Järpe</t>
        </is>
      </c>
      <c r="S332">
        <f>HYPERLINK("https://klasma.github.io/Logging_2283/artfynd/A 11667-2025 artfynd.xlsx", "A 11667-2025")</f>
        <v/>
      </c>
      <c r="T332">
        <f>HYPERLINK("https://klasma.github.io/Logging_2283/kartor/A 11667-2025 karta.png", "A 11667-2025")</f>
        <v/>
      </c>
      <c r="V332">
        <f>HYPERLINK("https://klasma.github.io/Logging_2283/klagomål/A 11667-2025 FSC-klagomål.docx", "A 11667-2025")</f>
        <v/>
      </c>
      <c r="W332">
        <f>HYPERLINK("https://klasma.github.io/Logging_2283/klagomålsmail/A 11667-2025 FSC-klagomål mail.docx", "A 11667-2025")</f>
        <v/>
      </c>
      <c r="X332">
        <f>HYPERLINK("https://klasma.github.io/Logging_2283/tillsyn/A 11667-2025 tillsynsbegäran.docx", "A 11667-2025")</f>
        <v/>
      </c>
      <c r="Y332">
        <f>HYPERLINK("https://klasma.github.io/Logging_2283/tillsynsmail/A 11667-2025 tillsynsbegäran mail.docx", "A 11667-2025")</f>
        <v/>
      </c>
      <c r="Z332">
        <f>HYPERLINK("https://klasma.github.io/Logging_2283/fåglar/A 11667-2025 prioriterade fågelarter.docx", "A 11667-2025")</f>
        <v/>
      </c>
    </row>
    <row r="333" ht="15" customHeight="1">
      <c r="A333" t="inlineStr">
        <is>
          <t>A 23169-2025</t>
        </is>
      </c>
      <c r="B333" s="1" t="n">
        <v>45791.42752314815</v>
      </c>
      <c r="C333" s="1" t="n">
        <v>45964</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Järpe</t>
        </is>
      </c>
      <c r="S333">
        <f>HYPERLINK("https://klasma.github.io/Logging_2283/artfynd/A 23169-2025 artfynd.xlsx", "A 23169-2025")</f>
        <v/>
      </c>
      <c r="T333">
        <f>HYPERLINK("https://klasma.github.io/Logging_2283/kartor/A 23169-2025 karta.png", "A 23169-2025")</f>
        <v/>
      </c>
      <c r="V333">
        <f>HYPERLINK("https://klasma.github.io/Logging_2283/klagomål/A 23169-2025 FSC-klagomål.docx", "A 23169-2025")</f>
        <v/>
      </c>
      <c r="W333">
        <f>HYPERLINK("https://klasma.github.io/Logging_2283/klagomålsmail/A 23169-2025 FSC-klagomål mail.docx", "A 23169-2025")</f>
        <v/>
      </c>
      <c r="X333">
        <f>HYPERLINK("https://klasma.github.io/Logging_2283/tillsyn/A 23169-2025 tillsynsbegäran.docx", "A 23169-2025")</f>
        <v/>
      </c>
      <c r="Y333">
        <f>HYPERLINK("https://klasma.github.io/Logging_2283/tillsynsmail/A 23169-2025 tillsynsbegäran mail.docx", "A 23169-2025")</f>
        <v/>
      </c>
      <c r="Z333">
        <f>HYPERLINK("https://klasma.github.io/Logging_2283/fåglar/A 23169-2025 prioriterade fågelarter.docx", "A 23169-2025")</f>
        <v/>
      </c>
    </row>
    <row r="334" ht="15" customHeight="1">
      <c r="A334" t="inlineStr">
        <is>
          <t>A 22214-2025</t>
        </is>
      </c>
      <c r="B334" s="1" t="n">
        <v>45785.65792824074</v>
      </c>
      <c r="C334" s="1" t="n">
        <v>45964</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25310-2023</t>
        </is>
      </c>
      <c r="B335" s="1" t="n">
        <v>45086</v>
      </c>
      <c r="C335" s="1" t="n">
        <v>45964</v>
      </c>
      <c r="D335" t="inlineStr">
        <is>
          <t>VÄSTERNORRLANDS LÄN</t>
        </is>
      </c>
      <c r="E335" t="inlineStr">
        <is>
          <t>SOLLEFTEÅ</t>
        </is>
      </c>
      <c r="F335" t="inlineStr">
        <is>
          <t>SCA</t>
        </is>
      </c>
      <c r="G335" t="n">
        <v>1.1</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25310-2023 artfynd.xlsx", "A 25310-2023")</f>
        <v/>
      </c>
      <c r="T335">
        <f>HYPERLINK("https://klasma.github.io/Logging_2283/kartor/A 25310-2023 karta.png", "A 25310-2023")</f>
        <v/>
      </c>
      <c r="V335">
        <f>HYPERLINK("https://klasma.github.io/Logging_2283/klagomål/A 25310-2023 FSC-klagomål.docx", "A 25310-2023")</f>
        <v/>
      </c>
      <c r="W335">
        <f>HYPERLINK("https://klasma.github.io/Logging_2283/klagomålsmail/A 25310-2023 FSC-klagomål mail.docx", "A 25310-2023")</f>
        <v/>
      </c>
      <c r="X335">
        <f>HYPERLINK("https://klasma.github.io/Logging_2283/tillsyn/A 25310-2023 tillsynsbegäran.docx", "A 25310-2023")</f>
        <v/>
      </c>
      <c r="Y335">
        <f>HYPERLINK("https://klasma.github.io/Logging_2283/tillsynsmail/A 25310-2023 tillsynsbegäran mail.docx", "A 25310-2023")</f>
        <v/>
      </c>
      <c r="Z335">
        <f>HYPERLINK("https://klasma.github.io/Logging_2283/fåglar/A 25310-2023 prioriterade fågelarter.docx", "A 25310-2023")</f>
        <v/>
      </c>
    </row>
    <row r="336" ht="15" customHeight="1">
      <c r="A336" t="inlineStr">
        <is>
          <t>A 26019-2025</t>
        </is>
      </c>
      <c r="B336" s="1" t="n">
        <v>45804.67811342593</v>
      </c>
      <c r="C336" s="1" t="n">
        <v>45964</v>
      </c>
      <c r="D336" t="inlineStr">
        <is>
          <t>VÄSTERNORRLANDS LÄN</t>
        </is>
      </c>
      <c r="E336" t="inlineStr">
        <is>
          <t>SOLLEFTEÅ</t>
        </is>
      </c>
      <c r="F336" t="inlineStr">
        <is>
          <t>SCA</t>
        </is>
      </c>
      <c r="G336" t="n">
        <v>3.7</v>
      </c>
      <c r="H336" t="n">
        <v>0</v>
      </c>
      <c r="I336" t="n">
        <v>0</v>
      </c>
      <c r="J336" t="n">
        <v>1</v>
      </c>
      <c r="K336" t="n">
        <v>0</v>
      </c>
      <c r="L336" t="n">
        <v>0</v>
      </c>
      <c r="M336" t="n">
        <v>0</v>
      </c>
      <c r="N336" t="n">
        <v>0</v>
      </c>
      <c r="O336" t="n">
        <v>1</v>
      </c>
      <c r="P336" t="n">
        <v>0</v>
      </c>
      <c r="Q336" t="n">
        <v>1</v>
      </c>
      <c r="R336" s="2" t="inlineStr">
        <is>
          <t>Rosenticka</t>
        </is>
      </c>
      <c r="S336">
        <f>HYPERLINK("https://klasma.github.io/Logging_2283/artfynd/A 26019-2025 artfynd.xlsx", "A 26019-2025")</f>
        <v/>
      </c>
      <c r="T336">
        <f>HYPERLINK("https://klasma.github.io/Logging_2283/kartor/A 26019-2025 karta.png", "A 26019-2025")</f>
        <v/>
      </c>
      <c r="V336">
        <f>HYPERLINK("https://klasma.github.io/Logging_2283/klagomål/A 26019-2025 FSC-klagomål.docx", "A 26019-2025")</f>
        <v/>
      </c>
      <c r="W336">
        <f>HYPERLINK("https://klasma.github.io/Logging_2283/klagomålsmail/A 26019-2025 FSC-klagomål mail.docx", "A 26019-2025")</f>
        <v/>
      </c>
      <c r="X336">
        <f>HYPERLINK("https://klasma.github.io/Logging_2283/tillsyn/A 26019-2025 tillsynsbegäran.docx", "A 26019-2025")</f>
        <v/>
      </c>
      <c r="Y336">
        <f>HYPERLINK("https://klasma.github.io/Logging_2283/tillsynsmail/A 26019-2025 tillsynsbegäran mail.docx", "A 26019-2025")</f>
        <v/>
      </c>
    </row>
    <row r="337" ht="15" customHeight="1">
      <c r="A337" t="inlineStr">
        <is>
          <t>A 26338-2025</t>
        </is>
      </c>
      <c r="B337" s="1" t="n">
        <v>45805.69841435185</v>
      </c>
      <c r="C337" s="1" t="n">
        <v>45964</v>
      </c>
      <c r="D337" t="inlineStr">
        <is>
          <t>VÄSTERNORRLANDS LÄN</t>
        </is>
      </c>
      <c r="E337" t="inlineStr">
        <is>
          <t>SOLLEFTEÅ</t>
        </is>
      </c>
      <c r="F337" t="inlineStr">
        <is>
          <t>SCA</t>
        </is>
      </c>
      <c r="G337" t="n">
        <v>2.7</v>
      </c>
      <c r="H337" t="n">
        <v>0</v>
      </c>
      <c r="I337" t="n">
        <v>0</v>
      </c>
      <c r="J337" t="n">
        <v>1</v>
      </c>
      <c r="K337" t="n">
        <v>0</v>
      </c>
      <c r="L337" t="n">
        <v>0</v>
      </c>
      <c r="M337" t="n">
        <v>0</v>
      </c>
      <c r="N337" t="n">
        <v>0</v>
      </c>
      <c r="O337" t="n">
        <v>1</v>
      </c>
      <c r="P337" t="n">
        <v>0</v>
      </c>
      <c r="Q337" t="n">
        <v>1</v>
      </c>
      <c r="R337" s="2" t="inlineStr">
        <is>
          <t>Motaggsvamp</t>
        </is>
      </c>
      <c r="S337">
        <f>HYPERLINK("https://klasma.github.io/Logging_2283/artfynd/A 26338-2025 artfynd.xlsx", "A 26338-2025")</f>
        <v/>
      </c>
      <c r="T337">
        <f>HYPERLINK("https://klasma.github.io/Logging_2283/kartor/A 26338-2025 karta.png", "A 26338-2025")</f>
        <v/>
      </c>
      <c r="V337">
        <f>HYPERLINK("https://klasma.github.io/Logging_2283/klagomål/A 26338-2025 FSC-klagomål.docx", "A 26338-2025")</f>
        <v/>
      </c>
      <c r="W337">
        <f>HYPERLINK("https://klasma.github.io/Logging_2283/klagomålsmail/A 26338-2025 FSC-klagomål mail.docx", "A 26338-2025")</f>
        <v/>
      </c>
      <c r="X337">
        <f>HYPERLINK("https://klasma.github.io/Logging_2283/tillsyn/A 26338-2025 tillsynsbegäran.docx", "A 26338-2025")</f>
        <v/>
      </c>
      <c r="Y337">
        <f>HYPERLINK("https://klasma.github.io/Logging_2283/tillsynsmail/A 26338-2025 tillsynsbegäran mail.docx", "A 26338-2025")</f>
        <v/>
      </c>
    </row>
    <row r="338" ht="15" customHeight="1">
      <c r="A338" t="inlineStr">
        <is>
          <t>A 26501-2025</t>
        </is>
      </c>
      <c r="B338" s="1" t="n">
        <v>45807</v>
      </c>
      <c r="C338" s="1" t="n">
        <v>45964</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68651-2020</t>
        </is>
      </c>
      <c r="B339" s="1" t="n">
        <v>44186</v>
      </c>
      <c r="C339" s="1" t="n">
        <v>45964</v>
      </c>
      <c r="D339" t="inlineStr">
        <is>
          <t>VÄSTERNORRLANDS LÄN</t>
        </is>
      </c>
      <c r="E339" t="inlineStr">
        <is>
          <t>SOLLEFTEÅ</t>
        </is>
      </c>
      <c r="F339" t="inlineStr">
        <is>
          <t>SCA</t>
        </is>
      </c>
      <c r="G339" t="n">
        <v>1.5</v>
      </c>
      <c r="H339" t="n">
        <v>0</v>
      </c>
      <c r="I339" t="n">
        <v>0</v>
      </c>
      <c r="J339" t="n">
        <v>1</v>
      </c>
      <c r="K339" t="n">
        <v>0</v>
      </c>
      <c r="L339" t="n">
        <v>0</v>
      </c>
      <c r="M339" t="n">
        <v>0</v>
      </c>
      <c r="N339" t="n">
        <v>0</v>
      </c>
      <c r="O339" t="n">
        <v>1</v>
      </c>
      <c r="P339" t="n">
        <v>0</v>
      </c>
      <c r="Q339" t="n">
        <v>1</v>
      </c>
      <c r="R339" s="2" t="inlineStr">
        <is>
          <t>Harticka</t>
        </is>
      </c>
      <c r="S339">
        <f>HYPERLINK("https://klasma.github.io/Logging_2283/artfynd/A 68651-2020 artfynd.xlsx", "A 68651-2020")</f>
        <v/>
      </c>
      <c r="T339">
        <f>HYPERLINK("https://klasma.github.io/Logging_2283/kartor/A 68651-2020 karta.png", "A 68651-2020")</f>
        <v/>
      </c>
      <c r="V339">
        <f>HYPERLINK("https://klasma.github.io/Logging_2283/klagomål/A 68651-2020 FSC-klagomål.docx", "A 68651-2020")</f>
        <v/>
      </c>
      <c r="W339">
        <f>HYPERLINK("https://klasma.github.io/Logging_2283/klagomålsmail/A 68651-2020 FSC-klagomål mail.docx", "A 68651-2020")</f>
        <v/>
      </c>
      <c r="X339">
        <f>HYPERLINK("https://klasma.github.io/Logging_2283/tillsyn/A 68651-2020 tillsynsbegäran.docx", "A 68651-2020")</f>
        <v/>
      </c>
      <c r="Y339">
        <f>HYPERLINK("https://klasma.github.io/Logging_2283/tillsynsmail/A 68651-2020 tillsynsbegäran mail.docx", "A 68651-2020")</f>
        <v/>
      </c>
    </row>
    <row r="340" ht="15" customHeight="1">
      <c r="A340" t="inlineStr">
        <is>
          <t>A 31920-2023</t>
        </is>
      </c>
      <c r="B340" s="1" t="n">
        <v>45118</v>
      </c>
      <c r="C340" s="1" t="n">
        <v>45964</v>
      </c>
      <c r="D340" t="inlineStr">
        <is>
          <t>VÄSTERNORRLANDS LÄN</t>
        </is>
      </c>
      <c r="E340" t="inlineStr">
        <is>
          <t>SOLLEFTEÅ</t>
        </is>
      </c>
      <c r="F340" t="inlineStr">
        <is>
          <t>SCA</t>
        </is>
      </c>
      <c r="G340" t="n">
        <v>2</v>
      </c>
      <c r="H340" t="n">
        <v>0</v>
      </c>
      <c r="I340" t="n">
        <v>0</v>
      </c>
      <c r="J340" t="n">
        <v>1</v>
      </c>
      <c r="K340" t="n">
        <v>0</v>
      </c>
      <c r="L340" t="n">
        <v>0</v>
      </c>
      <c r="M340" t="n">
        <v>0</v>
      </c>
      <c r="N340" t="n">
        <v>0</v>
      </c>
      <c r="O340" t="n">
        <v>1</v>
      </c>
      <c r="P340" t="n">
        <v>0</v>
      </c>
      <c r="Q340" t="n">
        <v>1</v>
      </c>
      <c r="R340" s="2" t="inlineStr">
        <is>
          <t>Ullticka</t>
        </is>
      </c>
      <c r="S340">
        <f>HYPERLINK("https://klasma.github.io/Logging_2283/artfynd/A 31920-2023 artfynd.xlsx", "A 31920-2023")</f>
        <v/>
      </c>
      <c r="T340">
        <f>HYPERLINK("https://klasma.github.io/Logging_2283/kartor/A 31920-2023 karta.png", "A 31920-2023")</f>
        <v/>
      </c>
      <c r="V340">
        <f>HYPERLINK("https://klasma.github.io/Logging_2283/klagomål/A 31920-2023 FSC-klagomål.docx", "A 31920-2023")</f>
        <v/>
      </c>
      <c r="W340">
        <f>HYPERLINK("https://klasma.github.io/Logging_2283/klagomålsmail/A 31920-2023 FSC-klagomål mail.docx", "A 31920-2023")</f>
        <v/>
      </c>
      <c r="X340">
        <f>HYPERLINK("https://klasma.github.io/Logging_2283/tillsyn/A 31920-2023 tillsynsbegäran.docx", "A 31920-2023")</f>
        <v/>
      </c>
      <c r="Y340">
        <f>HYPERLINK("https://klasma.github.io/Logging_2283/tillsynsmail/A 31920-2023 tillsynsbegäran mail.docx", "A 31920-2023")</f>
        <v/>
      </c>
    </row>
    <row r="341" ht="15" customHeight="1">
      <c r="A341" t="inlineStr">
        <is>
          <t>A 44632-2024</t>
        </is>
      </c>
      <c r="B341" s="1" t="n">
        <v>45574.51446759259</v>
      </c>
      <c r="C341" s="1" t="n">
        <v>45964</v>
      </c>
      <c r="D341" t="inlineStr">
        <is>
          <t>VÄSTERNORRLANDS LÄN</t>
        </is>
      </c>
      <c r="E341" t="inlineStr">
        <is>
          <t>SOLLEFTEÅ</t>
        </is>
      </c>
      <c r="F341" t="inlineStr">
        <is>
          <t>SCA</t>
        </is>
      </c>
      <c r="G341" t="n">
        <v>3.1</v>
      </c>
      <c r="H341" t="n">
        <v>0</v>
      </c>
      <c r="I341" t="n">
        <v>1</v>
      </c>
      <c r="J341" t="n">
        <v>0</v>
      </c>
      <c r="K341" t="n">
        <v>0</v>
      </c>
      <c r="L341" t="n">
        <v>0</v>
      </c>
      <c r="M341" t="n">
        <v>0</v>
      </c>
      <c r="N341" t="n">
        <v>0</v>
      </c>
      <c r="O341" t="n">
        <v>0</v>
      </c>
      <c r="P341" t="n">
        <v>0</v>
      </c>
      <c r="Q341" t="n">
        <v>1</v>
      </c>
      <c r="R341" s="2" t="inlineStr">
        <is>
          <t>Vedticka</t>
        </is>
      </c>
      <c r="S341">
        <f>HYPERLINK("https://klasma.github.io/Logging_2283/artfynd/A 44632-2024 artfynd.xlsx", "A 44632-2024")</f>
        <v/>
      </c>
      <c r="T341">
        <f>HYPERLINK("https://klasma.github.io/Logging_2283/kartor/A 44632-2024 karta.png", "A 44632-2024")</f>
        <v/>
      </c>
      <c r="V341">
        <f>HYPERLINK("https://klasma.github.io/Logging_2283/klagomål/A 44632-2024 FSC-klagomål.docx", "A 44632-2024")</f>
        <v/>
      </c>
      <c r="W341">
        <f>HYPERLINK("https://klasma.github.io/Logging_2283/klagomålsmail/A 44632-2024 FSC-klagomål mail.docx", "A 44632-2024")</f>
        <v/>
      </c>
      <c r="X341">
        <f>HYPERLINK("https://klasma.github.io/Logging_2283/tillsyn/A 44632-2024 tillsynsbegäran.docx", "A 44632-2024")</f>
        <v/>
      </c>
      <c r="Y341">
        <f>HYPERLINK("https://klasma.github.io/Logging_2283/tillsynsmail/A 44632-2024 tillsynsbegäran mail.docx", "A 44632-2024")</f>
        <v/>
      </c>
    </row>
    <row r="342" ht="15" customHeight="1">
      <c r="A342" t="inlineStr">
        <is>
          <t>A 39897-2024</t>
        </is>
      </c>
      <c r="B342" s="1" t="n">
        <v>45553.48841435185</v>
      </c>
      <c r="C342" s="1" t="n">
        <v>45964</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39565-2023</t>
        </is>
      </c>
      <c r="B343" s="1" t="n">
        <v>45167</v>
      </c>
      <c r="C343" s="1" t="n">
        <v>45964</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54558-2022</t>
        </is>
      </c>
      <c r="B344" s="1" t="n">
        <v>44882</v>
      </c>
      <c r="C344" s="1" t="n">
        <v>45964</v>
      </c>
      <c r="D344" t="inlineStr">
        <is>
          <t>VÄSTERNORRLANDS LÄN</t>
        </is>
      </c>
      <c r="E344" t="inlineStr">
        <is>
          <t>SOLLEFTEÅ</t>
        </is>
      </c>
      <c r="G344" t="n">
        <v>5.8</v>
      </c>
      <c r="H344" t="n">
        <v>0</v>
      </c>
      <c r="I344" t="n">
        <v>1</v>
      </c>
      <c r="J344" t="n">
        <v>0</v>
      </c>
      <c r="K344" t="n">
        <v>0</v>
      </c>
      <c r="L344" t="n">
        <v>0</v>
      </c>
      <c r="M344" t="n">
        <v>0</v>
      </c>
      <c r="N344" t="n">
        <v>0</v>
      </c>
      <c r="O344" t="n">
        <v>0</v>
      </c>
      <c r="P344" t="n">
        <v>0</v>
      </c>
      <c r="Q344" t="n">
        <v>1</v>
      </c>
      <c r="R344" s="2" t="inlineStr">
        <is>
          <t>Strutbräken</t>
        </is>
      </c>
      <c r="S344">
        <f>HYPERLINK("https://klasma.github.io/Logging_2283/artfynd/A 54558-2022 artfynd.xlsx", "A 54558-2022")</f>
        <v/>
      </c>
      <c r="T344">
        <f>HYPERLINK("https://klasma.github.io/Logging_2283/kartor/A 54558-2022 karta.png", "A 54558-2022")</f>
        <v/>
      </c>
      <c r="V344">
        <f>HYPERLINK("https://klasma.github.io/Logging_2283/klagomål/A 54558-2022 FSC-klagomål.docx", "A 54558-2022")</f>
        <v/>
      </c>
      <c r="W344">
        <f>HYPERLINK("https://klasma.github.io/Logging_2283/klagomålsmail/A 54558-2022 FSC-klagomål mail.docx", "A 54558-2022")</f>
        <v/>
      </c>
      <c r="X344">
        <f>HYPERLINK("https://klasma.github.io/Logging_2283/tillsyn/A 54558-2022 tillsynsbegäran.docx", "A 54558-2022")</f>
        <v/>
      </c>
      <c r="Y344">
        <f>HYPERLINK("https://klasma.github.io/Logging_2283/tillsynsmail/A 54558-2022 tillsynsbegäran mail.docx", "A 54558-2022")</f>
        <v/>
      </c>
    </row>
    <row r="345" ht="15" customHeight="1">
      <c r="A345" t="inlineStr">
        <is>
          <t>A 8903-2024</t>
        </is>
      </c>
      <c r="B345" s="1" t="n">
        <v>45355</v>
      </c>
      <c r="C345" s="1" t="n">
        <v>45964</v>
      </c>
      <c r="D345" t="inlineStr">
        <is>
          <t>VÄSTERNORRLANDS LÄN</t>
        </is>
      </c>
      <c r="E345" t="inlineStr">
        <is>
          <t>SOLLEFTEÅ</t>
        </is>
      </c>
      <c r="G345" t="n">
        <v>1.7</v>
      </c>
      <c r="H345" t="n">
        <v>0</v>
      </c>
      <c r="I345" t="n">
        <v>1</v>
      </c>
      <c r="J345" t="n">
        <v>0</v>
      </c>
      <c r="K345" t="n">
        <v>0</v>
      </c>
      <c r="L345" t="n">
        <v>0</v>
      </c>
      <c r="M345" t="n">
        <v>0</v>
      </c>
      <c r="N345" t="n">
        <v>0</v>
      </c>
      <c r="O345" t="n">
        <v>0</v>
      </c>
      <c r="P345" t="n">
        <v>0</v>
      </c>
      <c r="Q345" t="n">
        <v>1</v>
      </c>
      <c r="R345" s="2" t="inlineStr">
        <is>
          <t>Strutbräken</t>
        </is>
      </c>
      <c r="S345">
        <f>HYPERLINK("https://klasma.github.io/Logging_2283/artfynd/A 8903-2024 artfynd.xlsx", "A 8903-2024")</f>
        <v/>
      </c>
      <c r="T345">
        <f>HYPERLINK("https://klasma.github.io/Logging_2283/kartor/A 8903-2024 karta.png", "A 8903-2024")</f>
        <v/>
      </c>
      <c r="V345">
        <f>HYPERLINK("https://klasma.github.io/Logging_2283/klagomål/A 8903-2024 FSC-klagomål.docx", "A 8903-2024")</f>
        <v/>
      </c>
      <c r="W345">
        <f>HYPERLINK("https://klasma.github.io/Logging_2283/klagomålsmail/A 8903-2024 FSC-klagomål mail.docx", "A 8903-2024")</f>
        <v/>
      </c>
      <c r="X345">
        <f>HYPERLINK("https://klasma.github.io/Logging_2283/tillsyn/A 8903-2024 tillsynsbegäran.docx", "A 8903-2024")</f>
        <v/>
      </c>
      <c r="Y345">
        <f>HYPERLINK("https://klasma.github.io/Logging_2283/tillsynsmail/A 8903-2024 tillsynsbegäran mail.docx", "A 8903-2024")</f>
        <v/>
      </c>
    </row>
    <row r="346" ht="15" customHeight="1">
      <c r="A346" t="inlineStr">
        <is>
          <t>A 30948-2025</t>
        </is>
      </c>
      <c r="B346" s="1" t="n">
        <v>45832.42745370371</v>
      </c>
      <c r="C346" s="1" t="n">
        <v>45964</v>
      </c>
      <c r="D346" t="inlineStr">
        <is>
          <t>VÄSTERNORRLANDS LÄN</t>
        </is>
      </c>
      <c r="E346" t="inlineStr">
        <is>
          <t>SOLLEFTEÅ</t>
        </is>
      </c>
      <c r="F346" t="inlineStr">
        <is>
          <t>SCA</t>
        </is>
      </c>
      <c r="G346" t="n">
        <v>1.7</v>
      </c>
      <c r="H346" t="n">
        <v>1</v>
      </c>
      <c r="I346" t="n">
        <v>0</v>
      </c>
      <c r="J346" t="n">
        <v>0</v>
      </c>
      <c r="K346" t="n">
        <v>1</v>
      </c>
      <c r="L346" t="n">
        <v>0</v>
      </c>
      <c r="M346" t="n">
        <v>0</v>
      </c>
      <c r="N346" t="n">
        <v>0</v>
      </c>
      <c r="O346" t="n">
        <v>1</v>
      </c>
      <c r="P346" t="n">
        <v>1</v>
      </c>
      <c r="Q346" t="n">
        <v>1</v>
      </c>
      <c r="R346" s="2" t="inlineStr">
        <is>
          <t>Knärot</t>
        </is>
      </c>
      <c r="S346">
        <f>HYPERLINK("https://klasma.github.io/Logging_2283/artfynd/A 30948-2025 artfynd.xlsx", "A 30948-2025")</f>
        <v/>
      </c>
      <c r="T346">
        <f>HYPERLINK("https://klasma.github.io/Logging_2283/kartor/A 30948-2025 karta.png", "A 30948-2025")</f>
        <v/>
      </c>
      <c r="U346">
        <f>HYPERLINK("https://klasma.github.io/Logging_2283/knärot/A 30948-2025 karta knärot.png", "A 30948-2025")</f>
        <v/>
      </c>
      <c r="V346">
        <f>HYPERLINK("https://klasma.github.io/Logging_2283/klagomål/A 30948-2025 FSC-klagomål.docx", "A 30948-2025")</f>
        <v/>
      </c>
      <c r="W346">
        <f>HYPERLINK("https://klasma.github.io/Logging_2283/klagomålsmail/A 30948-2025 FSC-klagomål mail.docx", "A 30948-2025")</f>
        <v/>
      </c>
      <c r="X346">
        <f>HYPERLINK("https://klasma.github.io/Logging_2283/tillsyn/A 30948-2025 tillsynsbegäran.docx", "A 30948-2025")</f>
        <v/>
      </c>
      <c r="Y346">
        <f>HYPERLINK("https://klasma.github.io/Logging_2283/tillsynsmail/A 30948-2025 tillsynsbegäran mail.docx", "A 30948-2025")</f>
        <v/>
      </c>
    </row>
    <row r="347" ht="15" customHeight="1">
      <c r="A347" t="inlineStr">
        <is>
          <t>A 27106-2022</t>
        </is>
      </c>
      <c r="B347" s="1" t="n">
        <v>44741</v>
      </c>
      <c r="C347" s="1" t="n">
        <v>45964</v>
      </c>
      <c r="D347" t="inlineStr">
        <is>
          <t>VÄSTERNORRLANDS LÄN</t>
        </is>
      </c>
      <c r="E347" t="inlineStr">
        <is>
          <t>SOLLEFTEÅ</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HYPERLINK("https://klasma.github.io/Logging_2283/artfynd/A 27106-2022 artfynd.xlsx", "A 27106-2022")</f>
        <v/>
      </c>
      <c r="T347">
        <f>HYPERLINK("https://klasma.github.io/Logging_2283/kartor/A 27106-2022 karta.png", "A 27106-2022")</f>
        <v/>
      </c>
      <c r="V347">
        <f>HYPERLINK("https://klasma.github.io/Logging_2283/klagomål/A 27106-2022 FSC-klagomål.docx", "A 27106-2022")</f>
        <v/>
      </c>
      <c r="W347">
        <f>HYPERLINK("https://klasma.github.io/Logging_2283/klagomålsmail/A 27106-2022 FSC-klagomål mail.docx", "A 27106-2022")</f>
        <v/>
      </c>
      <c r="X347">
        <f>HYPERLINK("https://klasma.github.io/Logging_2283/tillsyn/A 27106-2022 tillsynsbegäran.docx", "A 27106-2022")</f>
        <v/>
      </c>
      <c r="Y347">
        <f>HYPERLINK("https://klasma.github.io/Logging_2283/tillsynsmail/A 27106-2022 tillsynsbegäran mail.docx", "A 27106-2022")</f>
        <v/>
      </c>
    </row>
    <row r="348" ht="15" customHeight="1">
      <c r="A348" t="inlineStr">
        <is>
          <t>A 32101-2025</t>
        </is>
      </c>
      <c r="B348" s="1" t="n">
        <v>45835.46914351852</v>
      </c>
      <c r="C348" s="1" t="n">
        <v>45964</v>
      </c>
      <c r="D348" t="inlineStr">
        <is>
          <t>VÄSTERNORRLANDS LÄN</t>
        </is>
      </c>
      <c r="E348" t="inlineStr">
        <is>
          <t>SOLLEFTEÅ</t>
        </is>
      </c>
      <c r="F348" t="inlineStr">
        <is>
          <t>SCA</t>
        </is>
      </c>
      <c r="G348" t="n">
        <v>2.2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32101-2025 artfynd.xlsx", "A 32101-2025")</f>
        <v/>
      </c>
      <c r="T348">
        <f>HYPERLINK("https://klasma.github.io/Logging_2283/kartor/A 32101-2025 karta.png", "A 32101-2025")</f>
        <v/>
      </c>
      <c r="V348">
        <f>HYPERLINK("https://klasma.github.io/Logging_2283/klagomål/A 32101-2025 FSC-klagomål.docx", "A 32101-2025")</f>
        <v/>
      </c>
      <c r="W348">
        <f>HYPERLINK("https://klasma.github.io/Logging_2283/klagomålsmail/A 32101-2025 FSC-klagomål mail.docx", "A 32101-2025")</f>
        <v/>
      </c>
      <c r="X348">
        <f>HYPERLINK("https://klasma.github.io/Logging_2283/tillsyn/A 32101-2025 tillsynsbegäran.docx", "A 32101-2025")</f>
        <v/>
      </c>
      <c r="Y348">
        <f>HYPERLINK("https://klasma.github.io/Logging_2283/tillsynsmail/A 32101-2025 tillsynsbegäran mail.docx", "A 32101-2025")</f>
        <v/>
      </c>
      <c r="Z348">
        <f>HYPERLINK("https://klasma.github.io/Logging_2283/fåglar/A 32101-2025 prioriterade fågelarter.docx", "A 32101-2025")</f>
        <v/>
      </c>
    </row>
    <row r="349" ht="15" customHeight="1">
      <c r="A349" t="inlineStr">
        <is>
          <t>A 15669-2022</t>
        </is>
      </c>
      <c r="B349" s="1" t="n">
        <v>44662</v>
      </c>
      <c r="C349" s="1" t="n">
        <v>45964</v>
      </c>
      <c r="D349" t="inlineStr">
        <is>
          <t>VÄSTERNORRLANDS LÄN</t>
        </is>
      </c>
      <c r="E349" t="inlineStr">
        <is>
          <t>SOLLEFTEÅ</t>
        </is>
      </c>
      <c r="G349" t="n">
        <v>12.1</v>
      </c>
      <c r="H349" t="n">
        <v>0</v>
      </c>
      <c r="I349" t="n">
        <v>1</v>
      </c>
      <c r="J349" t="n">
        <v>0</v>
      </c>
      <c r="K349" t="n">
        <v>0</v>
      </c>
      <c r="L349" t="n">
        <v>0</v>
      </c>
      <c r="M349" t="n">
        <v>0</v>
      </c>
      <c r="N349" t="n">
        <v>0</v>
      </c>
      <c r="O349" t="n">
        <v>0</v>
      </c>
      <c r="P349" t="n">
        <v>0</v>
      </c>
      <c r="Q349" t="n">
        <v>1</v>
      </c>
      <c r="R349" s="2" t="inlineStr">
        <is>
          <t>Skinnlav</t>
        </is>
      </c>
      <c r="S349">
        <f>HYPERLINK("https://klasma.github.io/Logging_2283/artfynd/A 15669-2022 artfynd.xlsx", "A 15669-2022")</f>
        <v/>
      </c>
      <c r="T349">
        <f>HYPERLINK("https://klasma.github.io/Logging_2283/kartor/A 15669-2022 karta.png", "A 15669-2022")</f>
        <v/>
      </c>
      <c r="V349">
        <f>HYPERLINK("https://klasma.github.io/Logging_2283/klagomål/A 15669-2022 FSC-klagomål.docx", "A 15669-2022")</f>
        <v/>
      </c>
      <c r="W349">
        <f>HYPERLINK("https://klasma.github.io/Logging_2283/klagomålsmail/A 15669-2022 FSC-klagomål mail.docx", "A 15669-2022")</f>
        <v/>
      </c>
      <c r="X349">
        <f>HYPERLINK("https://klasma.github.io/Logging_2283/tillsyn/A 15669-2022 tillsynsbegäran.docx", "A 15669-2022")</f>
        <v/>
      </c>
      <c r="Y349">
        <f>HYPERLINK("https://klasma.github.io/Logging_2283/tillsynsmail/A 15669-2022 tillsynsbegäran mail.docx", "A 15669-2022")</f>
        <v/>
      </c>
    </row>
    <row r="350" ht="15" customHeight="1">
      <c r="A350" t="inlineStr">
        <is>
          <t>A 386-2024</t>
        </is>
      </c>
      <c r="B350" s="1" t="n">
        <v>45296</v>
      </c>
      <c r="C350" s="1" t="n">
        <v>45964</v>
      </c>
      <c r="D350" t="inlineStr">
        <is>
          <t>VÄSTERNORRLANDS LÄN</t>
        </is>
      </c>
      <c r="E350" t="inlineStr">
        <is>
          <t>SOLLEFTEÅ</t>
        </is>
      </c>
      <c r="G350" t="n">
        <v>3.7</v>
      </c>
      <c r="H350" t="n">
        <v>0</v>
      </c>
      <c r="I350" t="n">
        <v>0</v>
      </c>
      <c r="J350" t="n">
        <v>1</v>
      </c>
      <c r="K350" t="n">
        <v>0</v>
      </c>
      <c r="L350" t="n">
        <v>0</v>
      </c>
      <c r="M350" t="n">
        <v>0</v>
      </c>
      <c r="N350" t="n">
        <v>0</v>
      </c>
      <c r="O350" t="n">
        <v>1</v>
      </c>
      <c r="P350" t="n">
        <v>0</v>
      </c>
      <c r="Q350" t="n">
        <v>1</v>
      </c>
      <c r="R350" s="2" t="inlineStr">
        <is>
          <t>Kolflarnlav</t>
        </is>
      </c>
      <c r="S350">
        <f>HYPERLINK("https://klasma.github.io/Logging_2283/artfynd/A 386-2024 artfynd.xlsx", "A 386-2024")</f>
        <v/>
      </c>
      <c r="T350">
        <f>HYPERLINK("https://klasma.github.io/Logging_2283/kartor/A 386-2024 karta.png", "A 386-2024")</f>
        <v/>
      </c>
      <c r="V350">
        <f>HYPERLINK("https://klasma.github.io/Logging_2283/klagomål/A 386-2024 FSC-klagomål.docx", "A 386-2024")</f>
        <v/>
      </c>
      <c r="W350">
        <f>HYPERLINK("https://klasma.github.io/Logging_2283/klagomålsmail/A 386-2024 FSC-klagomål mail.docx", "A 386-2024")</f>
        <v/>
      </c>
      <c r="X350">
        <f>HYPERLINK("https://klasma.github.io/Logging_2283/tillsyn/A 386-2024 tillsynsbegäran.docx", "A 386-2024")</f>
        <v/>
      </c>
      <c r="Y350">
        <f>HYPERLINK("https://klasma.github.io/Logging_2283/tillsynsmail/A 386-2024 tillsynsbegäran mail.docx", "A 386-2024")</f>
        <v/>
      </c>
    </row>
    <row r="351" ht="15" customHeight="1">
      <c r="A351" t="inlineStr">
        <is>
          <t>A 8541-2024</t>
        </is>
      </c>
      <c r="B351" s="1" t="n">
        <v>45351</v>
      </c>
      <c r="C351" s="1" t="n">
        <v>45964</v>
      </c>
      <c r="D351" t="inlineStr">
        <is>
          <t>VÄSTERNORRLANDS LÄN</t>
        </is>
      </c>
      <c r="E351" t="inlineStr">
        <is>
          <t>SOLLEFTEÅ</t>
        </is>
      </c>
      <c r="F351" t="inlineStr">
        <is>
          <t>Kommuner</t>
        </is>
      </c>
      <c r="G351" t="n">
        <v>0.6</v>
      </c>
      <c r="H351" t="n">
        <v>0</v>
      </c>
      <c r="I351" t="n">
        <v>0</v>
      </c>
      <c r="J351" t="n">
        <v>1</v>
      </c>
      <c r="K351" t="n">
        <v>0</v>
      </c>
      <c r="L351" t="n">
        <v>0</v>
      </c>
      <c r="M351" t="n">
        <v>0</v>
      </c>
      <c r="N351" t="n">
        <v>0</v>
      </c>
      <c r="O351" t="n">
        <v>1</v>
      </c>
      <c r="P351" t="n">
        <v>0</v>
      </c>
      <c r="Q351" t="n">
        <v>1</v>
      </c>
      <c r="R351" s="2" t="inlineStr">
        <is>
          <t>Granticka</t>
        </is>
      </c>
      <c r="S351">
        <f>HYPERLINK("https://klasma.github.io/Logging_2283/artfynd/A 8541-2024 artfynd.xlsx", "A 8541-2024")</f>
        <v/>
      </c>
      <c r="T351">
        <f>HYPERLINK("https://klasma.github.io/Logging_2283/kartor/A 8541-2024 karta.png", "A 8541-2024")</f>
        <v/>
      </c>
      <c r="V351">
        <f>HYPERLINK("https://klasma.github.io/Logging_2283/klagomål/A 8541-2024 FSC-klagomål.docx", "A 8541-2024")</f>
        <v/>
      </c>
      <c r="W351">
        <f>HYPERLINK("https://klasma.github.io/Logging_2283/klagomålsmail/A 8541-2024 FSC-klagomål mail.docx", "A 8541-2024")</f>
        <v/>
      </c>
      <c r="X351">
        <f>HYPERLINK("https://klasma.github.io/Logging_2283/tillsyn/A 8541-2024 tillsynsbegäran.docx", "A 8541-2024")</f>
        <v/>
      </c>
      <c r="Y351">
        <f>HYPERLINK("https://klasma.github.io/Logging_2283/tillsynsmail/A 8541-2024 tillsynsbegäran mail.docx", "A 8541-2024")</f>
        <v/>
      </c>
    </row>
    <row r="352" ht="15" customHeight="1">
      <c r="A352" t="inlineStr">
        <is>
          <t>A 33853-2025</t>
        </is>
      </c>
      <c r="B352" s="1" t="n">
        <v>45842.51097222222</v>
      </c>
      <c r="C352" s="1" t="n">
        <v>45964</v>
      </c>
      <c r="D352" t="inlineStr">
        <is>
          <t>VÄSTERNORRLANDS LÄN</t>
        </is>
      </c>
      <c r="E352" t="inlineStr">
        <is>
          <t>SOLLEFTEÅ</t>
        </is>
      </c>
      <c r="F352" t="inlineStr">
        <is>
          <t>SCA</t>
        </is>
      </c>
      <c r="G352" t="n">
        <v>6.5</v>
      </c>
      <c r="H352" t="n">
        <v>1</v>
      </c>
      <c r="I352" t="n">
        <v>0</v>
      </c>
      <c r="J352" t="n">
        <v>0</v>
      </c>
      <c r="K352" t="n">
        <v>0</v>
      </c>
      <c r="L352" t="n">
        <v>0</v>
      </c>
      <c r="M352" t="n">
        <v>0</v>
      </c>
      <c r="N352" t="n">
        <v>0</v>
      </c>
      <c r="O352" t="n">
        <v>0</v>
      </c>
      <c r="P352" t="n">
        <v>0</v>
      </c>
      <c r="Q352" t="n">
        <v>1</v>
      </c>
      <c r="R352" s="2" t="inlineStr">
        <is>
          <t>Tjäder</t>
        </is>
      </c>
      <c r="S352">
        <f>HYPERLINK("https://klasma.github.io/Logging_2283/artfynd/A 33853-2025 artfynd.xlsx", "A 33853-2025")</f>
        <v/>
      </c>
      <c r="T352">
        <f>HYPERLINK("https://klasma.github.io/Logging_2283/kartor/A 33853-2025 karta.png", "A 33853-2025")</f>
        <v/>
      </c>
      <c r="V352">
        <f>HYPERLINK("https://klasma.github.io/Logging_2283/klagomål/A 33853-2025 FSC-klagomål.docx", "A 33853-2025")</f>
        <v/>
      </c>
      <c r="W352">
        <f>HYPERLINK("https://klasma.github.io/Logging_2283/klagomålsmail/A 33853-2025 FSC-klagomål mail.docx", "A 33853-2025")</f>
        <v/>
      </c>
      <c r="X352">
        <f>HYPERLINK("https://klasma.github.io/Logging_2283/tillsyn/A 33853-2025 tillsynsbegäran.docx", "A 33853-2025")</f>
        <v/>
      </c>
      <c r="Y352">
        <f>HYPERLINK("https://klasma.github.io/Logging_2283/tillsynsmail/A 33853-2025 tillsynsbegäran mail.docx", "A 33853-2025")</f>
        <v/>
      </c>
      <c r="Z352">
        <f>HYPERLINK("https://klasma.github.io/Logging_2283/fåglar/A 33853-2025 prioriterade fågelarter.docx", "A 33853-2025")</f>
        <v/>
      </c>
    </row>
    <row r="353" ht="15" customHeight="1">
      <c r="A353" t="inlineStr">
        <is>
          <t>A 34865-2025</t>
        </is>
      </c>
      <c r="B353" s="1" t="n">
        <v>45849.4421412037</v>
      </c>
      <c r="C353" s="1" t="n">
        <v>45964</v>
      </c>
      <c r="D353" t="inlineStr">
        <is>
          <t>VÄSTERNORRLANDS LÄN</t>
        </is>
      </c>
      <c r="E353" t="inlineStr">
        <is>
          <t>SOLLEFTEÅ</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HYPERLINK("https://klasma.github.io/Logging_2283/artfynd/A 34865-2025 artfynd.xlsx", "A 34865-2025")</f>
        <v/>
      </c>
      <c r="T353">
        <f>HYPERLINK("https://klasma.github.io/Logging_2283/kartor/A 34865-2025 karta.png", "A 34865-2025")</f>
        <v/>
      </c>
      <c r="V353">
        <f>HYPERLINK("https://klasma.github.io/Logging_2283/klagomål/A 34865-2025 FSC-klagomål.docx", "A 34865-2025")</f>
        <v/>
      </c>
      <c r="W353">
        <f>HYPERLINK("https://klasma.github.io/Logging_2283/klagomålsmail/A 34865-2025 FSC-klagomål mail.docx", "A 34865-2025")</f>
        <v/>
      </c>
      <c r="X353">
        <f>HYPERLINK("https://klasma.github.io/Logging_2283/tillsyn/A 34865-2025 tillsynsbegäran.docx", "A 34865-2025")</f>
        <v/>
      </c>
      <c r="Y353">
        <f>HYPERLINK("https://klasma.github.io/Logging_2283/tillsynsmail/A 34865-2025 tillsynsbegäran mail.docx", "A 34865-2025")</f>
        <v/>
      </c>
      <c r="Z353">
        <f>HYPERLINK("https://klasma.github.io/Logging_2283/fåglar/A 34865-2025 prioriterade fågelarter.docx", "A 34865-2025")</f>
        <v/>
      </c>
    </row>
    <row r="354" ht="15" customHeight="1">
      <c r="A354" t="inlineStr">
        <is>
          <t>A 39995-2024</t>
        </is>
      </c>
      <c r="B354" s="1" t="n">
        <v>45553.63572916666</v>
      </c>
      <c r="C354" s="1" t="n">
        <v>45964</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Garnlav</t>
        </is>
      </c>
      <c r="S354">
        <f>HYPERLINK("https://klasma.github.io/Logging_2283/artfynd/A 39995-2024 artfynd.xlsx", "A 39995-2024")</f>
        <v/>
      </c>
      <c r="T354">
        <f>HYPERLINK("https://klasma.github.io/Logging_2283/kartor/A 39995-2024 karta.png", "A 39995-2024")</f>
        <v/>
      </c>
      <c r="V354">
        <f>HYPERLINK("https://klasma.github.io/Logging_2283/klagomål/A 39995-2024 FSC-klagomål.docx", "A 39995-2024")</f>
        <v/>
      </c>
      <c r="W354">
        <f>HYPERLINK("https://klasma.github.io/Logging_2283/klagomålsmail/A 39995-2024 FSC-klagomål mail.docx", "A 39995-2024")</f>
        <v/>
      </c>
      <c r="X354">
        <f>HYPERLINK("https://klasma.github.io/Logging_2283/tillsyn/A 39995-2024 tillsynsbegäran.docx", "A 39995-2024")</f>
        <v/>
      </c>
      <c r="Y354">
        <f>HYPERLINK("https://klasma.github.io/Logging_2283/tillsynsmail/A 39995-2024 tillsynsbegäran mail.docx", "A 39995-2024")</f>
        <v/>
      </c>
    </row>
    <row r="355" ht="15" customHeight="1">
      <c r="A355" t="inlineStr">
        <is>
          <t>A 35217-2025</t>
        </is>
      </c>
      <c r="B355" s="1" t="n">
        <v>45853.49020833334</v>
      </c>
      <c r="C355" s="1" t="n">
        <v>45964</v>
      </c>
      <c r="D355" t="inlineStr">
        <is>
          <t>VÄSTERNORRLANDS LÄN</t>
        </is>
      </c>
      <c r="E355" t="inlineStr">
        <is>
          <t>SOLLEFTEÅ</t>
        </is>
      </c>
      <c r="F355" t="inlineStr">
        <is>
          <t>SCA</t>
        </is>
      </c>
      <c r="G355" t="n">
        <v>2.1</v>
      </c>
      <c r="H355" t="n">
        <v>1</v>
      </c>
      <c r="I355" t="n">
        <v>0</v>
      </c>
      <c r="J355" t="n">
        <v>0</v>
      </c>
      <c r="K355" t="n">
        <v>0</v>
      </c>
      <c r="L355" t="n">
        <v>0</v>
      </c>
      <c r="M355" t="n">
        <v>0</v>
      </c>
      <c r="N355" t="n">
        <v>0</v>
      </c>
      <c r="O355" t="n">
        <v>0</v>
      </c>
      <c r="P355" t="n">
        <v>0</v>
      </c>
      <c r="Q355" t="n">
        <v>1</v>
      </c>
      <c r="R355" s="2" t="inlineStr">
        <is>
          <t>Mattlummer</t>
        </is>
      </c>
      <c r="S355">
        <f>HYPERLINK("https://klasma.github.io/Logging_2283/artfynd/A 35217-2025 artfynd.xlsx", "A 35217-2025")</f>
        <v/>
      </c>
      <c r="T355">
        <f>HYPERLINK("https://klasma.github.io/Logging_2283/kartor/A 35217-2025 karta.png", "A 35217-2025")</f>
        <v/>
      </c>
      <c r="V355">
        <f>HYPERLINK("https://klasma.github.io/Logging_2283/klagomål/A 35217-2025 FSC-klagomål.docx", "A 35217-2025")</f>
        <v/>
      </c>
      <c r="W355">
        <f>HYPERLINK("https://klasma.github.io/Logging_2283/klagomålsmail/A 35217-2025 FSC-klagomål mail.docx", "A 35217-2025")</f>
        <v/>
      </c>
      <c r="X355">
        <f>HYPERLINK("https://klasma.github.io/Logging_2283/tillsyn/A 35217-2025 tillsynsbegäran.docx", "A 35217-2025")</f>
        <v/>
      </c>
      <c r="Y355">
        <f>HYPERLINK("https://klasma.github.io/Logging_2283/tillsynsmail/A 35217-2025 tillsynsbegäran mail.docx", "A 35217-2025")</f>
        <v/>
      </c>
    </row>
    <row r="356" ht="15" customHeight="1">
      <c r="A356" t="inlineStr">
        <is>
          <t>A 38363-2022</t>
        </is>
      </c>
      <c r="B356" s="1" t="n">
        <v>44812</v>
      </c>
      <c r="C356" s="1" t="n">
        <v>45964</v>
      </c>
      <c r="D356" t="inlineStr">
        <is>
          <t>VÄSTERNORRLANDS LÄN</t>
        </is>
      </c>
      <c r="E356" t="inlineStr">
        <is>
          <t>SOLLEFTEÅ</t>
        </is>
      </c>
      <c r="F356" t="inlineStr">
        <is>
          <t>Kommuner</t>
        </is>
      </c>
      <c r="G356" t="n">
        <v>16</v>
      </c>
      <c r="H356" t="n">
        <v>0</v>
      </c>
      <c r="I356" t="n">
        <v>0</v>
      </c>
      <c r="J356" t="n">
        <v>1</v>
      </c>
      <c r="K356" t="n">
        <v>0</v>
      </c>
      <c r="L356" t="n">
        <v>0</v>
      </c>
      <c r="M356" t="n">
        <v>0</v>
      </c>
      <c r="N356" t="n">
        <v>0</v>
      </c>
      <c r="O356" t="n">
        <v>1</v>
      </c>
      <c r="P356" t="n">
        <v>0</v>
      </c>
      <c r="Q356" t="n">
        <v>1</v>
      </c>
      <c r="R356" s="2" t="inlineStr">
        <is>
          <t>Garnlav</t>
        </is>
      </c>
      <c r="S356">
        <f>HYPERLINK("https://klasma.github.io/Logging_2283/artfynd/A 38363-2022 artfynd.xlsx", "A 38363-2022")</f>
        <v/>
      </c>
      <c r="T356">
        <f>HYPERLINK("https://klasma.github.io/Logging_2283/kartor/A 38363-2022 karta.png", "A 38363-2022")</f>
        <v/>
      </c>
      <c r="V356">
        <f>HYPERLINK("https://klasma.github.io/Logging_2283/klagomål/A 38363-2022 FSC-klagomål.docx", "A 38363-2022")</f>
        <v/>
      </c>
      <c r="W356">
        <f>HYPERLINK("https://klasma.github.io/Logging_2283/klagomålsmail/A 38363-2022 FSC-klagomål mail.docx", "A 38363-2022")</f>
        <v/>
      </c>
      <c r="X356">
        <f>HYPERLINK("https://klasma.github.io/Logging_2283/tillsyn/A 38363-2022 tillsynsbegäran.docx", "A 38363-2022")</f>
        <v/>
      </c>
      <c r="Y356">
        <f>HYPERLINK("https://klasma.github.io/Logging_2283/tillsynsmail/A 38363-2022 tillsynsbegäran mail.docx", "A 38363-2022")</f>
        <v/>
      </c>
    </row>
    <row r="357" ht="15" customHeight="1">
      <c r="A357" t="inlineStr">
        <is>
          <t>A 22862-2021</t>
        </is>
      </c>
      <c r="B357" s="1" t="n">
        <v>44326</v>
      </c>
      <c r="C357" s="1" t="n">
        <v>45964</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49366-2024</t>
        </is>
      </c>
      <c r="B358" s="1" t="n">
        <v>45595.63572916666</v>
      </c>
      <c r="C358" s="1" t="n">
        <v>45964</v>
      </c>
      <c r="D358" t="inlineStr">
        <is>
          <t>VÄSTERNORRLANDS LÄN</t>
        </is>
      </c>
      <c r="E358" t="inlineStr">
        <is>
          <t>SOLLEFTEÅ</t>
        </is>
      </c>
      <c r="F358" t="inlineStr">
        <is>
          <t>SCA</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HYPERLINK("https://klasma.github.io/Logging_2283/artfynd/A 49366-2024 artfynd.xlsx", "A 49366-2024")</f>
        <v/>
      </c>
      <c r="T358">
        <f>HYPERLINK("https://klasma.github.io/Logging_2283/kartor/A 49366-2024 karta.png", "A 49366-2024")</f>
        <v/>
      </c>
      <c r="U358">
        <f>HYPERLINK("https://klasma.github.io/Logging_2283/knärot/A 49366-2024 karta knärot.png", "A 49366-2024")</f>
        <v/>
      </c>
      <c r="V358">
        <f>HYPERLINK("https://klasma.github.io/Logging_2283/klagomål/A 49366-2024 FSC-klagomål.docx", "A 49366-2024")</f>
        <v/>
      </c>
      <c r="W358">
        <f>HYPERLINK("https://klasma.github.io/Logging_2283/klagomålsmail/A 49366-2024 FSC-klagomål mail.docx", "A 49366-2024")</f>
        <v/>
      </c>
      <c r="X358">
        <f>HYPERLINK("https://klasma.github.io/Logging_2283/tillsyn/A 49366-2024 tillsynsbegäran.docx", "A 49366-2024")</f>
        <v/>
      </c>
      <c r="Y358">
        <f>HYPERLINK("https://klasma.github.io/Logging_2283/tillsynsmail/A 49366-2024 tillsynsbegäran mail.docx", "A 49366-2024")</f>
        <v/>
      </c>
    </row>
    <row r="359" ht="15" customHeight="1">
      <c r="A359" t="inlineStr">
        <is>
          <t>A 5033-2024</t>
        </is>
      </c>
      <c r="B359" s="1" t="n">
        <v>45329</v>
      </c>
      <c r="C359" s="1" t="n">
        <v>45964</v>
      </c>
      <c r="D359" t="inlineStr">
        <is>
          <t>VÄSTERNORRLANDS LÄN</t>
        </is>
      </c>
      <c r="E359" t="inlineStr">
        <is>
          <t>SOLLEFTEÅ</t>
        </is>
      </c>
      <c r="F359" t="inlineStr">
        <is>
          <t>Övriga Aktiebolag</t>
        </is>
      </c>
      <c r="G359" t="n">
        <v>3.2</v>
      </c>
      <c r="H359" t="n">
        <v>0</v>
      </c>
      <c r="I359" t="n">
        <v>1</v>
      </c>
      <c r="J359" t="n">
        <v>0</v>
      </c>
      <c r="K359" t="n">
        <v>0</v>
      </c>
      <c r="L359" t="n">
        <v>0</v>
      </c>
      <c r="M359" t="n">
        <v>0</v>
      </c>
      <c r="N359" t="n">
        <v>0</v>
      </c>
      <c r="O359" t="n">
        <v>0</v>
      </c>
      <c r="P359" t="n">
        <v>0</v>
      </c>
      <c r="Q359" t="n">
        <v>1</v>
      </c>
      <c r="R359" s="2" t="inlineStr">
        <is>
          <t>Kransrams</t>
        </is>
      </c>
      <c r="S359">
        <f>HYPERLINK("https://klasma.github.io/Logging_2283/artfynd/A 5033-2024 artfynd.xlsx", "A 5033-2024")</f>
        <v/>
      </c>
      <c r="T359">
        <f>HYPERLINK("https://klasma.github.io/Logging_2283/kartor/A 5033-2024 karta.png", "A 5033-2024")</f>
        <v/>
      </c>
      <c r="V359">
        <f>HYPERLINK("https://klasma.github.io/Logging_2283/klagomål/A 5033-2024 FSC-klagomål.docx", "A 5033-2024")</f>
        <v/>
      </c>
      <c r="W359">
        <f>HYPERLINK("https://klasma.github.io/Logging_2283/klagomålsmail/A 5033-2024 FSC-klagomål mail.docx", "A 5033-2024")</f>
        <v/>
      </c>
      <c r="X359">
        <f>HYPERLINK("https://klasma.github.io/Logging_2283/tillsyn/A 5033-2024 tillsynsbegäran.docx", "A 5033-2024")</f>
        <v/>
      </c>
      <c r="Y359">
        <f>HYPERLINK("https://klasma.github.io/Logging_2283/tillsynsmail/A 5033-2024 tillsynsbegäran mail.docx", "A 5033-2024")</f>
        <v/>
      </c>
    </row>
    <row r="360" ht="15" customHeight="1">
      <c r="A360" t="inlineStr">
        <is>
          <t>A 22428-2025</t>
        </is>
      </c>
      <c r="B360" s="1" t="n">
        <v>45786.57351851852</v>
      </c>
      <c r="C360" s="1" t="n">
        <v>45964</v>
      </c>
      <c r="D360" t="inlineStr">
        <is>
          <t>VÄSTERNORRLANDS LÄN</t>
        </is>
      </c>
      <c r="E360" t="inlineStr">
        <is>
          <t>SOLLEFTEÅ</t>
        </is>
      </c>
      <c r="G360" t="n">
        <v>11.6</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22428-2025 artfynd.xlsx", "A 22428-2025")</f>
        <v/>
      </c>
      <c r="T360">
        <f>HYPERLINK("https://klasma.github.io/Logging_2283/kartor/A 22428-2025 karta.png", "A 22428-2025")</f>
        <v/>
      </c>
      <c r="V360">
        <f>HYPERLINK("https://klasma.github.io/Logging_2283/klagomål/A 22428-2025 FSC-klagomål.docx", "A 22428-2025")</f>
        <v/>
      </c>
      <c r="W360">
        <f>HYPERLINK("https://klasma.github.io/Logging_2283/klagomålsmail/A 22428-2025 FSC-klagomål mail.docx", "A 22428-2025")</f>
        <v/>
      </c>
      <c r="X360">
        <f>HYPERLINK("https://klasma.github.io/Logging_2283/tillsyn/A 22428-2025 tillsynsbegäran.docx", "A 22428-2025")</f>
        <v/>
      </c>
      <c r="Y360">
        <f>HYPERLINK("https://klasma.github.io/Logging_2283/tillsynsmail/A 22428-2025 tillsynsbegäran mail.docx", "A 22428-2025")</f>
        <v/>
      </c>
      <c r="Z360">
        <f>HYPERLINK("https://klasma.github.io/Logging_2283/fåglar/A 22428-2025 prioriterade fågelarter.docx", "A 22428-2025")</f>
        <v/>
      </c>
    </row>
    <row r="361" ht="15" customHeight="1">
      <c r="A361" t="inlineStr">
        <is>
          <t>A 48526-2025</t>
        </is>
      </c>
      <c r="B361" s="1" t="n">
        <v>45936.40723379629</v>
      </c>
      <c r="C361" s="1" t="n">
        <v>45964</v>
      </c>
      <c r="D361" t="inlineStr">
        <is>
          <t>VÄSTERNORRLANDS LÄN</t>
        </is>
      </c>
      <c r="E361" t="inlineStr">
        <is>
          <t>SOLLEFTEÅ</t>
        </is>
      </c>
      <c r="F361" t="inlineStr">
        <is>
          <t>SCA</t>
        </is>
      </c>
      <c r="G361" t="n">
        <v>6.9</v>
      </c>
      <c r="H361" t="n">
        <v>1</v>
      </c>
      <c r="I361" t="n">
        <v>0</v>
      </c>
      <c r="J361" t="n">
        <v>0</v>
      </c>
      <c r="K361" t="n">
        <v>0</v>
      </c>
      <c r="L361" t="n">
        <v>0</v>
      </c>
      <c r="M361" t="n">
        <v>0</v>
      </c>
      <c r="N361" t="n">
        <v>0</v>
      </c>
      <c r="O361" t="n">
        <v>0</v>
      </c>
      <c r="P361" t="n">
        <v>0</v>
      </c>
      <c r="Q361" t="n">
        <v>1</v>
      </c>
      <c r="R361" s="2" t="inlineStr">
        <is>
          <t>Revlummer</t>
        </is>
      </c>
      <c r="S361">
        <f>HYPERLINK("https://klasma.github.io/Logging_2283/artfynd/A 48526-2025 artfynd.xlsx", "A 48526-2025")</f>
        <v/>
      </c>
      <c r="T361">
        <f>HYPERLINK("https://klasma.github.io/Logging_2283/kartor/A 48526-2025 karta.png", "A 48526-2025")</f>
        <v/>
      </c>
      <c r="V361">
        <f>HYPERLINK("https://klasma.github.io/Logging_2283/klagomål/A 48526-2025 FSC-klagomål.docx", "A 48526-2025")</f>
        <v/>
      </c>
      <c r="W361">
        <f>HYPERLINK("https://klasma.github.io/Logging_2283/klagomålsmail/A 48526-2025 FSC-klagomål mail.docx", "A 48526-2025")</f>
        <v/>
      </c>
      <c r="X361">
        <f>HYPERLINK("https://klasma.github.io/Logging_2283/tillsyn/A 48526-2025 tillsynsbegäran.docx", "A 48526-2025")</f>
        <v/>
      </c>
      <c r="Y361">
        <f>HYPERLINK("https://klasma.github.io/Logging_2283/tillsynsmail/A 48526-2025 tillsynsbegäran mail.docx", "A 48526-2025")</f>
        <v/>
      </c>
    </row>
    <row r="362" ht="15" customHeight="1">
      <c r="A362" t="inlineStr">
        <is>
          <t>A 49651-2025</t>
        </is>
      </c>
      <c r="B362" s="1" t="n">
        <v>45939.62670138889</v>
      </c>
      <c r="C362" s="1" t="n">
        <v>45964</v>
      </c>
      <c r="D362" t="inlineStr">
        <is>
          <t>VÄSTERNORRLANDS LÄN</t>
        </is>
      </c>
      <c r="E362" t="inlineStr">
        <is>
          <t>SOLLEFTEÅ</t>
        </is>
      </c>
      <c r="G362" t="n">
        <v>1.5</v>
      </c>
      <c r="H362" t="n">
        <v>1</v>
      </c>
      <c r="I362" t="n">
        <v>0</v>
      </c>
      <c r="J362" t="n">
        <v>1</v>
      </c>
      <c r="K362" t="n">
        <v>0</v>
      </c>
      <c r="L362" t="n">
        <v>0</v>
      </c>
      <c r="M362" t="n">
        <v>0</v>
      </c>
      <c r="N362" t="n">
        <v>0</v>
      </c>
      <c r="O362" t="n">
        <v>1</v>
      </c>
      <c r="P362" t="n">
        <v>0</v>
      </c>
      <c r="Q362" t="n">
        <v>1</v>
      </c>
      <c r="R362" s="2" t="inlineStr">
        <is>
          <t>Järpe</t>
        </is>
      </c>
      <c r="S362">
        <f>HYPERLINK("https://klasma.github.io/Logging_2283/artfynd/A 49651-2025 artfynd.xlsx", "A 49651-2025")</f>
        <v/>
      </c>
      <c r="T362">
        <f>HYPERLINK("https://klasma.github.io/Logging_2283/kartor/A 49651-2025 karta.png", "A 49651-2025")</f>
        <v/>
      </c>
      <c r="V362">
        <f>HYPERLINK("https://klasma.github.io/Logging_2283/klagomål/A 49651-2025 FSC-klagomål.docx", "A 49651-2025")</f>
        <v/>
      </c>
      <c r="W362">
        <f>HYPERLINK("https://klasma.github.io/Logging_2283/klagomålsmail/A 49651-2025 FSC-klagomål mail.docx", "A 49651-2025")</f>
        <v/>
      </c>
      <c r="X362">
        <f>HYPERLINK("https://klasma.github.io/Logging_2283/tillsyn/A 49651-2025 tillsynsbegäran.docx", "A 49651-2025")</f>
        <v/>
      </c>
      <c r="Y362">
        <f>HYPERLINK("https://klasma.github.io/Logging_2283/tillsynsmail/A 49651-2025 tillsynsbegäran mail.docx", "A 49651-2025")</f>
        <v/>
      </c>
      <c r="Z362">
        <f>HYPERLINK("https://klasma.github.io/Logging_2283/fåglar/A 49651-2025 prioriterade fågelarter.docx", "A 49651-2025")</f>
        <v/>
      </c>
    </row>
    <row r="363" ht="15" customHeight="1">
      <c r="A363" t="inlineStr">
        <is>
          <t>A 5790-2025</t>
        </is>
      </c>
      <c r="B363" s="1" t="n">
        <v>45694.65657407408</v>
      </c>
      <c r="C363" s="1" t="n">
        <v>45964</v>
      </c>
      <c r="D363" t="inlineStr">
        <is>
          <t>VÄSTERNORRLANDS LÄN</t>
        </is>
      </c>
      <c r="E363" t="inlineStr">
        <is>
          <t>SOLLEFTEÅ</t>
        </is>
      </c>
      <c r="F363" t="inlineStr">
        <is>
          <t>SCA</t>
        </is>
      </c>
      <c r="G363" t="n">
        <v>32.7</v>
      </c>
      <c r="H363" t="n">
        <v>0</v>
      </c>
      <c r="I363" t="n">
        <v>0</v>
      </c>
      <c r="J363" t="n">
        <v>1</v>
      </c>
      <c r="K363" t="n">
        <v>0</v>
      </c>
      <c r="L363" t="n">
        <v>0</v>
      </c>
      <c r="M363" t="n">
        <v>0</v>
      </c>
      <c r="N363" t="n">
        <v>0</v>
      </c>
      <c r="O363" t="n">
        <v>1</v>
      </c>
      <c r="P363" t="n">
        <v>0</v>
      </c>
      <c r="Q363" t="n">
        <v>1</v>
      </c>
      <c r="R363" s="2" t="inlineStr">
        <is>
          <t>Lunglav</t>
        </is>
      </c>
      <c r="S363">
        <f>HYPERLINK("https://klasma.github.io/Logging_2283/artfynd/A 5790-2025 artfynd.xlsx", "A 5790-2025")</f>
        <v/>
      </c>
      <c r="T363">
        <f>HYPERLINK("https://klasma.github.io/Logging_2283/kartor/A 5790-2025 karta.png", "A 5790-2025")</f>
        <v/>
      </c>
      <c r="V363">
        <f>HYPERLINK("https://klasma.github.io/Logging_2283/klagomål/A 5790-2025 FSC-klagomål.docx", "A 5790-2025")</f>
        <v/>
      </c>
      <c r="W363">
        <f>HYPERLINK("https://klasma.github.io/Logging_2283/klagomålsmail/A 5790-2025 FSC-klagomål mail.docx", "A 5790-2025")</f>
        <v/>
      </c>
      <c r="X363">
        <f>HYPERLINK("https://klasma.github.io/Logging_2283/tillsyn/A 5790-2025 tillsynsbegäran.docx", "A 5790-2025")</f>
        <v/>
      </c>
      <c r="Y363">
        <f>HYPERLINK("https://klasma.github.io/Logging_2283/tillsynsmail/A 5790-2025 tillsynsbegäran mail.docx", "A 5790-2025")</f>
        <v/>
      </c>
    </row>
    <row r="364" ht="15" customHeight="1">
      <c r="A364" t="inlineStr">
        <is>
          <t>A 42554-2025</t>
        </is>
      </c>
      <c r="B364" s="1" t="n">
        <v>45905.59445601852</v>
      </c>
      <c r="C364" s="1" t="n">
        <v>45964</v>
      </c>
      <c r="D364" t="inlineStr">
        <is>
          <t>VÄSTERNORRLANDS LÄN</t>
        </is>
      </c>
      <c r="E364" t="inlineStr">
        <is>
          <t>SOLLEFTEÅ</t>
        </is>
      </c>
      <c r="F364" t="inlineStr">
        <is>
          <t>SCA</t>
        </is>
      </c>
      <c r="G364" t="n">
        <v>0.7</v>
      </c>
      <c r="H364" t="n">
        <v>0</v>
      </c>
      <c r="I364" t="n">
        <v>0</v>
      </c>
      <c r="J364" t="n">
        <v>1</v>
      </c>
      <c r="K364" t="n">
        <v>0</v>
      </c>
      <c r="L364" t="n">
        <v>0</v>
      </c>
      <c r="M364" t="n">
        <v>0</v>
      </c>
      <c r="N364" t="n">
        <v>0</v>
      </c>
      <c r="O364" t="n">
        <v>1</v>
      </c>
      <c r="P364" t="n">
        <v>0</v>
      </c>
      <c r="Q364" t="n">
        <v>1</v>
      </c>
      <c r="R364" s="2" t="inlineStr">
        <is>
          <t>Harticka</t>
        </is>
      </c>
      <c r="S364">
        <f>HYPERLINK("https://klasma.github.io/Logging_2283/artfynd/A 42554-2025 artfynd.xlsx", "A 42554-2025")</f>
        <v/>
      </c>
      <c r="T364">
        <f>HYPERLINK("https://klasma.github.io/Logging_2283/kartor/A 42554-2025 karta.png", "A 42554-2025")</f>
        <v/>
      </c>
      <c r="V364">
        <f>HYPERLINK("https://klasma.github.io/Logging_2283/klagomål/A 42554-2025 FSC-klagomål.docx", "A 42554-2025")</f>
        <v/>
      </c>
      <c r="W364">
        <f>HYPERLINK("https://klasma.github.io/Logging_2283/klagomålsmail/A 42554-2025 FSC-klagomål mail.docx", "A 42554-2025")</f>
        <v/>
      </c>
      <c r="X364">
        <f>HYPERLINK("https://klasma.github.io/Logging_2283/tillsyn/A 42554-2025 tillsynsbegäran.docx", "A 42554-2025")</f>
        <v/>
      </c>
      <c r="Y364">
        <f>HYPERLINK("https://klasma.github.io/Logging_2283/tillsynsmail/A 42554-2025 tillsynsbegäran mail.docx", "A 42554-2025")</f>
        <v/>
      </c>
    </row>
    <row r="365" ht="15" customHeight="1">
      <c r="A365" t="inlineStr">
        <is>
          <t>A 51786-2025</t>
        </is>
      </c>
      <c r="B365" s="1" t="n">
        <v>45951.67787037037</v>
      </c>
      <c r="C365" s="1" t="n">
        <v>45964</v>
      </c>
      <c r="D365" t="inlineStr">
        <is>
          <t>VÄSTERNORRLANDS LÄN</t>
        </is>
      </c>
      <c r="E365" t="inlineStr">
        <is>
          <t>SOLLEFTEÅ</t>
        </is>
      </c>
      <c r="F365" t="inlineStr">
        <is>
          <t>SCA</t>
        </is>
      </c>
      <c r="G365" t="n">
        <v>19.8</v>
      </c>
      <c r="H365" t="n">
        <v>0</v>
      </c>
      <c r="I365" t="n">
        <v>0</v>
      </c>
      <c r="J365" t="n">
        <v>1</v>
      </c>
      <c r="K365" t="n">
        <v>0</v>
      </c>
      <c r="L365" t="n">
        <v>0</v>
      </c>
      <c r="M365" t="n">
        <v>0</v>
      </c>
      <c r="N365" t="n">
        <v>0</v>
      </c>
      <c r="O365" t="n">
        <v>1</v>
      </c>
      <c r="P365" t="n">
        <v>0</v>
      </c>
      <c r="Q365" t="n">
        <v>1</v>
      </c>
      <c r="R365" s="2" t="inlineStr">
        <is>
          <t>Motaggsvamp</t>
        </is>
      </c>
      <c r="S365">
        <f>HYPERLINK("https://klasma.github.io/Logging_2283/artfynd/A 51786-2025 artfynd.xlsx", "A 51786-2025")</f>
        <v/>
      </c>
      <c r="T365">
        <f>HYPERLINK("https://klasma.github.io/Logging_2283/kartor/A 51786-2025 karta.png", "A 51786-2025")</f>
        <v/>
      </c>
      <c r="V365">
        <f>HYPERLINK("https://klasma.github.io/Logging_2283/klagomål/A 51786-2025 FSC-klagomål.docx", "A 51786-2025")</f>
        <v/>
      </c>
      <c r="W365">
        <f>HYPERLINK("https://klasma.github.io/Logging_2283/klagomålsmail/A 51786-2025 FSC-klagomål mail.docx", "A 51786-2025")</f>
        <v/>
      </c>
      <c r="X365">
        <f>HYPERLINK("https://klasma.github.io/Logging_2283/tillsyn/A 51786-2025 tillsynsbegäran.docx", "A 51786-2025")</f>
        <v/>
      </c>
      <c r="Y365">
        <f>HYPERLINK("https://klasma.github.io/Logging_2283/tillsynsmail/A 51786-2025 tillsynsbegäran mail.docx", "A 51786-2025")</f>
        <v/>
      </c>
    </row>
    <row r="366" ht="15" customHeight="1">
      <c r="A366" t="inlineStr">
        <is>
          <t>A 52218-2025</t>
        </is>
      </c>
      <c r="B366" s="1" t="n">
        <v>45953.43634259259</v>
      </c>
      <c r="C366" s="1" t="n">
        <v>45964</v>
      </c>
      <c r="D366" t="inlineStr">
        <is>
          <t>VÄSTERNORRLANDS LÄN</t>
        </is>
      </c>
      <c r="E366" t="inlineStr">
        <is>
          <t>SOLLEFTEÅ</t>
        </is>
      </c>
      <c r="G366" t="n">
        <v>6.7</v>
      </c>
      <c r="H366" t="n">
        <v>1</v>
      </c>
      <c r="I366" t="n">
        <v>0</v>
      </c>
      <c r="J366" t="n">
        <v>0</v>
      </c>
      <c r="K366" t="n">
        <v>0</v>
      </c>
      <c r="L366" t="n">
        <v>0</v>
      </c>
      <c r="M366" t="n">
        <v>0</v>
      </c>
      <c r="N366" t="n">
        <v>0</v>
      </c>
      <c r="O366" t="n">
        <v>0</v>
      </c>
      <c r="P366" t="n">
        <v>0</v>
      </c>
      <c r="Q366" t="n">
        <v>1</v>
      </c>
      <c r="R366" s="2" t="inlineStr">
        <is>
          <t>Revlummer</t>
        </is>
      </c>
      <c r="S366">
        <f>HYPERLINK("https://klasma.github.io/Logging_2283/artfynd/A 52218-2025 artfynd.xlsx", "A 52218-2025")</f>
        <v/>
      </c>
      <c r="T366">
        <f>HYPERLINK("https://klasma.github.io/Logging_2283/kartor/A 52218-2025 karta.png", "A 52218-2025")</f>
        <v/>
      </c>
      <c r="V366">
        <f>HYPERLINK("https://klasma.github.io/Logging_2283/klagomål/A 52218-2025 FSC-klagomål.docx", "A 52218-2025")</f>
        <v/>
      </c>
      <c r="W366">
        <f>HYPERLINK("https://klasma.github.io/Logging_2283/klagomålsmail/A 52218-2025 FSC-klagomål mail.docx", "A 52218-2025")</f>
        <v/>
      </c>
      <c r="X366">
        <f>HYPERLINK("https://klasma.github.io/Logging_2283/tillsyn/A 52218-2025 tillsynsbegäran.docx", "A 52218-2025")</f>
        <v/>
      </c>
      <c r="Y366">
        <f>HYPERLINK("https://klasma.github.io/Logging_2283/tillsynsmail/A 52218-2025 tillsynsbegäran mail.docx", "A 52218-2025")</f>
        <v/>
      </c>
    </row>
    <row r="367" ht="15" customHeight="1">
      <c r="A367" t="inlineStr">
        <is>
          <t>A 49251-2025</t>
        </is>
      </c>
      <c r="B367" s="1" t="n">
        <v>45938</v>
      </c>
      <c r="C367" s="1" t="n">
        <v>45964</v>
      </c>
      <c r="D367" t="inlineStr">
        <is>
          <t>VÄSTERNORRLANDS LÄN</t>
        </is>
      </c>
      <c r="E367" t="inlineStr">
        <is>
          <t>SOLLEFTEÅ</t>
        </is>
      </c>
      <c r="F367" t="inlineStr">
        <is>
          <t>SCA</t>
        </is>
      </c>
      <c r="G367" t="n">
        <v>2.5</v>
      </c>
      <c r="H367" t="n">
        <v>0</v>
      </c>
      <c r="I367" t="n">
        <v>0</v>
      </c>
      <c r="J367" t="n">
        <v>1</v>
      </c>
      <c r="K367" t="n">
        <v>0</v>
      </c>
      <c r="L367" t="n">
        <v>0</v>
      </c>
      <c r="M367" t="n">
        <v>0</v>
      </c>
      <c r="N367" t="n">
        <v>0</v>
      </c>
      <c r="O367" t="n">
        <v>1</v>
      </c>
      <c r="P367" t="n">
        <v>0</v>
      </c>
      <c r="Q367" t="n">
        <v>1</v>
      </c>
      <c r="R367" s="2" t="inlineStr">
        <is>
          <t>Granticka</t>
        </is>
      </c>
      <c r="S367">
        <f>HYPERLINK("https://klasma.github.io/Logging_2283/artfynd/A 49251-2025 artfynd.xlsx", "A 49251-2025")</f>
        <v/>
      </c>
      <c r="T367">
        <f>HYPERLINK("https://klasma.github.io/Logging_2283/kartor/A 49251-2025 karta.png", "A 49251-2025")</f>
        <v/>
      </c>
      <c r="V367">
        <f>HYPERLINK("https://klasma.github.io/Logging_2283/klagomål/A 49251-2025 FSC-klagomål.docx", "A 49251-2025")</f>
        <v/>
      </c>
      <c r="W367">
        <f>HYPERLINK("https://klasma.github.io/Logging_2283/klagomålsmail/A 49251-2025 FSC-klagomål mail.docx", "A 49251-2025")</f>
        <v/>
      </c>
      <c r="X367">
        <f>HYPERLINK("https://klasma.github.io/Logging_2283/tillsyn/A 49251-2025 tillsynsbegäran.docx", "A 49251-2025")</f>
        <v/>
      </c>
      <c r="Y367">
        <f>HYPERLINK("https://klasma.github.io/Logging_2283/tillsynsmail/A 49251-2025 tillsynsbegäran mail.docx", "A 49251-2025")</f>
        <v/>
      </c>
    </row>
    <row r="368" ht="15" customHeight="1">
      <c r="A368" t="inlineStr">
        <is>
          <t>A 53822-2025</t>
        </is>
      </c>
      <c r="B368" s="1" t="n">
        <v>45961.32806712963</v>
      </c>
      <c r="C368" s="1" t="n">
        <v>45964</v>
      </c>
      <c r="D368" t="inlineStr">
        <is>
          <t>VÄSTERNORRLANDS LÄN</t>
        </is>
      </c>
      <c r="E368" t="inlineStr">
        <is>
          <t>SOLLEFTEÅ</t>
        </is>
      </c>
      <c r="G368" t="n">
        <v>2.1</v>
      </c>
      <c r="H368" t="n">
        <v>1</v>
      </c>
      <c r="I368" t="n">
        <v>0</v>
      </c>
      <c r="J368" t="n">
        <v>0</v>
      </c>
      <c r="K368" t="n">
        <v>0</v>
      </c>
      <c r="L368" t="n">
        <v>0</v>
      </c>
      <c r="M368" t="n">
        <v>0</v>
      </c>
      <c r="N368" t="n">
        <v>0</v>
      </c>
      <c r="O368" t="n">
        <v>0</v>
      </c>
      <c r="P368" t="n">
        <v>0</v>
      </c>
      <c r="Q368" t="n">
        <v>1</v>
      </c>
      <c r="R368" s="2" t="inlineStr">
        <is>
          <t>Sångsvan</t>
        </is>
      </c>
      <c r="S368">
        <f>HYPERLINK("https://klasma.github.io/Logging_2283/artfynd/A 53822-2025 artfynd.xlsx", "A 53822-2025")</f>
        <v/>
      </c>
      <c r="T368">
        <f>HYPERLINK("https://klasma.github.io/Logging_2283/kartor/A 53822-2025 karta.png", "A 53822-2025")</f>
        <v/>
      </c>
      <c r="V368">
        <f>HYPERLINK("https://klasma.github.io/Logging_2283/klagomål/A 53822-2025 FSC-klagomål.docx", "A 53822-2025")</f>
        <v/>
      </c>
      <c r="W368">
        <f>HYPERLINK("https://klasma.github.io/Logging_2283/klagomålsmail/A 53822-2025 FSC-klagomål mail.docx", "A 53822-2025")</f>
        <v/>
      </c>
      <c r="X368">
        <f>HYPERLINK("https://klasma.github.io/Logging_2283/tillsyn/A 53822-2025 tillsynsbegäran.docx", "A 53822-2025")</f>
        <v/>
      </c>
      <c r="Y368">
        <f>HYPERLINK("https://klasma.github.io/Logging_2283/tillsynsmail/A 53822-2025 tillsynsbegäran mail.docx", "A 53822-2025")</f>
        <v/>
      </c>
      <c r="Z368">
        <f>HYPERLINK("https://klasma.github.io/Logging_2283/fåglar/A 53822-2025 prioriterade fågelarter.docx", "A 53822-2025")</f>
        <v/>
      </c>
    </row>
    <row r="369" ht="15" customHeight="1">
      <c r="A369" t="inlineStr">
        <is>
          <t>A 21962-2025</t>
        </is>
      </c>
      <c r="B369" s="1" t="n">
        <v>45784</v>
      </c>
      <c r="C369" s="1" t="n">
        <v>45964</v>
      </c>
      <c r="D369" t="inlineStr">
        <is>
          <t>VÄSTERNORRLANDS LÄN</t>
        </is>
      </c>
      <c r="E369" t="inlineStr">
        <is>
          <t>SOLLEFTEÅ</t>
        </is>
      </c>
      <c r="F369" t="inlineStr">
        <is>
          <t>SCA</t>
        </is>
      </c>
      <c r="G369" t="n">
        <v>22.5</v>
      </c>
      <c r="H369" t="n">
        <v>1</v>
      </c>
      <c r="I369" t="n">
        <v>0</v>
      </c>
      <c r="J369" t="n">
        <v>1</v>
      </c>
      <c r="K369" t="n">
        <v>0</v>
      </c>
      <c r="L369" t="n">
        <v>0</v>
      </c>
      <c r="M369" t="n">
        <v>0</v>
      </c>
      <c r="N369" t="n">
        <v>0</v>
      </c>
      <c r="O369" t="n">
        <v>1</v>
      </c>
      <c r="P369" t="n">
        <v>0</v>
      </c>
      <c r="Q369" t="n">
        <v>1</v>
      </c>
      <c r="R369" s="2" t="inlineStr">
        <is>
          <t>Järpe</t>
        </is>
      </c>
      <c r="S369">
        <f>HYPERLINK("https://klasma.github.io/Logging_2283/artfynd/A 21962-2025 artfynd.xlsx", "A 21962-2025")</f>
        <v/>
      </c>
      <c r="T369">
        <f>HYPERLINK("https://klasma.github.io/Logging_2283/kartor/A 21962-2025 karta.png", "A 21962-2025")</f>
        <v/>
      </c>
      <c r="V369">
        <f>HYPERLINK("https://klasma.github.io/Logging_2283/klagomål/A 21962-2025 FSC-klagomål.docx", "A 21962-2025")</f>
        <v/>
      </c>
      <c r="W369">
        <f>HYPERLINK("https://klasma.github.io/Logging_2283/klagomålsmail/A 21962-2025 FSC-klagomål mail.docx", "A 21962-2025")</f>
        <v/>
      </c>
      <c r="X369">
        <f>HYPERLINK("https://klasma.github.io/Logging_2283/tillsyn/A 21962-2025 tillsynsbegäran.docx", "A 21962-2025")</f>
        <v/>
      </c>
      <c r="Y369">
        <f>HYPERLINK("https://klasma.github.io/Logging_2283/tillsynsmail/A 21962-2025 tillsynsbegäran mail.docx", "A 21962-2025")</f>
        <v/>
      </c>
      <c r="Z369">
        <f>HYPERLINK("https://klasma.github.io/Logging_2283/fåglar/A 21962-2025 prioriterade fågelarter.docx", "A 21962-2025")</f>
        <v/>
      </c>
    </row>
    <row r="370" ht="15" customHeight="1">
      <c r="A370" t="inlineStr">
        <is>
          <t>A 7658-2021</t>
        </is>
      </c>
      <c r="B370" s="1" t="n">
        <v>44242.42165509259</v>
      </c>
      <c r="C370" s="1" t="n">
        <v>45964</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45964</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65407-2020</t>
        </is>
      </c>
      <c r="B372" s="1" t="n">
        <v>44169</v>
      </c>
      <c r="C372" s="1" t="n">
        <v>45964</v>
      </c>
      <c r="D372" t="inlineStr">
        <is>
          <t>VÄSTERNORRLANDS LÄN</t>
        </is>
      </c>
      <c r="E372" t="inlineStr">
        <is>
          <t>SOLLEFTEÅ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51104-2021</t>
        </is>
      </c>
      <c r="B373" s="1" t="n">
        <v>44459</v>
      </c>
      <c r="C373" s="1" t="n">
        <v>45964</v>
      </c>
      <c r="D373" t="inlineStr">
        <is>
          <t>VÄSTERNORRLANDS LÄN</t>
        </is>
      </c>
      <c r="E373" t="inlineStr">
        <is>
          <t>SOLLEFTEÅ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21350-2021</t>
        </is>
      </c>
      <c r="B374" s="1" t="n">
        <v>44320.95533564815</v>
      </c>
      <c r="C374" s="1" t="n">
        <v>45964</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18761-2021</t>
        </is>
      </c>
      <c r="B375" s="1" t="n">
        <v>44307</v>
      </c>
      <c r="C375" s="1" t="n">
        <v>45964</v>
      </c>
      <c r="D375" t="inlineStr">
        <is>
          <t>VÄSTERNORRLANDS LÄN</t>
        </is>
      </c>
      <c r="E375" t="inlineStr">
        <is>
          <t>SOLLEFTEÅ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21532-2021</t>
        </is>
      </c>
      <c r="B376" s="1" t="n">
        <v>44321</v>
      </c>
      <c r="C376" s="1" t="n">
        <v>45964</v>
      </c>
      <c r="D376" t="inlineStr">
        <is>
          <t>VÄSTERNORRLANDS LÄN</t>
        </is>
      </c>
      <c r="E376" t="inlineStr">
        <is>
          <t>SOLLEFTEÅ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45964</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45964</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45964</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45964</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45187-2021</t>
        </is>
      </c>
      <c r="B381" s="1" t="n">
        <v>44439</v>
      </c>
      <c r="C381" s="1" t="n">
        <v>45964</v>
      </c>
      <c r="D381" t="inlineStr">
        <is>
          <t>VÄSTERNORRLANDS LÄN</t>
        </is>
      </c>
      <c r="E381" t="inlineStr">
        <is>
          <t>SOLLEFTEÅ</t>
        </is>
      </c>
      <c r="G381" t="n">
        <v>3.2</v>
      </c>
      <c r="H381" t="n">
        <v>0</v>
      </c>
      <c r="I381" t="n">
        <v>0</v>
      </c>
      <c r="J381" t="n">
        <v>0</v>
      </c>
      <c r="K381" t="n">
        <v>0</v>
      </c>
      <c r="L381" t="n">
        <v>0</v>
      </c>
      <c r="M381" t="n">
        <v>0</v>
      </c>
      <c r="N381" t="n">
        <v>0</v>
      </c>
      <c r="O381" t="n">
        <v>0</v>
      </c>
      <c r="P381" t="n">
        <v>0</v>
      </c>
      <c r="Q381" t="n">
        <v>0</v>
      </c>
      <c r="R381" s="2" t="inlineStr"/>
    </row>
    <row r="382" ht="15" customHeight="1">
      <c r="A382" t="inlineStr">
        <is>
          <t>A 15461-2021</t>
        </is>
      </c>
      <c r="B382" s="1" t="n">
        <v>44285</v>
      </c>
      <c r="C382" s="1" t="n">
        <v>45964</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45964</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45964</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45964</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45964</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45964</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58486-2021</t>
        </is>
      </c>
      <c r="B388" s="1" t="n">
        <v>44488</v>
      </c>
      <c r="C388" s="1" t="n">
        <v>45964</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45964</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71350-2021</t>
        </is>
      </c>
      <c r="B390" s="1" t="n">
        <v>44539</v>
      </c>
      <c r="C390" s="1" t="n">
        <v>45964</v>
      </c>
      <c r="D390" t="inlineStr">
        <is>
          <t>VÄSTERNORRLANDS LÄN</t>
        </is>
      </c>
      <c r="E390" t="inlineStr">
        <is>
          <t>SOLLEFTEÅ</t>
        </is>
      </c>
      <c r="G390" t="n">
        <v>0</v>
      </c>
      <c r="H390" t="n">
        <v>0</v>
      </c>
      <c r="I390" t="n">
        <v>0</v>
      </c>
      <c r="J390" t="n">
        <v>0</v>
      </c>
      <c r="K390" t="n">
        <v>0</v>
      </c>
      <c r="L390" t="n">
        <v>0</v>
      </c>
      <c r="M390" t="n">
        <v>0</v>
      </c>
      <c r="N390" t="n">
        <v>0</v>
      </c>
      <c r="O390" t="n">
        <v>0</v>
      </c>
      <c r="P390" t="n">
        <v>0</v>
      </c>
      <c r="Q390" t="n">
        <v>0</v>
      </c>
      <c r="R390" s="2" t="inlineStr"/>
    </row>
    <row r="391" ht="15" customHeight="1">
      <c r="A391" t="inlineStr">
        <is>
          <t>A 32779-2022</t>
        </is>
      </c>
      <c r="B391" s="1" t="n">
        <v>44783.94623842592</v>
      </c>
      <c r="C391" s="1" t="n">
        <v>45964</v>
      </c>
      <c r="D391" t="inlineStr">
        <is>
          <t>VÄSTERNORRLANDS LÄN</t>
        </is>
      </c>
      <c r="E391" t="inlineStr">
        <is>
          <t>SOLLEFTEÅ</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45964</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45964</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17045-2022</t>
        </is>
      </c>
      <c r="B394" s="1" t="n">
        <v>44676</v>
      </c>
      <c r="C394" s="1" t="n">
        <v>45964</v>
      </c>
      <c r="D394" t="inlineStr">
        <is>
          <t>VÄSTERNORRLANDS LÄN</t>
        </is>
      </c>
      <c r="E394" t="inlineStr">
        <is>
          <t>SOLLEFTEÅ</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9461-2021</t>
        </is>
      </c>
      <c r="B395" s="1" t="n">
        <v>44251</v>
      </c>
      <c r="C395" s="1" t="n">
        <v>45964</v>
      </c>
      <c r="D395" t="inlineStr">
        <is>
          <t>VÄSTERNORRLANDS LÄN</t>
        </is>
      </c>
      <c r="E395" t="inlineStr">
        <is>
          <t>SOLLEFTEÅ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45964</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18015-2022</t>
        </is>
      </c>
      <c r="B397" s="1" t="n">
        <v>44683.94319444444</v>
      </c>
      <c r="C397" s="1" t="n">
        <v>45964</v>
      </c>
      <c r="D397" t="inlineStr">
        <is>
          <t>VÄSTERNORRLANDS LÄN</t>
        </is>
      </c>
      <c r="E397" t="inlineStr">
        <is>
          <t>SOLLEFTEÅ</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45964</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45964</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19220-2021</t>
        </is>
      </c>
      <c r="B400" s="1" t="n">
        <v>44309</v>
      </c>
      <c r="C400" s="1" t="n">
        <v>45964</v>
      </c>
      <c r="D400" t="inlineStr">
        <is>
          <t>VÄSTERNORRLANDS LÄN</t>
        </is>
      </c>
      <c r="E400" t="inlineStr">
        <is>
          <t>SOLLEFTEÅ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45964</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45964</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27282-2022</t>
        </is>
      </c>
      <c r="B403" s="1" t="n">
        <v>44741</v>
      </c>
      <c r="C403" s="1" t="n">
        <v>45964</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19516-2021</t>
        </is>
      </c>
      <c r="B404" s="1" t="n">
        <v>44309</v>
      </c>
      <c r="C404" s="1" t="n">
        <v>45964</v>
      </c>
      <c r="D404" t="inlineStr">
        <is>
          <t>VÄSTERNORRLANDS LÄN</t>
        </is>
      </c>
      <c r="E404" t="inlineStr">
        <is>
          <t>SOLLEFTEÅ</t>
        </is>
      </c>
      <c r="G404" t="n">
        <v>15.6</v>
      </c>
      <c r="H404" t="n">
        <v>0</v>
      </c>
      <c r="I404" t="n">
        <v>0</v>
      </c>
      <c r="J404" t="n">
        <v>0</v>
      </c>
      <c r="K404" t="n">
        <v>0</v>
      </c>
      <c r="L404" t="n">
        <v>0</v>
      </c>
      <c r="M404" t="n">
        <v>0</v>
      </c>
      <c r="N404" t="n">
        <v>0</v>
      </c>
      <c r="O404" t="n">
        <v>0</v>
      </c>
      <c r="P404" t="n">
        <v>0</v>
      </c>
      <c r="Q404" t="n">
        <v>0</v>
      </c>
      <c r="R404" s="2" t="inlineStr"/>
    </row>
    <row r="405" ht="15" customHeight="1">
      <c r="A405" t="inlineStr">
        <is>
          <t>A 24322-2022</t>
        </is>
      </c>
      <c r="B405" s="1" t="n">
        <v>44725.94471064815</v>
      </c>
      <c r="C405" s="1" t="n">
        <v>45964</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39006-2022</t>
        </is>
      </c>
      <c r="B406" s="1" t="n">
        <v>44816.94675925926</v>
      </c>
      <c r="C406" s="1" t="n">
        <v>45964</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21711-2021</t>
        </is>
      </c>
      <c r="B407" s="1" t="n">
        <v>44322</v>
      </c>
      <c r="C407" s="1" t="n">
        <v>45964</v>
      </c>
      <c r="D407" t="inlineStr">
        <is>
          <t>VÄSTERNORRLANDS LÄN</t>
        </is>
      </c>
      <c r="E407" t="inlineStr">
        <is>
          <t>SOLLEFTEÅ</t>
        </is>
      </c>
      <c r="F407" t="inlineStr">
        <is>
          <t>Kyrkan</t>
        </is>
      </c>
      <c r="G407" t="n">
        <v>22.2</v>
      </c>
      <c r="H407" t="n">
        <v>0</v>
      </c>
      <c r="I407" t="n">
        <v>0</v>
      </c>
      <c r="J407" t="n">
        <v>0</v>
      </c>
      <c r="K407" t="n">
        <v>0</v>
      </c>
      <c r="L407" t="n">
        <v>0</v>
      </c>
      <c r="M407" t="n">
        <v>0</v>
      </c>
      <c r="N407" t="n">
        <v>0</v>
      </c>
      <c r="O407" t="n">
        <v>0</v>
      </c>
      <c r="P407" t="n">
        <v>0</v>
      </c>
      <c r="Q407" t="n">
        <v>0</v>
      </c>
      <c r="R407" s="2" t="inlineStr"/>
    </row>
    <row r="408" ht="15" customHeight="1">
      <c r="A408" t="inlineStr">
        <is>
          <t>A 29842-2022</t>
        </is>
      </c>
      <c r="B408" s="1" t="n">
        <v>44756.32835648148</v>
      </c>
      <c r="C408" s="1" t="n">
        <v>45964</v>
      </c>
      <c r="D408" t="inlineStr">
        <is>
          <t>VÄSTERNORRLANDS LÄN</t>
        </is>
      </c>
      <c r="E408" t="inlineStr">
        <is>
          <t>SOLLEFTEÅ</t>
        </is>
      </c>
      <c r="F408" t="inlineStr">
        <is>
          <t>Holmen skog AB</t>
        </is>
      </c>
      <c r="G408" t="n">
        <v>0.3</v>
      </c>
      <c r="H408" t="n">
        <v>0</v>
      </c>
      <c r="I408" t="n">
        <v>0</v>
      </c>
      <c r="J408" t="n">
        <v>0</v>
      </c>
      <c r="K408" t="n">
        <v>0</v>
      </c>
      <c r="L408" t="n">
        <v>0</v>
      </c>
      <c r="M408" t="n">
        <v>0</v>
      </c>
      <c r="N408" t="n">
        <v>0</v>
      </c>
      <c r="O408" t="n">
        <v>0</v>
      </c>
      <c r="P408" t="n">
        <v>0</v>
      </c>
      <c r="Q408" t="n">
        <v>0</v>
      </c>
      <c r="R408" s="2" t="inlineStr"/>
    </row>
    <row r="409" ht="15" customHeight="1">
      <c r="A409" t="inlineStr">
        <is>
          <t>A 19830-2021</t>
        </is>
      </c>
      <c r="B409" s="1" t="n">
        <v>44312</v>
      </c>
      <c r="C409" s="1" t="n">
        <v>45964</v>
      </c>
      <c r="D409" t="inlineStr">
        <is>
          <t>VÄSTERNORRLANDS LÄN</t>
        </is>
      </c>
      <c r="E409" t="inlineStr">
        <is>
          <t>SOLLEFTEÅ</t>
        </is>
      </c>
      <c r="G409" t="n">
        <v>1.9</v>
      </c>
      <c r="H409" t="n">
        <v>0</v>
      </c>
      <c r="I409" t="n">
        <v>0</v>
      </c>
      <c r="J409" t="n">
        <v>0</v>
      </c>
      <c r="K409" t="n">
        <v>0</v>
      </c>
      <c r="L409" t="n">
        <v>0</v>
      </c>
      <c r="M409" t="n">
        <v>0</v>
      </c>
      <c r="N409" t="n">
        <v>0</v>
      </c>
      <c r="O409" t="n">
        <v>0</v>
      </c>
      <c r="P409" t="n">
        <v>0</v>
      </c>
      <c r="Q409" t="n">
        <v>0</v>
      </c>
      <c r="R409" s="2" t="inlineStr"/>
    </row>
    <row r="410" ht="15" customHeight="1">
      <c r="A410" t="inlineStr">
        <is>
          <t>A 30043-2022</t>
        </is>
      </c>
      <c r="B410" s="1" t="n">
        <v>44756</v>
      </c>
      <c r="C410" s="1" t="n">
        <v>45964</v>
      </c>
      <c r="D410" t="inlineStr">
        <is>
          <t>VÄSTERNORRLANDS LÄN</t>
        </is>
      </c>
      <c r="E410" t="inlineStr">
        <is>
          <t>SOLLEFTEÅ</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45964</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49175-2022</t>
        </is>
      </c>
      <c r="B412" s="1" t="n">
        <v>44860.92922453704</v>
      </c>
      <c r="C412" s="1" t="n">
        <v>45964</v>
      </c>
      <c r="D412" t="inlineStr">
        <is>
          <t>VÄSTERNORRLANDS LÄN</t>
        </is>
      </c>
      <c r="E412" t="inlineStr">
        <is>
          <t>SOLLEFTEÅ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10417-2022</t>
        </is>
      </c>
      <c r="B413" s="1" t="n">
        <v>44623</v>
      </c>
      <c r="C413" s="1" t="n">
        <v>45964</v>
      </c>
      <c r="D413" t="inlineStr">
        <is>
          <t>VÄSTERNORRLANDS LÄN</t>
        </is>
      </c>
      <c r="E413" t="inlineStr">
        <is>
          <t>SOLLEFTEÅ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21714-2022</t>
        </is>
      </c>
      <c r="B414" s="1" t="n">
        <v>44707.94015046296</v>
      </c>
      <c r="C414" s="1" t="n">
        <v>45964</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67085-2021</t>
        </is>
      </c>
      <c r="B415" s="1" t="n">
        <v>44522.94458333333</v>
      </c>
      <c r="C415" s="1" t="n">
        <v>45964</v>
      </c>
      <c r="D415" t="inlineStr">
        <is>
          <t>VÄSTERNORRLANDS LÄN</t>
        </is>
      </c>
      <c r="E415" t="inlineStr">
        <is>
          <t>SOLLEFTEÅ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45964</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45964</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45964</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45964</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12278-2021</t>
        </is>
      </c>
      <c r="B420" s="1" t="n">
        <v>44266</v>
      </c>
      <c r="C420" s="1" t="n">
        <v>45964</v>
      </c>
      <c r="D420" t="inlineStr">
        <is>
          <t>VÄSTERNORRLANDS LÄN</t>
        </is>
      </c>
      <c r="E420" t="inlineStr">
        <is>
          <t>SOLLEFTEÅ</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29602-2021</t>
        </is>
      </c>
      <c r="B421" s="1" t="n">
        <v>44361.93674768518</v>
      </c>
      <c r="C421" s="1" t="n">
        <v>45964</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49200-2022</t>
        </is>
      </c>
      <c r="B422" s="1" t="n">
        <v>44860.95540509259</v>
      </c>
      <c r="C422" s="1" t="n">
        <v>45964</v>
      </c>
      <c r="D422" t="inlineStr">
        <is>
          <t>VÄSTERNORRLANDS LÄN</t>
        </is>
      </c>
      <c r="E422" t="inlineStr">
        <is>
          <t>SOLLEFTEÅ</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38663-2022</t>
        </is>
      </c>
      <c r="B423" s="1" t="n">
        <v>44813.94670138889</v>
      </c>
      <c r="C423" s="1" t="n">
        <v>45964</v>
      </c>
      <c r="D423" t="inlineStr">
        <is>
          <t>VÄSTERNORRLANDS LÄN</t>
        </is>
      </c>
      <c r="E423" t="inlineStr">
        <is>
          <t>SOLLEFTEÅ</t>
        </is>
      </c>
      <c r="G423" t="n">
        <v>3.4</v>
      </c>
      <c r="H423" t="n">
        <v>0</v>
      </c>
      <c r="I423" t="n">
        <v>0</v>
      </c>
      <c r="J423" t="n">
        <v>0</v>
      </c>
      <c r="K423" t="n">
        <v>0</v>
      </c>
      <c r="L423" t="n">
        <v>0</v>
      </c>
      <c r="M423" t="n">
        <v>0</v>
      </c>
      <c r="N423" t="n">
        <v>0</v>
      </c>
      <c r="O423" t="n">
        <v>0</v>
      </c>
      <c r="P423" t="n">
        <v>0</v>
      </c>
      <c r="Q423" t="n">
        <v>0</v>
      </c>
      <c r="R423" s="2" t="inlineStr"/>
    </row>
    <row r="424" ht="15" customHeight="1">
      <c r="A424" t="inlineStr">
        <is>
          <t>A 60091-2020</t>
        </is>
      </c>
      <c r="B424" s="1" t="n">
        <v>44151</v>
      </c>
      <c r="C424" s="1" t="n">
        <v>45964</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45964</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39594-2021</t>
        </is>
      </c>
      <c r="B426" s="1" t="n">
        <v>44413</v>
      </c>
      <c r="C426" s="1" t="n">
        <v>45964</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45964</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64947-2021</t>
        </is>
      </c>
      <c r="B428" s="1" t="n">
        <v>44512.94497685185</v>
      </c>
      <c r="C428" s="1" t="n">
        <v>45964</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45964</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18196-2022</t>
        </is>
      </c>
      <c r="B430" s="1" t="n">
        <v>44684.94048611111</v>
      </c>
      <c r="C430" s="1" t="n">
        <v>45964</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25329-2021</t>
        </is>
      </c>
      <c r="B431" s="1" t="n">
        <v>44342</v>
      </c>
      <c r="C431" s="1" t="n">
        <v>45964</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68843-2021</t>
        </is>
      </c>
      <c r="B432" s="1" t="n">
        <v>44530</v>
      </c>
      <c r="C432" s="1" t="n">
        <v>45964</v>
      </c>
      <c r="D432" t="inlineStr">
        <is>
          <t>VÄSTERNORRLANDS LÄN</t>
        </is>
      </c>
      <c r="E432" t="inlineStr">
        <is>
          <t>SOLLEFTEÅ</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5110-2022</t>
        </is>
      </c>
      <c r="B433" s="1" t="n">
        <v>44593.92141203704</v>
      </c>
      <c r="C433" s="1" t="n">
        <v>45964</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35862-2021</t>
        </is>
      </c>
      <c r="B434" s="1" t="n">
        <v>44386</v>
      </c>
      <c r="C434" s="1" t="n">
        <v>45964</v>
      </c>
      <c r="D434" t="inlineStr">
        <is>
          <t>VÄSTERNORRLANDS LÄN</t>
        </is>
      </c>
      <c r="E434" t="inlineStr">
        <is>
          <t>SOLLEFTEÅ</t>
        </is>
      </c>
      <c r="G434" t="n">
        <v>5.5</v>
      </c>
      <c r="H434" t="n">
        <v>0</v>
      </c>
      <c r="I434" t="n">
        <v>0</v>
      </c>
      <c r="J434" t="n">
        <v>0</v>
      </c>
      <c r="K434" t="n">
        <v>0</v>
      </c>
      <c r="L434" t="n">
        <v>0</v>
      </c>
      <c r="M434" t="n">
        <v>0</v>
      </c>
      <c r="N434" t="n">
        <v>0</v>
      </c>
      <c r="O434" t="n">
        <v>0</v>
      </c>
      <c r="P434" t="n">
        <v>0</v>
      </c>
      <c r="Q434" t="n">
        <v>0</v>
      </c>
      <c r="R434" s="2" t="inlineStr"/>
    </row>
    <row r="435" ht="15" customHeight="1">
      <c r="A435" t="inlineStr">
        <is>
          <t>A 44454-2022</t>
        </is>
      </c>
      <c r="B435" s="1" t="n">
        <v>44839.95543981482</v>
      </c>
      <c r="C435" s="1" t="n">
        <v>45964</v>
      </c>
      <c r="D435" t="inlineStr">
        <is>
          <t>VÄSTERNORRLANDS LÄN</t>
        </is>
      </c>
      <c r="E435" t="inlineStr">
        <is>
          <t>SOLLEFTEÅ</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46664-2022</t>
        </is>
      </c>
      <c r="B436" s="1" t="n">
        <v>44850.94962962963</v>
      </c>
      <c r="C436" s="1" t="n">
        <v>45964</v>
      </c>
      <c r="D436" t="inlineStr">
        <is>
          <t>VÄSTERNORRLANDS LÄN</t>
        </is>
      </c>
      <c r="E436" t="inlineStr">
        <is>
          <t>SOLLEFTEÅ</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45964</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41475-2022</t>
        </is>
      </c>
      <c r="B438" s="1" t="n">
        <v>44826</v>
      </c>
      <c r="C438" s="1" t="n">
        <v>45964</v>
      </c>
      <c r="D438" t="inlineStr">
        <is>
          <t>VÄSTERNORRLANDS LÄN</t>
        </is>
      </c>
      <c r="E438" t="inlineStr">
        <is>
          <t>SOLLEFTEÅ</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3699-2022</t>
        </is>
      </c>
      <c r="B439" s="1" t="n">
        <v>44586.58597222222</v>
      </c>
      <c r="C439" s="1" t="n">
        <v>45964</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18197-2022</t>
        </is>
      </c>
      <c r="B440" s="1" t="n">
        <v>44684</v>
      </c>
      <c r="C440" s="1" t="n">
        <v>45964</v>
      </c>
      <c r="D440" t="inlineStr">
        <is>
          <t>VÄSTERNORRLANDS LÄN</t>
        </is>
      </c>
      <c r="E440" t="inlineStr">
        <is>
          <t>SOLLEFTEÅ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12562-2022</t>
        </is>
      </c>
      <c r="B441" s="1" t="n">
        <v>44638.94247685185</v>
      </c>
      <c r="C441" s="1" t="n">
        <v>45964</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55209-2022</t>
        </is>
      </c>
      <c r="B442" s="1" t="n">
        <v>44886.96086805555</v>
      </c>
      <c r="C442" s="1" t="n">
        <v>45964</v>
      </c>
      <c r="D442" t="inlineStr">
        <is>
          <t>VÄSTERNORRLANDS LÄN</t>
        </is>
      </c>
      <c r="E442" t="inlineStr">
        <is>
          <t>SOLLEFTEÅ</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20994-2022</t>
        </is>
      </c>
      <c r="B443" s="1" t="n">
        <v>44703</v>
      </c>
      <c r="C443" s="1" t="n">
        <v>45964</v>
      </c>
      <c r="D443" t="inlineStr">
        <is>
          <t>VÄSTERNORRLANDS LÄN</t>
        </is>
      </c>
      <c r="E443" t="inlineStr">
        <is>
          <t>SOLLEFTEÅ</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20996-2022</t>
        </is>
      </c>
      <c r="B444" s="1" t="n">
        <v>44703</v>
      </c>
      <c r="C444" s="1" t="n">
        <v>45964</v>
      </c>
      <c r="D444" t="inlineStr">
        <is>
          <t>VÄSTERNORRLANDS LÄN</t>
        </is>
      </c>
      <c r="E444" t="inlineStr">
        <is>
          <t>SOLLEFTEÅ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49694-2022</t>
        </is>
      </c>
      <c r="B445" s="1" t="n">
        <v>44859</v>
      </c>
      <c r="C445" s="1" t="n">
        <v>45964</v>
      </c>
      <c r="D445" t="inlineStr">
        <is>
          <t>VÄSTERNORRLANDS LÄN</t>
        </is>
      </c>
      <c r="E445" t="inlineStr">
        <is>
          <t>SOLLEFTEÅ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68033-2020</t>
        </is>
      </c>
      <c r="B446" s="1" t="n">
        <v>44182</v>
      </c>
      <c r="C446" s="1" t="n">
        <v>45964</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48923-2022</t>
        </is>
      </c>
      <c r="B447" s="1" t="n">
        <v>44859.95590277778</v>
      </c>
      <c r="C447" s="1" t="n">
        <v>45964</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45964</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45964</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45964</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12007-2022</t>
        </is>
      </c>
      <c r="B451" s="1" t="n">
        <v>44635.925</v>
      </c>
      <c r="C451" s="1" t="n">
        <v>45964</v>
      </c>
      <c r="D451" t="inlineStr">
        <is>
          <t>VÄSTERNORRLANDS LÄN</t>
        </is>
      </c>
      <c r="E451" t="inlineStr">
        <is>
          <t>SOLLEFTEÅ</t>
        </is>
      </c>
      <c r="G451" t="n">
        <v>0.4</v>
      </c>
      <c r="H451" t="n">
        <v>0</v>
      </c>
      <c r="I451" t="n">
        <v>0</v>
      </c>
      <c r="J451" t="n">
        <v>0</v>
      </c>
      <c r="K451" t="n">
        <v>0</v>
      </c>
      <c r="L451" t="n">
        <v>0</v>
      </c>
      <c r="M451" t="n">
        <v>0</v>
      </c>
      <c r="N451" t="n">
        <v>0</v>
      </c>
      <c r="O451" t="n">
        <v>0</v>
      </c>
      <c r="P451" t="n">
        <v>0</v>
      </c>
      <c r="Q451" t="n">
        <v>0</v>
      </c>
      <c r="R451" s="2" t="inlineStr"/>
    </row>
    <row r="452" ht="15" customHeight="1">
      <c r="A452" t="inlineStr">
        <is>
          <t>A 47580-2022</t>
        </is>
      </c>
      <c r="B452" s="1" t="n">
        <v>44853.95252314815</v>
      </c>
      <c r="C452" s="1" t="n">
        <v>45964</v>
      </c>
      <c r="D452" t="inlineStr">
        <is>
          <t>VÄSTERNORRLANDS LÄN</t>
        </is>
      </c>
      <c r="E452" t="inlineStr">
        <is>
          <t>SOLLEFTEÅ</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46324-2022</t>
        </is>
      </c>
      <c r="B453" s="1" t="n">
        <v>44847</v>
      </c>
      <c r="C453" s="1" t="n">
        <v>45964</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45964</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45964</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34534-2022</t>
        </is>
      </c>
      <c r="B456" s="1" t="n">
        <v>44792.94587962963</v>
      </c>
      <c r="C456" s="1" t="n">
        <v>45964</v>
      </c>
      <c r="D456" t="inlineStr">
        <is>
          <t>VÄSTERNORRLANDS LÄN</t>
        </is>
      </c>
      <c r="E456" t="inlineStr">
        <is>
          <t>SOLLEFTEÅ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43124-2022</t>
        </is>
      </c>
      <c r="B457" s="1" t="n">
        <v>44833.92898148148</v>
      </c>
      <c r="C457" s="1" t="n">
        <v>45964</v>
      </c>
      <c r="D457" t="inlineStr">
        <is>
          <t>VÄSTERNORRLANDS LÄN</t>
        </is>
      </c>
      <c r="E457" t="inlineStr">
        <is>
          <t>SOLLEFTEÅ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45964</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45964</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45964</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45964</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51442-2021</t>
        </is>
      </c>
      <c r="B462" s="1" t="n">
        <v>44461.94450231481</v>
      </c>
      <c r="C462" s="1" t="n">
        <v>45964</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45964</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45964</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45964</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57856-2021</t>
        </is>
      </c>
      <c r="B466" s="1" t="n">
        <v>44484.98627314815</v>
      </c>
      <c r="C466" s="1" t="n">
        <v>45964</v>
      </c>
      <c r="D466" t="inlineStr">
        <is>
          <t>VÄSTERNORRLANDS LÄN</t>
        </is>
      </c>
      <c r="E466" t="inlineStr">
        <is>
          <t>SOLLEFTEÅ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7889-2021</t>
        </is>
      </c>
      <c r="B467" s="1" t="n">
        <v>44242</v>
      </c>
      <c r="C467" s="1" t="n">
        <v>45964</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21404-2022</t>
        </is>
      </c>
      <c r="B468" s="1" t="n">
        <v>44705.94037037037</v>
      </c>
      <c r="C468" s="1" t="n">
        <v>45964</v>
      </c>
      <c r="D468" t="inlineStr">
        <is>
          <t>VÄSTERNORRLANDS LÄN</t>
        </is>
      </c>
      <c r="E468" t="inlineStr">
        <is>
          <t>SOLLEFTEÅ</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45964</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45964</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45964</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45964</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45964</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45964</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45964</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45964</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45964</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45964</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45964</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45964</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45964</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45964</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45964</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61426-2021</t>
        </is>
      </c>
      <c r="B484" s="1" t="n">
        <v>44500</v>
      </c>
      <c r="C484" s="1" t="n">
        <v>45964</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71348-2021</t>
        </is>
      </c>
      <c r="B485" s="1" t="n">
        <v>44539</v>
      </c>
      <c r="C485" s="1" t="n">
        <v>45964</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71351-2021</t>
        </is>
      </c>
      <c r="B486" s="1" t="n">
        <v>44539</v>
      </c>
      <c r="C486" s="1" t="n">
        <v>45964</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45964</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68792-2021</t>
        </is>
      </c>
      <c r="B488" s="1" t="n">
        <v>44529.94640046296</v>
      </c>
      <c r="C488" s="1" t="n">
        <v>45964</v>
      </c>
      <c r="D488" t="inlineStr">
        <is>
          <t>VÄSTERNORRLANDS LÄN</t>
        </is>
      </c>
      <c r="E488" t="inlineStr">
        <is>
          <t>SOLLEFTEÅ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65401-2020</t>
        </is>
      </c>
      <c r="B489" s="1" t="n">
        <v>44169</v>
      </c>
      <c r="C489" s="1" t="n">
        <v>45964</v>
      </c>
      <c r="D489" t="inlineStr">
        <is>
          <t>VÄSTERNORRLANDS LÄN</t>
        </is>
      </c>
      <c r="E489" t="inlineStr">
        <is>
          <t>SOLLEFTEÅ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23034-2021</t>
        </is>
      </c>
      <c r="B490" s="1" t="n">
        <v>44328.94113425926</v>
      </c>
      <c r="C490" s="1" t="n">
        <v>45964</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45964</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45964</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69436-2020</t>
        </is>
      </c>
      <c r="B493" s="1" t="n">
        <v>44193</v>
      </c>
      <c r="C493" s="1" t="n">
        <v>45964</v>
      </c>
      <c r="D493" t="inlineStr">
        <is>
          <t>VÄSTERNORRLANDS LÄN</t>
        </is>
      </c>
      <c r="E493" t="inlineStr">
        <is>
          <t>SOLLEFTEÅ</t>
        </is>
      </c>
      <c r="G493" t="n">
        <v>4.9</v>
      </c>
      <c r="H493" t="n">
        <v>0</v>
      </c>
      <c r="I493" t="n">
        <v>0</v>
      </c>
      <c r="J493" t="n">
        <v>0</v>
      </c>
      <c r="K493" t="n">
        <v>0</v>
      </c>
      <c r="L493" t="n">
        <v>0</v>
      </c>
      <c r="M493" t="n">
        <v>0</v>
      </c>
      <c r="N493" t="n">
        <v>0</v>
      </c>
      <c r="O493" t="n">
        <v>0</v>
      </c>
      <c r="P493" t="n">
        <v>0</v>
      </c>
      <c r="Q493" t="n">
        <v>0</v>
      </c>
      <c r="R493" s="2" t="inlineStr"/>
    </row>
    <row r="494" ht="15" customHeight="1">
      <c r="A494" t="inlineStr">
        <is>
          <t>A 30039-2022</t>
        </is>
      </c>
      <c r="B494" s="1" t="n">
        <v>44756.94572916667</v>
      </c>
      <c r="C494" s="1" t="n">
        <v>45964</v>
      </c>
      <c r="D494" t="inlineStr">
        <is>
          <t>VÄSTERNORRLANDS LÄN</t>
        </is>
      </c>
      <c r="E494" t="inlineStr">
        <is>
          <t>SOLLEFTEÅ</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58755-2021</t>
        </is>
      </c>
      <c r="B495" s="1" t="n">
        <v>44489</v>
      </c>
      <c r="C495" s="1" t="n">
        <v>45964</v>
      </c>
      <c r="D495" t="inlineStr">
        <is>
          <t>VÄSTERNORRLANDS LÄN</t>
        </is>
      </c>
      <c r="E495" t="inlineStr">
        <is>
          <t>SOLLEFTEÅ</t>
        </is>
      </c>
      <c r="G495" t="n">
        <v>12.2</v>
      </c>
      <c r="H495" t="n">
        <v>0</v>
      </c>
      <c r="I495" t="n">
        <v>0</v>
      </c>
      <c r="J495" t="n">
        <v>0</v>
      </c>
      <c r="K495" t="n">
        <v>0</v>
      </c>
      <c r="L495" t="n">
        <v>0</v>
      </c>
      <c r="M495" t="n">
        <v>0</v>
      </c>
      <c r="N495" t="n">
        <v>0</v>
      </c>
      <c r="O495" t="n">
        <v>0</v>
      </c>
      <c r="P495" t="n">
        <v>0</v>
      </c>
      <c r="Q495" t="n">
        <v>0</v>
      </c>
      <c r="R495" s="2" t="inlineStr"/>
    </row>
    <row r="496" ht="15" customHeight="1">
      <c r="A496" t="inlineStr">
        <is>
          <t>A 32091-2021</t>
        </is>
      </c>
      <c r="B496" s="1" t="n">
        <v>44370</v>
      </c>
      <c r="C496" s="1" t="n">
        <v>45964</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61424-2021</t>
        </is>
      </c>
      <c r="B497" s="1" t="n">
        <v>44500.93637731481</v>
      </c>
      <c r="C497" s="1" t="n">
        <v>45964</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67602-2020</t>
        </is>
      </c>
      <c r="B498" s="1" t="n">
        <v>44181</v>
      </c>
      <c r="C498" s="1" t="n">
        <v>45964</v>
      </c>
      <c r="D498" t="inlineStr">
        <is>
          <t>VÄSTERNORRLANDS LÄN</t>
        </is>
      </c>
      <c r="E498" t="inlineStr">
        <is>
          <t>SOLLEFTEÅ</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40539-2021</t>
        </is>
      </c>
      <c r="B499" s="1" t="n">
        <v>44420</v>
      </c>
      <c r="C499" s="1" t="n">
        <v>45964</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68016-2020</t>
        </is>
      </c>
      <c r="B500" s="1" t="n">
        <v>44182</v>
      </c>
      <c r="C500" s="1" t="n">
        <v>45964</v>
      </c>
      <c r="D500" t="inlineStr">
        <is>
          <t>VÄSTERNORRLANDS LÄN</t>
        </is>
      </c>
      <c r="E500" t="inlineStr">
        <is>
          <t>SOLLEFTEÅ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12758-2022</t>
        </is>
      </c>
      <c r="B501" s="1" t="n">
        <v>44641</v>
      </c>
      <c r="C501" s="1" t="n">
        <v>45964</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58381-2020</t>
        </is>
      </c>
      <c r="B502" s="1" t="n">
        <v>44145</v>
      </c>
      <c r="C502" s="1" t="n">
        <v>45964</v>
      </c>
      <c r="D502" t="inlineStr">
        <is>
          <t>VÄSTERNORRLANDS LÄN</t>
        </is>
      </c>
      <c r="E502" t="inlineStr">
        <is>
          <t>SOLLEFTEÅ</t>
        </is>
      </c>
      <c r="G502" t="n">
        <v>2.3</v>
      </c>
      <c r="H502" t="n">
        <v>0</v>
      </c>
      <c r="I502" t="n">
        <v>0</v>
      </c>
      <c r="J502" t="n">
        <v>0</v>
      </c>
      <c r="K502" t="n">
        <v>0</v>
      </c>
      <c r="L502" t="n">
        <v>0</v>
      </c>
      <c r="M502" t="n">
        <v>0</v>
      </c>
      <c r="N502" t="n">
        <v>0</v>
      </c>
      <c r="O502" t="n">
        <v>0</v>
      </c>
      <c r="P502" t="n">
        <v>0</v>
      </c>
      <c r="Q502" t="n">
        <v>0</v>
      </c>
      <c r="R502" s="2" t="inlineStr"/>
    </row>
    <row r="503" ht="15" customHeight="1">
      <c r="A503" t="inlineStr">
        <is>
          <t>A 25295-2022</t>
        </is>
      </c>
      <c r="B503" s="1" t="n">
        <v>44730.94094907407</v>
      </c>
      <c r="C503" s="1" t="n">
        <v>45964</v>
      </c>
      <c r="D503" t="inlineStr">
        <is>
          <t>VÄSTERNORRLANDS LÄN</t>
        </is>
      </c>
      <c r="E503" t="inlineStr">
        <is>
          <t>SOLLEFTEÅ</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42634-2022</t>
        </is>
      </c>
      <c r="B504" s="1" t="n">
        <v>44831.94565972222</v>
      </c>
      <c r="C504" s="1" t="n">
        <v>45964</v>
      </c>
      <c r="D504" t="inlineStr">
        <is>
          <t>VÄSTERNORRLANDS LÄN</t>
        </is>
      </c>
      <c r="E504" t="inlineStr">
        <is>
          <t>SOLLEFTEÅ</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14065-2022</t>
        </is>
      </c>
      <c r="B505" s="1" t="n">
        <v>44650</v>
      </c>
      <c r="C505" s="1" t="n">
        <v>45964</v>
      </c>
      <c r="D505" t="inlineStr">
        <is>
          <t>VÄSTERNORRLANDS LÄN</t>
        </is>
      </c>
      <c r="E505" t="inlineStr">
        <is>
          <t>SOLLEFTEÅ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45964</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45964</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12568-2022</t>
        </is>
      </c>
      <c r="B508" s="1" t="n">
        <v>44638.94277777777</v>
      </c>
      <c r="C508" s="1" t="n">
        <v>45964</v>
      </c>
      <c r="D508" t="inlineStr">
        <is>
          <t>VÄSTERNORRLANDS LÄN</t>
        </is>
      </c>
      <c r="E508" t="inlineStr">
        <is>
          <t>SOLLEFTEÅ</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40608-2022</t>
        </is>
      </c>
      <c r="B509" s="1" t="n">
        <v>44823.94972222222</v>
      </c>
      <c r="C509" s="1" t="n">
        <v>45964</v>
      </c>
      <c r="D509" t="inlineStr">
        <is>
          <t>VÄSTERNORRLANDS LÄN</t>
        </is>
      </c>
      <c r="E509" t="inlineStr">
        <is>
          <t>SOLLEFTEÅ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45964</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45964</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54573-2022</t>
        </is>
      </c>
      <c r="B512" s="1" t="n">
        <v>44882.95532407407</v>
      </c>
      <c r="C512" s="1" t="n">
        <v>45964</v>
      </c>
      <c r="D512" t="inlineStr">
        <is>
          <t>VÄSTERNORRLANDS LÄN</t>
        </is>
      </c>
      <c r="E512" t="inlineStr">
        <is>
          <t>SOLLEFTEÅ</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36579-2021</t>
        </is>
      </c>
      <c r="B513" s="1" t="n">
        <v>44391.59509259259</v>
      </c>
      <c r="C513" s="1" t="n">
        <v>45964</v>
      </c>
      <c r="D513" t="inlineStr">
        <is>
          <t>VÄSTERNORRLANDS LÄN</t>
        </is>
      </c>
      <c r="E513" t="inlineStr">
        <is>
          <t>SOLLEFTEÅ</t>
        </is>
      </c>
      <c r="G513" t="n">
        <v>6.9</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45964</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45964</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50656-2022</t>
        </is>
      </c>
      <c r="B516" s="1" t="n">
        <v>44866</v>
      </c>
      <c r="C516" s="1" t="n">
        <v>45964</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47268-2022</t>
        </is>
      </c>
      <c r="B517" s="1" t="n">
        <v>44852.94989583334</v>
      </c>
      <c r="C517" s="1" t="n">
        <v>45964</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45964</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51020-2021</t>
        </is>
      </c>
      <c r="B519" s="1" t="n">
        <v>44460</v>
      </c>
      <c r="C519" s="1" t="n">
        <v>45964</v>
      </c>
      <c r="D519" t="inlineStr">
        <is>
          <t>VÄSTERNORRLANDS LÄN</t>
        </is>
      </c>
      <c r="E519" t="inlineStr">
        <is>
          <t>SOLLEFTEÅ</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58688-2021</t>
        </is>
      </c>
      <c r="B520" s="1" t="n">
        <v>44489</v>
      </c>
      <c r="C520" s="1" t="n">
        <v>45964</v>
      </c>
      <c r="D520" t="inlineStr">
        <is>
          <t>VÄSTERNORRLANDS LÄN</t>
        </is>
      </c>
      <c r="E520" t="inlineStr">
        <is>
          <t>SOLLEFTEÅ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45964</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19414-2022</t>
        </is>
      </c>
      <c r="B522" s="1" t="n">
        <v>44693</v>
      </c>
      <c r="C522" s="1" t="n">
        <v>45964</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26498-2021</t>
        </is>
      </c>
      <c r="B523" s="1" t="n">
        <v>44348</v>
      </c>
      <c r="C523" s="1" t="n">
        <v>45964</v>
      </c>
      <c r="D523" t="inlineStr">
        <is>
          <t>VÄSTERNORRLANDS LÄN</t>
        </is>
      </c>
      <c r="E523" t="inlineStr">
        <is>
          <t>SOLLEFTEÅ</t>
        </is>
      </c>
      <c r="G523" t="n">
        <v>7.8</v>
      </c>
      <c r="H523" t="n">
        <v>0</v>
      </c>
      <c r="I523" t="n">
        <v>0</v>
      </c>
      <c r="J523" t="n">
        <v>0</v>
      </c>
      <c r="K523" t="n">
        <v>0</v>
      </c>
      <c r="L523" t="n">
        <v>0</v>
      </c>
      <c r="M523" t="n">
        <v>0</v>
      </c>
      <c r="N523" t="n">
        <v>0</v>
      </c>
      <c r="O523" t="n">
        <v>0</v>
      </c>
      <c r="P523" t="n">
        <v>0</v>
      </c>
      <c r="Q523" t="n">
        <v>0</v>
      </c>
      <c r="R523" s="2" t="inlineStr"/>
    </row>
    <row r="524" ht="15" customHeight="1">
      <c r="A524" t="inlineStr">
        <is>
          <t>A 58573-2021</t>
        </is>
      </c>
      <c r="B524" s="1" t="n">
        <v>44488</v>
      </c>
      <c r="C524" s="1" t="n">
        <v>45964</v>
      </c>
      <c r="D524" t="inlineStr">
        <is>
          <t>VÄSTERNORRLANDS LÄN</t>
        </is>
      </c>
      <c r="E524" t="inlineStr">
        <is>
          <t>SOLLEFTEÅ</t>
        </is>
      </c>
      <c r="G524" t="n">
        <v>0.3</v>
      </c>
      <c r="H524" t="n">
        <v>0</v>
      </c>
      <c r="I524" t="n">
        <v>0</v>
      </c>
      <c r="J524" t="n">
        <v>0</v>
      </c>
      <c r="K524" t="n">
        <v>0</v>
      </c>
      <c r="L524" t="n">
        <v>0</v>
      </c>
      <c r="M524" t="n">
        <v>0</v>
      </c>
      <c r="N524" t="n">
        <v>0</v>
      </c>
      <c r="O524" t="n">
        <v>0</v>
      </c>
      <c r="P524" t="n">
        <v>0</v>
      </c>
      <c r="Q524" t="n">
        <v>0</v>
      </c>
      <c r="R524" s="2" t="inlineStr"/>
    </row>
    <row r="525" ht="15" customHeight="1">
      <c r="A525" t="inlineStr">
        <is>
          <t>A 21715-2022</t>
        </is>
      </c>
      <c r="B525" s="1" t="n">
        <v>44707.94020833333</v>
      </c>
      <c r="C525" s="1" t="n">
        <v>45964</v>
      </c>
      <c r="D525" t="inlineStr">
        <is>
          <t>VÄSTERNORRLANDS LÄN</t>
        </is>
      </c>
      <c r="E525" t="inlineStr">
        <is>
          <t>SOLLEFTEÅ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43766-2022</t>
        </is>
      </c>
      <c r="B526" s="1" t="n">
        <v>44837.92642361111</v>
      </c>
      <c r="C526" s="1" t="n">
        <v>45964</v>
      </c>
      <c r="D526" t="inlineStr">
        <is>
          <t>VÄSTERNORRLANDS LÄN</t>
        </is>
      </c>
      <c r="E526" t="inlineStr">
        <is>
          <t>SOLLEFTEÅ</t>
        </is>
      </c>
      <c r="F526" t="inlineStr">
        <is>
          <t>Kyrkan</t>
        </is>
      </c>
      <c r="G526" t="n">
        <v>0.7</v>
      </c>
      <c r="H526" t="n">
        <v>0</v>
      </c>
      <c r="I526" t="n">
        <v>0</v>
      </c>
      <c r="J526" t="n">
        <v>0</v>
      </c>
      <c r="K526" t="n">
        <v>0</v>
      </c>
      <c r="L526" t="n">
        <v>0</v>
      </c>
      <c r="M526" t="n">
        <v>0</v>
      </c>
      <c r="N526" t="n">
        <v>0</v>
      </c>
      <c r="O526" t="n">
        <v>0</v>
      </c>
      <c r="P526" t="n">
        <v>0</v>
      </c>
      <c r="Q526" t="n">
        <v>0</v>
      </c>
      <c r="R526" s="2" t="inlineStr"/>
    </row>
    <row r="527" ht="15" customHeight="1">
      <c r="A527" t="inlineStr">
        <is>
          <t>A 16088-2022</t>
        </is>
      </c>
      <c r="B527" s="1" t="n">
        <v>44665</v>
      </c>
      <c r="C527" s="1" t="n">
        <v>45964</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30237-2022</t>
        </is>
      </c>
      <c r="B528" s="1" t="n">
        <v>44757.94412037037</v>
      </c>
      <c r="C528" s="1" t="n">
        <v>45964</v>
      </c>
      <c r="D528" t="inlineStr">
        <is>
          <t>VÄSTERNORRLANDS LÄN</t>
        </is>
      </c>
      <c r="E528" t="inlineStr">
        <is>
          <t>SOLLEFTEÅ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51317-2022</t>
        </is>
      </c>
      <c r="B529" s="1" t="n">
        <v>44868</v>
      </c>
      <c r="C529" s="1" t="n">
        <v>45964</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24008-2022</t>
        </is>
      </c>
      <c r="B530" s="1" t="n">
        <v>44722.94112268519</v>
      </c>
      <c r="C530" s="1" t="n">
        <v>45964</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11653-2022</t>
        </is>
      </c>
      <c r="B531" s="1" t="n">
        <v>44631</v>
      </c>
      <c r="C531" s="1" t="n">
        <v>45964</v>
      </c>
      <c r="D531" t="inlineStr">
        <is>
          <t>VÄSTERNORRLANDS LÄN</t>
        </is>
      </c>
      <c r="E531" t="inlineStr">
        <is>
          <t>SOLLEFTEÅ</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14061-2022</t>
        </is>
      </c>
      <c r="B532" s="1" t="n">
        <v>44650.94005787037</v>
      </c>
      <c r="C532" s="1" t="n">
        <v>45964</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14302-2022</t>
        </is>
      </c>
      <c r="B533" s="1" t="n">
        <v>44651</v>
      </c>
      <c r="C533" s="1" t="n">
        <v>45964</v>
      </c>
      <c r="D533" t="inlineStr">
        <is>
          <t>VÄSTERNORRLANDS LÄN</t>
        </is>
      </c>
      <c r="E533" t="inlineStr">
        <is>
          <t>SOLLEFTEÅ</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44042-2022</t>
        </is>
      </c>
      <c r="B534" s="1" t="n">
        <v>44838.94877314815</v>
      </c>
      <c r="C534" s="1" t="n">
        <v>45964</v>
      </c>
      <c r="D534" t="inlineStr">
        <is>
          <t>VÄSTERNORRLANDS LÄN</t>
        </is>
      </c>
      <c r="E534" t="inlineStr">
        <is>
          <t>SOLLEFTEÅ</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28700-2022</t>
        </is>
      </c>
      <c r="B535" s="1" t="n">
        <v>44748</v>
      </c>
      <c r="C535" s="1" t="n">
        <v>45964</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48240-2022</t>
        </is>
      </c>
      <c r="B536" s="1" t="n">
        <v>44858</v>
      </c>
      <c r="C536" s="1" t="n">
        <v>45964</v>
      </c>
      <c r="D536" t="inlineStr">
        <is>
          <t>VÄSTERNORRLANDS LÄN</t>
        </is>
      </c>
      <c r="E536" t="inlineStr">
        <is>
          <t>SOLLEFTEÅ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54249-2022</t>
        </is>
      </c>
      <c r="B537" s="1" t="n">
        <v>44881.95111111111</v>
      </c>
      <c r="C537" s="1" t="n">
        <v>45964</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27082-2022</t>
        </is>
      </c>
      <c r="B538" s="1" t="n">
        <v>44741</v>
      </c>
      <c r="C538" s="1" t="n">
        <v>45964</v>
      </c>
      <c r="D538" t="inlineStr">
        <is>
          <t>VÄSTERNORRLANDS LÄN</t>
        </is>
      </c>
      <c r="E538" t="inlineStr">
        <is>
          <t>SOLLEFTEÅ</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46058-2021</t>
        </is>
      </c>
      <c r="B539" s="1" t="n">
        <v>44441.94364583334</v>
      </c>
      <c r="C539" s="1" t="n">
        <v>45964</v>
      </c>
      <c r="D539" t="inlineStr">
        <is>
          <t>VÄSTERNORRLANDS LÄN</t>
        </is>
      </c>
      <c r="E539" t="inlineStr">
        <is>
          <t>SOLLEFTEÅ</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39943-2022</t>
        </is>
      </c>
      <c r="B540" s="1" t="n">
        <v>44819.94916666667</v>
      </c>
      <c r="C540" s="1" t="n">
        <v>45964</v>
      </c>
      <c r="D540" t="inlineStr">
        <is>
          <t>VÄSTERNORRLANDS LÄN</t>
        </is>
      </c>
      <c r="E540" t="inlineStr">
        <is>
          <t>SOLLEFTEÅ</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24720-2021</t>
        </is>
      </c>
      <c r="B541" s="1" t="n">
        <v>44340</v>
      </c>
      <c r="C541" s="1" t="n">
        <v>45964</v>
      </c>
      <c r="D541" t="inlineStr">
        <is>
          <t>VÄSTERNORRLANDS LÄN</t>
        </is>
      </c>
      <c r="E541" t="inlineStr">
        <is>
          <t>SOLLEFTEÅ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30013-2022</t>
        </is>
      </c>
      <c r="B542" s="1" t="n">
        <v>44756</v>
      </c>
      <c r="C542" s="1" t="n">
        <v>45964</v>
      </c>
      <c r="D542" t="inlineStr">
        <is>
          <t>VÄSTERNORRLANDS LÄN</t>
        </is>
      </c>
      <c r="E542" t="inlineStr">
        <is>
          <t>SOLLEFTEÅ</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30041-2022</t>
        </is>
      </c>
      <c r="B543" s="1" t="n">
        <v>44756</v>
      </c>
      <c r="C543" s="1" t="n">
        <v>45964</v>
      </c>
      <c r="D543" t="inlineStr">
        <is>
          <t>VÄSTERNORRLANDS LÄN</t>
        </is>
      </c>
      <c r="E543" t="inlineStr">
        <is>
          <t>SOLLEFTEÅ</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45964</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67822-2021</t>
        </is>
      </c>
      <c r="B545" s="1" t="n">
        <v>44525.45137731481</v>
      </c>
      <c r="C545" s="1" t="n">
        <v>45964</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15974-2022</t>
        </is>
      </c>
      <c r="B546" s="1" t="n">
        <v>44664.94778935185</v>
      </c>
      <c r="C546" s="1" t="n">
        <v>45964</v>
      </c>
      <c r="D546" t="inlineStr">
        <is>
          <t>VÄSTERNORRLANDS LÄN</t>
        </is>
      </c>
      <c r="E546" t="inlineStr">
        <is>
          <t>SOLLEFTEÅ</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29294-2022</t>
        </is>
      </c>
      <c r="B547" s="1" t="n">
        <v>44750.9431712963</v>
      </c>
      <c r="C547" s="1" t="n">
        <v>45964</v>
      </c>
      <c r="D547" t="inlineStr">
        <is>
          <t>VÄSTERNORRLANDS LÄN</t>
        </is>
      </c>
      <c r="E547" t="inlineStr">
        <is>
          <t>SOLLEFTEÅ</t>
        </is>
      </c>
      <c r="F547" t="inlineStr">
        <is>
          <t>SCA</t>
        </is>
      </c>
      <c r="G547" t="n">
        <v>6.7</v>
      </c>
      <c r="H547" t="n">
        <v>0</v>
      </c>
      <c r="I547" t="n">
        <v>0</v>
      </c>
      <c r="J547" t="n">
        <v>0</v>
      </c>
      <c r="K547" t="n">
        <v>0</v>
      </c>
      <c r="L547" t="n">
        <v>0</v>
      </c>
      <c r="M547" t="n">
        <v>0</v>
      </c>
      <c r="N547" t="n">
        <v>0</v>
      </c>
      <c r="O547" t="n">
        <v>0</v>
      </c>
      <c r="P547" t="n">
        <v>0</v>
      </c>
      <c r="Q547" t="n">
        <v>0</v>
      </c>
      <c r="R547" s="2" t="inlineStr"/>
    </row>
    <row r="548" ht="15" customHeight="1">
      <c r="A548" t="inlineStr">
        <is>
          <t>A 24734-2022</t>
        </is>
      </c>
      <c r="B548" s="1" t="n">
        <v>44727.94329861111</v>
      </c>
      <c r="C548" s="1" t="n">
        <v>45964</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38430-2022</t>
        </is>
      </c>
      <c r="B549" s="1" t="n">
        <v>44812</v>
      </c>
      <c r="C549" s="1" t="n">
        <v>45964</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73566-2021</t>
        </is>
      </c>
      <c r="B550" s="1" t="n">
        <v>44551.94106481481</v>
      </c>
      <c r="C550" s="1" t="n">
        <v>45964</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42303-2022</t>
        </is>
      </c>
      <c r="B551" s="1" t="n">
        <v>44830.95473379629</v>
      </c>
      <c r="C551" s="1" t="n">
        <v>45964</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22224-2021</t>
        </is>
      </c>
      <c r="B552" s="1" t="n">
        <v>44326</v>
      </c>
      <c r="C552" s="1" t="n">
        <v>45964</v>
      </c>
      <c r="D552" t="inlineStr">
        <is>
          <t>VÄSTERNORRLANDS LÄN</t>
        </is>
      </c>
      <c r="E552" t="inlineStr">
        <is>
          <t>SOLLEFTEÅ</t>
        </is>
      </c>
      <c r="F552" t="inlineStr">
        <is>
          <t>Kommuner</t>
        </is>
      </c>
      <c r="G552" t="n">
        <v>2.3</v>
      </c>
      <c r="H552" t="n">
        <v>0</v>
      </c>
      <c r="I552" t="n">
        <v>0</v>
      </c>
      <c r="J552" t="n">
        <v>0</v>
      </c>
      <c r="K552" t="n">
        <v>0</v>
      </c>
      <c r="L552" t="n">
        <v>0</v>
      </c>
      <c r="M552" t="n">
        <v>0</v>
      </c>
      <c r="N552" t="n">
        <v>0</v>
      </c>
      <c r="O552" t="n">
        <v>0</v>
      </c>
      <c r="P552" t="n">
        <v>0</v>
      </c>
      <c r="Q552" t="n">
        <v>0</v>
      </c>
      <c r="R552" s="2" t="inlineStr"/>
    </row>
    <row r="553" ht="15" customHeight="1">
      <c r="A553" t="inlineStr">
        <is>
          <t>A 39944-2022</t>
        </is>
      </c>
      <c r="B553" s="1" t="n">
        <v>44819</v>
      </c>
      <c r="C553" s="1" t="n">
        <v>45964</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26415-2022</t>
        </is>
      </c>
      <c r="B554" s="1" t="n">
        <v>44735</v>
      </c>
      <c r="C554" s="1" t="n">
        <v>45964</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59309-2021</t>
        </is>
      </c>
      <c r="B555" s="1" t="n">
        <v>44490.93883101852</v>
      </c>
      <c r="C555" s="1" t="n">
        <v>45964</v>
      </c>
      <c r="D555" t="inlineStr">
        <is>
          <t>VÄSTERNORRLANDS LÄN</t>
        </is>
      </c>
      <c r="E555" t="inlineStr">
        <is>
          <t>SOLLEFTEÅ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73886-2021</t>
        </is>
      </c>
      <c r="B556" s="1" t="n">
        <v>44553</v>
      </c>
      <c r="C556" s="1" t="n">
        <v>45964</v>
      </c>
      <c r="D556" t="inlineStr">
        <is>
          <t>VÄSTERNORRLANDS LÄN</t>
        </is>
      </c>
      <c r="E556" t="inlineStr">
        <is>
          <t>SOLLEFTEÅ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30936-2022</t>
        </is>
      </c>
      <c r="B557" s="1" t="n">
        <v>44767.94028935185</v>
      </c>
      <c r="C557" s="1" t="n">
        <v>45964</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3549-2022</t>
        </is>
      </c>
      <c r="B558" s="1" t="n">
        <v>44585</v>
      </c>
      <c r="C558" s="1" t="n">
        <v>45964</v>
      </c>
      <c r="D558" t="inlineStr">
        <is>
          <t>VÄSTERNORRLANDS LÄN</t>
        </is>
      </c>
      <c r="E558" t="inlineStr">
        <is>
          <t>SOLLEFTEÅ</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38095-2022</t>
        </is>
      </c>
      <c r="B559" s="1" t="n">
        <v>44811</v>
      </c>
      <c r="C559" s="1" t="n">
        <v>45964</v>
      </c>
      <c r="D559" t="inlineStr">
        <is>
          <t>VÄSTERNORRLANDS LÄN</t>
        </is>
      </c>
      <c r="E559" t="inlineStr">
        <is>
          <t>SOLLEFTEÅ</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41196-2022</t>
        </is>
      </c>
      <c r="B560" s="1" t="n">
        <v>44825.94994212963</v>
      </c>
      <c r="C560" s="1" t="n">
        <v>45964</v>
      </c>
      <c r="D560" t="inlineStr">
        <is>
          <t>VÄSTERNORRLANDS LÄN</t>
        </is>
      </c>
      <c r="E560" t="inlineStr">
        <is>
          <t>SOLLEFTEÅ</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3551-2022</t>
        </is>
      </c>
      <c r="B561" s="1" t="n">
        <v>44585.93800925926</v>
      </c>
      <c r="C561" s="1" t="n">
        <v>45964</v>
      </c>
      <c r="D561" t="inlineStr">
        <is>
          <t>VÄSTERNORRLANDS LÄN</t>
        </is>
      </c>
      <c r="E561" t="inlineStr">
        <is>
          <t>SOLLEFTEÅ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35574-2021</t>
        </is>
      </c>
      <c r="B562" s="1" t="n">
        <v>44385.93663194445</v>
      </c>
      <c r="C562" s="1" t="n">
        <v>45964</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68656-2020</t>
        </is>
      </c>
      <c r="B563" s="1" t="n">
        <v>44186</v>
      </c>
      <c r="C563" s="1" t="n">
        <v>45964</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53012-2022</t>
        </is>
      </c>
      <c r="B564" s="1" t="n">
        <v>44875.95450231482</v>
      </c>
      <c r="C564" s="1" t="n">
        <v>45964</v>
      </c>
      <c r="D564" t="inlineStr">
        <is>
          <t>VÄSTERNORRLANDS LÄN</t>
        </is>
      </c>
      <c r="E564" t="inlineStr">
        <is>
          <t>SOLLEFTEÅ</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10308-2022</t>
        </is>
      </c>
      <c r="B565" s="1" t="n">
        <v>44622</v>
      </c>
      <c r="C565" s="1" t="n">
        <v>45964</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10311-2022</t>
        </is>
      </c>
      <c r="B566" s="1" t="n">
        <v>44622.94049768519</v>
      </c>
      <c r="C566" s="1" t="n">
        <v>45964</v>
      </c>
      <c r="D566" t="inlineStr">
        <is>
          <t>VÄSTERNORRLANDS LÄN</t>
        </is>
      </c>
      <c r="E566" t="inlineStr">
        <is>
          <t>SOLLEFTEÅ</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576-2022</t>
        </is>
      </c>
      <c r="B567" s="1" t="n">
        <v>44566.92086805555</v>
      </c>
      <c r="C567" s="1" t="n">
        <v>45964</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10141-2022</t>
        </is>
      </c>
      <c r="B568" s="1" t="n">
        <v>44621</v>
      </c>
      <c r="C568" s="1" t="n">
        <v>45964</v>
      </c>
      <c r="D568" t="inlineStr">
        <is>
          <t>VÄSTERNORRLANDS LÄN</t>
        </is>
      </c>
      <c r="E568" t="inlineStr">
        <is>
          <t>SOLLEFTEÅ</t>
        </is>
      </c>
      <c r="F568" t="inlineStr">
        <is>
          <t>SCA</t>
        </is>
      </c>
      <c r="G568" t="n">
        <v>15.5</v>
      </c>
      <c r="H568" t="n">
        <v>0</v>
      </c>
      <c r="I568" t="n">
        <v>0</v>
      </c>
      <c r="J568" t="n">
        <v>0</v>
      </c>
      <c r="K568" t="n">
        <v>0</v>
      </c>
      <c r="L568" t="n">
        <v>0</v>
      </c>
      <c r="M568" t="n">
        <v>0</v>
      </c>
      <c r="N568" t="n">
        <v>0</v>
      </c>
      <c r="O568" t="n">
        <v>0</v>
      </c>
      <c r="P568" t="n">
        <v>0</v>
      </c>
      <c r="Q568" t="n">
        <v>0</v>
      </c>
      <c r="R568" s="2" t="inlineStr"/>
    </row>
    <row r="569" ht="15" customHeight="1">
      <c r="A569" t="inlineStr">
        <is>
          <t>A 10198-2022</t>
        </is>
      </c>
      <c r="B569" s="1" t="n">
        <v>44622.44116898148</v>
      </c>
      <c r="C569" s="1" t="n">
        <v>45964</v>
      </c>
      <c r="D569" t="inlineStr">
        <is>
          <t>VÄSTERNORRLANDS LÄN</t>
        </is>
      </c>
      <c r="E569" t="inlineStr">
        <is>
          <t>SOLLEFTEÅ</t>
        </is>
      </c>
      <c r="G569" t="n">
        <v>5.9</v>
      </c>
      <c r="H569" t="n">
        <v>0</v>
      </c>
      <c r="I569" t="n">
        <v>0</v>
      </c>
      <c r="J569" t="n">
        <v>0</v>
      </c>
      <c r="K569" t="n">
        <v>0</v>
      </c>
      <c r="L569" t="n">
        <v>0</v>
      </c>
      <c r="M569" t="n">
        <v>0</v>
      </c>
      <c r="N569" t="n">
        <v>0</v>
      </c>
      <c r="O569" t="n">
        <v>0</v>
      </c>
      <c r="P569" t="n">
        <v>0</v>
      </c>
      <c r="Q569" t="n">
        <v>0</v>
      </c>
      <c r="R569" s="2" t="inlineStr"/>
    </row>
    <row r="570" ht="15" customHeight="1">
      <c r="A570" t="inlineStr">
        <is>
          <t>A 10309-2022</t>
        </is>
      </c>
      <c r="B570" s="1" t="n">
        <v>44622</v>
      </c>
      <c r="C570" s="1" t="n">
        <v>45964</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10310-2022</t>
        </is>
      </c>
      <c r="B571" s="1" t="n">
        <v>44622.94043981482</v>
      </c>
      <c r="C571" s="1" t="n">
        <v>45964</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61943-2020</t>
        </is>
      </c>
      <c r="B572" s="1" t="n">
        <v>44155</v>
      </c>
      <c r="C572" s="1" t="n">
        <v>45964</v>
      </c>
      <c r="D572" t="inlineStr">
        <is>
          <t>VÄSTERNORRLANDS LÄN</t>
        </is>
      </c>
      <c r="E572" t="inlineStr">
        <is>
          <t>SOLLEFTEÅ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272-2021</t>
        </is>
      </c>
      <c r="B573" s="1" t="n">
        <v>44200</v>
      </c>
      <c r="C573" s="1" t="n">
        <v>45964</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45964</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16419-2022</t>
        </is>
      </c>
      <c r="B575" s="1" t="n">
        <v>44671</v>
      </c>
      <c r="C575" s="1" t="n">
        <v>45964</v>
      </c>
      <c r="D575" t="inlineStr">
        <is>
          <t>VÄSTERNORRLANDS LÄN</t>
        </is>
      </c>
      <c r="E575" t="inlineStr">
        <is>
          <t>SOLLEFTEÅ</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59343-2021</t>
        </is>
      </c>
      <c r="B576" s="1" t="n">
        <v>44490</v>
      </c>
      <c r="C576" s="1" t="n">
        <v>45964</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37826-2022</t>
        </is>
      </c>
      <c r="B577" s="1" t="n">
        <v>44810.94175925926</v>
      </c>
      <c r="C577" s="1" t="n">
        <v>45964</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45964</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16083-2022</t>
        </is>
      </c>
      <c r="B579" s="1" t="n">
        <v>44665</v>
      </c>
      <c r="C579" s="1" t="n">
        <v>45964</v>
      </c>
      <c r="D579" t="inlineStr">
        <is>
          <t>VÄSTERNORRLANDS LÄN</t>
        </is>
      </c>
      <c r="E579" t="inlineStr">
        <is>
          <t>SOLLEFTEÅ</t>
        </is>
      </c>
      <c r="F579" t="inlineStr">
        <is>
          <t>Holmen skog AB</t>
        </is>
      </c>
      <c r="G579" t="n">
        <v>6.8</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45964</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24735-2022</t>
        </is>
      </c>
      <c r="B581" s="1" t="n">
        <v>44727.94346064814</v>
      </c>
      <c r="C581" s="1" t="n">
        <v>45964</v>
      </c>
      <c r="D581" t="inlineStr">
        <is>
          <t>VÄSTERNORRLANDS LÄN</t>
        </is>
      </c>
      <c r="E581" t="inlineStr">
        <is>
          <t>SOLLEFTEÅ</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33077-2022</t>
        </is>
      </c>
      <c r="B582" s="1" t="n">
        <v>44785</v>
      </c>
      <c r="C582" s="1" t="n">
        <v>45964</v>
      </c>
      <c r="D582" t="inlineStr">
        <is>
          <t>VÄSTERNORRLANDS LÄN</t>
        </is>
      </c>
      <c r="E582" t="inlineStr">
        <is>
          <t>SOLLEFTEÅ</t>
        </is>
      </c>
      <c r="G582" t="n">
        <v>0.2</v>
      </c>
      <c r="H582" t="n">
        <v>0</v>
      </c>
      <c r="I582" t="n">
        <v>0</v>
      </c>
      <c r="J582" t="n">
        <v>0</v>
      </c>
      <c r="K582" t="n">
        <v>0</v>
      </c>
      <c r="L582" t="n">
        <v>0</v>
      </c>
      <c r="M582" t="n">
        <v>0</v>
      </c>
      <c r="N582" t="n">
        <v>0</v>
      </c>
      <c r="O582" t="n">
        <v>0</v>
      </c>
      <c r="P582" t="n">
        <v>0</v>
      </c>
      <c r="Q582" t="n">
        <v>0</v>
      </c>
      <c r="R582" s="2" t="inlineStr"/>
    </row>
    <row r="583" ht="15" customHeight="1">
      <c r="A583" t="inlineStr">
        <is>
          <t>A 14477-2022</t>
        </is>
      </c>
      <c r="B583" s="1" t="n">
        <v>44654.93954861111</v>
      </c>
      <c r="C583" s="1" t="n">
        <v>45964</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58726-2021</t>
        </is>
      </c>
      <c r="B584" s="1" t="n">
        <v>44489</v>
      </c>
      <c r="C584" s="1" t="n">
        <v>45964</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14447-2022</t>
        </is>
      </c>
      <c r="B585" s="1" t="n">
        <v>44652.94510416667</v>
      </c>
      <c r="C585" s="1" t="n">
        <v>45964</v>
      </c>
      <c r="D585" t="inlineStr">
        <is>
          <t>VÄSTERNORRLANDS LÄN</t>
        </is>
      </c>
      <c r="E585" t="inlineStr">
        <is>
          <t>SOLLEFTEÅ</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45964</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27283-2022</t>
        </is>
      </c>
      <c r="B587" s="1" t="n">
        <v>44741.94023148148</v>
      </c>
      <c r="C587" s="1" t="n">
        <v>45964</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45964</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53289-2021</t>
        </is>
      </c>
      <c r="B589" s="1" t="n">
        <v>44467</v>
      </c>
      <c r="C589" s="1" t="n">
        <v>45964</v>
      </c>
      <c r="D589" t="inlineStr">
        <is>
          <t>VÄSTERNORRLANDS LÄN</t>
        </is>
      </c>
      <c r="E589" t="inlineStr">
        <is>
          <t>SOLLEFTEÅ</t>
        </is>
      </c>
      <c r="G589" t="n">
        <v>6.5</v>
      </c>
      <c r="H589" t="n">
        <v>0</v>
      </c>
      <c r="I589" t="n">
        <v>0</v>
      </c>
      <c r="J589" t="n">
        <v>0</v>
      </c>
      <c r="K589" t="n">
        <v>0</v>
      </c>
      <c r="L589" t="n">
        <v>0</v>
      </c>
      <c r="M589" t="n">
        <v>0</v>
      </c>
      <c r="N589" t="n">
        <v>0</v>
      </c>
      <c r="O589" t="n">
        <v>0</v>
      </c>
      <c r="P589" t="n">
        <v>0</v>
      </c>
      <c r="Q589" t="n">
        <v>0</v>
      </c>
      <c r="R589" s="2" t="inlineStr"/>
    </row>
    <row r="590" ht="15" customHeight="1">
      <c r="A590" t="inlineStr">
        <is>
          <t>A 21635-2022</t>
        </is>
      </c>
      <c r="B590" s="1" t="n">
        <v>44706.92628472222</v>
      </c>
      <c r="C590" s="1" t="n">
        <v>45964</v>
      </c>
      <c r="D590" t="inlineStr">
        <is>
          <t>VÄSTERNORRLANDS LÄN</t>
        </is>
      </c>
      <c r="E590" t="inlineStr">
        <is>
          <t>SOLLEFTEÅ</t>
        </is>
      </c>
      <c r="G590" t="n">
        <v>0.3</v>
      </c>
      <c r="H590" t="n">
        <v>0</v>
      </c>
      <c r="I590" t="n">
        <v>0</v>
      </c>
      <c r="J590" t="n">
        <v>0</v>
      </c>
      <c r="K590" t="n">
        <v>0</v>
      </c>
      <c r="L590" t="n">
        <v>0</v>
      </c>
      <c r="M590" t="n">
        <v>0</v>
      </c>
      <c r="N590" t="n">
        <v>0</v>
      </c>
      <c r="O590" t="n">
        <v>0</v>
      </c>
      <c r="P590" t="n">
        <v>0</v>
      </c>
      <c r="Q590" t="n">
        <v>0</v>
      </c>
      <c r="R590" s="2" t="inlineStr"/>
    </row>
    <row r="591" ht="15" customHeight="1">
      <c r="A591" t="inlineStr">
        <is>
          <t>A 11241-2022</t>
        </is>
      </c>
      <c r="B591" s="1" t="n">
        <v>44629</v>
      </c>
      <c r="C591" s="1" t="n">
        <v>45964</v>
      </c>
      <c r="D591" t="inlineStr">
        <is>
          <t>VÄSTERNORRLANDS LÄN</t>
        </is>
      </c>
      <c r="E591" t="inlineStr">
        <is>
          <t>SOLLEFTEÅ</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41474-2022</t>
        </is>
      </c>
      <c r="B592" s="1" t="n">
        <v>44826.94859953703</v>
      </c>
      <c r="C592" s="1" t="n">
        <v>45964</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26435-2022</t>
        </is>
      </c>
      <c r="B593" s="1" t="n">
        <v>44736.93902777778</v>
      </c>
      <c r="C593" s="1" t="n">
        <v>45964</v>
      </c>
      <c r="D593" t="inlineStr">
        <is>
          <t>VÄSTERNORRLANDS LÄN</t>
        </is>
      </c>
      <c r="E593" t="inlineStr">
        <is>
          <t>SOLLEFTEÅ</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61894-2020</t>
        </is>
      </c>
      <c r="B594" s="1" t="n">
        <v>44155</v>
      </c>
      <c r="C594" s="1" t="n">
        <v>45964</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41813-2022</t>
        </is>
      </c>
      <c r="B595" s="1" t="n">
        <v>44827.94520833333</v>
      </c>
      <c r="C595" s="1" t="n">
        <v>45964</v>
      </c>
      <c r="D595" t="inlineStr">
        <is>
          <t>VÄSTERNORRLANDS LÄN</t>
        </is>
      </c>
      <c r="E595" t="inlineStr">
        <is>
          <t>SOLLEFTEÅ</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68647-2020</t>
        </is>
      </c>
      <c r="B596" s="1" t="n">
        <v>44186</v>
      </c>
      <c r="C596" s="1" t="n">
        <v>45964</v>
      </c>
      <c r="D596" t="inlineStr">
        <is>
          <t>VÄSTERNORRLANDS LÄN</t>
        </is>
      </c>
      <c r="E596" t="inlineStr">
        <is>
          <t>SOLLEFTEÅ</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45964</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18662-2021</t>
        </is>
      </c>
      <c r="B598" s="1" t="n">
        <v>44306</v>
      </c>
      <c r="C598" s="1" t="n">
        <v>45964</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61496-2021</t>
        </is>
      </c>
      <c r="B599" s="1" t="n">
        <v>44501</v>
      </c>
      <c r="C599" s="1" t="n">
        <v>45964</v>
      </c>
      <c r="D599" t="inlineStr">
        <is>
          <t>VÄSTERNORRLANDS LÄN</t>
        </is>
      </c>
      <c r="E599" t="inlineStr">
        <is>
          <t>SOLLEFTEÅ</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73285-2021</t>
        </is>
      </c>
      <c r="B600" s="1" t="n">
        <v>44550.94386574074</v>
      </c>
      <c r="C600" s="1" t="n">
        <v>45964</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9586-2022</t>
        </is>
      </c>
      <c r="B601" s="1" t="n">
        <v>44617</v>
      </c>
      <c r="C601" s="1" t="n">
        <v>45964</v>
      </c>
      <c r="D601" t="inlineStr">
        <is>
          <t>VÄSTERNORRLANDS LÄN</t>
        </is>
      </c>
      <c r="E601" t="inlineStr">
        <is>
          <t>SOLLEFTEÅ</t>
        </is>
      </c>
      <c r="F601" t="inlineStr">
        <is>
          <t>Övriga Aktiebolag</t>
        </is>
      </c>
      <c r="G601" t="n">
        <v>2.9</v>
      </c>
      <c r="H601" t="n">
        <v>0</v>
      </c>
      <c r="I601" t="n">
        <v>0</v>
      </c>
      <c r="J601" t="n">
        <v>0</v>
      </c>
      <c r="K601" t="n">
        <v>0</v>
      </c>
      <c r="L601" t="n">
        <v>0</v>
      </c>
      <c r="M601" t="n">
        <v>0</v>
      </c>
      <c r="N601" t="n">
        <v>0</v>
      </c>
      <c r="O601" t="n">
        <v>0</v>
      </c>
      <c r="P601" t="n">
        <v>0</v>
      </c>
      <c r="Q601" t="n">
        <v>0</v>
      </c>
      <c r="R601" s="2" t="inlineStr"/>
    </row>
    <row r="602" ht="15" customHeight="1">
      <c r="A602" t="inlineStr">
        <is>
          <t>A 58357-2024</t>
        </is>
      </c>
      <c r="B602" s="1" t="n">
        <v>45632</v>
      </c>
      <c r="C602" s="1" t="n">
        <v>45964</v>
      </c>
      <c r="D602" t="inlineStr">
        <is>
          <t>VÄSTERNORRLANDS LÄN</t>
        </is>
      </c>
      <c r="E602" t="inlineStr">
        <is>
          <t>SOLLEFTEÅ</t>
        </is>
      </c>
      <c r="G602" t="n">
        <v>3.3</v>
      </c>
      <c r="H602" t="n">
        <v>0</v>
      </c>
      <c r="I602" t="n">
        <v>0</v>
      </c>
      <c r="J602" t="n">
        <v>0</v>
      </c>
      <c r="K602" t="n">
        <v>0</v>
      </c>
      <c r="L602" t="n">
        <v>0</v>
      </c>
      <c r="M602" t="n">
        <v>0</v>
      </c>
      <c r="N602" t="n">
        <v>0</v>
      </c>
      <c r="O602" t="n">
        <v>0</v>
      </c>
      <c r="P602" t="n">
        <v>0</v>
      </c>
      <c r="Q602" t="n">
        <v>0</v>
      </c>
      <c r="R602" s="2" t="inlineStr"/>
    </row>
    <row r="603" ht="15" customHeight="1">
      <c r="A603" t="inlineStr">
        <is>
          <t>A 58360-2024</t>
        </is>
      </c>
      <c r="B603" s="1" t="n">
        <v>45632</v>
      </c>
      <c r="C603" s="1" t="n">
        <v>45964</v>
      </c>
      <c r="D603" t="inlineStr">
        <is>
          <t>VÄSTERNORRLANDS LÄN</t>
        </is>
      </c>
      <c r="E603" t="inlineStr">
        <is>
          <t>SOLLEFTEÅ</t>
        </is>
      </c>
      <c r="G603" t="n">
        <v>3.7</v>
      </c>
      <c r="H603" t="n">
        <v>0</v>
      </c>
      <c r="I603" t="n">
        <v>0</v>
      </c>
      <c r="J603" t="n">
        <v>0</v>
      </c>
      <c r="K603" t="n">
        <v>0</v>
      </c>
      <c r="L603" t="n">
        <v>0</v>
      </c>
      <c r="M603" t="n">
        <v>0</v>
      </c>
      <c r="N603" t="n">
        <v>0</v>
      </c>
      <c r="O603" t="n">
        <v>0</v>
      </c>
      <c r="P603" t="n">
        <v>0</v>
      </c>
      <c r="Q603" t="n">
        <v>0</v>
      </c>
      <c r="R603" s="2" t="inlineStr"/>
    </row>
    <row r="604" ht="15" customHeight="1">
      <c r="A604" t="inlineStr">
        <is>
          <t>A 46130-2022</t>
        </is>
      </c>
      <c r="B604" s="1" t="n">
        <v>44844</v>
      </c>
      <c r="C604" s="1" t="n">
        <v>45964</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28749-2023</t>
        </is>
      </c>
      <c r="B605" s="1" t="n">
        <v>45103</v>
      </c>
      <c r="C605" s="1" t="n">
        <v>45964</v>
      </c>
      <c r="D605" t="inlineStr">
        <is>
          <t>VÄSTERNORRLANDS LÄN</t>
        </is>
      </c>
      <c r="E605" t="inlineStr">
        <is>
          <t>SOLLEFTEÅ</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33241-2024</t>
        </is>
      </c>
      <c r="B606" s="1" t="n">
        <v>45518.60484953703</v>
      </c>
      <c r="C606" s="1" t="n">
        <v>45964</v>
      </c>
      <c r="D606" t="inlineStr">
        <is>
          <t>VÄSTERNORRLANDS LÄN</t>
        </is>
      </c>
      <c r="E606" t="inlineStr">
        <is>
          <t>SOLLEFTEÅ</t>
        </is>
      </c>
      <c r="G606" t="n">
        <v>4.1</v>
      </c>
      <c r="H606" t="n">
        <v>0</v>
      </c>
      <c r="I606" t="n">
        <v>0</v>
      </c>
      <c r="J606" t="n">
        <v>0</v>
      </c>
      <c r="K606" t="n">
        <v>0</v>
      </c>
      <c r="L606" t="n">
        <v>0</v>
      </c>
      <c r="M606" t="n">
        <v>0</v>
      </c>
      <c r="N606" t="n">
        <v>0</v>
      </c>
      <c r="O606" t="n">
        <v>0</v>
      </c>
      <c r="P606" t="n">
        <v>0</v>
      </c>
      <c r="Q606" t="n">
        <v>0</v>
      </c>
      <c r="R606" s="2" t="inlineStr"/>
    </row>
    <row r="607" ht="15" customHeight="1">
      <c r="A607" t="inlineStr">
        <is>
          <t>A 18878-2021</t>
        </is>
      </c>
      <c r="B607" s="1" t="n">
        <v>44307</v>
      </c>
      <c r="C607" s="1" t="n">
        <v>45964</v>
      </c>
      <c r="D607" t="inlineStr">
        <is>
          <t>VÄSTERNORRLANDS LÄN</t>
        </is>
      </c>
      <c r="E607" t="inlineStr">
        <is>
          <t>SOLLEFTEÅ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27018-2022</t>
        </is>
      </c>
      <c r="B608" s="1" t="n">
        <v>44740</v>
      </c>
      <c r="C608" s="1" t="n">
        <v>45964</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68292-2020</t>
        </is>
      </c>
      <c r="B609" s="1" t="n">
        <v>44183</v>
      </c>
      <c r="C609" s="1" t="n">
        <v>45964</v>
      </c>
      <c r="D609" t="inlineStr">
        <is>
          <t>VÄSTERNORRLANDS LÄN</t>
        </is>
      </c>
      <c r="E609" t="inlineStr">
        <is>
          <t>SOLLEFTEÅ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6170-2022</t>
        </is>
      </c>
      <c r="B610" s="1" t="n">
        <v>44599</v>
      </c>
      <c r="C610" s="1" t="n">
        <v>45964</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43177-2023</t>
        </is>
      </c>
      <c r="B611" s="1" t="n">
        <v>45181</v>
      </c>
      <c r="C611" s="1" t="n">
        <v>45964</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12752-2023</t>
        </is>
      </c>
      <c r="B612" s="1" t="n">
        <v>45000.94854166666</v>
      </c>
      <c r="C612" s="1" t="n">
        <v>45964</v>
      </c>
      <c r="D612" t="inlineStr">
        <is>
          <t>VÄSTERNORRLANDS LÄN</t>
        </is>
      </c>
      <c r="E612" t="inlineStr">
        <is>
          <t>SOLLEFTEÅ</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5001-2023</t>
        </is>
      </c>
      <c r="B613" s="1" t="n">
        <v>44956</v>
      </c>
      <c r="C613" s="1" t="n">
        <v>45964</v>
      </c>
      <c r="D613" t="inlineStr">
        <is>
          <t>VÄSTERNORRLANDS LÄN</t>
        </is>
      </c>
      <c r="E613" t="inlineStr">
        <is>
          <t>SOLLEFTEÅ</t>
        </is>
      </c>
      <c r="G613" t="n">
        <v>1.4</v>
      </c>
      <c r="H613" t="n">
        <v>0</v>
      </c>
      <c r="I613" t="n">
        <v>0</v>
      </c>
      <c r="J613" t="n">
        <v>0</v>
      </c>
      <c r="K613" t="n">
        <v>0</v>
      </c>
      <c r="L613" t="n">
        <v>0</v>
      </c>
      <c r="M613" t="n">
        <v>0</v>
      </c>
      <c r="N613" t="n">
        <v>0</v>
      </c>
      <c r="O613" t="n">
        <v>0</v>
      </c>
      <c r="P613" t="n">
        <v>0</v>
      </c>
      <c r="Q613" t="n">
        <v>0</v>
      </c>
      <c r="R613" s="2" t="inlineStr"/>
    </row>
    <row r="614" ht="15" customHeight="1">
      <c r="A614" t="inlineStr">
        <is>
          <t>A 2185-2025</t>
        </is>
      </c>
      <c r="B614" s="1" t="n">
        <v>45673</v>
      </c>
      <c r="C614" s="1" t="n">
        <v>45964</v>
      </c>
      <c r="D614" t="inlineStr">
        <is>
          <t>VÄSTERNORRLANDS LÄN</t>
        </is>
      </c>
      <c r="E614" t="inlineStr">
        <is>
          <t>SOLLEFTEÅ</t>
        </is>
      </c>
      <c r="G614" t="n">
        <v>7</v>
      </c>
      <c r="H614" t="n">
        <v>0</v>
      </c>
      <c r="I614" t="n">
        <v>0</v>
      </c>
      <c r="J614" t="n">
        <v>0</v>
      </c>
      <c r="K614" t="n">
        <v>0</v>
      </c>
      <c r="L614" t="n">
        <v>0</v>
      </c>
      <c r="M614" t="n">
        <v>0</v>
      </c>
      <c r="N614" t="n">
        <v>0</v>
      </c>
      <c r="O614" t="n">
        <v>0</v>
      </c>
      <c r="P614" t="n">
        <v>0</v>
      </c>
      <c r="Q614" t="n">
        <v>0</v>
      </c>
      <c r="R614" s="2" t="inlineStr"/>
    </row>
    <row r="615" ht="15" customHeight="1">
      <c r="A615" t="inlineStr">
        <is>
          <t>A 1416-2025</t>
        </is>
      </c>
      <c r="B615" s="1" t="n">
        <v>45668</v>
      </c>
      <c r="C615" s="1" t="n">
        <v>45964</v>
      </c>
      <c r="D615" t="inlineStr">
        <is>
          <t>VÄSTERNORRLANDS LÄN</t>
        </is>
      </c>
      <c r="E615" t="inlineStr">
        <is>
          <t>SOLLEFTEÅ</t>
        </is>
      </c>
      <c r="G615" t="n">
        <v>21.3</v>
      </c>
      <c r="H615" t="n">
        <v>0</v>
      </c>
      <c r="I615" t="n">
        <v>0</v>
      </c>
      <c r="J615" t="n">
        <v>0</v>
      </c>
      <c r="K615" t="n">
        <v>0</v>
      </c>
      <c r="L615" t="n">
        <v>0</v>
      </c>
      <c r="M615" t="n">
        <v>0</v>
      </c>
      <c r="N615" t="n">
        <v>0</v>
      </c>
      <c r="O615" t="n">
        <v>0</v>
      </c>
      <c r="P615" t="n">
        <v>0</v>
      </c>
      <c r="Q615" t="n">
        <v>0</v>
      </c>
      <c r="R615" s="2" t="inlineStr"/>
    </row>
    <row r="616" ht="15" customHeight="1">
      <c r="A616" t="inlineStr">
        <is>
          <t>A 20550-2025</t>
        </is>
      </c>
      <c r="B616" s="1" t="n">
        <v>45775.6360300926</v>
      </c>
      <c r="C616" s="1" t="n">
        <v>45964</v>
      </c>
      <c r="D616" t="inlineStr">
        <is>
          <t>VÄSTERNORRLANDS LÄN</t>
        </is>
      </c>
      <c r="E616" t="inlineStr">
        <is>
          <t>SOLLEFTEÅ</t>
        </is>
      </c>
      <c r="F616" t="inlineStr">
        <is>
          <t>SCA</t>
        </is>
      </c>
      <c r="G616" t="n">
        <v>6.9</v>
      </c>
      <c r="H616" t="n">
        <v>0</v>
      </c>
      <c r="I616" t="n">
        <v>0</v>
      </c>
      <c r="J616" t="n">
        <v>0</v>
      </c>
      <c r="K616" t="n">
        <v>0</v>
      </c>
      <c r="L616" t="n">
        <v>0</v>
      </c>
      <c r="M616" t="n">
        <v>0</v>
      </c>
      <c r="N616" t="n">
        <v>0</v>
      </c>
      <c r="O616" t="n">
        <v>0</v>
      </c>
      <c r="P616" t="n">
        <v>0</v>
      </c>
      <c r="Q616" t="n">
        <v>0</v>
      </c>
      <c r="R616" s="2" t="inlineStr"/>
    </row>
    <row r="617" ht="15" customHeight="1">
      <c r="A617" t="inlineStr">
        <is>
          <t>A 31481-2024</t>
        </is>
      </c>
      <c r="B617" s="1" t="n">
        <v>45505</v>
      </c>
      <c r="C617" s="1" t="n">
        <v>45964</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29290-2022</t>
        </is>
      </c>
      <c r="B618" s="1" t="n">
        <v>44750</v>
      </c>
      <c r="C618" s="1" t="n">
        <v>45964</v>
      </c>
      <c r="D618" t="inlineStr">
        <is>
          <t>VÄSTERNORRLANDS LÄN</t>
        </is>
      </c>
      <c r="E618" t="inlineStr">
        <is>
          <t>SOLLEFTEÅ</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8670-2023</t>
        </is>
      </c>
      <c r="B619" s="1" t="n">
        <v>44977</v>
      </c>
      <c r="C619" s="1" t="n">
        <v>45964</v>
      </c>
      <c r="D619" t="inlineStr">
        <is>
          <t>VÄSTERNORRLANDS LÄN</t>
        </is>
      </c>
      <c r="E619" t="inlineStr">
        <is>
          <t>SOLLEFTEÅ</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17422-2025</t>
        </is>
      </c>
      <c r="B620" s="1" t="n">
        <v>45757.38570601852</v>
      </c>
      <c r="C620" s="1" t="n">
        <v>45964</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18149-2023</t>
        </is>
      </c>
      <c r="B621" s="1" t="n">
        <v>45040</v>
      </c>
      <c r="C621" s="1" t="n">
        <v>45964</v>
      </c>
      <c r="D621" t="inlineStr">
        <is>
          <t>VÄSTERNORRLANDS LÄN</t>
        </is>
      </c>
      <c r="E621" t="inlineStr">
        <is>
          <t>SOLLEFTEÅ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62099-2023</t>
        </is>
      </c>
      <c r="B622" s="1" t="n">
        <v>45266</v>
      </c>
      <c r="C622" s="1" t="n">
        <v>45964</v>
      </c>
      <c r="D622" t="inlineStr">
        <is>
          <t>VÄSTERNORRLANDS LÄN</t>
        </is>
      </c>
      <c r="E622" t="inlineStr">
        <is>
          <t>SOLLEFTEÅ</t>
        </is>
      </c>
      <c r="G622" t="n">
        <v>2.6</v>
      </c>
      <c r="H622" t="n">
        <v>0</v>
      </c>
      <c r="I622" t="n">
        <v>0</v>
      </c>
      <c r="J622" t="n">
        <v>0</v>
      </c>
      <c r="K622" t="n">
        <v>0</v>
      </c>
      <c r="L622" t="n">
        <v>0</v>
      </c>
      <c r="M622" t="n">
        <v>0</v>
      </c>
      <c r="N622" t="n">
        <v>0</v>
      </c>
      <c r="O622" t="n">
        <v>0</v>
      </c>
      <c r="P622" t="n">
        <v>0</v>
      </c>
      <c r="Q622" t="n">
        <v>0</v>
      </c>
      <c r="R622" s="2" t="inlineStr"/>
    </row>
    <row r="623" ht="15" customHeight="1">
      <c r="A623" t="inlineStr">
        <is>
          <t>A 29693-2024</t>
        </is>
      </c>
      <c r="B623" s="1" t="n">
        <v>45484.94490740741</v>
      </c>
      <c r="C623" s="1" t="n">
        <v>45964</v>
      </c>
      <c r="D623" t="inlineStr">
        <is>
          <t>VÄSTERNORRLANDS LÄN</t>
        </is>
      </c>
      <c r="E623" t="inlineStr">
        <is>
          <t>SOLLEFTEÅ</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30069-2024</t>
        </is>
      </c>
      <c r="B624" s="1" t="n">
        <v>45488.9489699074</v>
      </c>
      <c r="C624" s="1" t="n">
        <v>45964</v>
      </c>
      <c r="D624" t="inlineStr">
        <is>
          <t>VÄSTERNORRLANDS LÄN</t>
        </is>
      </c>
      <c r="E624" t="inlineStr">
        <is>
          <t>SOLLEFTEÅ</t>
        </is>
      </c>
      <c r="F624" t="inlineStr">
        <is>
          <t>SCA</t>
        </is>
      </c>
      <c r="G624" t="n">
        <v>7.2</v>
      </c>
      <c r="H624" t="n">
        <v>0</v>
      </c>
      <c r="I624" t="n">
        <v>0</v>
      </c>
      <c r="J624" t="n">
        <v>0</v>
      </c>
      <c r="K624" t="n">
        <v>0</v>
      </c>
      <c r="L624" t="n">
        <v>0</v>
      </c>
      <c r="M624" t="n">
        <v>0</v>
      </c>
      <c r="N624" t="n">
        <v>0</v>
      </c>
      <c r="O624" t="n">
        <v>0</v>
      </c>
      <c r="P624" t="n">
        <v>0</v>
      </c>
      <c r="Q624" t="n">
        <v>0</v>
      </c>
      <c r="R624" s="2" t="inlineStr"/>
    </row>
    <row r="625" ht="15" customHeight="1">
      <c r="A625" t="inlineStr">
        <is>
          <t>A 19295-2022</t>
        </is>
      </c>
      <c r="B625" s="1" t="n">
        <v>44692</v>
      </c>
      <c r="C625" s="1" t="n">
        <v>45964</v>
      </c>
      <c r="D625" t="inlineStr">
        <is>
          <t>VÄSTERNORRLANDS LÄN</t>
        </is>
      </c>
      <c r="E625" t="inlineStr">
        <is>
          <t>SOLLEFTEÅ</t>
        </is>
      </c>
      <c r="G625" t="n">
        <v>3.3</v>
      </c>
      <c r="H625" t="n">
        <v>0</v>
      </c>
      <c r="I625" t="n">
        <v>0</v>
      </c>
      <c r="J625" t="n">
        <v>0</v>
      </c>
      <c r="K625" t="n">
        <v>0</v>
      </c>
      <c r="L625" t="n">
        <v>0</v>
      </c>
      <c r="M625" t="n">
        <v>0</v>
      </c>
      <c r="N625" t="n">
        <v>0</v>
      </c>
      <c r="O625" t="n">
        <v>0</v>
      </c>
      <c r="P625" t="n">
        <v>0</v>
      </c>
      <c r="Q625" t="n">
        <v>0</v>
      </c>
      <c r="R625" s="2" t="inlineStr"/>
    </row>
    <row r="626" ht="15" customHeight="1">
      <c r="A626" t="inlineStr">
        <is>
          <t>A 9632-2025</t>
        </is>
      </c>
      <c r="B626" s="1" t="n">
        <v>45715.71921296296</v>
      </c>
      <c r="C626" s="1" t="n">
        <v>45964</v>
      </c>
      <c r="D626" t="inlineStr">
        <is>
          <t>VÄSTERNORRLANDS LÄN</t>
        </is>
      </c>
      <c r="E626" t="inlineStr">
        <is>
          <t>SOLLEFTEÅ</t>
        </is>
      </c>
      <c r="F626" t="inlineStr">
        <is>
          <t>SCA</t>
        </is>
      </c>
      <c r="G626" t="n">
        <v>21.6</v>
      </c>
      <c r="H626" t="n">
        <v>0</v>
      </c>
      <c r="I626" t="n">
        <v>0</v>
      </c>
      <c r="J626" t="n">
        <v>0</v>
      </c>
      <c r="K626" t="n">
        <v>0</v>
      </c>
      <c r="L626" t="n">
        <v>0</v>
      </c>
      <c r="M626" t="n">
        <v>0</v>
      </c>
      <c r="N626" t="n">
        <v>0</v>
      </c>
      <c r="O626" t="n">
        <v>0</v>
      </c>
      <c r="P626" t="n">
        <v>0</v>
      </c>
      <c r="Q626" t="n">
        <v>0</v>
      </c>
      <c r="R626" s="2" t="inlineStr"/>
    </row>
    <row r="627" ht="15" customHeight="1">
      <c r="A627" t="inlineStr">
        <is>
          <t>A 2431-2025</t>
        </is>
      </c>
      <c r="B627" s="1" t="n">
        <v>45674.40692129629</v>
      </c>
      <c r="C627" s="1" t="n">
        <v>45964</v>
      </c>
      <c r="D627" t="inlineStr">
        <is>
          <t>VÄSTERNORRLANDS LÄN</t>
        </is>
      </c>
      <c r="E627" t="inlineStr">
        <is>
          <t>SOLLEFTEÅ</t>
        </is>
      </c>
      <c r="F627" t="inlineStr">
        <is>
          <t>SCA</t>
        </is>
      </c>
      <c r="G627" t="n">
        <v>19.2</v>
      </c>
      <c r="H627" t="n">
        <v>0</v>
      </c>
      <c r="I627" t="n">
        <v>0</v>
      </c>
      <c r="J627" t="n">
        <v>0</v>
      </c>
      <c r="K627" t="n">
        <v>0</v>
      </c>
      <c r="L627" t="n">
        <v>0</v>
      </c>
      <c r="M627" t="n">
        <v>0</v>
      </c>
      <c r="N627" t="n">
        <v>0</v>
      </c>
      <c r="O627" t="n">
        <v>0</v>
      </c>
      <c r="P627" t="n">
        <v>0</v>
      </c>
      <c r="Q627" t="n">
        <v>0</v>
      </c>
      <c r="R627" s="2" t="inlineStr"/>
    </row>
    <row r="628" ht="15" customHeight="1">
      <c r="A628" t="inlineStr">
        <is>
          <t>A 20062-2022</t>
        </is>
      </c>
      <c r="B628" s="1" t="n">
        <v>44697</v>
      </c>
      <c r="C628" s="1" t="n">
        <v>45964</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61345-2022</t>
        </is>
      </c>
      <c r="B629" s="1" t="n">
        <v>44915</v>
      </c>
      <c r="C629" s="1" t="n">
        <v>45964</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61383-2022</t>
        </is>
      </c>
      <c r="B630" s="1" t="n">
        <v>44915</v>
      </c>
      <c r="C630" s="1" t="n">
        <v>45964</v>
      </c>
      <c r="D630" t="inlineStr">
        <is>
          <t>VÄSTERNORRLANDS LÄN</t>
        </is>
      </c>
      <c r="E630" t="inlineStr">
        <is>
          <t>SOLLEFTEÅ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16253-2024</t>
        </is>
      </c>
      <c r="B631" s="1" t="n">
        <v>45407.0587962963</v>
      </c>
      <c r="C631" s="1" t="n">
        <v>45964</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47631-2024</t>
        </is>
      </c>
      <c r="B632" s="1" t="n">
        <v>45588.34465277778</v>
      </c>
      <c r="C632" s="1" t="n">
        <v>45964</v>
      </c>
      <c r="D632" t="inlineStr">
        <is>
          <t>VÄSTERNORRLANDS LÄN</t>
        </is>
      </c>
      <c r="E632" t="inlineStr">
        <is>
          <t>SOLLEFTEÅ</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61081-2023</t>
        </is>
      </c>
      <c r="B633" s="1" t="n">
        <v>45261</v>
      </c>
      <c r="C633" s="1" t="n">
        <v>45964</v>
      </c>
      <c r="D633" t="inlineStr">
        <is>
          <t>VÄSTERNORRLANDS LÄN</t>
        </is>
      </c>
      <c r="E633" t="inlineStr">
        <is>
          <t>SOLLEFTEÅ</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8959-2023</t>
        </is>
      </c>
      <c r="B634" s="1" t="n">
        <v>44974</v>
      </c>
      <c r="C634" s="1" t="n">
        <v>45964</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60827-2024</t>
        </is>
      </c>
      <c r="B635" s="1" t="n">
        <v>45644.63590277778</v>
      </c>
      <c r="C635" s="1" t="n">
        <v>45964</v>
      </c>
      <c r="D635" t="inlineStr">
        <is>
          <t>VÄSTERNORRLANDS LÄN</t>
        </is>
      </c>
      <c r="E635" t="inlineStr">
        <is>
          <t>SOLLEFTEÅ</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24199-2024</t>
        </is>
      </c>
      <c r="B636" s="1" t="n">
        <v>45456.96634259259</v>
      </c>
      <c r="C636" s="1" t="n">
        <v>45964</v>
      </c>
      <c r="D636" t="inlineStr">
        <is>
          <t>VÄSTERNORRLANDS LÄN</t>
        </is>
      </c>
      <c r="E636" t="inlineStr">
        <is>
          <t>SOLLEFTEÅ</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24208-2024</t>
        </is>
      </c>
      <c r="B637" s="1" t="n">
        <v>45456.9678125</v>
      </c>
      <c r="C637" s="1" t="n">
        <v>45964</v>
      </c>
      <c r="D637" t="inlineStr">
        <is>
          <t>VÄSTERNORRLANDS LÄN</t>
        </is>
      </c>
      <c r="E637" t="inlineStr">
        <is>
          <t>SOLLEFTEÅ</t>
        </is>
      </c>
      <c r="G637" t="n">
        <v>2.9</v>
      </c>
      <c r="H637" t="n">
        <v>0</v>
      </c>
      <c r="I637" t="n">
        <v>0</v>
      </c>
      <c r="J637" t="n">
        <v>0</v>
      </c>
      <c r="K637" t="n">
        <v>0</v>
      </c>
      <c r="L637" t="n">
        <v>0</v>
      </c>
      <c r="M637" t="n">
        <v>0</v>
      </c>
      <c r="N637" t="n">
        <v>0</v>
      </c>
      <c r="O637" t="n">
        <v>0</v>
      </c>
      <c r="P637" t="n">
        <v>0</v>
      </c>
      <c r="Q637" t="n">
        <v>0</v>
      </c>
      <c r="R637" s="2" t="inlineStr"/>
    </row>
    <row r="638" ht="15" customHeight="1">
      <c r="A638" t="inlineStr">
        <is>
          <t>A 24211-2024</t>
        </is>
      </c>
      <c r="B638" s="1" t="n">
        <v>45456.9681712963</v>
      </c>
      <c r="C638" s="1" t="n">
        <v>45964</v>
      </c>
      <c r="D638" t="inlineStr">
        <is>
          <t>VÄSTERNORRLANDS LÄN</t>
        </is>
      </c>
      <c r="E638" t="inlineStr">
        <is>
          <t>SOLLEFTEÅ</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25364-2024</t>
        </is>
      </c>
      <c r="B639" s="1" t="n">
        <v>45462.95849537037</v>
      </c>
      <c r="C639" s="1" t="n">
        <v>45964</v>
      </c>
      <c r="D639" t="inlineStr">
        <is>
          <t>VÄSTERNORRLANDS LÄN</t>
        </is>
      </c>
      <c r="E639" t="inlineStr">
        <is>
          <t>SOLLEFTEÅ</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26962-2024</t>
        </is>
      </c>
      <c r="B640" s="1" t="n">
        <v>45470.9716087963</v>
      </c>
      <c r="C640" s="1" t="n">
        <v>45964</v>
      </c>
      <c r="D640" t="inlineStr">
        <is>
          <t>VÄSTERNORRLANDS LÄN</t>
        </is>
      </c>
      <c r="E640" t="inlineStr">
        <is>
          <t>SOLLEFTEÅ</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9708-2025</t>
        </is>
      </c>
      <c r="B641" s="1" t="n">
        <v>45716.38607638889</v>
      </c>
      <c r="C641" s="1" t="n">
        <v>45964</v>
      </c>
      <c r="D641" t="inlineStr">
        <is>
          <t>VÄSTERNORRLANDS LÄN</t>
        </is>
      </c>
      <c r="E641" t="inlineStr">
        <is>
          <t>SOLLEFTEÅ</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31672-2022</t>
        </is>
      </c>
      <c r="B642" s="1" t="n">
        <v>44776.36137731482</v>
      </c>
      <c r="C642" s="1" t="n">
        <v>45964</v>
      </c>
      <c r="D642" t="inlineStr">
        <is>
          <t>VÄSTERNORRLANDS LÄN</t>
        </is>
      </c>
      <c r="E642" t="inlineStr">
        <is>
          <t>SOLLEFTEÅ</t>
        </is>
      </c>
      <c r="G642" t="n">
        <v>16.3</v>
      </c>
      <c r="H642" t="n">
        <v>0</v>
      </c>
      <c r="I642" t="n">
        <v>0</v>
      </c>
      <c r="J642" t="n">
        <v>0</v>
      </c>
      <c r="K642" t="n">
        <v>0</v>
      </c>
      <c r="L642" t="n">
        <v>0</v>
      </c>
      <c r="M642" t="n">
        <v>0</v>
      </c>
      <c r="N642" t="n">
        <v>0</v>
      </c>
      <c r="O642" t="n">
        <v>0</v>
      </c>
      <c r="P642" t="n">
        <v>0</v>
      </c>
      <c r="Q642" t="n">
        <v>0</v>
      </c>
      <c r="R642" s="2" t="inlineStr"/>
    </row>
    <row r="643" ht="15" customHeight="1">
      <c r="A643" t="inlineStr">
        <is>
          <t>A 40655-2024</t>
        </is>
      </c>
      <c r="B643" s="1" t="n">
        <v>45558.34414351852</v>
      </c>
      <c r="C643" s="1" t="n">
        <v>45964</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6236-2023</t>
        </is>
      </c>
      <c r="B644" s="1" t="n">
        <v>44964</v>
      </c>
      <c r="C644" s="1" t="n">
        <v>45964</v>
      </c>
      <c r="D644" t="inlineStr">
        <is>
          <t>VÄSTERNORRLANDS LÄN</t>
        </is>
      </c>
      <c r="E644" t="inlineStr">
        <is>
          <t>SOLLEFTEÅ</t>
        </is>
      </c>
      <c r="F644" t="inlineStr">
        <is>
          <t>SCA</t>
        </is>
      </c>
      <c r="G644" t="n">
        <v>0.1</v>
      </c>
      <c r="H644" t="n">
        <v>0</v>
      </c>
      <c r="I644" t="n">
        <v>0</v>
      </c>
      <c r="J644" t="n">
        <v>0</v>
      </c>
      <c r="K644" t="n">
        <v>0</v>
      </c>
      <c r="L644" t="n">
        <v>0</v>
      </c>
      <c r="M644" t="n">
        <v>0</v>
      </c>
      <c r="N644" t="n">
        <v>0</v>
      </c>
      <c r="O644" t="n">
        <v>0</v>
      </c>
      <c r="P644" t="n">
        <v>0</v>
      </c>
      <c r="Q644" t="n">
        <v>0</v>
      </c>
      <c r="R644" s="2" t="inlineStr"/>
      <c r="U644">
        <f>HYPERLINK("https://klasma.github.io/Logging_2283/knärot/A 6236-2023 karta knärot.png", "A 6236-2023")</f>
        <v/>
      </c>
      <c r="V644">
        <f>HYPERLINK("https://klasma.github.io/Logging_2283/klagomål/A 6236-2023 FSC-klagomål.docx", "A 6236-2023")</f>
        <v/>
      </c>
      <c r="W644">
        <f>HYPERLINK("https://klasma.github.io/Logging_2283/klagomålsmail/A 6236-2023 FSC-klagomål mail.docx", "A 6236-2023")</f>
        <v/>
      </c>
      <c r="X644">
        <f>HYPERLINK("https://klasma.github.io/Logging_2283/tillsyn/A 6236-2023 tillsynsbegäran.docx", "A 6236-2023")</f>
        <v/>
      </c>
      <c r="Y644">
        <f>HYPERLINK("https://klasma.github.io/Logging_2283/tillsynsmail/A 6236-2023 tillsynsbegäran mail.docx", "A 6236-2023")</f>
        <v/>
      </c>
    </row>
    <row r="645" ht="15" customHeight="1">
      <c r="A645" t="inlineStr">
        <is>
          <t>A 73564-2021</t>
        </is>
      </c>
      <c r="B645" s="1" t="n">
        <v>44551.9409375</v>
      </c>
      <c r="C645" s="1" t="n">
        <v>45964</v>
      </c>
      <c r="D645" t="inlineStr">
        <is>
          <t>VÄSTERNORRLANDS LÄN</t>
        </is>
      </c>
      <c r="E645" t="inlineStr">
        <is>
          <t>SOLLEFTEÅ</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38054-2024</t>
        </is>
      </c>
      <c r="B646" s="1" t="n">
        <v>45544.71916666667</v>
      </c>
      <c r="C646" s="1" t="n">
        <v>45964</v>
      </c>
      <c r="D646" t="inlineStr">
        <is>
          <t>VÄSTERNORRLANDS LÄN</t>
        </is>
      </c>
      <c r="E646" t="inlineStr">
        <is>
          <t>SOLLEFTEÅ</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10618-2024</t>
        </is>
      </c>
      <c r="B647" s="1" t="n">
        <v>45367</v>
      </c>
      <c r="C647" s="1" t="n">
        <v>45964</v>
      </c>
      <c r="D647" t="inlineStr">
        <is>
          <t>VÄSTERNORRLANDS LÄN</t>
        </is>
      </c>
      <c r="E647" t="inlineStr">
        <is>
          <t>SOLLEFTEÅ</t>
        </is>
      </c>
      <c r="F647" t="inlineStr">
        <is>
          <t>SCA</t>
        </is>
      </c>
      <c r="G647" t="n">
        <v>21.1</v>
      </c>
      <c r="H647" t="n">
        <v>0</v>
      </c>
      <c r="I647" t="n">
        <v>0</v>
      </c>
      <c r="J647" t="n">
        <v>0</v>
      </c>
      <c r="K647" t="n">
        <v>0</v>
      </c>
      <c r="L647" t="n">
        <v>0</v>
      </c>
      <c r="M647" t="n">
        <v>0</v>
      </c>
      <c r="N647" t="n">
        <v>0</v>
      </c>
      <c r="O647" t="n">
        <v>0</v>
      </c>
      <c r="P647" t="n">
        <v>0</v>
      </c>
      <c r="Q647" t="n">
        <v>0</v>
      </c>
      <c r="R647" s="2" t="inlineStr"/>
    </row>
    <row r="648" ht="15" customHeight="1">
      <c r="A648" t="inlineStr">
        <is>
          <t>A 3555-2022</t>
        </is>
      </c>
      <c r="B648" s="1" t="n">
        <v>44585.93820601852</v>
      </c>
      <c r="C648" s="1" t="n">
        <v>45964</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13150-2025</t>
        </is>
      </c>
      <c r="B649" s="1" t="n">
        <v>45735.34439814815</v>
      </c>
      <c r="C649" s="1" t="n">
        <v>45964</v>
      </c>
      <c r="D649" t="inlineStr">
        <is>
          <t>VÄSTERNORRLANDS LÄN</t>
        </is>
      </c>
      <c r="E649" t="inlineStr">
        <is>
          <t>SOLLEFTEÅ</t>
        </is>
      </c>
      <c r="F649" t="inlineStr">
        <is>
          <t>SCA</t>
        </is>
      </c>
      <c r="G649" t="n">
        <v>8.1</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45964</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50674-2023</t>
        </is>
      </c>
      <c r="B651" s="1" t="n">
        <v>45210</v>
      </c>
      <c r="C651" s="1" t="n">
        <v>45964</v>
      </c>
      <c r="D651" t="inlineStr">
        <is>
          <t>VÄSTERNORRLANDS LÄN</t>
        </is>
      </c>
      <c r="E651" t="inlineStr">
        <is>
          <t>SOLLEFTEÅ</t>
        </is>
      </c>
      <c r="G651" t="n">
        <v>11.8</v>
      </c>
      <c r="H651" t="n">
        <v>0</v>
      </c>
      <c r="I651" t="n">
        <v>0</v>
      </c>
      <c r="J651" t="n">
        <v>0</v>
      </c>
      <c r="K651" t="n">
        <v>0</v>
      </c>
      <c r="L651" t="n">
        <v>0</v>
      </c>
      <c r="M651" t="n">
        <v>0</v>
      </c>
      <c r="N651" t="n">
        <v>0</v>
      </c>
      <c r="O651" t="n">
        <v>0</v>
      </c>
      <c r="P651" t="n">
        <v>0</v>
      </c>
      <c r="Q651" t="n">
        <v>0</v>
      </c>
      <c r="R651" s="2" t="inlineStr"/>
    </row>
    <row r="652" ht="15" customHeight="1">
      <c r="A652" t="inlineStr">
        <is>
          <t>A 25314-2023</t>
        </is>
      </c>
      <c r="B652" s="1" t="n">
        <v>45086</v>
      </c>
      <c r="C652" s="1" t="n">
        <v>45964</v>
      </c>
      <c r="D652" t="inlineStr">
        <is>
          <t>VÄSTERNORRLANDS LÄN</t>
        </is>
      </c>
      <c r="E652" t="inlineStr">
        <is>
          <t>SOLLEFTEÅ</t>
        </is>
      </c>
      <c r="G652" t="n">
        <v>3.2</v>
      </c>
      <c r="H652" t="n">
        <v>0</v>
      </c>
      <c r="I652" t="n">
        <v>0</v>
      </c>
      <c r="J652" t="n">
        <v>0</v>
      </c>
      <c r="K652" t="n">
        <v>0</v>
      </c>
      <c r="L652" t="n">
        <v>0</v>
      </c>
      <c r="M652" t="n">
        <v>0</v>
      </c>
      <c r="N652" t="n">
        <v>0</v>
      </c>
      <c r="O652" t="n">
        <v>0</v>
      </c>
      <c r="P652" t="n">
        <v>0</v>
      </c>
      <c r="Q652" t="n">
        <v>0</v>
      </c>
      <c r="R652" s="2" t="inlineStr"/>
    </row>
    <row r="653" ht="15" customHeight="1">
      <c r="A653" t="inlineStr">
        <is>
          <t>A 16795-2025</t>
        </is>
      </c>
      <c r="B653" s="1" t="n">
        <v>45754.61487268518</v>
      </c>
      <c r="C653" s="1" t="n">
        <v>45964</v>
      </c>
      <c r="D653" t="inlineStr">
        <is>
          <t>VÄSTERNORRLANDS LÄN</t>
        </is>
      </c>
      <c r="E653" t="inlineStr">
        <is>
          <t>SOLLEFTEÅ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218-2025</t>
        </is>
      </c>
      <c r="B654" s="1" t="n">
        <v>45660</v>
      </c>
      <c r="C654" s="1" t="n">
        <v>45964</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29914-2024</t>
        </is>
      </c>
      <c r="B655" s="1" t="n">
        <v>45487.92814814814</v>
      </c>
      <c r="C655" s="1" t="n">
        <v>45964</v>
      </c>
      <c r="D655" t="inlineStr">
        <is>
          <t>VÄSTERNORRLANDS LÄN</t>
        </is>
      </c>
      <c r="E655" t="inlineStr">
        <is>
          <t>SOLLEFTEÅ</t>
        </is>
      </c>
      <c r="G655" t="n">
        <v>6.3</v>
      </c>
      <c r="H655" t="n">
        <v>0</v>
      </c>
      <c r="I655" t="n">
        <v>0</v>
      </c>
      <c r="J655" t="n">
        <v>0</v>
      </c>
      <c r="K655" t="n">
        <v>0</v>
      </c>
      <c r="L655" t="n">
        <v>0</v>
      </c>
      <c r="M655" t="n">
        <v>0</v>
      </c>
      <c r="N655" t="n">
        <v>0</v>
      </c>
      <c r="O655" t="n">
        <v>0</v>
      </c>
      <c r="P655" t="n">
        <v>0</v>
      </c>
      <c r="Q655" t="n">
        <v>0</v>
      </c>
      <c r="R655" s="2" t="inlineStr"/>
    </row>
    <row r="656" ht="15" customHeight="1">
      <c r="A656" t="inlineStr">
        <is>
          <t>A 56262-2023</t>
        </is>
      </c>
      <c r="B656" s="1" t="n">
        <v>45240</v>
      </c>
      <c r="C656" s="1" t="n">
        <v>45964</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21344-2023</t>
        </is>
      </c>
      <c r="B657" s="1" t="n">
        <v>45062</v>
      </c>
      <c r="C657" s="1" t="n">
        <v>45964</v>
      </c>
      <c r="D657" t="inlineStr">
        <is>
          <t>VÄSTERNORRLANDS LÄN</t>
        </is>
      </c>
      <c r="E657" t="inlineStr">
        <is>
          <t>SOLLEFTEÅ</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19633-2025</t>
        </is>
      </c>
      <c r="B658" s="1" t="n">
        <v>45770.64655092593</v>
      </c>
      <c r="C658" s="1" t="n">
        <v>45964</v>
      </c>
      <c r="D658" t="inlineStr">
        <is>
          <t>VÄSTERNORRLANDS LÄN</t>
        </is>
      </c>
      <c r="E658" t="inlineStr">
        <is>
          <t>SOLLEFTEÅ</t>
        </is>
      </c>
      <c r="G658" t="n">
        <v>9.9</v>
      </c>
      <c r="H658" t="n">
        <v>0</v>
      </c>
      <c r="I658" t="n">
        <v>0</v>
      </c>
      <c r="J658" t="n">
        <v>0</v>
      </c>
      <c r="K658" t="n">
        <v>0</v>
      </c>
      <c r="L658" t="n">
        <v>0</v>
      </c>
      <c r="M658" t="n">
        <v>0</v>
      </c>
      <c r="N658" t="n">
        <v>0</v>
      </c>
      <c r="O658" t="n">
        <v>0</v>
      </c>
      <c r="P658" t="n">
        <v>0</v>
      </c>
      <c r="Q658" t="n">
        <v>0</v>
      </c>
      <c r="R658" s="2" t="inlineStr"/>
    </row>
    <row r="659" ht="15" customHeight="1">
      <c r="A659" t="inlineStr">
        <is>
          <t>A 1997-2022</t>
        </is>
      </c>
      <c r="B659" s="1" t="n">
        <v>44575</v>
      </c>
      <c r="C659" s="1" t="n">
        <v>45964</v>
      </c>
      <c r="D659" t="inlineStr">
        <is>
          <t>VÄSTERNORRLANDS LÄN</t>
        </is>
      </c>
      <c r="E659" t="inlineStr">
        <is>
          <t>SOLLEFTEÅ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45964</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7942-2025</t>
        </is>
      </c>
      <c r="B661" s="1" t="n">
        <v>45707</v>
      </c>
      <c r="C661" s="1" t="n">
        <v>45964</v>
      </c>
      <c r="D661" t="inlineStr">
        <is>
          <t>VÄSTERNORRLANDS LÄN</t>
        </is>
      </c>
      <c r="E661" t="inlineStr">
        <is>
          <t>SOLLEFTEÅ</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60324-2021</t>
        </is>
      </c>
      <c r="B662" s="1" t="n">
        <v>44495.94048611111</v>
      </c>
      <c r="C662" s="1" t="n">
        <v>45964</v>
      </c>
      <c r="D662" t="inlineStr">
        <is>
          <t>VÄSTERNORRLANDS LÄN</t>
        </is>
      </c>
      <c r="E662" t="inlineStr">
        <is>
          <t>SOLLEFTEÅ</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3095-2025</t>
        </is>
      </c>
      <c r="B663" s="1" t="n">
        <v>45678.66633101852</v>
      </c>
      <c r="C663" s="1" t="n">
        <v>45964</v>
      </c>
      <c r="D663" t="inlineStr">
        <is>
          <t>VÄSTERNORRLANDS LÄN</t>
        </is>
      </c>
      <c r="E663" t="inlineStr">
        <is>
          <t>SOLLEFTEÅ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9070-2025</t>
        </is>
      </c>
      <c r="B664" s="1" t="n">
        <v>45713.65658564815</v>
      </c>
      <c r="C664" s="1" t="n">
        <v>45964</v>
      </c>
      <c r="D664" t="inlineStr">
        <is>
          <t>VÄSTERNORRLANDS LÄN</t>
        </is>
      </c>
      <c r="E664" t="inlineStr">
        <is>
          <t>SOLLEFTEÅ</t>
        </is>
      </c>
      <c r="F664" t="inlineStr">
        <is>
          <t>SCA</t>
        </is>
      </c>
      <c r="G664" t="n">
        <v>6.4</v>
      </c>
      <c r="H664" t="n">
        <v>0</v>
      </c>
      <c r="I664" t="n">
        <v>0</v>
      </c>
      <c r="J664" t="n">
        <v>0</v>
      </c>
      <c r="K664" t="n">
        <v>0</v>
      </c>
      <c r="L664" t="n">
        <v>0</v>
      </c>
      <c r="M664" t="n">
        <v>0</v>
      </c>
      <c r="N664" t="n">
        <v>0</v>
      </c>
      <c r="O664" t="n">
        <v>0</v>
      </c>
      <c r="P664" t="n">
        <v>0</v>
      </c>
      <c r="Q664" t="n">
        <v>0</v>
      </c>
      <c r="R664" s="2" t="inlineStr"/>
    </row>
    <row r="665" ht="15" customHeight="1">
      <c r="A665" t="inlineStr">
        <is>
          <t>A 34737-2023</t>
        </is>
      </c>
      <c r="B665" s="1" t="n">
        <v>45139</v>
      </c>
      <c r="C665" s="1" t="n">
        <v>45964</v>
      </c>
      <c r="D665" t="inlineStr">
        <is>
          <t>VÄSTERNORRLANDS LÄN</t>
        </is>
      </c>
      <c r="E665" t="inlineStr">
        <is>
          <t>SOLLEFTEÅ</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51249-2022</t>
        </is>
      </c>
      <c r="B666" s="1" t="n">
        <v>44866</v>
      </c>
      <c r="C666" s="1" t="n">
        <v>45964</v>
      </c>
      <c r="D666" t="inlineStr">
        <is>
          <t>VÄSTERNORRLANDS LÄN</t>
        </is>
      </c>
      <c r="E666" t="inlineStr">
        <is>
          <t>SOLLEFTEÅ</t>
        </is>
      </c>
      <c r="G666" t="n">
        <v>1.8</v>
      </c>
      <c r="H666" t="n">
        <v>0</v>
      </c>
      <c r="I666" t="n">
        <v>0</v>
      </c>
      <c r="J666" t="n">
        <v>0</v>
      </c>
      <c r="K666" t="n">
        <v>0</v>
      </c>
      <c r="L666" t="n">
        <v>0</v>
      </c>
      <c r="M666" t="n">
        <v>0</v>
      </c>
      <c r="N666" t="n">
        <v>0</v>
      </c>
      <c r="O666" t="n">
        <v>0</v>
      </c>
      <c r="P666" t="n">
        <v>0</v>
      </c>
      <c r="Q666" t="n">
        <v>0</v>
      </c>
      <c r="R666" s="2" t="inlineStr"/>
    </row>
    <row r="667" ht="15" customHeight="1">
      <c r="A667" t="inlineStr">
        <is>
          <t>A 18648-2024</t>
        </is>
      </c>
      <c r="B667" s="1" t="n">
        <v>45425.9678125</v>
      </c>
      <c r="C667" s="1" t="n">
        <v>45964</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32812-2024</t>
        </is>
      </c>
      <c r="B668" s="1" t="n">
        <v>45516</v>
      </c>
      <c r="C668" s="1" t="n">
        <v>45964</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27926-2022</t>
        </is>
      </c>
      <c r="B669" s="1" t="n">
        <v>44743</v>
      </c>
      <c r="C669" s="1" t="n">
        <v>45964</v>
      </c>
      <c r="D669" t="inlineStr">
        <is>
          <t>VÄSTERNORRLANDS LÄN</t>
        </is>
      </c>
      <c r="E669" t="inlineStr">
        <is>
          <t>SOLLEFTEÅ</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3323-2025</t>
        </is>
      </c>
      <c r="B670" s="1" t="n">
        <v>45679.69921296297</v>
      </c>
      <c r="C670" s="1" t="n">
        <v>45964</v>
      </c>
      <c r="D670" t="inlineStr">
        <is>
          <t>VÄSTERNORRLANDS LÄN</t>
        </is>
      </c>
      <c r="E670" t="inlineStr">
        <is>
          <t>SOLLEFTEÅ</t>
        </is>
      </c>
      <c r="F670" t="inlineStr">
        <is>
          <t>SCA</t>
        </is>
      </c>
      <c r="G670" t="n">
        <v>0.3</v>
      </c>
      <c r="H670" t="n">
        <v>0</v>
      </c>
      <c r="I670" t="n">
        <v>0</v>
      </c>
      <c r="J670" t="n">
        <v>0</v>
      </c>
      <c r="K670" t="n">
        <v>0</v>
      </c>
      <c r="L670" t="n">
        <v>0</v>
      </c>
      <c r="M670" t="n">
        <v>0</v>
      </c>
      <c r="N670" t="n">
        <v>0</v>
      </c>
      <c r="O670" t="n">
        <v>0</v>
      </c>
      <c r="P670" t="n">
        <v>0</v>
      </c>
      <c r="Q670" t="n">
        <v>0</v>
      </c>
      <c r="R670" s="2" t="inlineStr"/>
    </row>
    <row r="671" ht="15" customHeight="1">
      <c r="A671" t="inlineStr">
        <is>
          <t>A 17173-2024</t>
        </is>
      </c>
      <c r="B671" s="1" t="n">
        <v>45412.97866898148</v>
      </c>
      <c r="C671" s="1" t="n">
        <v>45964</v>
      </c>
      <c r="D671" t="inlineStr">
        <is>
          <t>VÄSTERNORRLANDS LÄN</t>
        </is>
      </c>
      <c r="E671" t="inlineStr">
        <is>
          <t>SOLLEFTEÅ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35502-2024</t>
        </is>
      </c>
      <c r="B672" s="1" t="n">
        <v>45531</v>
      </c>
      <c r="C672" s="1" t="n">
        <v>45964</v>
      </c>
      <c r="D672" t="inlineStr">
        <is>
          <t>VÄSTERNORRLANDS LÄN</t>
        </is>
      </c>
      <c r="E672" t="inlineStr">
        <is>
          <t>SOLLEFTEÅ</t>
        </is>
      </c>
      <c r="F672" t="inlineStr">
        <is>
          <t>Övriga Aktiebolag</t>
        </is>
      </c>
      <c r="G672" t="n">
        <v>1.1</v>
      </c>
      <c r="H672" t="n">
        <v>0</v>
      </c>
      <c r="I672" t="n">
        <v>0</v>
      </c>
      <c r="J672" t="n">
        <v>0</v>
      </c>
      <c r="K672" t="n">
        <v>0</v>
      </c>
      <c r="L672" t="n">
        <v>0</v>
      </c>
      <c r="M672" t="n">
        <v>0</v>
      </c>
      <c r="N672" t="n">
        <v>0</v>
      </c>
      <c r="O672" t="n">
        <v>0</v>
      </c>
      <c r="P672" t="n">
        <v>0</v>
      </c>
      <c r="Q672" t="n">
        <v>0</v>
      </c>
      <c r="R672" s="2" t="inlineStr"/>
    </row>
    <row r="673" ht="15" customHeight="1">
      <c r="A673" t="inlineStr">
        <is>
          <t>A 35509-2024</t>
        </is>
      </c>
      <c r="B673" s="1" t="n">
        <v>45531</v>
      </c>
      <c r="C673" s="1" t="n">
        <v>45964</v>
      </c>
      <c r="D673" t="inlineStr">
        <is>
          <t>VÄSTERNORRLANDS LÄN</t>
        </is>
      </c>
      <c r="E673" t="inlineStr">
        <is>
          <t>SOLLEFTEÅ</t>
        </is>
      </c>
      <c r="G673" t="n">
        <v>2.5</v>
      </c>
      <c r="H673" t="n">
        <v>0</v>
      </c>
      <c r="I673" t="n">
        <v>0</v>
      </c>
      <c r="J673" t="n">
        <v>0</v>
      </c>
      <c r="K673" t="n">
        <v>0</v>
      </c>
      <c r="L673" t="n">
        <v>0</v>
      </c>
      <c r="M673" t="n">
        <v>0</v>
      </c>
      <c r="N673" t="n">
        <v>0</v>
      </c>
      <c r="O673" t="n">
        <v>0</v>
      </c>
      <c r="P673" t="n">
        <v>0</v>
      </c>
      <c r="Q673" t="n">
        <v>0</v>
      </c>
      <c r="R673" s="2" t="inlineStr"/>
    </row>
    <row r="674" ht="15" customHeight="1">
      <c r="A674" t="inlineStr">
        <is>
          <t>A 656-2024</t>
        </is>
      </c>
      <c r="B674" s="1" t="n">
        <v>45299</v>
      </c>
      <c r="C674" s="1" t="n">
        <v>45964</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27572-2022</t>
        </is>
      </c>
      <c r="B675" s="1" t="n">
        <v>44742.94329861111</v>
      </c>
      <c r="C675" s="1" t="n">
        <v>45964</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48083-2023</t>
        </is>
      </c>
      <c r="B676" s="1" t="n">
        <v>45204</v>
      </c>
      <c r="C676" s="1" t="n">
        <v>45964</v>
      </c>
      <c r="D676" t="inlineStr">
        <is>
          <t>VÄSTERNORRLANDS LÄN</t>
        </is>
      </c>
      <c r="E676" t="inlineStr">
        <is>
          <t>SOLLEFTEÅ</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53120-2024</t>
        </is>
      </c>
      <c r="B677" s="1" t="n">
        <v>45611</v>
      </c>
      <c r="C677" s="1" t="n">
        <v>45964</v>
      </c>
      <c r="D677" t="inlineStr">
        <is>
          <t>VÄSTERNORRLANDS LÄN</t>
        </is>
      </c>
      <c r="E677" t="inlineStr">
        <is>
          <t>SOLLEFTEÅ</t>
        </is>
      </c>
      <c r="G677" t="n">
        <v>2.5</v>
      </c>
      <c r="H677" t="n">
        <v>0</v>
      </c>
      <c r="I677" t="n">
        <v>0</v>
      </c>
      <c r="J677" t="n">
        <v>0</v>
      </c>
      <c r="K677" t="n">
        <v>0</v>
      </c>
      <c r="L677" t="n">
        <v>0</v>
      </c>
      <c r="M677" t="n">
        <v>0</v>
      </c>
      <c r="N677" t="n">
        <v>0</v>
      </c>
      <c r="O677" t="n">
        <v>0</v>
      </c>
      <c r="P677" t="n">
        <v>0</v>
      </c>
      <c r="Q677" t="n">
        <v>0</v>
      </c>
      <c r="R677" s="2" t="inlineStr"/>
    </row>
    <row r="678" ht="15" customHeight="1">
      <c r="A678" t="inlineStr">
        <is>
          <t>A 57518-2023</t>
        </is>
      </c>
      <c r="B678" s="1" t="n">
        <v>45242</v>
      </c>
      <c r="C678" s="1" t="n">
        <v>45964</v>
      </c>
      <c r="D678" t="inlineStr">
        <is>
          <t>VÄSTERNORRLANDS LÄN</t>
        </is>
      </c>
      <c r="E678" t="inlineStr">
        <is>
          <t>SOLLEFTEÅ</t>
        </is>
      </c>
      <c r="G678" t="n">
        <v>3.7</v>
      </c>
      <c r="H678" t="n">
        <v>0</v>
      </c>
      <c r="I678" t="n">
        <v>0</v>
      </c>
      <c r="J678" t="n">
        <v>0</v>
      </c>
      <c r="K678" t="n">
        <v>0</v>
      </c>
      <c r="L678" t="n">
        <v>0</v>
      </c>
      <c r="M678" t="n">
        <v>0</v>
      </c>
      <c r="N678" t="n">
        <v>0</v>
      </c>
      <c r="O678" t="n">
        <v>0</v>
      </c>
      <c r="P678" t="n">
        <v>0</v>
      </c>
      <c r="Q678" t="n">
        <v>0</v>
      </c>
      <c r="R678" s="2" t="inlineStr"/>
    </row>
    <row r="679" ht="15" customHeight="1">
      <c r="A679" t="inlineStr">
        <is>
          <t>A 154-2025</t>
        </is>
      </c>
      <c r="B679" s="1" t="n">
        <v>45659</v>
      </c>
      <c r="C679" s="1" t="n">
        <v>45964</v>
      </c>
      <c r="D679" t="inlineStr">
        <is>
          <t>VÄSTERNORRLANDS LÄN</t>
        </is>
      </c>
      <c r="E679" t="inlineStr">
        <is>
          <t>SOLLEFTEÅ</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5862-2025</t>
        </is>
      </c>
      <c r="B680" s="1" t="n">
        <v>45695.35061342592</v>
      </c>
      <c r="C680" s="1" t="n">
        <v>45964</v>
      </c>
      <c r="D680" t="inlineStr">
        <is>
          <t>VÄSTERNORRLANDS LÄN</t>
        </is>
      </c>
      <c r="E680" t="inlineStr">
        <is>
          <t>SOLLEFTEÅ</t>
        </is>
      </c>
      <c r="F680" t="inlineStr">
        <is>
          <t>Holmen skog AB</t>
        </is>
      </c>
      <c r="G680" t="n">
        <v>0.3</v>
      </c>
      <c r="H680" t="n">
        <v>0</v>
      </c>
      <c r="I680" t="n">
        <v>0</v>
      </c>
      <c r="J680" t="n">
        <v>0</v>
      </c>
      <c r="K680" t="n">
        <v>0</v>
      </c>
      <c r="L680" t="n">
        <v>0</v>
      </c>
      <c r="M680" t="n">
        <v>0</v>
      </c>
      <c r="N680" t="n">
        <v>0</v>
      </c>
      <c r="O680" t="n">
        <v>0</v>
      </c>
      <c r="P680" t="n">
        <v>0</v>
      </c>
      <c r="Q680" t="n">
        <v>0</v>
      </c>
      <c r="R680" s="2" t="inlineStr"/>
    </row>
    <row r="681" ht="15" customHeight="1">
      <c r="A681" t="inlineStr">
        <is>
          <t>A 31477-2024</t>
        </is>
      </c>
      <c r="B681" s="1" t="n">
        <v>45505</v>
      </c>
      <c r="C681" s="1" t="n">
        <v>45964</v>
      </c>
      <c r="D681" t="inlineStr">
        <is>
          <t>VÄSTERNORRLANDS LÄN</t>
        </is>
      </c>
      <c r="E681" t="inlineStr">
        <is>
          <t>SOLLEFTEÅ</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1480-2025</t>
        </is>
      </c>
      <c r="B682" s="1" t="n">
        <v>45670.38575231482</v>
      </c>
      <c r="C682" s="1" t="n">
        <v>45964</v>
      </c>
      <c r="D682" t="inlineStr">
        <is>
          <t>VÄSTERNORRLANDS LÄN</t>
        </is>
      </c>
      <c r="E682" t="inlineStr">
        <is>
          <t>SOLLEFTEÅ</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31537-2024</t>
        </is>
      </c>
      <c r="B683" s="1" t="n">
        <v>45505.96146990741</v>
      </c>
      <c r="C683" s="1" t="n">
        <v>45964</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39495-2023</t>
        </is>
      </c>
      <c r="B684" s="1" t="n">
        <v>45166.95712962963</v>
      </c>
      <c r="C684" s="1" t="n">
        <v>45964</v>
      </c>
      <c r="D684" t="inlineStr">
        <is>
          <t>VÄSTERNORRLANDS LÄN</t>
        </is>
      </c>
      <c r="E684" t="inlineStr">
        <is>
          <t>SOLLEFTEÅ</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4261-2025</t>
        </is>
      </c>
      <c r="B685" s="1" t="n">
        <v>45685.61785879629</v>
      </c>
      <c r="C685" s="1" t="n">
        <v>45964</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47175-2024</t>
        </is>
      </c>
      <c r="B686" s="1" t="n">
        <v>45586</v>
      </c>
      <c r="C686" s="1" t="n">
        <v>45964</v>
      </c>
      <c r="D686" t="inlineStr">
        <is>
          <t>VÄSTERNORRLANDS LÄN</t>
        </is>
      </c>
      <c r="E686" t="inlineStr">
        <is>
          <t>SOLLEFTEÅ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41834-2024</t>
        </is>
      </c>
      <c r="B687" s="1" t="n">
        <v>45561.4084375</v>
      </c>
      <c r="C687" s="1" t="n">
        <v>45964</v>
      </c>
      <c r="D687" t="inlineStr">
        <is>
          <t>VÄSTERNORRLANDS LÄN</t>
        </is>
      </c>
      <c r="E687" t="inlineStr">
        <is>
          <t>SOLLEFTEÅ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41975-2024</t>
        </is>
      </c>
      <c r="B688" s="1" t="n">
        <v>45561</v>
      </c>
      <c r="C688" s="1" t="n">
        <v>45964</v>
      </c>
      <c r="D688" t="inlineStr">
        <is>
          <t>VÄSTERNORRLANDS LÄN</t>
        </is>
      </c>
      <c r="E688" t="inlineStr">
        <is>
          <t>SOLLEFTEÅ</t>
        </is>
      </c>
      <c r="G688" t="n">
        <v>5.4</v>
      </c>
      <c r="H688" t="n">
        <v>0</v>
      </c>
      <c r="I688" t="n">
        <v>0</v>
      </c>
      <c r="J688" t="n">
        <v>0</v>
      </c>
      <c r="K688" t="n">
        <v>0</v>
      </c>
      <c r="L688" t="n">
        <v>0</v>
      </c>
      <c r="M688" t="n">
        <v>0</v>
      </c>
      <c r="N688" t="n">
        <v>0</v>
      </c>
      <c r="O688" t="n">
        <v>0</v>
      </c>
      <c r="P688" t="n">
        <v>0</v>
      </c>
      <c r="Q688" t="n">
        <v>0</v>
      </c>
      <c r="R688" s="2" t="inlineStr"/>
    </row>
    <row r="689" ht="15" customHeight="1">
      <c r="A689" t="inlineStr">
        <is>
          <t>A 10140-2022</t>
        </is>
      </c>
      <c r="B689" s="1" t="n">
        <v>44621</v>
      </c>
      <c r="C689" s="1" t="n">
        <v>45964</v>
      </c>
      <c r="D689" t="inlineStr">
        <is>
          <t>VÄSTERNORRLANDS LÄN</t>
        </is>
      </c>
      <c r="E689" t="inlineStr">
        <is>
          <t>SOLLEFTEÅ</t>
        </is>
      </c>
      <c r="F689" t="inlineStr">
        <is>
          <t>SCA</t>
        </is>
      </c>
      <c r="G689" t="n">
        <v>7.8</v>
      </c>
      <c r="H689" t="n">
        <v>0</v>
      </c>
      <c r="I689" t="n">
        <v>0</v>
      </c>
      <c r="J689" t="n">
        <v>0</v>
      </c>
      <c r="K689" t="n">
        <v>0</v>
      </c>
      <c r="L689" t="n">
        <v>0</v>
      </c>
      <c r="M689" t="n">
        <v>0</v>
      </c>
      <c r="N689" t="n">
        <v>0</v>
      </c>
      <c r="O689" t="n">
        <v>0</v>
      </c>
      <c r="P689" t="n">
        <v>0</v>
      </c>
      <c r="Q689" t="n">
        <v>0</v>
      </c>
      <c r="R689" s="2" t="inlineStr"/>
    </row>
    <row r="690" ht="15" customHeight="1">
      <c r="A690" t="inlineStr">
        <is>
          <t>A 46973-2024</t>
        </is>
      </c>
      <c r="B690" s="1" t="n">
        <v>45586.34424768519</v>
      </c>
      <c r="C690" s="1" t="n">
        <v>45964</v>
      </c>
      <c r="D690" t="inlineStr">
        <is>
          <t>VÄSTERNORRLANDS LÄN</t>
        </is>
      </c>
      <c r="E690" t="inlineStr">
        <is>
          <t>SOLLEFTEÅ</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58845-2024</t>
        </is>
      </c>
      <c r="B691" s="1" t="n">
        <v>45636.3862037037</v>
      </c>
      <c r="C691" s="1" t="n">
        <v>45964</v>
      </c>
      <c r="D691" t="inlineStr">
        <is>
          <t>VÄSTERNORRLANDS LÄN</t>
        </is>
      </c>
      <c r="E691" t="inlineStr">
        <is>
          <t>SOLLEFTEÅ</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2114-2023</t>
        </is>
      </c>
      <c r="B692" s="1" t="n">
        <v>44939.93809027778</v>
      </c>
      <c r="C692" s="1" t="n">
        <v>45964</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56388-2024</t>
        </is>
      </c>
      <c r="B693" s="1" t="n">
        <v>45625.34449074074</v>
      </c>
      <c r="C693" s="1" t="n">
        <v>45964</v>
      </c>
      <c r="D693" t="inlineStr">
        <is>
          <t>VÄSTERNORRLANDS LÄN</t>
        </is>
      </c>
      <c r="E693" t="inlineStr">
        <is>
          <t>SOLLEFTEÅ</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55756-2024</t>
        </is>
      </c>
      <c r="B694" s="1" t="n">
        <v>45623</v>
      </c>
      <c r="C694" s="1" t="n">
        <v>45964</v>
      </c>
      <c r="D694" t="inlineStr">
        <is>
          <t>VÄSTERNORRLANDS LÄN</t>
        </is>
      </c>
      <c r="E694" t="inlineStr">
        <is>
          <t>SOLLEFTEÅ</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55769-2024</t>
        </is>
      </c>
      <c r="B695" s="1" t="n">
        <v>45623.38574074074</v>
      </c>
      <c r="C695" s="1" t="n">
        <v>45964</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55824-2024</t>
        </is>
      </c>
      <c r="B696" s="1" t="n">
        <v>45623.47813657407</v>
      </c>
      <c r="C696" s="1" t="n">
        <v>45964</v>
      </c>
      <c r="D696" t="inlineStr">
        <is>
          <t>VÄSTERNORRLANDS LÄN</t>
        </is>
      </c>
      <c r="E696" t="inlineStr">
        <is>
          <t>SOLLEFTEÅ</t>
        </is>
      </c>
      <c r="G696" t="n">
        <v>4.5</v>
      </c>
      <c r="H696" t="n">
        <v>0</v>
      </c>
      <c r="I696" t="n">
        <v>0</v>
      </c>
      <c r="J696" t="n">
        <v>0</v>
      </c>
      <c r="K696" t="n">
        <v>0</v>
      </c>
      <c r="L696" t="n">
        <v>0</v>
      </c>
      <c r="M696" t="n">
        <v>0</v>
      </c>
      <c r="N696" t="n">
        <v>0</v>
      </c>
      <c r="O696" t="n">
        <v>0</v>
      </c>
      <c r="P696" t="n">
        <v>0</v>
      </c>
      <c r="Q696" t="n">
        <v>0</v>
      </c>
      <c r="R696" s="2" t="inlineStr"/>
    </row>
    <row r="697" ht="15" customHeight="1">
      <c r="A697" t="inlineStr">
        <is>
          <t>A 53939-2023</t>
        </is>
      </c>
      <c r="B697" s="1" t="n">
        <v>45224</v>
      </c>
      <c r="C697" s="1" t="n">
        <v>45964</v>
      </c>
      <c r="D697" t="inlineStr">
        <is>
          <t>VÄSTERNORRLANDS LÄN</t>
        </is>
      </c>
      <c r="E697" t="inlineStr">
        <is>
          <t>SOLLEFTEÅ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41924-2023</t>
        </is>
      </c>
      <c r="B698" s="1" t="n">
        <v>45176</v>
      </c>
      <c r="C698" s="1" t="n">
        <v>45964</v>
      </c>
      <c r="D698" t="inlineStr">
        <is>
          <t>VÄSTERNORRLANDS LÄN</t>
        </is>
      </c>
      <c r="E698" t="inlineStr">
        <is>
          <t>SOLLEFTEÅ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62357-2023</t>
        </is>
      </c>
      <c r="B699" s="1" t="n">
        <v>45267.95109953704</v>
      </c>
      <c r="C699" s="1" t="n">
        <v>45964</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35872-2024</t>
        </is>
      </c>
      <c r="B700" s="1" t="n">
        <v>45533</v>
      </c>
      <c r="C700" s="1" t="n">
        <v>45964</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21582-2022</t>
        </is>
      </c>
      <c r="B701" s="1" t="n">
        <v>44706</v>
      </c>
      <c r="C701" s="1" t="n">
        <v>45964</v>
      </c>
      <c r="D701" t="inlineStr">
        <is>
          <t>VÄSTERNORRLANDS LÄN</t>
        </is>
      </c>
      <c r="E701" t="inlineStr">
        <is>
          <t>SOLLEFTEÅ</t>
        </is>
      </c>
      <c r="G701" t="n">
        <v>3.8</v>
      </c>
      <c r="H701" t="n">
        <v>0</v>
      </c>
      <c r="I701" t="n">
        <v>0</v>
      </c>
      <c r="J701" t="n">
        <v>0</v>
      </c>
      <c r="K701" t="n">
        <v>0</v>
      </c>
      <c r="L701" t="n">
        <v>0</v>
      </c>
      <c r="M701" t="n">
        <v>0</v>
      </c>
      <c r="N701" t="n">
        <v>0</v>
      </c>
      <c r="O701" t="n">
        <v>0</v>
      </c>
      <c r="P701" t="n">
        <v>0</v>
      </c>
      <c r="Q701" t="n">
        <v>0</v>
      </c>
      <c r="R701" s="2" t="inlineStr"/>
    </row>
    <row r="702" ht="15" customHeight="1">
      <c r="A702" t="inlineStr">
        <is>
          <t>A 13858-2025</t>
        </is>
      </c>
      <c r="B702" s="1" t="n">
        <v>45737.57341435185</v>
      </c>
      <c r="C702" s="1" t="n">
        <v>45964</v>
      </c>
      <c r="D702" t="inlineStr">
        <is>
          <t>VÄSTERNORRLANDS LÄN</t>
        </is>
      </c>
      <c r="E702" t="inlineStr">
        <is>
          <t>SOLLEFTEÅ</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31914-2023</t>
        </is>
      </c>
      <c r="B703" s="1" t="n">
        <v>45118</v>
      </c>
      <c r="C703" s="1" t="n">
        <v>45964</v>
      </c>
      <c r="D703" t="inlineStr">
        <is>
          <t>VÄSTERNORRLANDS LÄN</t>
        </is>
      </c>
      <c r="E703" t="inlineStr">
        <is>
          <t>SOLLEFTEÅ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8038-2024</t>
        </is>
      </c>
      <c r="B704" s="1" t="n">
        <v>45350</v>
      </c>
      <c r="C704" s="1" t="n">
        <v>45964</v>
      </c>
      <c r="D704" t="inlineStr">
        <is>
          <t>VÄSTERNORRLANDS LÄN</t>
        </is>
      </c>
      <c r="E704" t="inlineStr">
        <is>
          <t>SOLLEFTEÅ</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8039-2024</t>
        </is>
      </c>
      <c r="B705" s="1" t="n">
        <v>45350</v>
      </c>
      <c r="C705" s="1" t="n">
        <v>45964</v>
      </c>
      <c r="D705" t="inlineStr">
        <is>
          <t>VÄSTERNORRLANDS LÄN</t>
        </is>
      </c>
      <c r="E705" t="inlineStr">
        <is>
          <t>SOLLEFTEÅ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16312-2025</t>
        </is>
      </c>
      <c r="B706" s="1" t="n">
        <v>45751.3474074074</v>
      </c>
      <c r="C706" s="1" t="n">
        <v>45964</v>
      </c>
      <c r="D706" t="inlineStr">
        <is>
          <t>VÄSTERNORRLANDS LÄN</t>
        </is>
      </c>
      <c r="E706" t="inlineStr">
        <is>
          <t>SOLLEFTEÅ</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45118-2022</t>
        </is>
      </c>
      <c r="B707" s="1" t="n">
        <v>44843</v>
      </c>
      <c r="C707" s="1" t="n">
        <v>45964</v>
      </c>
      <c r="D707" t="inlineStr">
        <is>
          <t>VÄSTERNORRLANDS LÄN</t>
        </is>
      </c>
      <c r="E707" t="inlineStr">
        <is>
          <t>SOLLEFTEÅ</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12683-2025</t>
        </is>
      </c>
      <c r="B708" s="1" t="n">
        <v>45733.44483796296</v>
      </c>
      <c r="C708" s="1" t="n">
        <v>45964</v>
      </c>
      <c r="D708" t="inlineStr">
        <is>
          <t>VÄSTERNORRLANDS LÄN</t>
        </is>
      </c>
      <c r="E708" t="inlineStr">
        <is>
          <t>SOLLEFTEÅ</t>
        </is>
      </c>
      <c r="G708" t="n">
        <v>2</v>
      </c>
      <c r="H708" t="n">
        <v>0</v>
      </c>
      <c r="I708" t="n">
        <v>0</v>
      </c>
      <c r="J708" t="n">
        <v>0</v>
      </c>
      <c r="K708" t="n">
        <v>0</v>
      </c>
      <c r="L708" t="n">
        <v>0</v>
      </c>
      <c r="M708" t="n">
        <v>0</v>
      </c>
      <c r="N708" t="n">
        <v>0</v>
      </c>
      <c r="O708" t="n">
        <v>0</v>
      </c>
      <c r="P708" t="n">
        <v>0</v>
      </c>
      <c r="Q708" t="n">
        <v>0</v>
      </c>
      <c r="R708" s="2" t="inlineStr"/>
    </row>
    <row r="709" ht="15" customHeight="1">
      <c r="A709" t="inlineStr">
        <is>
          <t>A 19949-2025</t>
        </is>
      </c>
      <c r="B709" s="1" t="n">
        <v>45771.65688657408</v>
      </c>
      <c r="C709" s="1" t="n">
        <v>45964</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48021-2024</t>
        </is>
      </c>
      <c r="B710" s="1" t="n">
        <v>45589.47032407407</v>
      </c>
      <c r="C710" s="1" t="n">
        <v>45964</v>
      </c>
      <c r="D710" t="inlineStr">
        <is>
          <t>VÄSTERNORRLANDS LÄN</t>
        </is>
      </c>
      <c r="E710" t="inlineStr">
        <is>
          <t>SOLLEFTEÅ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3873-2025</t>
        </is>
      </c>
      <c r="B711" s="1" t="n">
        <v>45684</v>
      </c>
      <c r="C711" s="1" t="n">
        <v>45964</v>
      </c>
      <c r="D711" t="inlineStr">
        <is>
          <t>VÄSTERNORRLANDS LÄN</t>
        </is>
      </c>
      <c r="E711" t="inlineStr">
        <is>
          <t>SOLLEFTEÅ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58478-2021</t>
        </is>
      </c>
      <c r="B712" s="1" t="n">
        <v>44488</v>
      </c>
      <c r="C712" s="1" t="n">
        <v>45964</v>
      </c>
      <c r="D712" t="inlineStr">
        <is>
          <t>VÄSTERNORRLANDS LÄN</t>
        </is>
      </c>
      <c r="E712" t="inlineStr">
        <is>
          <t>SOLLEFTEÅ</t>
        </is>
      </c>
      <c r="G712" t="n">
        <v>9.5</v>
      </c>
      <c r="H712" t="n">
        <v>0</v>
      </c>
      <c r="I712" t="n">
        <v>0</v>
      </c>
      <c r="J712" t="n">
        <v>0</v>
      </c>
      <c r="K712" t="n">
        <v>0</v>
      </c>
      <c r="L712" t="n">
        <v>0</v>
      </c>
      <c r="M712" t="n">
        <v>0</v>
      </c>
      <c r="N712" t="n">
        <v>0</v>
      </c>
      <c r="O712" t="n">
        <v>0</v>
      </c>
      <c r="P712" t="n">
        <v>0</v>
      </c>
      <c r="Q712" t="n">
        <v>0</v>
      </c>
      <c r="R712" s="2" t="inlineStr"/>
    </row>
    <row r="713" ht="15" customHeight="1">
      <c r="A713" t="inlineStr">
        <is>
          <t>A 19489-2025</t>
        </is>
      </c>
      <c r="B713" s="1" t="n">
        <v>45770.38847222222</v>
      </c>
      <c r="C713" s="1" t="n">
        <v>45964</v>
      </c>
      <c r="D713" t="inlineStr">
        <is>
          <t>VÄSTERNORRLANDS LÄN</t>
        </is>
      </c>
      <c r="E713" t="inlineStr">
        <is>
          <t>SOLLEFTEÅ</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19429-2024</t>
        </is>
      </c>
      <c r="B714" s="1" t="n">
        <v>45429</v>
      </c>
      <c r="C714" s="1" t="n">
        <v>45964</v>
      </c>
      <c r="D714" t="inlineStr">
        <is>
          <t>VÄSTERNORRLANDS LÄN</t>
        </is>
      </c>
      <c r="E714" t="inlineStr">
        <is>
          <t>SOLLEFTEÅ</t>
        </is>
      </c>
      <c r="G714" t="n">
        <v>10.6</v>
      </c>
      <c r="H714" t="n">
        <v>0</v>
      </c>
      <c r="I714" t="n">
        <v>0</v>
      </c>
      <c r="J714" t="n">
        <v>0</v>
      </c>
      <c r="K714" t="n">
        <v>0</v>
      </c>
      <c r="L714" t="n">
        <v>0</v>
      </c>
      <c r="M714" t="n">
        <v>0</v>
      </c>
      <c r="N714" t="n">
        <v>0</v>
      </c>
      <c r="O714" t="n">
        <v>0</v>
      </c>
      <c r="P714" t="n">
        <v>0</v>
      </c>
      <c r="Q714" t="n">
        <v>0</v>
      </c>
      <c r="R714" s="2" t="inlineStr"/>
    </row>
    <row r="715" ht="15" customHeight="1">
      <c r="A715" t="inlineStr">
        <is>
          <t>A 8893-2025</t>
        </is>
      </c>
      <c r="B715" s="1" t="n">
        <v>45713.4065162037</v>
      </c>
      <c r="C715" s="1" t="n">
        <v>45964</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8894-2025</t>
        </is>
      </c>
      <c r="B716" s="1" t="n">
        <v>45713.40665509259</v>
      </c>
      <c r="C716" s="1" t="n">
        <v>45964</v>
      </c>
      <c r="D716" t="inlineStr">
        <is>
          <t>VÄSTERNORRLANDS LÄN</t>
        </is>
      </c>
      <c r="E716" t="inlineStr">
        <is>
          <t>SOLLEFTEÅ</t>
        </is>
      </c>
      <c r="G716" t="n">
        <v>8.4</v>
      </c>
      <c r="H716" t="n">
        <v>0</v>
      </c>
      <c r="I716" t="n">
        <v>0</v>
      </c>
      <c r="J716" t="n">
        <v>0</v>
      </c>
      <c r="K716" t="n">
        <v>0</v>
      </c>
      <c r="L716" t="n">
        <v>0</v>
      </c>
      <c r="M716" t="n">
        <v>0</v>
      </c>
      <c r="N716" t="n">
        <v>0</v>
      </c>
      <c r="O716" t="n">
        <v>0</v>
      </c>
      <c r="P716" t="n">
        <v>0</v>
      </c>
      <c r="Q716" t="n">
        <v>0</v>
      </c>
      <c r="R716" s="2" t="inlineStr"/>
    </row>
    <row r="717" ht="15" customHeight="1">
      <c r="A717" t="inlineStr">
        <is>
          <t>A 3276-2025</t>
        </is>
      </c>
      <c r="B717" s="1" t="n">
        <v>45679.59986111111</v>
      </c>
      <c r="C717" s="1" t="n">
        <v>45964</v>
      </c>
      <c r="D717" t="inlineStr">
        <is>
          <t>VÄSTERNORRLANDS LÄN</t>
        </is>
      </c>
      <c r="E717" t="inlineStr">
        <is>
          <t>SOLLEFTEÅ</t>
        </is>
      </c>
      <c r="G717" t="n">
        <v>4.2</v>
      </c>
      <c r="H717" t="n">
        <v>0</v>
      </c>
      <c r="I717" t="n">
        <v>0</v>
      </c>
      <c r="J717" t="n">
        <v>0</v>
      </c>
      <c r="K717" t="n">
        <v>0</v>
      </c>
      <c r="L717" t="n">
        <v>0</v>
      </c>
      <c r="M717" t="n">
        <v>0</v>
      </c>
      <c r="N717" t="n">
        <v>0</v>
      </c>
      <c r="O717" t="n">
        <v>0</v>
      </c>
      <c r="P717" t="n">
        <v>0</v>
      </c>
      <c r="Q717" t="n">
        <v>0</v>
      </c>
      <c r="R717" s="2" t="inlineStr"/>
    </row>
    <row r="718" ht="15" customHeight="1">
      <c r="A718" t="inlineStr">
        <is>
          <t>A 35217-2024</t>
        </is>
      </c>
      <c r="B718" s="1" t="n">
        <v>45530</v>
      </c>
      <c r="C718" s="1" t="n">
        <v>45964</v>
      </c>
      <c r="D718" t="inlineStr">
        <is>
          <t>VÄSTERNORRLANDS LÄN</t>
        </is>
      </c>
      <c r="E718" t="inlineStr">
        <is>
          <t>SOLLEFTEÅ</t>
        </is>
      </c>
      <c r="F718" t="inlineStr">
        <is>
          <t>Kommuner</t>
        </is>
      </c>
      <c r="G718" t="n">
        <v>4.8</v>
      </c>
      <c r="H718" t="n">
        <v>0</v>
      </c>
      <c r="I718" t="n">
        <v>0</v>
      </c>
      <c r="J718" t="n">
        <v>0</v>
      </c>
      <c r="K718" t="n">
        <v>0</v>
      </c>
      <c r="L718" t="n">
        <v>0</v>
      </c>
      <c r="M718" t="n">
        <v>0</v>
      </c>
      <c r="N718" t="n">
        <v>0</v>
      </c>
      <c r="O718" t="n">
        <v>0</v>
      </c>
      <c r="P718" t="n">
        <v>0</v>
      </c>
      <c r="Q718" t="n">
        <v>0</v>
      </c>
      <c r="R718" s="2" t="inlineStr"/>
    </row>
    <row r="719" ht="15" customHeight="1">
      <c r="A719" t="inlineStr">
        <is>
          <t>A 16564-2025</t>
        </is>
      </c>
      <c r="B719" s="1" t="n">
        <v>45752</v>
      </c>
      <c r="C719" s="1" t="n">
        <v>45964</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49771-2024</t>
        </is>
      </c>
      <c r="B720" s="1" t="n">
        <v>45597.34481481482</v>
      </c>
      <c r="C720" s="1" t="n">
        <v>45964</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49772-2024</t>
        </is>
      </c>
      <c r="B721" s="1" t="n">
        <v>45597.34483796296</v>
      </c>
      <c r="C721" s="1" t="n">
        <v>45964</v>
      </c>
      <c r="D721" t="inlineStr">
        <is>
          <t>VÄSTERNORRLANDS LÄN</t>
        </is>
      </c>
      <c r="E721" t="inlineStr">
        <is>
          <t>SOLLEFTEÅ</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71580-2021</t>
        </is>
      </c>
      <c r="B722" s="1" t="n">
        <v>44540</v>
      </c>
      <c r="C722" s="1" t="n">
        <v>45964</v>
      </c>
      <c r="D722" t="inlineStr">
        <is>
          <t>VÄSTERNORRLANDS LÄN</t>
        </is>
      </c>
      <c r="E722" t="inlineStr">
        <is>
          <t>SOLLEFTEÅ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61616-2024</t>
        </is>
      </c>
      <c r="B723" s="1" t="n">
        <v>45645</v>
      </c>
      <c r="C723" s="1" t="n">
        <v>45964</v>
      </c>
      <c r="D723" t="inlineStr">
        <is>
          <t>VÄSTERNORRLANDS LÄN</t>
        </is>
      </c>
      <c r="E723" t="inlineStr">
        <is>
          <t>SOLLEFTEÅ</t>
        </is>
      </c>
      <c r="G723" t="n">
        <v>6.5</v>
      </c>
      <c r="H723" t="n">
        <v>0</v>
      </c>
      <c r="I723" t="n">
        <v>0</v>
      </c>
      <c r="J723" t="n">
        <v>0</v>
      </c>
      <c r="K723" t="n">
        <v>0</v>
      </c>
      <c r="L723" t="n">
        <v>0</v>
      </c>
      <c r="M723" t="n">
        <v>0</v>
      </c>
      <c r="N723" t="n">
        <v>0</v>
      </c>
      <c r="O723" t="n">
        <v>0</v>
      </c>
      <c r="P723" t="n">
        <v>0</v>
      </c>
      <c r="Q723" t="n">
        <v>0</v>
      </c>
      <c r="R723" s="2" t="inlineStr"/>
    </row>
    <row r="724" ht="15" customHeight="1">
      <c r="A724" t="inlineStr">
        <is>
          <t>A 5038-2024</t>
        </is>
      </c>
      <c r="B724" s="1" t="n">
        <v>45329.88456018519</v>
      </c>
      <c r="C724" s="1" t="n">
        <v>45964</v>
      </c>
      <c r="D724" t="inlineStr">
        <is>
          <t>VÄSTERNORRLANDS LÄN</t>
        </is>
      </c>
      <c r="E724" t="inlineStr">
        <is>
          <t>SOLLEFTEÅ</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13315-2025</t>
        </is>
      </c>
      <c r="B725" s="1" t="n">
        <v>45735.59418981482</v>
      </c>
      <c r="C725" s="1" t="n">
        <v>45964</v>
      </c>
      <c r="D725" t="inlineStr">
        <is>
          <t>VÄSTERNORRLANDS LÄN</t>
        </is>
      </c>
      <c r="E725" t="inlineStr">
        <is>
          <t>SOLLEFTEÅ</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19577-2024</t>
        </is>
      </c>
      <c r="B726" s="1" t="n">
        <v>45429</v>
      </c>
      <c r="C726" s="1" t="n">
        <v>45964</v>
      </c>
      <c r="D726" t="inlineStr">
        <is>
          <t>VÄSTERNORRLANDS LÄN</t>
        </is>
      </c>
      <c r="E726" t="inlineStr">
        <is>
          <t>SOLLEFTEÅ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12135-2023</t>
        </is>
      </c>
      <c r="B727" s="1" t="n">
        <v>44995</v>
      </c>
      <c r="C727" s="1" t="n">
        <v>45964</v>
      </c>
      <c r="D727" t="inlineStr">
        <is>
          <t>VÄSTERNORRLANDS LÄN</t>
        </is>
      </c>
      <c r="E727" t="inlineStr">
        <is>
          <t>SOLLEFTEÅ</t>
        </is>
      </c>
      <c r="G727" t="n">
        <v>5.7</v>
      </c>
      <c r="H727" t="n">
        <v>0</v>
      </c>
      <c r="I727" t="n">
        <v>0</v>
      </c>
      <c r="J727" t="n">
        <v>0</v>
      </c>
      <c r="K727" t="n">
        <v>0</v>
      </c>
      <c r="L727" t="n">
        <v>0</v>
      </c>
      <c r="M727" t="n">
        <v>0</v>
      </c>
      <c r="N727" t="n">
        <v>0</v>
      </c>
      <c r="O727" t="n">
        <v>0</v>
      </c>
      <c r="P727" t="n">
        <v>0</v>
      </c>
      <c r="Q727" t="n">
        <v>0</v>
      </c>
      <c r="R727" s="2" t="inlineStr"/>
    </row>
    <row r="728" ht="15" customHeight="1">
      <c r="A728" t="inlineStr">
        <is>
          <t>A 47179-2024</t>
        </is>
      </c>
      <c r="B728" s="1" t="n">
        <v>45586.61634259259</v>
      </c>
      <c r="C728" s="1" t="n">
        <v>45964</v>
      </c>
      <c r="D728" t="inlineStr">
        <is>
          <t>VÄSTERNORRLANDS LÄN</t>
        </is>
      </c>
      <c r="E728" t="inlineStr">
        <is>
          <t>SOLLEFTEÅ</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60495-2024</t>
        </is>
      </c>
      <c r="B729" s="1" t="n">
        <v>45643.65700231482</v>
      </c>
      <c r="C729" s="1" t="n">
        <v>45964</v>
      </c>
      <c r="D729" t="inlineStr">
        <is>
          <t>VÄSTERNORRLANDS LÄN</t>
        </is>
      </c>
      <c r="E729" t="inlineStr">
        <is>
          <t>SOLLEFTEÅ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8653-2024</t>
        </is>
      </c>
      <c r="B730" s="1" t="n">
        <v>45356</v>
      </c>
      <c r="C730" s="1" t="n">
        <v>45964</v>
      </c>
      <c r="D730" t="inlineStr">
        <is>
          <t>VÄSTERNORRLANDS LÄN</t>
        </is>
      </c>
      <c r="E730" t="inlineStr">
        <is>
          <t>SOLLEFTEÅ</t>
        </is>
      </c>
      <c r="F730" t="inlineStr">
        <is>
          <t>SCA</t>
        </is>
      </c>
      <c r="G730" t="n">
        <v>67.8</v>
      </c>
      <c r="H730" t="n">
        <v>0</v>
      </c>
      <c r="I730" t="n">
        <v>0</v>
      </c>
      <c r="J730" t="n">
        <v>0</v>
      </c>
      <c r="K730" t="n">
        <v>0</v>
      </c>
      <c r="L730" t="n">
        <v>0</v>
      </c>
      <c r="M730" t="n">
        <v>0</v>
      </c>
      <c r="N730" t="n">
        <v>0</v>
      </c>
      <c r="O730" t="n">
        <v>0</v>
      </c>
      <c r="P730" t="n">
        <v>0</v>
      </c>
      <c r="Q730" t="n">
        <v>0</v>
      </c>
      <c r="R730" s="2" t="inlineStr"/>
    </row>
    <row r="731" ht="15" customHeight="1">
      <c r="A731" t="inlineStr">
        <is>
          <t>A 44554-2024</t>
        </is>
      </c>
      <c r="B731" s="1" t="n">
        <v>45574.46940972222</v>
      </c>
      <c r="C731" s="1" t="n">
        <v>45964</v>
      </c>
      <c r="D731" t="inlineStr">
        <is>
          <t>VÄSTERNORRLANDS LÄN</t>
        </is>
      </c>
      <c r="E731" t="inlineStr">
        <is>
          <t>SOLLEFTEÅ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32969-2022</t>
        </is>
      </c>
      <c r="B732" s="1" t="n">
        <v>44784.9402662037</v>
      </c>
      <c r="C732" s="1" t="n">
        <v>45964</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15260-2025</t>
        </is>
      </c>
      <c r="B733" s="1" t="n">
        <v>45744.65659722222</v>
      </c>
      <c r="C733" s="1" t="n">
        <v>45964</v>
      </c>
      <c r="D733" t="inlineStr">
        <is>
          <t>VÄSTERNORRLANDS LÄN</t>
        </is>
      </c>
      <c r="E733" t="inlineStr">
        <is>
          <t>SOLLEFTEÅ</t>
        </is>
      </c>
      <c r="F733" t="inlineStr">
        <is>
          <t>SCA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29292-2022</t>
        </is>
      </c>
      <c r="B734" s="1" t="n">
        <v>44750</v>
      </c>
      <c r="C734" s="1" t="n">
        <v>45964</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57080-2023</t>
        </is>
      </c>
      <c r="B735" s="1" t="n">
        <v>45244</v>
      </c>
      <c r="C735" s="1" t="n">
        <v>45964</v>
      </c>
      <c r="D735" t="inlineStr">
        <is>
          <t>VÄSTERNORRLANDS LÄN</t>
        </is>
      </c>
      <c r="E735" t="inlineStr">
        <is>
          <t>SOLLEFTEÅ</t>
        </is>
      </c>
      <c r="F735" t="inlineStr">
        <is>
          <t>SCA</t>
        </is>
      </c>
      <c r="G735" t="n">
        <v>5.8</v>
      </c>
      <c r="H735" t="n">
        <v>0</v>
      </c>
      <c r="I735" t="n">
        <v>0</v>
      </c>
      <c r="J735" t="n">
        <v>0</v>
      </c>
      <c r="K735" t="n">
        <v>0</v>
      </c>
      <c r="L735" t="n">
        <v>0</v>
      </c>
      <c r="M735" t="n">
        <v>0</v>
      </c>
      <c r="N735" t="n">
        <v>0</v>
      </c>
      <c r="O735" t="n">
        <v>0</v>
      </c>
      <c r="P735" t="n">
        <v>0</v>
      </c>
      <c r="Q735" t="n">
        <v>0</v>
      </c>
      <c r="R735" s="2" t="inlineStr"/>
    </row>
    <row r="736" ht="15" customHeight="1">
      <c r="A736" t="inlineStr">
        <is>
          <t>A 8729-2024</t>
        </is>
      </c>
      <c r="B736" s="1" t="n">
        <v>45356.43958333333</v>
      </c>
      <c r="C736" s="1" t="n">
        <v>45964</v>
      </c>
      <c r="D736" t="inlineStr">
        <is>
          <t>VÄSTERNORRLANDS LÄN</t>
        </is>
      </c>
      <c r="E736" t="inlineStr">
        <is>
          <t>SOLLEFTEÅ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1848-2024</t>
        </is>
      </c>
      <c r="B737" s="1" t="n">
        <v>45307</v>
      </c>
      <c r="C737" s="1" t="n">
        <v>45964</v>
      </c>
      <c r="D737" t="inlineStr">
        <is>
          <t>VÄSTERNORRLANDS LÄN</t>
        </is>
      </c>
      <c r="E737" t="inlineStr">
        <is>
          <t>SOLLEFTEÅ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53212-2024</t>
        </is>
      </c>
      <c r="B738" s="1" t="n">
        <v>45612.63576388889</v>
      </c>
      <c r="C738" s="1" t="n">
        <v>45964</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64013-2023</t>
        </is>
      </c>
      <c r="B739" s="1" t="n">
        <v>45278</v>
      </c>
      <c r="C739" s="1" t="n">
        <v>45964</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10077-2023</t>
        </is>
      </c>
      <c r="B740" s="1" t="n">
        <v>44985.94408564815</v>
      </c>
      <c r="C740" s="1" t="n">
        <v>45964</v>
      </c>
      <c r="D740" t="inlineStr">
        <is>
          <t>VÄSTERNORRLANDS LÄN</t>
        </is>
      </c>
      <c r="E740" t="inlineStr">
        <is>
          <t>SOLLEFTEÅ</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282-2023</t>
        </is>
      </c>
      <c r="B741" s="1" t="n">
        <v>44928</v>
      </c>
      <c r="C741" s="1" t="n">
        <v>45964</v>
      </c>
      <c r="D741" t="inlineStr">
        <is>
          <t>VÄSTERNORRLANDS LÄN</t>
        </is>
      </c>
      <c r="E741" t="inlineStr">
        <is>
          <t>SOLLEFTEÅ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36685-2024</t>
        </is>
      </c>
      <c r="B742" s="1" t="n">
        <v>45537.66467592592</v>
      </c>
      <c r="C742" s="1" t="n">
        <v>45964</v>
      </c>
      <c r="D742" t="inlineStr">
        <is>
          <t>VÄSTERNORRLANDS LÄN</t>
        </is>
      </c>
      <c r="E742" t="inlineStr">
        <is>
          <t>SOLLEFTEÅ</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9689-2024</t>
        </is>
      </c>
      <c r="B743" s="1" t="n">
        <v>45362</v>
      </c>
      <c r="C743" s="1" t="n">
        <v>45964</v>
      </c>
      <c r="D743" t="inlineStr">
        <is>
          <t>VÄSTERNORRLANDS LÄN</t>
        </is>
      </c>
      <c r="E743" t="inlineStr">
        <is>
          <t>SOLLEFTEÅ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34311-2023</t>
        </is>
      </c>
      <c r="B744" s="1" t="n">
        <v>45138.92317129629</v>
      </c>
      <c r="C744" s="1" t="n">
        <v>45964</v>
      </c>
      <c r="D744" t="inlineStr">
        <is>
          <t>VÄSTERNORRLANDS LÄN</t>
        </is>
      </c>
      <c r="E744" t="inlineStr">
        <is>
          <t>SOLLEFTEÅ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2481-2025</t>
        </is>
      </c>
      <c r="B745" s="1" t="n">
        <v>45674.48996527777</v>
      </c>
      <c r="C745" s="1" t="n">
        <v>45964</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9124-2022</t>
        </is>
      </c>
      <c r="B746" s="1" t="n">
        <v>44615.58287037037</v>
      </c>
      <c r="C746" s="1" t="n">
        <v>45964</v>
      </c>
      <c r="D746" t="inlineStr">
        <is>
          <t>VÄSTERNORRLANDS LÄN</t>
        </is>
      </c>
      <c r="E746" t="inlineStr">
        <is>
          <t>SOLLEFTEÅ</t>
        </is>
      </c>
      <c r="G746" t="n">
        <v>20.2</v>
      </c>
      <c r="H746" t="n">
        <v>0</v>
      </c>
      <c r="I746" t="n">
        <v>0</v>
      </c>
      <c r="J746" t="n">
        <v>0</v>
      </c>
      <c r="K746" t="n">
        <v>0</v>
      </c>
      <c r="L746" t="n">
        <v>0</v>
      </c>
      <c r="M746" t="n">
        <v>0</v>
      </c>
      <c r="N746" t="n">
        <v>0</v>
      </c>
      <c r="O746" t="n">
        <v>0</v>
      </c>
      <c r="P746" t="n">
        <v>0</v>
      </c>
      <c r="Q746" t="n">
        <v>0</v>
      </c>
      <c r="R746" s="2" t="inlineStr"/>
    </row>
    <row r="747" ht="15" customHeight="1">
      <c r="A747" t="inlineStr">
        <is>
          <t>A 9253-2025</t>
        </is>
      </c>
      <c r="B747" s="1" t="n">
        <v>45714.59430555555</v>
      </c>
      <c r="C747" s="1" t="n">
        <v>45964</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21924-2021</t>
        </is>
      </c>
      <c r="B748" s="1" t="n">
        <v>44322.91836805556</v>
      </c>
      <c r="C748" s="1" t="n">
        <v>45964</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20799-2024</t>
        </is>
      </c>
      <c r="B749" s="1" t="n">
        <v>45438</v>
      </c>
      <c r="C749" s="1" t="n">
        <v>45964</v>
      </c>
      <c r="D749" t="inlineStr">
        <is>
          <t>VÄSTERNORRLANDS LÄN</t>
        </is>
      </c>
      <c r="E749" t="inlineStr">
        <is>
          <t>SOLLEFTEÅ</t>
        </is>
      </c>
      <c r="F749" t="inlineStr">
        <is>
          <t>SCA</t>
        </is>
      </c>
      <c r="G749" t="n">
        <v>0.1</v>
      </c>
      <c r="H749" t="n">
        <v>0</v>
      </c>
      <c r="I749" t="n">
        <v>0</v>
      </c>
      <c r="J749" t="n">
        <v>0</v>
      </c>
      <c r="K749" t="n">
        <v>0</v>
      </c>
      <c r="L749" t="n">
        <v>0</v>
      </c>
      <c r="M749" t="n">
        <v>0</v>
      </c>
      <c r="N749" t="n">
        <v>0</v>
      </c>
      <c r="O749" t="n">
        <v>0</v>
      </c>
      <c r="P749" t="n">
        <v>0</v>
      </c>
      <c r="Q749" t="n">
        <v>0</v>
      </c>
      <c r="R749" s="2" t="inlineStr"/>
    </row>
    <row r="750" ht="15" customHeight="1">
      <c r="A750" t="inlineStr">
        <is>
          <t>A 25986-2023</t>
        </is>
      </c>
      <c r="B750" s="1" t="n">
        <v>45090</v>
      </c>
      <c r="C750" s="1" t="n">
        <v>45964</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8851-2025</t>
        </is>
      </c>
      <c r="B751" s="1" t="n">
        <v>45713.34465277778</v>
      </c>
      <c r="C751" s="1" t="n">
        <v>45964</v>
      </c>
      <c r="D751" t="inlineStr">
        <is>
          <t>VÄSTERNORRLANDS LÄN</t>
        </is>
      </c>
      <c r="E751" t="inlineStr">
        <is>
          <t>SOLLEFTEÅ</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2583-2025</t>
        </is>
      </c>
      <c r="B752" s="1" t="n">
        <v>45674.67803240741</v>
      </c>
      <c r="C752" s="1" t="n">
        <v>45964</v>
      </c>
      <c r="D752" t="inlineStr">
        <is>
          <t>VÄSTERNORRLANDS LÄN</t>
        </is>
      </c>
      <c r="E752" t="inlineStr">
        <is>
          <t>SOLLEFTEÅ</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43512-2023</t>
        </is>
      </c>
      <c r="B753" s="1" t="n">
        <v>45181</v>
      </c>
      <c r="C753" s="1" t="n">
        <v>45964</v>
      </c>
      <c r="D753" t="inlineStr">
        <is>
          <t>VÄSTERNORRLANDS LÄN</t>
        </is>
      </c>
      <c r="E753" t="inlineStr">
        <is>
          <t>SOLLEFTEÅ</t>
        </is>
      </c>
      <c r="G753" t="n">
        <v>1.8</v>
      </c>
      <c r="H753" t="n">
        <v>0</v>
      </c>
      <c r="I753" t="n">
        <v>0</v>
      </c>
      <c r="J753" t="n">
        <v>0</v>
      </c>
      <c r="K753" t="n">
        <v>0</v>
      </c>
      <c r="L753" t="n">
        <v>0</v>
      </c>
      <c r="M753" t="n">
        <v>0</v>
      </c>
      <c r="N753" t="n">
        <v>0</v>
      </c>
      <c r="O753" t="n">
        <v>0</v>
      </c>
      <c r="P753" t="n">
        <v>0</v>
      </c>
      <c r="Q753" t="n">
        <v>0</v>
      </c>
      <c r="R753" s="2" t="inlineStr"/>
    </row>
    <row r="754" ht="15" customHeight="1">
      <c r="A754" t="inlineStr">
        <is>
          <t>A 13697-2023</t>
        </is>
      </c>
      <c r="B754" s="1" t="n">
        <v>45006.94445601852</v>
      </c>
      <c r="C754" s="1" t="n">
        <v>45964</v>
      </c>
      <c r="D754" t="inlineStr">
        <is>
          <t>VÄSTERNORRLANDS LÄN</t>
        </is>
      </c>
      <c r="E754" t="inlineStr">
        <is>
          <t>SOLLEFTEÅ</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55272-2024</t>
        </is>
      </c>
      <c r="B755" s="1" t="n">
        <v>45621</v>
      </c>
      <c r="C755" s="1" t="n">
        <v>45964</v>
      </c>
      <c r="D755" t="inlineStr">
        <is>
          <t>VÄSTERNORRLANDS LÄN</t>
        </is>
      </c>
      <c r="E755" t="inlineStr">
        <is>
          <t>SOLLEFTEÅ</t>
        </is>
      </c>
      <c r="G755" t="n">
        <v>4.1</v>
      </c>
      <c r="H755" t="n">
        <v>0</v>
      </c>
      <c r="I755" t="n">
        <v>0</v>
      </c>
      <c r="J755" t="n">
        <v>0</v>
      </c>
      <c r="K755" t="n">
        <v>0</v>
      </c>
      <c r="L755" t="n">
        <v>0</v>
      </c>
      <c r="M755" t="n">
        <v>0</v>
      </c>
      <c r="N755" t="n">
        <v>0</v>
      </c>
      <c r="O755" t="n">
        <v>0</v>
      </c>
      <c r="P755" t="n">
        <v>0</v>
      </c>
      <c r="Q755" t="n">
        <v>0</v>
      </c>
      <c r="R755" s="2" t="inlineStr"/>
    </row>
    <row r="756" ht="15" customHeight="1">
      <c r="A756" t="inlineStr">
        <is>
          <t>A 8476-2025</t>
        </is>
      </c>
      <c r="B756" s="1" t="n">
        <v>45709.47894675926</v>
      </c>
      <c r="C756" s="1" t="n">
        <v>45964</v>
      </c>
      <c r="D756" t="inlineStr">
        <is>
          <t>VÄSTERNORRLANDS LÄN</t>
        </is>
      </c>
      <c r="E756" t="inlineStr">
        <is>
          <t>SOLLEFTEÅ</t>
        </is>
      </c>
      <c r="G756" t="n">
        <v>2.1</v>
      </c>
      <c r="H756" t="n">
        <v>0</v>
      </c>
      <c r="I756" t="n">
        <v>0</v>
      </c>
      <c r="J756" t="n">
        <v>0</v>
      </c>
      <c r="K756" t="n">
        <v>0</v>
      </c>
      <c r="L756" t="n">
        <v>0</v>
      </c>
      <c r="M756" t="n">
        <v>0</v>
      </c>
      <c r="N756" t="n">
        <v>0</v>
      </c>
      <c r="O756" t="n">
        <v>0</v>
      </c>
      <c r="P756" t="n">
        <v>0</v>
      </c>
      <c r="Q756" t="n">
        <v>0</v>
      </c>
      <c r="R756" s="2" t="inlineStr"/>
    </row>
    <row r="757" ht="15" customHeight="1">
      <c r="A757" t="inlineStr">
        <is>
          <t>A 21711-2022</t>
        </is>
      </c>
      <c r="B757" s="1" t="n">
        <v>44707</v>
      </c>
      <c r="C757" s="1" t="n">
        <v>45964</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64120-2023</t>
        </is>
      </c>
      <c r="B758" s="1" t="n">
        <v>45279</v>
      </c>
      <c r="C758" s="1" t="n">
        <v>45964</v>
      </c>
      <c r="D758" t="inlineStr">
        <is>
          <t>VÄSTERNORRLANDS LÄN</t>
        </is>
      </c>
      <c r="E758" t="inlineStr">
        <is>
          <t>SOLLEFTEÅ</t>
        </is>
      </c>
      <c r="G758" t="n">
        <v>3.5</v>
      </c>
      <c r="H758" t="n">
        <v>0</v>
      </c>
      <c r="I758" t="n">
        <v>0</v>
      </c>
      <c r="J758" t="n">
        <v>0</v>
      </c>
      <c r="K758" t="n">
        <v>0</v>
      </c>
      <c r="L758" t="n">
        <v>0</v>
      </c>
      <c r="M758" t="n">
        <v>0</v>
      </c>
      <c r="N758" t="n">
        <v>0</v>
      </c>
      <c r="O758" t="n">
        <v>0</v>
      </c>
      <c r="P758" t="n">
        <v>0</v>
      </c>
      <c r="Q758" t="n">
        <v>0</v>
      </c>
      <c r="R758" s="2" t="inlineStr"/>
    </row>
    <row r="759" ht="15" customHeight="1">
      <c r="A759" t="inlineStr">
        <is>
          <t>A 14036-2025</t>
        </is>
      </c>
      <c r="B759" s="1" t="n">
        <v>45740.36508101852</v>
      </c>
      <c r="C759" s="1" t="n">
        <v>45964</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55859-2023</t>
        </is>
      </c>
      <c r="B760" s="1" t="n">
        <v>45239</v>
      </c>
      <c r="C760" s="1" t="n">
        <v>45964</v>
      </c>
      <c r="D760" t="inlineStr">
        <is>
          <t>VÄSTERNORRLANDS LÄN</t>
        </is>
      </c>
      <c r="E760" t="inlineStr">
        <is>
          <t>SOLLEFTEÅ</t>
        </is>
      </c>
      <c r="F760" t="inlineStr">
        <is>
          <t>Kommuner</t>
        </is>
      </c>
      <c r="G760" t="n">
        <v>0.1</v>
      </c>
      <c r="H760" t="n">
        <v>0</v>
      </c>
      <c r="I760" t="n">
        <v>0</v>
      </c>
      <c r="J760" t="n">
        <v>0</v>
      </c>
      <c r="K760" t="n">
        <v>0</v>
      </c>
      <c r="L760" t="n">
        <v>0</v>
      </c>
      <c r="M760" t="n">
        <v>0</v>
      </c>
      <c r="N760" t="n">
        <v>0</v>
      </c>
      <c r="O760" t="n">
        <v>0</v>
      </c>
      <c r="P760" t="n">
        <v>0</v>
      </c>
      <c r="Q760" t="n">
        <v>0</v>
      </c>
      <c r="R760" s="2" t="inlineStr"/>
    </row>
    <row r="761" ht="15" customHeight="1">
      <c r="A761" t="inlineStr">
        <is>
          <t>A 37726-2023</t>
        </is>
      </c>
      <c r="B761" s="1" t="n">
        <v>45156</v>
      </c>
      <c r="C761" s="1" t="n">
        <v>45964</v>
      </c>
      <c r="D761" t="inlineStr">
        <is>
          <t>VÄSTERNORRLANDS LÄN</t>
        </is>
      </c>
      <c r="E761" t="inlineStr">
        <is>
          <t>SOLLEFTEÅ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59564-2024</t>
        </is>
      </c>
      <c r="B762" s="1" t="n">
        <v>45638.6375</v>
      </c>
      <c r="C762" s="1" t="n">
        <v>45964</v>
      </c>
      <c r="D762" t="inlineStr">
        <is>
          <t>VÄSTERNORRLANDS LÄN</t>
        </is>
      </c>
      <c r="E762" t="inlineStr">
        <is>
          <t>SOLLEFTEÅ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59339-2023</t>
        </is>
      </c>
      <c r="B763" s="1" t="n">
        <v>45253</v>
      </c>
      <c r="C763" s="1" t="n">
        <v>45964</v>
      </c>
      <c r="D763" t="inlineStr">
        <is>
          <t>VÄSTERNORRLANDS LÄN</t>
        </is>
      </c>
      <c r="E763" t="inlineStr">
        <is>
          <t>SOLLEFTEÅ</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61611-2024</t>
        </is>
      </c>
      <c r="B764" s="1" t="n">
        <v>45645</v>
      </c>
      <c r="C764" s="1" t="n">
        <v>45964</v>
      </c>
      <c r="D764" t="inlineStr">
        <is>
          <t>VÄSTERNORRLANDS LÄN</t>
        </is>
      </c>
      <c r="E764" t="inlineStr">
        <is>
          <t>SOLLEFTEÅ</t>
        </is>
      </c>
      <c r="G764" t="n">
        <v>13.9</v>
      </c>
      <c r="H764" t="n">
        <v>0</v>
      </c>
      <c r="I764" t="n">
        <v>0</v>
      </c>
      <c r="J764" t="n">
        <v>0</v>
      </c>
      <c r="K764" t="n">
        <v>0</v>
      </c>
      <c r="L764" t="n">
        <v>0</v>
      </c>
      <c r="M764" t="n">
        <v>0</v>
      </c>
      <c r="N764" t="n">
        <v>0</v>
      </c>
      <c r="O764" t="n">
        <v>0</v>
      </c>
      <c r="P764" t="n">
        <v>0</v>
      </c>
      <c r="Q764" t="n">
        <v>0</v>
      </c>
      <c r="R764" s="2" t="inlineStr"/>
    </row>
    <row r="765" ht="15" customHeight="1">
      <c r="A765" t="inlineStr">
        <is>
          <t>A 20950-2022</t>
        </is>
      </c>
      <c r="B765" s="1" t="n">
        <v>44701</v>
      </c>
      <c r="C765" s="1" t="n">
        <v>45964</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17032-2025</t>
        </is>
      </c>
      <c r="B766" s="1" t="n">
        <v>45755</v>
      </c>
      <c r="C766" s="1" t="n">
        <v>45964</v>
      </c>
      <c r="D766" t="inlineStr">
        <is>
          <t>VÄSTERNORRLANDS LÄN</t>
        </is>
      </c>
      <c r="E766" t="inlineStr">
        <is>
          <t>SOLLEFTEÅ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15273-2025</t>
        </is>
      </c>
      <c r="B767" s="1" t="n">
        <v>45744.67740740741</v>
      </c>
      <c r="C767" s="1" t="n">
        <v>45964</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49036-2023</t>
        </is>
      </c>
      <c r="B768" s="1" t="n">
        <v>45209.95693287037</v>
      </c>
      <c r="C768" s="1" t="n">
        <v>45964</v>
      </c>
      <c r="D768" t="inlineStr">
        <is>
          <t>VÄSTERNORRLANDS LÄN</t>
        </is>
      </c>
      <c r="E768" t="inlineStr">
        <is>
          <t>SOLLEFTEÅ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7009-2023</t>
        </is>
      </c>
      <c r="B769" s="1" t="n">
        <v>44967.92959490741</v>
      </c>
      <c r="C769" s="1" t="n">
        <v>45964</v>
      </c>
      <c r="D769" t="inlineStr">
        <is>
          <t>VÄSTERNORRLANDS LÄN</t>
        </is>
      </c>
      <c r="E769" t="inlineStr">
        <is>
          <t>SOLLEFTEÅ</t>
        </is>
      </c>
      <c r="G769" t="n">
        <v>1.4</v>
      </c>
      <c r="H769" t="n">
        <v>0</v>
      </c>
      <c r="I769" t="n">
        <v>0</v>
      </c>
      <c r="J769" t="n">
        <v>0</v>
      </c>
      <c r="K769" t="n">
        <v>0</v>
      </c>
      <c r="L769" t="n">
        <v>0</v>
      </c>
      <c r="M769" t="n">
        <v>0</v>
      </c>
      <c r="N769" t="n">
        <v>0</v>
      </c>
      <c r="O769" t="n">
        <v>0</v>
      </c>
      <c r="P769" t="n">
        <v>0</v>
      </c>
      <c r="Q769" t="n">
        <v>0</v>
      </c>
      <c r="R769" s="2" t="inlineStr"/>
    </row>
    <row r="770" ht="15" customHeight="1">
      <c r="A770" t="inlineStr">
        <is>
          <t>A 6736-2025</t>
        </is>
      </c>
      <c r="B770" s="1" t="n">
        <v>45700.59442129629</v>
      </c>
      <c r="C770" s="1" t="n">
        <v>45964</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49156-2024</t>
        </is>
      </c>
      <c r="B771" s="1" t="n">
        <v>45594.834375</v>
      </c>
      <c r="C771" s="1" t="n">
        <v>45964</v>
      </c>
      <c r="D771" t="inlineStr">
        <is>
          <t>VÄSTERNORRLANDS LÄN</t>
        </is>
      </c>
      <c r="E771" t="inlineStr">
        <is>
          <t>SOLLEFTEÅ</t>
        </is>
      </c>
      <c r="G771" t="n">
        <v>2.1</v>
      </c>
      <c r="H771" t="n">
        <v>0</v>
      </c>
      <c r="I771" t="n">
        <v>0</v>
      </c>
      <c r="J771" t="n">
        <v>0</v>
      </c>
      <c r="K771" t="n">
        <v>0</v>
      </c>
      <c r="L771" t="n">
        <v>0</v>
      </c>
      <c r="M771" t="n">
        <v>0</v>
      </c>
      <c r="N771" t="n">
        <v>0</v>
      </c>
      <c r="O771" t="n">
        <v>0</v>
      </c>
      <c r="P771" t="n">
        <v>0</v>
      </c>
      <c r="Q771" t="n">
        <v>0</v>
      </c>
      <c r="R771" s="2" t="inlineStr"/>
    </row>
    <row r="772" ht="15" customHeight="1">
      <c r="A772" t="inlineStr">
        <is>
          <t>A 10437-2025</t>
        </is>
      </c>
      <c r="B772" s="1" t="n">
        <v>45720.67740740741</v>
      </c>
      <c r="C772" s="1" t="n">
        <v>45964</v>
      </c>
      <c r="D772" t="inlineStr">
        <is>
          <t>VÄSTERNORRLANDS LÄN</t>
        </is>
      </c>
      <c r="E772" t="inlineStr">
        <is>
          <t>SOLLEFTEÅ</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4897-2025</t>
        </is>
      </c>
      <c r="B773" s="1" t="n">
        <v>45688.67913194445</v>
      </c>
      <c r="C773" s="1" t="n">
        <v>45964</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5989-2021</t>
        </is>
      </c>
      <c r="B774" s="1" t="n">
        <v>44231</v>
      </c>
      <c r="C774" s="1" t="n">
        <v>45964</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50008-2024</t>
        </is>
      </c>
      <c r="B775" s="1" t="n">
        <v>45598.57908564815</v>
      </c>
      <c r="C775" s="1" t="n">
        <v>45964</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55692-2024</t>
        </is>
      </c>
      <c r="B776" s="1" t="n">
        <v>45622</v>
      </c>
      <c r="C776" s="1" t="n">
        <v>45964</v>
      </c>
      <c r="D776" t="inlineStr">
        <is>
          <t>VÄSTERNORRLANDS LÄN</t>
        </is>
      </c>
      <c r="E776" t="inlineStr">
        <is>
          <t>SOLLEFTEÅ</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17049-2022</t>
        </is>
      </c>
      <c r="B777" s="1" t="n">
        <v>44676</v>
      </c>
      <c r="C777" s="1" t="n">
        <v>45964</v>
      </c>
      <c r="D777" t="inlineStr">
        <is>
          <t>VÄSTERNORRLANDS LÄN</t>
        </is>
      </c>
      <c r="E777" t="inlineStr">
        <is>
          <t>SOLLEFTEÅ</t>
        </is>
      </c>
      <c r="F777" t="inlineStr">
        <is>
          <t>SCA</t>
        </is>
      </c>
      <c r="G777" t="n">
        <v>2.6</v>
      </c>
      <c r="H777" t="n">
        <v>0</v>
      </c>
      <c r="I777" t="n">
        <v>0</v>
      </c>
      <c r="J777" t="n">
        <v>0</v>
      </c>
      <c r="K777" t="n">
        <v>0</v>
      </c>
      <c r="L777" t="n">
        <v>0</v>
      </c>
      <c r="M777" t="n">
        <v>0</v>
      </c>
      <c r="N777" t="n">
        <v>0</v>
      </c>
      <c r="O777" t="n">
        <v>0</v>
      </c>
      <c r="P777" t="n">
        <v>0</v>
      </c>
      <c r="Q777" t="n">
        <v>0</v>
      </c>
      <c r="R777" s="2" t="inlineStr"/>
      <c r="U777">
        <f>HYPERLINK("https://klasma.github.io/Logging_2283/knärot/A 17049-2022 karta knärot.png", "A 17049-2022")</f>
        <v/>
      </c>
      <c r="V777">
        <f>HYPERLINK("https://klasma.github.io/Logging_2283/klagomål/A 17049-2022 FSC-klagomål.docx", "A 17049-2022")</f>
        <v/>
      </c>
      <c r="W777">
        <f>HYPERLINK("https://klasma.github.io/Logging_2283/klagomålsmail/A 17049-2022 FSC-klagomål mail.docx", "A 17049-2022")</f>
        <v/>
      </c>
      <c r="X777">
        <f>HYPERLINK("https://klasma.github.io/Logging_2283/tillsyn/A 17049-2022 tillsynsbegäran.docx", "A 17049-2022")</f>
        <v/>
      </c>
      <c r="Y777">
        <f>HYPERLINK("https://klasma.github.io/Logging_2283/tillsynsmail/A 17049-2022 tillsynsbegäran mail.docx", "A 17049-2022")</f>
        <v/>
      </c>
    </row>
    <row r="778" ht="15" customHeight="1">
      <c r="A778" t="inlineStr">
        <is>
          <t>A 23445-2022</t>
        </is>
      </c>
      <c r="B778" s="1" t="n">
        <v>44720.94123842593</v>
      </c>
      <c r="C778" s="1" t="n">
        <v>45964</v>
      </c>
      <c r="D778" t="inlineStr">
        <is>
          <t>VÄSTERNORRLANDS LÄN</t>
        </is>
      </c>
      <c r="E778" t="inlineStr">
        <is>
          <t>SOLLEFTEÅ</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55759-2024</t>
        </is>
      </c>
      <c r="B779" s="1" t="n">
        <v>45623.3647337963</v>
      </c>
      <c r="C779" s="1" t="n">
        <v>45964</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55792-2024</t>
        </is>
      </c>
      <c r="B780" s="1" t="n">
        <v>45623</v>
      </c>
      <c r="C780" s="1" t="n">
        <v>45964</v>
      </c>
      <c r="D780" t="inlineStr">
        <is>
          <t>VÄSTERNORRLANDS LÄN</t>
        </is>
      </c>
      <c r="E780" t="inlineStr">
        <is>
          <t>SOLLEFTEÅ</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10438-2025</t>
        </is>
      </c>
      <c r="B781" s="1" t="n">
        <v>45720.67761574074</v>
      </c>
      <c r="C781" s="1" t="n">
        <v>45964</v>
      </c>
      <c r="D781" t="inlineStr">
        <is>
          <t>VÄSTERNORRLANDS LÄN</t>
        </is>
      </c>
      <c r="E781" t="inlineStr">
        <is>
          <t>SOLLEFTEÅ</t>
        </is>
      </c>
      <c r="F781" t="inlineStr">
        <is>
          <t>SCA</t>
        </is>
      </c>
      <c r="G781" t="n">
        <v>14.6</v>
      </c>
      <c r="H781" t="n">
        <v>0</v>
      </c>
      <c r="I781" t="n">
        <v>0</v>
      </c>
      <c r="J781" t="n">
        <v>0</v>
      </c>
      <c r="K781" t="n">
        <v>0</v>
      </c>
      <c r="L781" t="n">
        <v>0</v>
      </c>
      <c r="M781" t="n">
        <v>0</v>
      </c>
      <c r="N781" t="n">
        <v>0</v>
      </c>
      <c r="O781" t="n">
        <v>0</v>
      </c>
      <c r="P781" t="n">
        <v>0</v>
      </c>
      <c r="Q781" t="n">
        <v>0</v>
      </c>
      <c r="R781" s="2" t="inlineStr"/>
    </row>
    <row r="782" ht="15" customHeight="1">
      <c r="A782" t="inlineStr">
        <is>
          <t>A 2580-2025</t>
        </is>
      </c>
      <c r="B782" s="1" t="n">
        <v>45674</v>
      </c>
      <c r="C782" s="1" t="n">
        <v>45964</v>
      </c>
      <c r="D782" t="inlineStr">
        <is>
          <t>VÄSTERNORRLANDS LÄN</t>
        </is>
      </c>
      <c r="E782" t="inlineStr">
        <is>
          <t>SOLLEFTEÅ</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8244-2024</t>
        </is>
      </c>
      <c r="B783" s="1" t="n">
        <v>45351</v>
      </c>
      <c r="C783" s="1" t="n">
        <v>45964</v>
      </c>
      <c r="D783" t="inlineStr">
        <is>
          <t>VÄSTERNORRLANDS LÄN</t>
        </is>
      </c>
      <c r="E783" t="inlineStr">
        <is>
          <t>SOLLEFTEÅ</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29956-2023</t>
        </is>
      </c>
      <c r="B784" s="1" t="n">
        <v>45107</v>
      </c>
      <c r="C784" s="1" t="n">
        <v>45964</v>
      </c>
      <c r="D784" t="inlineStr">
        <is>
          <t>VÄSTERNORRLANDS LÄN</t>
        </is>
      </c>
      <c r="E784" t="inlineStr">
        <is>
          <t>SOLLEFTEÅ</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44172-2024</t>
        </is>
      </c>
      <c r="B785" s="1" t="n">
        <v>45572.74454861111</v>
      </c>
      <c r="C785" s="1" t="n">
        <v>45964</v>
      </c>
      <c r="D785" t="inlineStr">
        <is>
          <t>VÄSTERNORRLANDS LÄN</t>
        </is>
      </c>
      <c r="E785" t="inlineStr">
        <is>
          <t>SOLLEFTEÅ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56134-2023</t>
        </is>
      </c>
      <c r="B786" s="1" t="n">
        <v>45240</v>
      </c>
      <c r="C786" s="1" t="n">
        <v>45964</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17999-2022</t>
        </is>
      </c>
      <c r="B787" s="1" t="n">
        <v>44683</v>
      </c>
      <c r="C787" s="1" t="n">
        <v>45964</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2045-2025</t>
        </is>
      </c>
      <c r="B788" s="1" t="n">
        <v>45672.51086805556</v>
      </c>
      <c r="C788" s="1" t="n">
        <v>45964</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59647-2022</t>
        </is>
      </c>
      <c r="B789" s="1" t="n">
        <v>44907.96577546297</v>
      </c>
      <c r="C789" s="1" t="n">
        <v>45964</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49829-2024</t>
        </is>
      </c>
      <c r="B790" s="1" t="n">
        <v>45597</v>
      </c>
      <c r="C790" s="1" t="n">
        <v>45964</v>
      </c>
      <c r="D790" t="inlineStr">
        <is>
          <t>VÄSTERNORRLANDS LÄN</t>
        </is>
      </c>
      <c r="E790" t="inlineStr">
        <is>
          <t>SOLLEFTEÅ</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2345-2025</t>
        </is>
      </c>
      <c r="B791" s="1" t="n">
        <v>45673.67747685185</v>
      </c>
      <c r="C791" s="1" t="n">
        <v>45964</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6735-2025</t>
        </is>
      </c>
      <c r="B792" s="1" t="n">
        <v>45700.59434027778</v>
      </c>
      <c r="C792" s="1" t="n">
        <v>45964</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6737-2025</t>
        </is>
      </c>
      <c r="B793" s="1" t="n">
        <v>45700.59450231482</v>
      </c>
      <c r="C793" s="1" t="n">
        <v>45964</v>
      </c>
      <c r="D793" t="inlineStr">
        <is>
          <t>VÄSTERNORRLANDS LÄN</t>
        </is>
      </c>
      <c r="E793" t="inlineStr">
        <is>
          <t>SOLLEFTEÅ</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58380-2020</t>
        </is>
      </c>
      <c r="B794" s="1" t="n">
        <v>44145</v>
      </c>
      <c r="C794" s="1" t="n">
        <v>45964</v>
      </c>
      <c r="D794" t="inlineStr">
        <is>
          <t>VÄSTERNORRLANDS LÄN</t>
        </is>
      </c>
      <c r="E794" t="inlineStr">
        <is>
          <t>SOLLEFTEÅ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49567-2024</t>
        </is>
      </c>
      <c r="B795" s="1" t="n">
        <v>45596.49003472222</v>
      </c>
      <c r="C795" s="1" t="n">
        <v>45964</v>
      </c>
      <c r="D795" t="inlineStr">
        <is>
          <t>VÄSTERNORRLANDS LÄN</t>
        </is>
      </c>
      <c r="E795" t="inlineStr">
        <is>
          <t>SOLLEFTEÅ</t>
        </is>
      </c>
      <c r="F795" t="inlineStr">
        <is>
          <t>SCA</t>
        </is>
      </c>
      <c r="G795" t="n">
        <v>4.3</v>
      </c>
      <c r="H795" t="n">
        <v>0</v>
      </c>
      <c r="I795" t="n">
        <v>0</v>
      </c>
      <c r="J795" t="n">
        <v>0</v>
      </c>
      <c r="K795" t="n">
        <v>0</v>
      </c>
      <c r="L795" t="n">
        <v>0</v>
      </c>
      <c r="M795" t="n">
        <v>0</v>
      </c>
      <c r="N795" t="n">
        <v>0</v>
      </c>
      <c r="O795" t="n">
        <v>0</v>
      </c>
      <c r="P795" t="n">
        <v>0</v>
      </c>
      <c r="Q795" t="n">
        <v>0</v>
      </c>
      <c r="R795" s="2" t="inlineStr"/>
      <c r="U795">
        <f>HYPERLINK("https://klasma.github.io/Logging_2283/knärot/A 49567-2024 karta knärot.png", "A 49567-2024")</f>
        <v/>
      </c>
      <c r="V795">
        <f>HYPERLINK("https://klasma.github.io/Logging_2283/klagomål/A 49567-2024 FSC-klagomål.docx", "A 49567-2024")</f>
        <v/>
      </c>
      <c r="W795">
        <f>HYPERLINK("https://klasma.github.io/Logging_2283/klagomålsmail/A 49567-2024 FSC-klagomål mail.docx", "A 49567-2024")</f>
        <v/>
      </c>
      <c r="X795">
        <f>HYPERLINK("https://klasma.github.io/Logging_2283/tillsyn/A 49567-2024 tillsynsbegäran.docx", "A 49567-2024")</f>
        <v/>
      </c>
      <c r="Y795">
        <f>HYPERLINK("https://klasma.github.io/Logging_2283/tillsynsmail/A 49567-2024 tillsynsbegäran mail.docx", "A 49567-2024")</f>
        <v/>
      </c>
    </row>
    <row r="796" ht="15" customHeight="1">
      <c r="A796" t="inlineStr">
        <is>
          <t>A 31556-2024</t>
        </is>
      </c>
      <c r="B796" s="1" t="n">
        <v>45505</v>
      </c>
      <c r="C796" s="1" t="n">
        <v>45964</v>
      </c>
      <c r="D796" t="inlineStr">
        <is>
          <t>VÄSTERNORRLANDS LÄN</t>
        </is>
      </c>
      <c r="E796" t="inlineStr">
        <is>
          <t>SOLLEFTEÅ</t>
        </is>
      </c>
      <c r="F796" t="inlineStr">
        <is>
          <t>SCA</t>
        </is>
      </c>
      <c r="G796" t="n">
        <v>4.4</v>
      </c>
      <c r="H796" t="n">
        <v>0</v>
      </c>
      <c r="I796" t="n">
        <v>0</v>
      </c>
      <c r="J796" t="n">
        <v>0</v>
      </c>
      <c r="K796" t="n">
        <v>0</v>
      </c>
      <c r="L796" t="n">
        <v>0</v>
      </c>
      <c r="M796" t="n">
        <v>0</v>
      </c>
      <c r="N796" t="n">
        <v>0</v>
      </c>
      <c r="O796" t="n">
        <v>0</v>
      </c>
      <c r="P796" t="n">
        <v>0</v>
      </c>
      <c r="Q796" t="n">
        <v>0</v>
      </c>
      <c r="R796" s="2" t="inlineStr"/>
    </row>
    <row r="797" ht="15" customHeight="1">
      <c r="A797" t="inlineStr">
        <is>
          <t>A 47741-2023</t>
        </is>
      </c>
      <c r="B797" s="1" t="n">
        <v>45198</v>
      </c>
      <c r="C797" s="1" t="n">
        <v>45964</v>
      </c>
      <c r="D797" t="inlineStr">
        <is>
          <t>VÄSTERNORRLANDS LÄN</t>
        </is>
      </c>
      <c r="E797" t="inlineStr">
        <is>
          <t>SOLLEFTEÅ</t>
        </is>
      </c>
      <c r="G797" t="n">
        <v>5</v>
      </c>
      <c r="H797" t="n">
        <v>0</v>
      </c>
      <c r="I797" t="n">
        <v>0</v>
      </c>
      <c r="J797" t="n">
        <v>0</v>
      </c>
      <c r="K797" t="n">
        <v>0</v>
      </c>
      <c r="L797" t="n">
        <v>0</v>
      </c>
      <c r="M797" t="n">
        <v>0</v>
      </c>
      <c r="N797" t="n">
        <v>0</v>
      </c>
      <c r="O797" t="n">
        <v>0</v>
      </c>
      <c r="P797" t="n">
        <v>0</v>
      </c>
      <c r="Q797" t="n">
        <v>0</v>
      </c>
      <c r="R797" s="2" t="inlineStr"/>
    </row>
    <row r="798" ht="15" customHeight="1">
      <c r="A798" t="inlineStr">
        <is>
          <t>A 38231-2024</t>
        </is>
      </c>
      <c r="B798" s="1" t="n">
        <v>45545.55601851852</v>
      </c>
      <c r="C798" s="1" t="n">
        <v>45964</v>
      </c>
      <c r="D798" t="inlineStr">
        <is>
          <t>VÄSTERNORRLANDS LÄN</t>
        </is>
      </c>
      <c r="E798" t="inlineStr">
        <is>
          <t>SOLLEFTEÅ</t>
        </is>
      </c>
      <c r="G798" t="n">
        <v>2.4</v>
      </c>
      <c r="H798" t="n">
        <v>0</v>
      </c>
      <c r="I798" t="n">
        <v>0</v>
      </c>
      <c r="J798" t="n">
        <v>0</v>
      </c>
      <c r="K798" t="n">
        <v>0</v>
      </c>
      <c r="L798" t="n">
        <v>0</v>
      </c>
      <c r="M798" t="n">
        <v>0</v>
      </c>
      <c r="N798" t="n">
        <v>0</v>
      </c>
      <c r="O798" t="n">
        <v>0</v>
      </c>
      <c r="P798" t="n">
        <v>0</v>
      </c>
      <c r="Q798" t="n">
        <v>0</v>
      </c>
      <c r="R798" s="2" t="inlineStr"/>
    </row>
    <row r="799" ht="15" customHeight="1">
      <c r="A799" t="inlineStr">
        <is>
          <t>A 18185-2025</t>
        </is>
      </c>
      <c r="B799" s="1" t="n">
        <v>45761.66724537037</v>
      </c>
      <c r="C799" s="1" t="n">
        <v>45964</v>
      </c>
      <c r="D799" t="inlineStr">
        <is>
          <t>VÄSTERNORRLANDS LÄN</t>
        </is>
      </c>
      <c r="E799" t="inlineStr">
        <is>
          <t>SOLLEFTEÅ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18263-2025</t>
        </is>
      </c>
      <c r="B800" s="1" t="n">
        <v>45762.36509259259</v>
      </c>
      <c r="C800" s="1" t="n">
        <v>45964</v>
      </c>
      <c r="D800" t="inlineStr">
        <is>
          <t>VÄSTERNORRLANDS LÄN</t>
        </is>
      </c>
      <c r="E800" t="inlineStr">
        <is>
          <t>SOLLEFTEÅ</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58172-2022</t>
        </is>
      </c>
      <c r="B801" s="1" t="n">
        <v>44900.95525462963</v>
      </c>
      <c r="C801" s="1" t="n">
        <v>45964</v>
      </c>
      <c r="D801" t="inlineStr">
        <is>
          <t>VÄSTERNORRLANDS LÄN</t>
        </is>
      </c>
      <c r="E801" t="inlineStr">
        <is>
          <t>SOLLEFTEÅ</t>
        </is>
      </c>
      <c r="G801" t="n">
        <v>0.9</v>
      </c>
      <c r="H801" t="n">
        <v>0</v>
      </c>
      <c r="I801" t="n">
        <v>0</v>
      </c>
      <c r="J801" t="n">
        <v>0</v>
      </c>
      <c r="K801" t="n">
        <v>0</v>
      </c>
      <c r="L801" t="n">
        <v>0</v>
      </c>
      <c r="M801" t="n">
        <v>0</v>
      </c>
      <c r="N801" t="n">
        <v>0</v>
      </c>
      <c r="O801" t="n">
        <v>0</v>
      </c>
      <c r="P801" t="n">
        <v>0</v>
      </c>
      <c r="Q801" t="n">
        <v>0</v>
      </c>
      <c r="R801" s="2" t="inlineStr"/>
    </row>
    <row r="802" ht="15" customHeight="1">
      <c r="A802" t="inlineStr">
        <is>
          <t>A 59501-2023</t>
        </is>
      </c>
      <c r="B802" s="1" t="n">
        <v>45254</v>
      </c>
      <c r="C802" s="1" t="n">
        <v>45964</v>
      </c>
      <c r="D802" t="inlineStr">
        <is>
          <t>VÄSTERNORRLANDS LÄN</t>
        </is>
      </c>
      <c r="E802" t="inlineStr">
        <is>
          <t>SOLLEFTEÅ</t>
        </is>
      </c>
      <c r="F802" t="inlineStr">
        <is>
          <t>Holmen skog AB</t>
        </is>
      </c>
      <c r="G802" t="n">
        <v>7.1</v>
      </c>
      <c r="H802" t="n">
        <v>0</v>
      </c>
      <c r="I802" t="n">
        <v>0</v>
      </c>
      <c r="J802" t="n">
        <v>0</v>
      </c>
      <c r="K802" t="n">
        <v>0</v>
      </c>
      <c r="L802" t="n">
        <v>0</v>
      </c>
      <c r="M802" t="n">
        <v>0</v>
      </c>
      <c r="N802" t="n">
        <v>0</v>
      </c>
      <c r="O802" t="n">
        <v>0</v>
      </c>
      <c r="P802" t="n">
        <v>0</v>
      </c>
      <c r="Q802" t="n">
        <v>0</v>
      </c>
      <c r="R802" s="2" t="inlineStr"/>
    </row>
    <row r="803" ht="15" customHeight="1">
      <c r="A803" t="inlineStr">
        <is>
          <t>A 35793-2024</t>
        </is>
      </c>
      <c r="B803" s="1" t="n">
        <v>45532</v>
      </c>
      <c r="C803" s="1" t="n">
        <v>45964</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35794-2024</t>
        </is>
      </c>
      <c r="B804" s="1" t="n">
        <v>45532.62974537037</v>
      </c>
      <c r="C804" s="1" t="n">
        <v>45964</v>
      </c>
      <c r="D804" t="inlineStr">
        <is>
          <t>VÄSTERNORRLANDS LÄN</t>
        </is>
      </c>
      <c r="E804" t="inlineStr">
        <is>
          <t>SOLLEFTEÅ</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61784-2023</t>
        </is>
      </c>
      <c r="B805" s="1" t="n">
        <v>45265</v>
      </c>
      <c r="C805" s="1" t="n">
        <v>45964</v>
      </c>
      <c r="D805" t="inlineStr">
        <is>
          <t>VÄSTERNORRLANDS LÄN</t>
        </is>
      </c>
      <c r="E805" t="inlineStr">
        <is>
          <t>SOLLEFTEÅ</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54978-2023</t>
        </is>
      </c>
      <c r="B806" s="1" t="n">
        <v>45236.96600694444</v>
      </c>
      <c r="C806" s="1" t="n">
        <v>45964</v>
      </c>
      <c r="D806" t="inlineStr">
        <is>
          <t>VÄSTERNORRLANDS LÄN</t>
        </is>
      </c>
      <c r="E806" t="inlineStr">
        <is>
          <t>SOLLEFTEÅ</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55650-2023</t>
        </is>
      </c>
      <c r="B807" s="1" t="n">
        <v>45238.96600694444</v>
      </c>
      <c r="C807" s="1" t="n">
        <v>45964</v>
      </c>
      <c r="D807" t="inlineStr">
        <is>
          <t>VÄSTERNORRLANDS LÄN</t>
        </is>
      </c>
      <c r="E807" t="inlineStr">
        <is>
          <t>SOLLEFTEÅ</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15875-2024</t>
        </is>
      </c>
      <c r="B808" s="1" t="n">
        <v>45405.32438657407</v>
      </c>
      <c r="C808" s="1" t="n">
        <v>45964</v>
      </c>
      <c r="D808" t="inlineStr">
        <is>
          <t>VÄSTERNORRLANDS LÄN</t>
        </is>
      </c>
      <c r="E808" t="inlineStr">
        <is>
          <t>SOLLEFTEÅ</t>
        </is>
      </c>
      <c r="G808" t="n">
        <v>7.1</v>
      </c>
      <c r="H808" t="n">
        <v>0</v>
      </c>
      <c r="I808" t="n">
        <v>0</v>
      </c>
      <c r="J808" t="n">
        <v>0</v>
      </c>
      <c r="K808" t="n">
        <v>0</v>
      </c>
      <c r="L808" t="n">
        <v>0</v>
      </c>
      <c r="M808" t="n">
        <v>0</v>
      </c>
      <c r="N808" t="n">
        <v>0</v>
      </c>
      <c r="O808" t="n">
        <v>0</v>
      </c>
      <c r="P808" t="n">
        <v>0</v>
      </c>
      <c r="Q808" t="n">
        <v>0</v>
      </c>
      <c r="R808" s="2" t="inlineStr"/>
    </row>
    <row r="809" ht="15" customHeight="1">
      <c r="A809" t="inlineStr">
        <is>
          <t>A 14134-2023</t>
        </is>
      </c>
      <c r="B809" s="1" t="n">
        <v>45008</v>
      </c>
      <c r="C809" s="1" t="n">
        <v>45964</v>
      </c>
      <c r="D809" t="inlineStr">
        <is>
          <t>VÄSTERNORRLANDS LÄN</t>
        </is>
      </c>
      <c r="E809" t="inlineStr">
        <is>
          <t>SOLLEFTEÅ</t>
        </is>
      </c>
      <c r="F809" t="inlineStr">
        <is>
          <t>Övriga Aktiebolag</t>
        </is>
      </c>
      <c r="G809" t="n">
        <v>1.1</v>
      </c>
      <c r="H809" t="n">
        <v>0</v>
      </c>
      <c r="I809" t="n">
        <v>0</v>
      </c>
      <c r="J809" t="n">
        <v>0</v>
      </c>
      <c r="K809" t="n">
        <v>0</v>
      </c>
      <c r="L809" t="n">
        <v>0</v>
      </c>
      <c r="M809" t="n">
        <v>0</v>
      </c>
      <c r="N809" t="n">
        <v>0</v>
      </c>
      <c r="O809" t="n">
        <v>0</v>
      </c>
      <c r="P809" t="n">
        <v>0</v>
      </c>
      <c r="Q809" t="n">
        <v>0</v>
      </c>
      <c r="R809" s="2" t="inlineStr"/>
    </row>
    <row r="810" ht="15" customHeight="1">
      <c r="A810" t="inlineStr">
        <is>
          <t>A 7463-2024</t>
        </is>
      </c>
      <c r="B810" s="1" t="n">
        <v>45345.94887731481</v>
      </c>
      <c r="C810" s="1" t="n">
        <v>45964</v>
      </c>
      <c r="D810" t="inlineStr">
        <is>
          <t>VÄSTERNORRLANDS LÄN</t>
        </is>
      </c>
      <c r="E810" t="inlineStr">
        <is>
          <t>SOLLEFTEÅ</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10554-2022</t>
        </is>
      </c>
      <c r="B811" s="1" t="n">
        <v>44623.93775462963</v>
      </c>
      <c r="C811" s="1" t="n">
        <v>45964</v>
      </c>
      <c r="D811" t="inlineStr">
        <is>
          <t>VÄSTERNORRLANDS LÄN</t>
        </is>
      </c>
      <c r="E811" t="inlineStr">
        <is>
          <t>SOLLEFTEÅ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43525-2021</t>
        </is>
      </c>
      <c r="B812" s="1" t="n">
        <v>44433</v>
      </c>
      <c r="C812" s="1" t="n">
        <v>45964</v>
      </c>
      <c r="D812" t="inlineStr">
        <is>
          <t>VÄSTERNORRLANDS LÄN</t>
        </is>
      </c>
      <c r="E812" t="inlineStr">
        <is>
          <t>SOLLEFTEÅ</t>
        </is>
      </c>
      <c r="G812" t="n">
        <v>2</v>
      </c>
      <c r="H812" t="n">
        <v>0</v>
      </c>
      <c r="I812" t="n">
        <v>0</v>
      </c>
      <c r="J812" t="n">
        <v>0</v>
      </c>
      <c r="K812" t="n">
        <v>0</v>
      </c>
      <c r="L812" t="n">
        <v>0</v>
      </c>
      <c r="M812" t="n">
        <v>0</v>
      </c>
      <c r="N812" t="n">
        <v>0</v>
      </c>
      <c r="O812" t="n">
        <v>0</v>
      </c>
      <c r="P812" t="n">
        <v>0</v>
      </c>
      <c r="Q812" t="n">
        <v>0</v>
      </c>
      <c r="R812" s="2" t="inlineStr"/>
    </row>
    <row r="813" ht="15" customHeight="1">
      <c r="A813" t="inlineStr">
        <is>
          <t>A 15978-2023</t>
        </is>
      </c>
      <c r="B813" s="1" t="n">
        <v>45022.94188657407</v>
      </c>
      <c r="C813" s="1" t="n">
        <v>45964</v>
      </c>
      <c r="D813" t="inlineStr">
        <is>
          <t>VÄSTERNORRLANDS LÄN</t>
        </is>
      </c>
      <c r="E813" t="inlineStr">
        <is>
          <t>SOLLEFTEÅ</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33591-2023</t>
        </is>
      </c>
      <c r="B814" s="1" t="n">
        <v>45131</v>
      </c>
      <c r="C814" s="1" t="n">
        <v>45964</v>
      </c>
      <c r="D814" t="inlineStr">
        <is>
          <t>VÄSTERNORRLANDS LÄN</t>
        </is>
      </c>
      <c r="E814" t="inlineStr">
        <is>
          <t>SOLLEFTEÅ</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9557-2024</t>
        </is>
      </c>
      <c r="B815" s="1" t="n">
        <v>45360</v>
      </c>
      <c r="C815" s="1" t="n">
        <v>45964</v>
      </c>
      <c r="D815" t="inlineStr">
        <is>
          <t>VÄSTERNORRLANDS LÄN</t>
        </is>
      </c>
      <c r="E815" t="inlineStr">
        <is>
          <t>SOLLEFTEÅ</t>
        </is>
      </c>
      <c r="F815" t="inlineStr">
        <is>
          <t>SCA</t>
        </is>
      </c>
      <c r="G815" t="n">
        <v>7.4</v>
      </c>
      <c r="H815" t="n">
        <v>0</v>
      </c>
      <c r="I815" t="n">
        <v>0</v>
      </c>
      <c r="J815" t="n">
        <v>0</v>
      </c>
      <c r="K815" t="n">
        <v>0</v>
      </c>
      <c r="L815" t="n">
        <v>0</v>
      </c>
      <c r="M815" t="n">
        <v>0</v>
      </c>
      <c r="N815" t="n">
        <v>0</v>
      </c>
      <c r="O815" t="n">
        <v>0</v>
      </c>
      <c r="P815" t="n">
        <v>0</v>
      </c>
      <c r="Q815" t="n">
        <v>0</v>
      </c>
      <c r="R815" s="2" t="inlineStr"/>
    </row>
    <row r="816" ht="15" customHeight="1">
      <c r="A816" t="inlineStr">
        <is>
          <t>A 49665-2022</t>
        </is>
      </c>
      <c r="B816" s="1" t="n">
        <v>44862</v>
      </c>
      <c r="C816" s="1" t="n">
        <v>45964</v>
      </c>
      <c r="D816" t="inlineStr">
        <is>
          <t>VÄSTERNORRLANDS LÄN</t>
        </is>
      </c>
      <c r="E816" t="inlineStr">
        <is>
          <t>SOLLEFTEÅ</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54538-2022</t>
        </is>
      </c>
      <c r="B817" s="1" t="n">
        <v>44882.77261574074</v>
      </c>
      <c r="C817" s="1" t="n">
        <v>45964</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row>
    <row r="818" ht="15" customHeight="1">
      <c r="A818" t="inlineStr">
        <is>
          <t>A 56398-2024</t>
        </is>
      </c>
      <c r="B818" s="1" t="n">
        <v>45625.35395833333</v>
      </c>
      <c r="C818" s="1" t="n">
        <v>45964</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58994-2024</t>
        </is>
      </c>
      <c r="B819" s="1" t="n">
        <v>45636.63717592593</v>
      </c>
      <c r="C819" s="1" t="n">
        <v>45964</v>
      </c>
      <c r="D819" t="inlineStr">
        <is>
          <t>VÄSTERNORRLANDS LÄN</t>
        </is>
      </c>
      <c r="E819" t="inlineStr">
        <is>
          <t>SOLLEFTEÅ</t>
        </is>
      </c>
      <c r="G819" t="n">
        <v>2.6</v>
      </c>
      <c r="H819" t="n">
        <v>0</v>
      </c>
      <c r="I819" t="n">
        <v>0</v>
      </c>
      <c r="J819" t="n">
        <v>0</v>
      </c>
      <c r="K819" t="n">
        <v>0</v>
      </c>
      <c r="L819" t="n">
        <v>0</v>
      </c>
      <c r="M819" t="n">
        <v>0</v>
      </c>
      <c r="N819" t="n">
        <v>0</v>
      </c>
      <c r="O819" t="n">
        <v>0</v>
      </c>
      <c r="P819" t="n">
        <v>0</v>
      </c>
      <c r="Q819" t="n">
        <v>0</v>
      </c>
      <c r="R819" s="2" t="inlineStr"/>
    </row>
    <row r="820" ht="15" customHeight="1">
      <c r="A820" t="inlineStr">
        <is>
          <t>A 16086-2024</t>
        </is>
      </c>
      <c r="B820" s="1" t="n">
        <v>45406</v>
      </c>
      <c r="C820" s="1" t="n">
        <v>45964</v>
      </c>
      <c r="D820" t="inlineStr">
        <is>
          <t>VÄSTERNORRLANDS LÄN</t>
        </is>
      </c>
      <c r="E820" t="inlineStr">
        <is>
          <t>SOLLEFTEÅ</t>
        </is>
      </c>
      <c r="G820" t="n">
        <v>15.9</v>
      </c>
      <c r="H820" t="n">
        <v>0</v>
      </c>
      <c r="I820" t="n">
        <v>0</v>
      </c>
      <c r="J820" t="n">
        <v>0</v>
      </c>
      <c r="K820" t="n">
        <v>0</v>
      </c>
      <c r="L820" t="n">
        <v>0</v>
      </c>
      <c r="M820" t="n">
        <v>0</v>
      </c>
      <c r="N820" t="n">
        <v>0</v>
      </c>
      <c r="O820" t="n">
        <v>0</v>
      </c>
      <c r="P820" t="n">
        <v>0</v>
      </c>
      <c r="Q820" t="n">
        <v>0</v>
      </c>
      <c r="R820" s="2" t="inlineStr"/>
    </row>
    <row r="821" ht="15" customHeight="1">
      <c r="A821" t="inlineStr">
        <is>
          <t>A 11338-2025</t>
        </is>
      </c>
      <c r="B821" s="1" t="n">
        <v>45726.48987268518</v>
      </c>
      <c r="C821" s="1" t="n">
        <v>45964</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16468-2024</t>
        </is>
      </c>
      <c r="B822" s="1" t="n">
        <v>45408.0508449074</v>
      </c>
      <c r="C822" s="1" t="n">
        <v>45964</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34281-2022</t>
        </is>
      </c>
      <c r="B823" s="1" t="n">
        <v>44791</v>
      </c>
      <c r="C823" s="1" t="n">
        <v>45964</v>
      </c>
      <c r="D823" t="inlineStr">
        <is>
          <t>VÄSTERNORRLANDS LÄN</t>
        </is>
      </c>
      <c r="E823" t="inlineStr">
        <is>
          <t>SOLLEFTEÅ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59334-2020</t>
        </is>
      </c>
      <c r="B824" s="1" t="n">
        <v>44147</v>
      </c>
      <c r="C824" s="1" t="n">
        <v>45964</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5447-2025</t>
        </is>
      </c>
      <c r="B825" s="1" t="n">
        <v>45692</v>
      </c>
      <c r="C825" s="1" t="n">
        <v>45964</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8712-2025</t>
        </is>
      </c>
      <c r="B826" s="1" t="n">
        <v>45712.49872685185</v>
      </c>
      <c r="C826" s="1" t="n">
        <v>45964</v>
      </c>
      <c r="D826" t="inlineStr">
        <is>
          <t>VÄSTERNORRLANDS LÄN</t>
        </is>
      </c>
      <c r="E826" t="inlineStr">
        <is>
          <t>SOLLEFTEÅ</t>
        </is>
      </c>
      <c r="G826" t="n">
        <v>2.6</v>
      </c>
      <c r="H826" t="n">
        <v>0</v>
      </c>
      <c r="I826" t="n">
        <v>0</v>
      </c>
      <c r="J826" t="n">
        <v>0</v>
      </c>
      <c r="K826" t="n">
        <v>0</v>
      </c>
      <c r="L826" t="n">
        <v>0</v>
      </c>
      <c r="M826" t="n">
        <v>0</v>
      </c>
      <c r="N826" t="n">
        <v>0</v>
      </c>
      <c r="O826" t="n">
        <v>0</v>
      </c>
      <c r="P826" t="n">
        <v>0</v>
      </c>
      <c r="Q826" t="n">
        <v>0</v>
      </c>
      <c r="R826" s="2" t="inlineStr"/>
    </row>
    <row r="827" ht="15" customHeight="1">
      <c r="A827" t="inlineStr">
        <is>
          <t>A 43843-2024</t>
        </is>
      </c>
      <c r="B827" s="1" t="n">
        <v>45572</v>
      </c>
      <c r="C827" s="1" t="n">
        <v>45964</v>
      </c>
      <c r="D827" t="inlineStr">
        <is>
          <t>VÄSTERNORRLANDS LÄN</t>
        </is>
      </c>
      <c r="E827" t="inlineStr">
        <is>
          <t>SOLLEFTEÅ</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3548-2022</t>
        </is>
      </c>
      <c r="B828" s="1" t="n">
        <v>44585.93784722222</v>
      </c>
      <c r="C828" s="1" t="n">
        <v>45964</v>
      </c>
      <c r="D828" t="inlineStr">
        <is>
          <t>VÄSTERNORRLANDS LÄN</t>
        </is>
      </c>
      <c r="E828" t="inlineStr">
        <is>
          <t>SOLLEFTEÅ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50720-2024</t>
        </is>
      </c>
      <c r="B829" s="1" t="n">
        <v>45602.38631944444</v>
      </c>
      <c r="C829" s="1" t="n">
        <v>45964</v>
      </c>
      <c r="D829" t="inlineStr">
        <is>
          <t>VÄSTERNORRLANDS LÄN</t>
        </is>
      </c>
      <c r="E829" t="inlineStr">
        <is>
          <t>SOLLEFTEÅ</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42755-2022</t>
        </is>
      </c>
      <c r="B830" s="1" t="n">
        <v>44832</v>
      </c>
      <c r="C830" s="1" t="n">
        <v>45964</v>
      </c>
      <c r="D830" t="inlineStr">
        <is>
          <t>VÄSTERNORRLANDS LÄN</t>
        </is>
      </c>
      <c r="E830" t="inlineStr">
        <is>
          <t>SOLLEFTEÅ</t>
        </is>
      </c>
      <c r="G830" t="n">
        <v>2</v>
      </c>
      <c r="H830" t="n">
        <v>0</v>
      </c>
      <c r="I830" t="n">
        <v>0</v>
      </c>
      <c r="J830" t="n">
        <v>0</v>
      </c>
      <c r="K830" t="n">
        <v>0</v>
      </c>
      <c r="L830" t="n">
        <v>0</v>
      </c>
      <c r="M830" t="n">
        <v>0</v>
      </c>
      <c r="N830" t="n">
        <v>0</v>
      </c>
      <c r="O830" t="n">
        <v>0</v>
      </c>
      <c r="P830" t="n">
        <v>0</v>
      </c>
      <c r="Q830" t="n">
        <v>0</v>
      </c>
      <c r="R830" s="2" t="inlineStr"/>
    </row>
    <row r="831" ht="15" customHeight="1">
      <c r="A831" t="inlineStr">
        <is>
          <t>A 12734-2023</t>
        </is>
      </c>
      <c r="B831" s="1" t="n">
        <v>45000.92436342593</v>
      </c>
      <c r="C831" s="1" t="n">
        <v>45964</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7036-2025</t>
        </is>
      </c>
      <c r="B832" s="1" t="n">
        <v>45701.63597222222</v>
      </c>
      <c r="C832" s="1" t="n">
        <v>45964</v>
      </c>
      <c r="D832" t="inlineStr">
        <is>
          <t>VÄSTERNORRLANDS LÄN</t>
        </is>
      </c>
      <c r="E832" t="inlineStr">
        <is>
          <t>SOLLEFTEÅ</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62171-2024</t>
        </is>
      </c>
      <c r="B833" s="1" t="n">
        <v>45657.65657407408</v>
      </c>
      <c r="C833" s="1" t="n">
        <v>45964</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9120-2024</t>
        </is>
      </c>
      <c r="B834" s="1" t="n">
        <v>45358.04091435186</v>
      </c>
      <c r="C834" s="1" t="n">
        <v>45964</v>
      </c>
      <c r="D834" t="inlineStr">
        <is>
          <t>VÄSTERNORRLANDS LÄN</t>
        </is>
      </c>
      <c r="E834" t="inlineStr">
        <is>
          <t>SOLLEFTEÅ</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9122-2024</t>
        </is>
      </c>
      <c r="B835" s="1" t="n">
        <v>45358.04107638889</v>
      </c>
      <c r="C835" s="1" t="n">
        <v>45964</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16726-2024</t>
        </is>
      </c>
      <c r="B836" s="1" t="n">
        <v>45409.98535879629</v>
      </c>
      <c r="C836" s="1" t="n">
        <v>45964</v>
      </c>
      <c r="D836" t="inlineStr">
        <is>
          <t>VÄSTERNORRLANDS LÄN</t>
        </is>
      </c>
      <c r="E836" t="inlineStr">
        <is>
          <t>SOLLEFTEÅ</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11094-2023</t>
        </is>
      </c>
      <c r="B837" s="1" t="n">
        <v>44986</v>
      </c>
      <c r="C837" s="1" t="n">
        <v>45964</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34638-2024</t>
        </is>
      </c>
      <c r="B838" s="1" t="n">
        <v>45526</v>
      </c>
      <c r="C838" s="1" t="n">
        <v>45964</v>
      </c>
      <c r="D838" t="inlineStr">
        <is>
          <t>VÄSTERNORRLANDS LÄN</t>
        </is>
      </c>
      <c r="E838" t="inlineStr">
        <is>
          <t>SOLLEFTEÅ</t>
        </is>
      </c>
      <c r="F838" t="inlineStr">
        <is>
          <t>SCA</t>
        </is>
      </c>
      <c r="G838" t="n">
        <v>3.3</v>
      </c>
      <c r="H838" t="n">
        <v>0</v>
      </c>
      <c r="I838" t="n">
        <v>0</v>
      </c>
      <c r="J838" t="n">
        <v>0</v>
      </c>
      <c r="K838" t="n">
        <v>0</v>
      </c>
      <c r="L838" t="n">
        <v>0</v>
      </c>
      <c r="M838" t="n">
        <v>0</v>
      </c>
      <c r="N838" t="n">
        <v>0</v>
      </c>
      <c r="O838" t="n">
        <v>0</v>
      </c>
      <c r="P838" t="n">
        <v>0</v>
      </c>
      <c r="Q838" t="n">
        <v>0</v>
      </c>
      <c r="R838" s="2" t="inlineStr"/>
      <c r="U838">
        <f>HYPERLINK("https://klasma.github.io/Logging_2283/knärot/A 34638-2024 karta knärot.png", "A 34638-2024")</f>
        <v/>
      </c>
      <c r="V838">
        <f>HYPERLINK("https://klasma.github.io/Logging_2283/klagomål/A 34638-2024 FSC-klagomål.docx", "A 34638-2024")</f>
        <v/>
      </c>
      <c r="W838">
        <f>HYPERLINK("https://klasma.github.io/Logging_2283/klagomålsmail/A 34638-2024 FSC-klagomål mail.docx", "A 34638-2024")</f>
        <v/>
      </c>
      <c r="X838">
        <f>HYPERLINK("https://klasma.github.io/Logging_2283/tillsyn/A 34638-2024 tillsynsbegäran.docx", "A 34638-2024")</f>
        <v/>
      </c>
      <c r="Y838">
        <f>HYPERLINK("https://klasma.github.io/Logging_2283/tillsynsmail/A 34638-2024 tillsynsbegäran mail.docx", "A 34638-2024")</f>
        <v/>
      </c>
    </row>
    <row r="839" ht="15" customHeight="1">
      <c r="A839" t="inlineStr">
        <is>
          <t>A 52266-2023</t>
        </is>
      </c>
      <c r="B839" s="1" t="n">
        <v>45217</v>
      </c>
      <c r="C839" s="1" t="n">
        <v>45964</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29337-2023</t>
        </is>
      </c>
      <c r="B840" s="1" t="n">
        <v>45105</v>
      </c>
      <c r="C840" s="1" t="n">
        <v>45964</v>
      </c>
      <c r="D840" t="inlineStr">
        <is>
          <t>VÄSTERNORRLANDS LÄN</t>
        </is>
      </c>
      <c r="E840" t="inlineStr">
        <is>
          <t>SOLLEFTEÅ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17258-2025</t>
        </is>
      </c>
      <c r="B841" s="1" t="n">
        <v>45756.53278935186</v>
      </c>
      <c r="C841" s="1" t="n">
        <v>45964</v>
      </c>
      <c r="D841" t="inlineStr">
        <is>
          <t>VÄSTERNORRLANDS LÄN</t>
        </is>
      </c>
      <c r="E841" t="inlineStr">
        <is>
          <t>SOLLEFTEÅ</t>
        </is>
      </c>
      <c r="G841" t="n">
        <v>6.8</v>
      </c>
      <c r="H841" t="n">
        <v>0</v>
      </c>
      <c r="I841" t="n">
        <v>0</v>
      </c>
      <c r="J841" t="n">
        <v>0</v>
      </c>
      <c r="K841" t="n">
        <v>0</v>
      </c>
      <c r="L841" t="n">
        <v>0</v>
      </c>
      <c r="M841" t="n">
        <v>0</v>
      </c>
      <c r="N841" t="n">
        <v>0</v>
      </c>
      <c r="O841" t="n">
        <v>0</v>
      </c>
      <c r="P841" t="n">
        <v>0</v>
      </c>
      <c r="Q841" t="n">
        <v>0</v>
      </c>
      <c r="R841" s="2" t="inlineStr"/>
    </row>
    <row r="842" ht="15" customHeight="1">
      <c r="A842" t="inlineStr">
        <is>
          <t>A 57487-2024</t>
        </is>
      </c>
      <c r="B842" s="1" t="n">
        <v>45630.36166666666</v>
      </c>
      <c r="C842" s="1" t="n">
        <v>45964</v>
      </c>
      <c r="D842" t="inlineStr">
        <is>
          <t>VÄSTERNORRLANDS LÄN</t>
        </is>
      </c>
      <c r="E842" t="inlineStr">
        <is>
          <t>SOLLEFTEÅ</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51107-2023</t>
        </is>
      </c>
      <c r="B843" s="1" t="n">
        <v>45218.92530092593</v>
      </c>
      <c r="C843" s="1" t="n">
        <v>45964</v>
      </c>
      <c r="D843" t="inlineStr">
        <is>
          <t>VÄSTERNORRLANDS LÄN</t>
        </is>
      </c>
      <c r="E843" t="inlineStr">
        <is>
          <t>SOLLEFTEÅ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19051-2022</t>
        </is>
      </c>
      <c r="B844" s="1" t="n">
        <v>44691.41167824074</v>
      </c>
      <c r="C844" s="1" t="n">
        <v>45964</v>
      </c>
      <c r="D844" t="inlineStr">
        <is>
          <t>VÄSTERNORRLANDS LÄN</t>
        </is>
      </c>
      <c r="E844" t="inlineStr">
        <is>
          <t>SOLLEFTEÅ</t>
        </is>
      </c>
      <c r="G844" t="n">
        <v>3.6</v>
      </c>
      <c r="H844" t="n">
        <v>0</v>
      </c>
      <c r="I844" t="n">
        <v>0</v>
      </c>
      <c r="J844" t="n">
        <v>0</v>
      </c>
      <c r="K844" t="n">
        <v>0</v>
      </c>
      <c r="L844" t="n">
        <v>0</v>
      </c>
      <c r="M844" t="n">
        <v>0</v>
      </c>
      <c r="N844" t="n">
        <v>0</v>
      </c>
      <c r="O844" t="n">
        <v>0</v>
      </c>
      <c r="P844" t="n">
        <v>0</v>
      </c>
      <c r="Q844" t="n">
        <v>0</v>
      </c>
      <c r="R844" s="2" t="inlineStr"/>
    </row>
    <row r="845" ht="15" customHeight="1">
      <c r="A845" t="inlineStr">
        <is>
          <t>A 16093-2022</t>
        </is>
      </c>
      <c r="B845" s="1" t="n">
        <v>44665</v>
      </c>
      <c r="C845" s="1" t="n">
        <v>45964</v>
      </c>
      <c r="D845" t="inlineStr">
        <is>
          <t>VÄSTERNORRLANDS LÄN</t>
        </is>
      </c>
      <c r="E845" t="inlineStr">
        <is>
          <t>SOLLEFTEÅ</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68034-2020</t>
        </is>
      </c>
      <c r="B846" s="1" t="n">
        <v>44182</v>
      </c>
      <c r="C846" s="1" t="n">
        <v>45964</v>
      </c>
      <c r="D846" t="inlineStr">
        <is>
          <t>VÄSTERNORRLANDS LÄN</t>
        </is>
      </c>
      <c r="E846" t="inlineStr">
        <is>
          <t>SOLLEFTEÅ</t>
        </is>
      </c>
      <c r="F846" t="inlineStr">
        <is>
          <t>SCA</t>
        </is>
      </c>
      <c r="G846" t="n">
        <v>17.1</v>
      </c>
      <c r="H846" t="n">
        <v>0</v>
      </c>
      <c r="I846" t="n">
        <v>0</v>
      </c>
      <c r="J846" t="n">
        <v>0</v>
      </c>
      <c r="K846" t="n">
        <v>0</v>
      </c>
      <c r="L846" t="n">
        <v>0</v>
      </c>
      <c r="M846" t="n">
        <v>0</v>
      </c>
      <c r="N846" t="n">
        <v>0</v>
      </c>
      <c r="O846" t="n">
        <v>0</v>
      </c>
      <c r="P846" t="n">
        <v>0</v>
      </c>
      <c r="Q846" t="n">
        <v>0</v>
      </c>
      <c r="R846" s="2" t="inlineStr"/>
    </row>
    <row r="847" ht="15" customHeight="1">
      <c r="A847" t="inlineStr">
        <is>
          <t>A 11539-2024</t>
        </is>
      </c>
      <c r="B847" s="1" t="n">
        <v>45372.9560300926</v>
      </c>
      <c r="C847" s="1" t="n">
        <v>45964</v>
      </c>
      <c r="D847" t="inlineStr">
        <is>
          <t>VÄSTERNORRLANDS LÄN</t>
        </is>
      </c>
      <c r="E847" t="inlineStr">
        <is>
          <t>SOLLEFTEÅ</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21362-2021</t>
        </is>
      </c>
      <c r="B848" s="1" t="n">
        <v>44320.95611111111</v>
      </c>
      <c r="C848" s="1" t="n">
        <v>45964</v>
      </c>
      <c r="D848" t="inlineStr">
        <is>
          <t>VÄSTERNORRLANDS LÄN</t>
        </is>
      </c>
      <c r="E848" t="inlineStr">
        <is>
          <t>SOLLEFTEÅ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22668-2024</t>
        </is>
      </c>
      <c r="B849" s="1" t="n">
        <v>45447.94453703704</v>
      </c>
      <c r="C849" s="1" t="n">
        <v>45964</v>
      </c>
      <c r="D849" t="inlineStr">
        <is>
          <t>VÄSTERNORRLANDS LÄN</t>
        </is>
      </c>
      <c r="E849" t="inlineStr">
        <is>
          <t>SOLLEFTEÅ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60077-2024</t>
        </is>
      </c>
      <c r="B850" s="1" t="n">
        <v>45642</v>
      </c>
      <c r="C850" s="1" t="n">
        <v>45964</v>
      </c>
      <c r="D850" t="inlineStr">
        <is>
          <t>VÄSTERNORRLANDS LÄN</t>
        </is>
      </c>
      <c r="E850" t="inlineStr">
        <is>
          <t>SOLLEFTEÅ</t>
        </is>
      </c>
      <c r="F850" t="inlineStr">
        <is>
          <t>SCA</t>
        </is>
      </c>
      <c r="G850" t="n">
        <v>21.5</v>
      </c>
      <c r="H850" t="n">
        <v>0</v>
      </c>
      <c r="I850" t="n">
        <v>0</v>
      </c>
      <c r="J850" t="n">
        <v>0</v>
      </c>
      <c r="K850" t="n">
        <v>0</v>
      </c>
      <c r="L850" t="n">
        <v>0</v>
      </c>
      <c r="M850" t="n">
        <v>0</v>
      </c>
      <c r="N850" t="n">
        <v>0</v>
      </c>
      <c r="O850" t="n">
        <v>0</v>
      </c>
      <c r="P850" t="n">
        <v>0</v>
      </c>
      <c r="Q850" t="n">
        <v>0</v>
      </c>
      <c r="R850" s="2" t="inlineStr"/>
    </row>
    <row r="851" ht="15" customHeight="1">
      <c r="A851" t="inlineStr">
        <is>
          <t>A 49673-2024</t>
        </is>
      </c>
      <c r="B851" s="1" t="n">
        <v>45596.65657407408</v>
      </c>
      <c r="C851" s="1" t="n">
        <v>45964</v>
      </c>
      <c r="D851" t="inlineStr">
        <is>
          <t>VÄSTERNORRLANDS LÄN</t>
        </is>
      </c>
      <c r="E851" t="inlineStr">
        <is>
          <t>SOLLEFTEÅ</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11711-2025</t>
        </is>
      </c>
      <c r="B852" s="1" t="n">
        <v>45727.59398148148</v>
      </c>
      <c r="C852" s="1" t="n">
        <v>45964</v>
      </c>
      <c r="D852" t="inlineStr">
        <is>
          <t>VÄSTERNORRLANDS LÄN</t>
        </is>
      </c>
      <c r="E852" t="inlineStr">
        <is>
          <t>SOLLEFTEÅ</t>
        </is>
      </c>
      <c r="G852" t="n">
        <v>7.5</v>
      </c>
      <c r="H852" t="n">
        <v>0</v>
      </c>
      <c r="I852" t="n">
        <v>0</v>
      </c>
      <c r="J852" t="n">
        <v>0</v>
      </c>
      <c r="K852" t="n">
        <v>0</v>
      </c>
      <c r="L852" t="n">
        <v>0</v>
      </c>
      <c r="M852" t="n">
        <v>0</v>
      </c>
      <c r="N852" t="n">
        <v>0</v>
      </c>
      <c r="O852" t="n">
        <v>0</v>
      </c>
      <c r="P852" t="n">
        <v>0</v>
      </c>
      <c r="Q852" t="n">
        <v>0</v>
      </c>
      <c r="R852" s="2" t="inlineStr"/>
    </row>
    <row r="853" ht="15" customHeight="1">
      <c r="A853" t="inlineStr">
        <is>
          <t>A 27936-2024</t>
        </is>
      </c>
      <c r="B853" s="1" t="n">
        <v>45475.95054398148</v>
      </c>
      <c r="C853" s="1" t="n">
        <v>45964</v>
      </c>
      <c r="D853" t="inlineStr">
        <is>
          <t>VÄSTERNORRLANDS LÄN</t>
        </is>
      </c>
      <c r="E853" t="inlineStr">
        <is>
          <t>SOLLEFTEÅ</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58463-2024</t>
        </is>
      </c>
      <c r="B854" s="1" t="n">
        <v>45635.36650462963</v>
      </c>
      <c r="C854" s="1" t="n">
        <v>45964</v>
      </c>
      <c r="D854" t="inlineStr">
        <is>
          <t>VÄSTERNORRLANDS LÄN</t>
        </is>
      </c>
      <c r="E854" t="inlineStr">
        <is>
          <t>SOLLEFTEÅ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60360-2024</t>
        </is>
      </c>
      <c r="B855" s="1" t="n">
        <v>45643.44837962963</v>
      </c>
      <c r="C855" s="1" t="n">
        <v>45964</v>
      </c>
      <c r="D855" t="inlineStr">
        <is>
          <t>VÄSTERNORRLANDS LÄN</t>
        </is>
      </c>
      <c r="E855" t="inlineStr">
        <is>
          <t>SOLLEFTEÅ</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19892-2025</t>
        </is>
      </c>
      <c r="B856" s="1" t="n">
        <v>45771.57461805556</v>
      </c>
      <c r="C856" s="1" t="n">
        <v>45964</v>
      </c>
      <c r="D856" t="inlineStr">
        <is>
          <t>VÄSTERNORRLANDS LÄN</t>
        </is>
      </c>
      <c r="E856" t="inlineStr">
        <is>
          <t>SOLLEFTEÅ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45964</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53278-2021</t>
        </is>
      </c>
      <c r="B858" s="1" t="n">
        <v>44467</v>
      </c>
      <c r="C858" s="1" t="n">
        <v>45964</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13008-2023</t>
        </is>
      </c>
      <c r="B859" s="1" t="n">
        <v>45002</v>
      </c>
      <c r="C859" s="1" t="n">
        <v>45964</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55726-2024</t>
        </is>
      </c>
      <c r="B860" s="1" t="n">
        <v>45622.84653935185</v>
      </c>
      <c r="C860" s="1" t="n">
        <v>45964</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12590-2024</t>
        </is>
      </c>
      <c r="B861" s="1" t="n">
        <v>45379.93686342592</v>
      </c>
      <c r="C861" s="1" t="n">
        <v>45964</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34329-2023</t>
        </is>
      </c>
      <c r="B862" s="1" t="n">
        <v>45138.94997685185</v>
      </c>
      <c r="C862" s="1" t="n">
        <v>45964</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51227-2024</t>
        </is>
      </c>
      <c r="B863" s="1" t="n">
        <v>45603.65729166667</v>
      </c>
      <c r="C863" s="1" t="n">
        <v>45964</v>
      </c>
      <c r="D863" t="inlineStr">
        <is>
          <t>VÄSTERNORRLANDS LÄN</t>
        </is>
      </c>
      <c r="E863" t="inlineStr">
        <is>
          <t>SOLLEFTEÅ</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15859-2024</t>
        </is>
      </c>
      <c r="B864" s="1" t="n">
        <v>45404.99732638889</v>
      </c>
      <c r="C864" s="1" t="n">
        <v>45964</v>
      </c>
      <c r="D864" t="inlineStr">
        <is>
          <t>VÄSTERNORRLANDS LÄN</t>
        </is>
      </c>
      <c r="E864" t="inlineStr">
        <is>
          <t>SOLLEFTEÅ</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60831-2024</t>
        </is>
      </c>
      <c r="B865" s="1" t="n">
        <v>45644</v>
      </c>
      <c r="C865" s="1" t="n">
        <v>45964</v>
      </c>
      <c r="D865" t="inlineStr">
        <is>
          <t>VÄSTERNORRLANDS LÄN</t>
        </is>
      </c>
      <c r="E865" t="inlineStr">
        <is>
          <t>SOLLEFTEÅ</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42228-2021</t>
        </is>
      </c>
      <c r="B866" s="1" t="n">
        <v>44426</v>
      </c>
      <c r="C866" s="1" t="n">
        <v>45964</v>
      </c>
      <c r="D866" t="inlineStr">
        <is>
          <t>VÄSTERNORRLANDS LÄN</t>
        </is>
      </c>
      <c r="E866" t="inlineStr">
        <is>
          <t>SOLLEFTEÅ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45964</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51440-2021</t>
        </is>
      </c>
      <c r="B868" s="1" t="n">
        <v>44461</v>
      </c>
      <c r="C868" s="1" t="n">
        <v>45964</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14055-2022</t>
        </is>
      </c>
      <c r="B869" s="1" t="n">
        <v>44650.93824074074</v>
      </c>
      <c r="C869" s="1" t="n">
        <v>45964</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13860-2025</t>
        </is>
      </c>
      <c r="B870" s="1" t="n">
        <v>45737.57387731481</v>
      </c>
      <c r="C870" s="1" t="n">
        <v>45964</v>
      </c>
      <c r="D870" t="inlineStr">
        <is>
          <t>VÄSTERNORRLANDS LÄN</t>
        </is>
      </c>
      <c r="E870" t="inlineStr">
        <is>
          <t>SOLLEFTEÅ</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55710-2024</t>
        </is>
      </c>
      <c r="B871" s="1" t="n">
        <v>45622.6985300926</v>
      </c>
      <c r="C871" s="1" t="n">
        <v>45964</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52461-2024</t>
        </is>
      </c>
      <c r="B872" s="1" t="n">
        <v>45609.51947916667</v>
      </c>
      <c r="C872" s="1" t="n">
        <v>45964</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58276-2021</t>
        </is>
      </c>
      <c r="B873" s="1" t="n">
        <v>44487.94453703704</v>
      </c>
      <c r="C873" s="1" t="n">
        <v>45964</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17481-2025</t>
        </is>
      </c>
      <c r="B874" s="1" t="n">
        <v>45757.48979166667</v>
      </c>
      <c r="C874" s="1" t="n">
        <v>45964</v>
      </c>
      <c r="D874" t="inlineStr">
        <is>
          <t>VÄSTERNORRLANDS LÄN</t>
        </is>
      </c>
      <c r="E874" t="inlineStr">
        <is>
          <t>SOLLEFTEÅ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54618-2023</t>
        </is>
      </c>
      <c r="B875" s="1" t="n">
        <v>45233</v>
      </c>
      <c r="C875" s="1" t="n">
        <v>45964</v>
      </c>
      <c r="D875" t="inlineStr">
        <is>
          <t>VÄSTERNORRLANDS LÄN</t>
        </is>
      </c>
      <c r="E875" t="inlineStr">
        <is>
          <t>SOLLEFTEÅ</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14353-2025</t>
        </is>
      </c>
      <c r="B876" s="1" t="n">
        <v>45741.36502314815</v>
      </c>
      <c r="C876" s="1" t="n">
        <v>45964</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21095-2024</t>
        </is>
      </c>
      <c r="B877" s="1" t="n">
        <v>45439.95034722222</v>
      </c>
      <c r="C877" s="1" t="n">
        <v>45964</v>
      </c>
      <c r="D877" t="inlineStr">
        <is>
          <t>VÄSTERNORRLANDS LÄN</t>
        </is>
      </c>
      <c r="E877" t="inlineStr">
        <is>
          <t>SOLLEFTEÅ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16463-2024</t>
        </is>
      </c>
      <c r="B878" s="1" t="n">
        <v>45408.05027777778</v>
      </c>
      <c r="C878" s="1" t="n">
        <v>45964</v>
      </c>
      <c r="D878" t="inlineStr">
        <is>
          <t>VÄSTERNORRLANDS LÄN</t>
        </is>
      </c>
      <c r="E878" t="inlineStr">
        <is>
          <t>SOLLEFTEÅ</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16467-2024</t>
        </is>
      </c>
      <c r="B879" s="1" t="n">
        <v>45408</v>
      </c>
      <c r="C879" s="1" t="n">
        <v>45964</v>
      </c>
      <c r="D879" t="inlineStr">
        <is>
          <t>VÄSTERNORRLANDS LÄN</t>
        </is>
      </c>
      <c r="E879" t="inlineStr">
        <is>
          <t>SOLLEFTEÅ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20296-2022</t>
        </is>
      </c>
      <c r="B880" s="1" t="n">
        <v>44698</v>
      </c>
      <c r="C880" s="1" t="n">
        <v>45964</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12972-2023</t>
        </is>
      </c>
      <c r="B881" s="1" t="n">
        <v>45001</v>
      </c>
      <c r="C881" s="1" t="n">
        <v>45964</v>
      </c>
      <c r="D881" t="inlineStr">
        <is>
          <t>VÄSTERNORRLANDS LÄN</t>
        </is>
      </c>
      <c r="E881" t="inlineStr">
        <is>
          <t>SOLLEFTEÅ</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33642-2023</t>
        </is>
      </c>
      <c r="B882" s="1" t="n">
        <v>45119</v>
      </c>
      <c r="C882" s="1" t="n">
        <v>45964</v>
      </c>
      <c r="D882" t="inlineStr">
        <is>
          <t>VÄSTERNORRLANDS LÄN</t>
        </is>
      </c>
      <c r="E882" t="inlineStr">
        <is>
          <t>SOLLEFTEÅ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16511-2025</t>
        </is>
      </c>
      <c r="B883" s="1" t="n">
        <v>45751</v>
      </c>
      <c r="C883" s="1" t="n">
        <v>45964</v>
      </c>
      <c r="D883" t="inlineStr">
        <is>
          <t>VÄSTERNORRLANDS LÄN</t>
        </is>
      </c>
      <c r="E883" t="inlineStr">
        <is>
          <t>SOLLEFTEÅ</t>
        </is>
      </c>
      <c r="G883" t="n">
        <v>1</v>
      </c>
      <c r="H883" t="n">
        <v>0</v>
      </c>
      <c r="I883" t="n">
        <v>0</v>
      </c>
      <c r="J883" t="n">
        <v>0</v>
      </c>
      <c r="K883" t="n">
        <v>0</v>
      </c>
      <c r="L883" t="n">
        <v>0</v>
      </c>
      <c r="M883" t="n">
        <v>0</v>
      </c>
      <c r="N883" t="n">
        <v>0</v>
      </c>
      <c r="O883" t="n">
        <v>0</v>
      </c>
      <c r="P883" t="n">
        <v>0</v>
      </c>
      <c r="Q883" t="n">
        <v>0</v>
      </c>
      <c r="R883" s="2" t="inlineStr"/>
    </row>
    <row r="884" ht="15" customHeight="1">
      <c r="A884" t="inlineStr">
        <is>
          <t>A 34328-2023</t>
        </is>
      </c>
      <c r="B884" s="1" t="n">
        <v>45138.9499074074</v>
      </c>
      <c r="C884" s="1" t="n">
        <v>45964</v>
      </c>
      <c r="D884" t="inlineStr">
        <is>
          <t>VÄSTERNORRLANDS LÄN</t>
        </is>
      </c>
      <c r="E884" t="inlineStr">
        <is>
          <t>SOLLEFTEÅ</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34330-2023</t>
        </is>
      </c>
      <c r="B885" s="1" t="n">
        <v>45138</v>
      </c>
      <c r="C885" s="1" t="n">
        <v>45964</v>
      </c>
      <c r="D885" t="inlineStr">
        <is>
          <t>VÄSTERNORRLANDS LÄN</t>
        </is>
      </c>
      <c r="E885" t="inlineStr">
        <is>
          <t>SOLLEFTEÅ</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3234-2024</t>
        </is>
      </c>
      <c r="B886" s="1" t="n">
        <v>45316.94708333333</v>
      </c>
      <c r="C886" s="1" t="n">
        <v>45964</v>
      </c>
      <c r="D886" t="inlineStr">
        <is>
          <t>VÄSTERNORRLANDS LÄN</t>
        </is>
      </c>
      <c r="E886" t="inlineStr">
        <is>
          <t>SOLLEFTEÅ</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3231-2024</t>
        </is>
      </c>
      <c r="B887" s="1" t="n">
        <v>45316</v>
      </c>
      <c r="C887" s="1" t="n">
        <v>45964</v>
      </c>
      <c r="D887" t="inlineStr">
        <is>
          <t>VÄSTERNORRLANDS LÄN</t>
        </is>
      </c>
      <c r="E887" t="inlineStr">
        <is>
          <t>SOLLEFTEÅ</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3252-2024</t>
        </is>
      </c>
      <c r="B888" s="1" t="n">
        <v>45316</v>
      </c>
      <c r="C888" s="1" t="n">
        <v>45964</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17512-2024</t>
        </is>
      </c>
      <c r="B889" s="1" t="n">
        <v>45415</v>
      </c>
      <c r="C889" s="1" t="n">
        <v>45964</v>
      </c>
      <c r="D889" t="inlineStr">
        <is>
          <t>VÄSTERNORRLANDS LÄN</t>
        </is>
      </c>
      <c r="E889" t="inlineStr">
        <is>
          <t>SOLLEFTEÅ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27382-2023</t>
        </is>
      </c>
      <c r="B890" s="1" t="n">
        <v>45096.93920138889</v>
      </c>
      <c r="C890" s="1" t="n">
        <v>45964</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27384-2023</t>
        </is>
      </c>
      <c r="B891" s="1" t="n">
        <v>45096.939375</v>
      </c>
      <c r="C891" s="1" t="n">
        <v>45964</v>
      </c>
      <c r="D891" t="inlineStr">
        <is>
          <t>VÄSTERNORRLANDS LÄN</t>
        </is>
      </c>
      <c r="E891" t="inlineStr">
        <is>
          <t>SOLLEFTEÅ</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27391-2023</t>
        </is>
      </c>
      <c r="B892" s="1" t="n">
        <v>45096.93991898148</v>
      </c>
      <c r="C892" s="1" t="n">
        <v>45964</v>
      </c>
      <c r="D892" t="inlineStr">
        <is>
          <t>VÄSTERNORRLANDS LÄN</t>
        </is>
      </c>
      <c r="E892" t="inlineStr">
        <is>
          <t>SOLLEFTEÅ</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21589-2021</t>
        </is>
      </c>
      <c r="B893" s="1" t="n">
        <v>44321.66534722222</v>
      </c>
      <c r="C893" s="1" t="n">
        <v>45964</v>
      </c>
      <c r="D893" t="inlineStr">
        <is>
          <t>VÄSTERNORRLANDS LÄN</t>
        </is>
      </c>
      <c r="E893" t="inlineStr">
        <is>
          <t>SOLLEFTEÅ</t>
        </is>
      </c>
      <c r="G893" t="n">
        <v>7</v>
      </c>
      <c r="H893" t="n">
        <v>0</v>
      </c>
      <c r="I893" t="n">
        <v>0</v>
      </c>
      <c r="J893" t="n">
        <v>0</v>
      </c>
      <c r="K893" t="n">
        <v>0</v>
      </c>
      <c r="L893" t="n">
        <v>0</v>
      </c>
      <c r="M893" t="n">
        <v>0</v>
      </c>
      <c r="N893" t="n">
        <v>0</v>
      </c>
      <c r="O893" t="n">
        <v>0</v>
      </c>
      <c r="P893" t="n">
        <v>0</v>
      </c>
      <c r="Q893" t="n">
        <v>0</v>
      </c>
      <c r="R893" s="2" t="inlineStr"/>
    </row>
    <row r="894" ht="15" customHeight="1">
      <c r="A894" t="inlineStr">
        <is>
          <t>A 50007-2024</t>
        </is>
      </c>
      <c r="B894" s="1" t="n">
        <v>45598.57574074074</v>
      </c>
      <c r="C894" s="1" t="n">
        <v>45964</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2456-2025</t>
        </is>
      </c>
      <c r="B895" s="1" t="n">
        <v>45673</v>
      </c>
      <c r="C895" s="1" t="n">
        <v>45964</v>
      </c>
      <c r="D895" t="inlineStr">
        <is>
          <t>VÄSTERNORRLANDS LÄN</t>
        </is>
      </c>
      <c r="E895" t="inlineStr">
        <is>
          <t>SOLLEFTEÅ</t>
        </is>
      </c>
      <c r="F895" t="inlineStr">
        <is>
          <t>Kommuner</t>
        </is>
      </c>
      <c r="G895" t="n">
        <v>2.7</v>
      </c>
      <c r="H895" t="n">
        <v>0</v>
      </c>
      <c r="I895" t="n">
        <v>0</v>
      </c>
      <c r="J895" t="n">
        <v>0</v>
      </c>
      <c r="K895" t="n">
        <v>0</v>
      </c>
      <c r="L895" t="n">
        <v>0</v>
      </c>
      <c r="M895" t="n">
        <v>0</v>
      </c>
      <c r="N895" t="n">
        <v>0</v>
      </c>
      <c r="O895" t="n">
        <v>0</v>
      </c>
      <c r="P895" t="n">
        <v>0</v>
      </c>
      <c r="Q895" t="n">
        <v>0</v>
      </c>
      <c r="R895" s="2" t="inlineStr"/>
    </row>
    <row r="896" ht="15" customHeight="1">
      <c r="A896" t="inlineStr">
        <is>
          <t>A 56311-2023</t>
        </is>
      </c>
      <c r="B896" s="1" t="n">
        <v>45242.94203703704</v>
      </c>
      <c r="C896" s="1" t="n">
        <v>45964</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63652-2023</t>
        </is>
      </c>
      <c r="B897" s="1" t="n">
        <v>45275</v>
      </c>
      <c r="C897" s="1" t="n">
        <v>45964</v>
      </c>
      <c r="D897" t="inlineStr">
        <is>
          <t>VÄSTERNORRLANDS LÄN</t>
        </is>
      </c>
      <c r="E897" t="inlineStr">
        <is>
          <t>SOLLEFTEÅ</t>
        </is>
      </c>
      <c r="G897" t="n">
        <v>4.5</v>
      </c>
      <c r="H897" t="n">
        <v>0</v>
      </c>
      <c r="I897" t="n">
        <v>0</v>
      </c>
      <c r="J897" t="n">
        <v>0</v>
      </c>
      <c r="K897" t="n">
        <v>0</v>
      </c>
      <c r="L897" t="n">
        <v>0</v>
      </c>
      <c r="M897" t="n">
        <v>0</v>
      </c>
      <c r="N897" t="n">
        <v>0</v>
      </c>
      <c r="O897" t="n">
        <v>0</v>
      </c>
      <c r="P897" t="n">
        <v>0</v>
      </c>
      <c r="Q897" t="n">
        <v>0</v>
      </c>
      <c r="R897" s="2" t="inlineStr"/>
    </row>
    <row r="898" ht="15" customHeight="1">
      <c r="A898" t="inlineStr">
        <is>
          <t>A 33083-2022</t>
        </is>
      </c>
      <c r="B898" s="1" t="n">
        <v>44785</v>
      </c>
      <c r="C898" s="1" t="n">
        <v>45964</v>
      </c>
      <c r="D898" t="inlineStr">
        <is>
          <t>VÄSTERNORRLANDS LÄN</t>
        </is>
      </c>
      <c r="E898" t="inlineStr">
        <is>
          <t>SOLLEFTEÅ</t>
        </is>
      </c>
      <c r="G898" t="n">
        <v>0.3</v>
      </c>
      <c r="H898" t="n">
        <v>0</v>
      </c>
      <c r="I898" t="n">
        <v>0</v>
      </c>
      <c r="J898" t="n">
        <v>0</v>
      </c>
      <c r="K898" t="n">
        <v>0</v>
      </c>
      <c r="L898" t="n">
        <v>0</v>
      </c>
      <c r="M898" t="n">
        <v>0</v>
      </c>
      <c r="N898" t="n">
        <v>0</v>
      </c>
      <c r="O898" t="n">
        <v>0</v>
      </c>
      <c r="P898" t="n">
        <v>0</v>
      </c>
      <c r="Q898" t="n">
        <v>0</v>
      </c>
      <c r="R898" s="2" t="inlineStr"/>
    </row>
    <row r="899" ht="15" customHeight="1">
      <c r="A899" t="inlineStr">
        <is>
          <t>A 5059-2024</t>
        </is>
      </c>
      <c r="B899" s="1" t="n">
        <v>45329</v>
      </c>
      <c r="C899" s="1" t="n">
        <v>45964</v>
      </c>
      <c r="D899" t="inlineStr">
        <is>
          <t>VÄSTERNORRLANDS LÄN</t>
        </is>
      </c>
      <c r="E899" t="inlineStr">
        <is>
          <t>SOLLEFTEÅ</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60170-2022</t>
        </is>
      </c>
      <c r="B900" s="1" t="n">
        <v>44909</v>
      </c>
      <c r="C900" s="1" t="n">
        <v>45964</v>
      </c>
      <c r="D900" t="inlineStr">
        <is>
          <t>VÄSTERNORRLANDS LÄN</t>
        </is>
      </c>
      <c r="E900" t="inlineStr">
        <is>
          <t>SOLLEFTEÅ</t>
        </is>
      </c>
      <c r="G900" t="n">
        <v>0.5</v>
      </c>
      <c r="H900" t="n">
        <v>0</v>
      </c>
      <c r="I900" t="n">
        <v>0</v>
      </c>
      <c r="J900" t="n">
        <v>0</v>
      </c>
      <c r="K900" t="n">
        <v>0</v>
      </c>
      <c r="L900" t="n">
        <v>0</v>
      </c>
      <c r="M900" t="n">
        <v>0</v>
      </c>
      <c r="N900" t="n">
        <v>0</v>
      </c>
      <c r="O900" t="n">
        <v>0</v>
      </c>
      <c r="P900" t="n">
        <v>0</v>
      </c>
      <c r="Q900" t="n">
        <v>0</v>
      </c>
      <c r="R900" s="2" t="inlineStr"/>
    </row>
    <row r="901" ht="15" customHeight="1">
      <c r="A901" t="inlineStr">
        <is>
          <t>A 774-2025</t>
        </is>
      </c>
      <c r="B901" s="1" t="n">
        <v>45659</v>
      </c>
      <c r="C901" s="1" t="n">
        <v>45964</v>
      </c>
      <c r="D901" t="inlineStr">
        <is>
          <t>VÄSTERNORRLANDS LÄN</t>
        </is>
      </c>
      <c r="E901" t="inlineStr">
        <is>
          <t>SOLLEFTEÅ</t>
        </is>
      </c>
      <c r="G901" t="n">
        <v>3.8</v>
      </c>
      <c r="H901" t="n">
        <v>0</v>
      </c>
      <c r="I901" t="n">
        <v>0</v>
      </c>
      <c r="J901" t="n">
        <v>0</v>
      </c>
      <c r="K901" t="n">
        <v>0</v>
      </c>
      <c r="L901" t="n">
        <v>0</v>
      </c>
      <c r="M901" t="n">
        <v>0</v>
      </c>
      <c r="N901" t="n">
        <v>0</v>
      </c>
      <c r="O901" t="n">
        <v>0</v>
      </c>
      <c r="P901" t="n">
        <v>0</v>
      </c>
      <c r="Q901" t="n">
        <v>0</v>
      </c>
      <c r="R901" s="2" t="inlineStr"/>
    </row>
    <row r="902" ht="15" customHeight="1">
      <c r="A902" t="inlineStr">
        <is>
          <t>A 775-2025</t>
        </is>
      </c>
      <c r="B902" s="1" t="n">
        <v>45659</v>
      </c>
      <c r="C902" s="1" t="n">
        <v>45964</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59473-2024</t>
        </is>
      </c>
      <c r="B903" s="1" t="n">
        <v>45638.50436342593</v>
      </c>
      <c r="C903" s="1" t="n">
        <v>45964</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55622-2023</t>
        </is>
      </c>
      <c r="B904" s="1" t="n">
        <v>45238</v>
      </c>
      <c r="C904" s="1" t="n">
        <v>45964</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3750-2025</t>
        </is>
      </c>
      <c r="B905" s="1" t="n">
        <v>45681.580625</v>
      </c>
      <c r="C905" s="1" t="n">
        <v>45964</v>
      </c>
      <c r="D905" t="inlineStr">
        <is>
          <t>VÄSTERNORRLANDS LÄN</t>
        </is>
      </c>
      <c r="E905" t="inlineStr">
        <is>
          <t>SOLLEFTEÅ</t>
        </is>
      </c>
      <c r="G905" t="n">
        <v>5.4</v>
      </c>
      <c r="H905" t="n">
        <v>0</v>
      </c>
      <c r="I905" t="n">
        <v>0</v>
      </c>
      <c r="J905" t="n">
        <v>0</v>
      </c>
      <c r="K905" t="n">
        <v>0</v>
      </c>
      <c r="L905" t="n">
        <v>0</v>
      </c>
      <c r="M905" t="n">
        <v>0</v>
      </c>
      <c r="N905" t="n">
        <v>0</v>
      </c>
      <c r="O905" t="n">
        <v>0</v>
      </c>
      <c r="P905" t="n">
        <v>0</v>
      </c>
      <c r="Q905" t="n">
        <v>0</v>
      </c>
      <c r="R905" s="2" t="inlineStr"/>
    </row>
    <row r="906" ht="15" customHeight="1">
      <c r="A906" t="inlineStr">
        <is>
          <t>A 34388-2024</t>
        </is>
      </c>
      <c r="B906" s="1" t="n">
        <v>45525</v>
      </c>
      <c r="C906" s="1" t="n">
        <v>45964</v>
      </c>
      <c r="D906" t="inlineStr">
        <is>
          <t>VÄSTERNORRLANDS LÄN</t>
        </is>
      </c>
      <c r="E906" t="inlineStr">
        <is>
          <t>SOLLEFTEÅ</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5394-2025</t>
        </is>
      </c>
      <c r="B907" s="1" t="n">
        <v>45692.63591435185</v>
      </c>
      <c r="C907" s="1" t="n">
        <v>45964</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13637-2025</t>
        </is>
      </c>
      <c r="B908" s="1" t="n">
        <v>45736.65681712963</v>
      </c>
      <c r="C908" s="1" t="n">
        <v>45964</v>
      </c>
      <c r="D908" t="inlineStr">
        <is>
          <t>VÄSTERNORRLANDS LÄN</t>
        </is>
      </c>
      <c r="E908" t="inlineStr">
        <is>
          <t>SOLLEFTEÅ</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13652-2025</t>
        </is>
      </c>
      <c r="B909" s="1" t="n">
        <v>45736.71909722222</v>
      </c>
      <c r="C909" s="1" t="n">
        <v>45964</v>
      </c>
      <c r="D909" t="inlineStr">
        <is>
          <t>VÄSTERNORRLANDS LÄN</t>
        </is>
      </c>
      <c r="E909" t="inlineStr">
        <is>
          <t>SOLLEFTEÅ</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13252-2023</t>
        </is>
      </c>
      <c r="B910" s="1" t="n">
        <v>45002</v>
      </c>
      <c r="C910" s="1" t="n">
        <v>45964</v>
      </c>
      <c r="D910" t="inlineStr">
        <is>
          <t>VÄSTERNORRLANDS LÄN</t>
        </is>
      </c>
      <c r="E910" t="inlineStr">
        <is>
          <t>SOLLEFTEÅ</t>
        </is>
      </c>
      <c r="F910" t="inlineStr">
        <is>
          <t>SCA</t>
        </is>
      </c>
      <c r="G910" t="n">
        <v>5.4</v>
      </c>
      <c r="H910" t="n">
        <v>0</v>
      </c>
      <c r="I910" t="n">
        <v>0</v>
      </c>
      <c r="J910" t="n">
        <v>0</v>
      </c>
      <c r="K910" t="n">
        <v>0</v>
      </c>
      <c r="L910" t="n">
        <v>0</v>
      </c>
      <c r="M910" t="n">
        <v>0</v>
      </c>
      <c r="N910" t="n">
        <v>0</v>
      </c>
      <c r="O910" t="n">
        <v>0</v>
      </c>
      <c r="P910" t="n">
        <v>0</v>
      </c>
      <c r="Q910" t="n">
        <v>0</v>
      </c>
      <c r="R910" s="2" t="inlineStr"/>
    </row>
    <row r="911" ht="15" customHeight="1">
      <c r="A911" t="inlineStr">
        <is>
          <t>A 55338-2023</t>
        </is>
      </c>
      <c r="B911" s="1" t="n">
        <v>45237.97476851852</v>
      </c>
      <c r="C911" s="1" t="n">
        <v>45964</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48001-2024</t>
        </is>
      </c>
      <c r="B912" s="1" t="n">
        <v>45589.44826388889</v>
      </c>
      <c r="C912" s="1" t="n">
        <v>45964</v>
      </c>
      <c r="D912" t="inlineStr">
        <is>
          <t>VÄSTERNORRLANDS LÄN</t>
        </is>
      </c>
      <c r="E912" t="inlineStr">
        <is>
          <t>SOLLEFTEÅ</t>
        </is>
      </c>
      <c r="F912" t="inlineStr">
        <is>
          <t>SCA</t>
        </is>
      </c>
      <c r="G912" t="n">
        <v>7.6</v>
      </c>
      <c r="H912" t="n">
        <v>0</v>
      </c>
      <c r="I912" t="n">
        <v>0</v>
      </c>
      <c r="J912" t="n">
        <v>0</v>
      </c>
      <c r="K912" t="n">
        <v>0</v>
      </c>
      <c r="L912" t="n">
        <v>0</v>
      </c>
      <c r="M912" t="n">
        <v>0</v>
      </c>
      <c r="N912" t="n">
        <v>0</v>
      </c>
      <c r="O912" t="n">
        <v>0</v>
      </c>
      <c r="P912" t="n">
        <v>0</v>
      </c>
      <c r="Q912" t="n">
        <v>0</v>
      </c>
      <c r="R912" s="2" t="inlineStr"/>
    </row>
    <row r="913" ht="15" customHeight="1">
      <c r="A913" t="inlineStr">
        <is>
          <t>A 19682-2025</t>
        </is>
      </c>
      <c r="B913" s="1" t="n">
        <v>45770.85163194445</v>
      </c>
      <c r="C913" s="1" t="n">
        <v>45964</v>
      </c>
      <c r="D913" t="inlineStr">
        <is>
          <t>VÄSTERNORRLANDS LÄN</t>
        </is>
      </c>
      <c r="E913" t="inlineStr">
        <is>
          <t>SOLLEFTEÅ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17889-2025</t>
        </is>
      </c>
      <c r="B914" s="1" t="n">
        <v>45758.67746527777</v>
      </c>
      <c r="C914" s="1" t="n">
        <v>45964</v>
      </c>
      <c r="D914" t="inlineStr">
        <is>
          <t>VÄSTERNORRLANDS LÄN</t>
        </is>
      </c>
      <c r="E914" t="inlineStr">
        <is>
          <t>SOLLEFTEÅ</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32754-2024</t>
        </is>
      </c>
      <c r="B915" s="1" t="n">
        <v>45516.46685185185</v>
      </c>
      <c r="C915" s="1" t="n">
        <v>45964</v>
      </c>
      <c r="D915" t="inlineStr">
        <is>
          <t>VÄSTERNORRLANDS LÄN</t>
        </is>
      </c>
      <c r="E915" t="inlineStr">
        <is>
          <t>SOLLEFTEÅ</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61997-2022</t>
        </is>
      </c>
      <c r="B916" s="1" t="n">
        <v>44914</v>
      </c>
      <c r="C916" s="1" t="n">
        <v>45964</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61089-2024</t>
        </is>
      </c>
      <c r="B917" s="1" t="n">
        <v>45644</v>
      </c>
      <c r="C917" s="1" t="n">
        <v>45964</v>
      </c>
      <c r="D917" t="inlineStr">
        <is>
          <t>VÄSTERNORRLANDS LÄN</t>
        </is>
      </c>
      <c r="E917" t="inlineStr">
        <is>
          <t>SOLLEFTEÅ</t>
        </is>
      </c>
      <c r="G917" t="n">
        <v>4.5</v>
      </c>
      <c r="H917" t="n">
        <v>0</v>
      </c>
      <c r="I917" t="n">
        <v>0</v>
      </c>
      <c r="J917" t="n">
        <v>0</v>
      </c>
      <c r="K917" t="n">
        <v>0</v>
      </c>
      <c r="L917" t="n">
        <v>0</v>
      </c>
      <c r="M917" t="n">
        <v>0</v>
      </c>
      <c r="N917" t="n">
        <v>0</v>
      </c>
      <c r="O917" t="n">
        <v>0</v>
      </c>
      <c r="P917" t="n">
        <v>0</v>
      </c>
      <c r="Q917" t="n">
        <v>0</v>
      </c>
      <c r="R917" s="2" t="inlineStr"/>
    </row>
    <row r="918" ht="15" customHeight="1">
      <c r="A918" t="inlineStr">
        <is>
          <t>A 39429-2024</t>
        </is>
      </c>
      <c r="B918" s="1" t="n">
        <v>45551.59427083333</v>
      </c>
      <c r="C918" s="1" t="n">
        <v>45964</v>
      </c>
      <c r="D918" t="inlineStr">
        <is>
          <t>VÄSTERNORRLANDS LÄN</t>
        </is>
      </c>
      <c r="E918" t="inlineStr">
        <is>
          <t>SOLLEFTEÅ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50615-2023</t>
        </is>
      </c>
      <c r="B919" s="1" t="n">
        <v>45217</v>
      </c>
      <c r="C919" s="1" t="n">
        <v>45964</v>
      </c>
      <c r="D919" t="inlineStr">
        <is>
          <t>VÄSTERNORRLANDS LÄN</t>
        </is>
      </c>
      <c r="E919" t="inlineStr">
        <is>
          <t>SOLLEFTEÅ</t>
        </is>
      </c>
      <c r="G919" t="n">
        <v>1.5</v>
      </c>
      <c r="H919" t="n">
        <v>0</v>
      </c>
      <c r="I919" t="n">
        <v>0</v>
      </c>
      <c r="J919" t="n">
        <v>0</v>
      </c>
      <c r="K919" t="n">
        <v>0</v>
      </c>
      <c r="L919" t="n">
        <v>0</v>
      </c>
      <c r="M919" t="n">
        <v>0</v>
      </c>
      <c r="N919" t="n">
        <v>0</v>
      </c>
      <c r="O919" t="n">
        <v>0</v>
      </c>
      <c r="P919" t="n">
        <v>0</v>
      </c>
      <c r="Q919" t="n">
        <v>0</v>
      </c>
      <c r="R919" s="2" t="inlineStr"/>
    </row>
    <row r="920" ht="15" customHeight="1">
      <c r="A920" t="inlineStr">
        <is>
          <t>A 46850-2024</t>
        </is>
      </c>
      <c r="B920" s="1" t="n">
        <v>45583.61513888889</v>
      </c>
      <c r="C920" s="1" t="n">
        <v>45964</v>
      </c>
      <c r="D920" t="inlineStr">
        <is>
          <t>VÄSTERNORRLANDS LÄN</t>
        </is>
      </c>
      <c r="E920" t="inlineStr">
        <is>
          <t>SOLLEFTEÅ</t>
        </is>
      </c>
      <c r="F920" t="inlineStr">
        <is>
          <t>SCA</t>
        </is>
      </c>
      <c r="G920" t="n">
        <v>4.2</v>
      </c>
      <c r="H920" t="n">
        <v>0</v>
      </c>
      <c r="I920" t="n">
        <v>0</v>
      </c>
      <c r="J920" t="n">
        <v>0</v>
      </c>
      <c r="K920" t="n">
        <v>0</v>
      </c>
      <c r="L920" t="n">
        <v>0</v>
      </c>
      <c r="M920" t="n">
        <v>0</v>
      </c>
      <c r="N920" t="n">
        <v>0</v>
      </c>
      <c r="O920" t="n">
        <v>0</v>
      </c>
      <c r="P920" t="n">
        <v>0</v>
      </c>
      <c r="Q920" t="n">
        <v>0</v>
      </c>
      <c r="R920" s="2" t="inlineStr"/>
    </row>
    <row r="921" ht="15" customHeight="1">
      <c r="A921" t="inlineStr">
        <is>
          <t>A 6733-2025</t>
        </is>
      </c>
      <c r="B921" s="1" t="n">
        <v>45700.59425925926</v>
      </c>
      <c r="C921" s="1" t="n">
        <v>45964</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44460.94086805556</v>
      </c>
      <c r="C922" s="1" t="n">
        <v>45964</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3424-2025</t>
        </is>
      </c>
      <c r="B923" s="1" t="n">
        <v>45680</v>
      </c>
      <c r="C923" s="1" t="n">
        <v>45964</v>
      </c>
      <c r="D923" t="inlineStr">
        <is>
          <t>VÄSTERNORRLANDS LÄN</t>
        </is>
      </c>
      <c r="E923" t="inlineStr">
        <is>
          <t>SOLLEFTEÅ</t>
        </is>
      </c>
      <c r="G923" t="n">
        <v>1.4</v>
      </c>
      <c r="H923" t="n">
        <v>0</v>
      </c>
      <c r="I923" t="n">
        <v>0</v>
      </c>
      <c r="J923" t="n">
        <v>0</v>
      </c>
      <c r="K923" t="n">
        <v>0</v>
      </c>
      <c r="L923" t="n">
        <v>0</v>
      </c>
      <c r="M923" t="n">
        <v>0</v>
      </c>
      <c r="N923" t="n">
        <v>0</v>
      </c>
      <c r="O923" t="n">
        <v>0</v>
      </c>
      <c r="P923" t="n">
        <v>0</v>
      </c>
      <c r="Q923" t="n">
        <v>0</v>
      </c>
      <c r="R923" s="2" t="inlineStr"/>
    </row>
    <row r="924" ht="15" customHeight="1">
      <c r="A924" t="inlineStr">
        <is>
          <t>A 22341-2022</t>
        </is>
      </c>
      <c r="B924" s="1" t="n">
        <v>44712.94197916667</v>
      </c>
      <c r="C924" s="1" t="n">
        <v>45964</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4857-2024</t>
        </is>
      </c>
      <c r="B925" s="1" t="n">
        <v>45329</v>
      </c>
      <c r="C925" s="1" t="n">
        <v>45964</v>
      </c>
      <c r="D925" t="inlineStr">
        <is>
          <t>VÄSTERNORRLANDS LÄN</t>
        </is>
      </c>
      <c r="E925" t="inlineStr">
        <is>
          <t>SOLLEFTEÅ</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13639-2025</t>
        </is>
      </c>
      <c r="B926" s="1" t="n">
        <v>45736.65710648148</v>
      </c>
      <c r="C926" s="1" t="n">
        <v>45964</v>
      </c>
      <c r="D926" t="inlineStr">
        <is>
          <t>VÄSTERNORRLANDS LÄN</t>
        </is>
      </c>
      <c r="E926" t="inlineStr">
        <is>
          <t>SOLLEFTEÅ</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59583-2023</t>
        </is>
      </c>
      <c r="B927" s="1" t="n">
        <v>45254.60587962963</v>
      </c>
      <c r="C927" s="1" t="n">
        <v>45964</v>
      </c>
      <c r="D927" t="inlineStr">
        <is>
          <t>VÄSTERNORRLANDS LÄN</t>
        </is>
      </c>
      <c r="E927" t="inlineStr">
        <is>
          <t>SOLLEFTEÅ</t>
        </is>
      </c>
      <c r="F927" t="inlineStr">
        <is>
          <t>Holmen skog AB</t>
        </is>
      </c>
      <c r="G927" t="n">
        <v>0.5</v>
      </c>
      <c r="H927" t="n">
        <v>0</v>
      </c>
      <c r="I927" t="n">
        <v>0</v>
      </c>
      <c r="J927" t="n">
        <v>0</v>
      </c>
      <c r="K927" t="n">
        <v>0</v>
      </c>
      <c r="L927" t="n">
        <v>0</v>
      </c>
      <c r="M927" t="n">
        <v>0</v>
      </c>
      <c r="N927" t="n">
        <v>0</v>
      </c>
      <c r="O927" t="n">
        <v>0</v>
      </c>
      <c r="P927" t="n">
        <v>0</v>
      </c>
      <c r="Q927" t="n">
        <v>0</v>
      </c>
      <c r="R927" s="2" t="inlineStr"/>
    </row>
    <row r="928" ht="15" customHeight="1">
      <c r="A928" t="inlineStr">
        <is>
          <t>A 11551-2023</t>
        </is>
      </c>
      <c r="B928" s="1" t="n">
        <v>44993</v>
      </c>
      <c r="C928" s="1" t="n">
        <v>45964</v>
      </c>
      <c r="D928" t="inlineStr">
        <is>
          <t>VÄSTERNORRLANDS LÄN</t>
        </is>
      </c>
      <c r="E928" t="inlineStr">
        <is>
          <t>SOLLEFTEÅ</t>
        </is>
      </c>
      <c r="G928" t="n">
        <v>4.9</v>
      </c>
      <c r="H928" t="n">
        <v>0</v>
      </c>
      <c r="I928" t="n">
        <v>0</v>
      </c>
      <c r="J928" t="n">
        <v>0</v>
      </c>
      <c r="K928" t="n">
        <v>0</v>
      </c>
      <c r="L928" t="n">
        <v>0</v>
      </c>
      <c r="M928" t="n">
        <v>0</v>
      </c>
      <c r="N928" t="n">
        <v>0</v>
      </c>
      <c r="O928" t="n">
        <v>0</v>
      </c>
      <c r="P928" t="n">
        <v>0</v>
      </c>
      <c r="Q928" t="n">
        <v>0</v>
      </c>
      <c r="R928" s="2" t="inlineStr"/>
    </row>
    <row r="929" ht="15" customHeight="1">
      <c r="A929" t="inlineStr">
        <is>
          <t>A 21852-2024</t>
        </is>
      </c>
      <c r="B929" s="1" t="n">
        <v>45442.9628125</v>
      </c>
      <c r="C929" s="1" t="n">
        <v>45964</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45778-2024</t>
        </is>
      </c>
      <c r="B930" s="1" t="n">
        <v>45579.66471064815</v>
      </c>
      <c r="C930" s="1" t="n">
        <v>45964</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11334-2024</t>
        </is>
      </c>
      <c r="B931" s="1" t="n">
        <v>45372</v>
      </c>
      <c r="C931" s="1" t="n">
        <v>45964</v>
      </c>
      <c r="D931" t="inlineStr">
        <is>
          <t>VÄSTERNORRLANDS LÄN</t>
        </is>
      </c>
      <c r="E931" t="inlineStr">
        <is>
          <t>SOLLEFTEÅ</t>
        </is>
      </c>
      <c r="F931" t="inlineStr">
        <is>
          <t>SCA</t>
        </is>
      </c>
      <c r="G931" t="n">
        <v>11.7</v>
      </c>
      <c r="H931" t="n">
        <v>0</v>
      </c>
      <c r="I931" t="n">
        <v>0</v>
      </c>
      <c r="J931" t="n">
        <v>0</v>
      </c>
      <c r="K931" t="n">
        <v>0</v>
      </c>
      <c r="L931" t="n">
        <v>0</v>
      </c>
      <c r="M931" t="n">
        <v>0</v>
      </c>
      <c r="N931" t="n">
        <v>0</v>
      </c>
      <c r="O931" t="n">
        <v>0</v>
      </c>
      <c r="P931" t="n">
        <v>0</v>
      </c>
      <c r="Q931" t="n">
        <v>0</v>
      </c>
      <c r="R931" s="2" t="inlineStr"/>
    </row>
    <row r="932" ht="15" customHeight="1">
      <c r="A932" t="inlineStr">
        <is>
          <t>A 9072-2025</t>
        </is>
      </c>
      <c r="B932" s="1" t="n">
        <v>45713.65673611111</v>
      </c>
      <c r="C932" s="1" t="n">
        <v>45964</v>
      </c>
      <c r="D932" t="inlineStr">
        <is>
          <t>VÄSTERNORRLANDS LÄN</t>
        </is>
      </c>
      <c r="E932" t="inlineStr">
        <is>
          <t>SOLLEFTEÅ</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22672-2024</t>
        </is>
      </c>
      <c r="B933" s="1" t="n">
        <v>45447.94486111111</v>
      </c>
      <c r="C933" s="1" t="n">
        <v>45964</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31965-2022</t>
        </is>
      </c>
      <c r="B934" s="1" t="n">
        <v>44777.95460648148</v>
      </c>
      <c r="C934" s="1" t="n">
        <v>45964</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10737-2025</t>
        </is>
      </c>
      <c r="B935" s="1" t="n">
        <v>45722</v>
      </c>
      <c r="C935" s="1" t="n">
        <v>45964</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61778-2024</t>
        </is>
      </c>
      <c r="B936" s="1" t="n">
        <v>45649.46961805555</v>
      </c>
      <c r="C936" s="1" t="n">
        <v>45964</v>
      </c>
      <c r="D936" t="inlineStr">
        <is>
          <t>VÄSTERNORRLANDS LÄN</t>
        </is>
      </c>
      <c r="E936" t="inlineStr">
        <is>
          <t>SOLLEFTEÅ</t>
        </is>
      </c>
      <c r="G936" t="n">
        <v>3.1</v>
      </c>
      <c r="H936" t="n">
        <v>0</v>
      </c>
      <c r="I936" t="n">
        <v>0</v>
      </c>
      <c r="J936" t="n">
        <v>0</v>
      </c>
      <c r="K936" t="n">
        <v>0</v>
      </c>
      <c r="L936" t="n">
        <v>0</v>
      </c>
      <c r="M936" t="n">
        <v>0</v>
      </c>
      <c r="N936" t="n">
        <v>0</v>
      </c>
      <c r="O936" t="n">
        <v>0</v>
      </c>
      <c r="P936" t="n">
        <v>0</v>
      </c>
      <c r="Q936" t="n">
        <v>0</v>
      </c>
      <c r="R936" s="2" t="inlineStr"/>
    </row>
    <row r="937" ht="15" customHeight="1">
      <c r="A937" t="inlineStr">
        <is>
          <t>A 11117-2022</t>
        </is>
      </c>
      <c r="B937" s="1" t="n">
        <v>44628.94248842593</v>
      </c>
      <c r="C937" s="1" t="n">
        <v>45964</v>
      </c>
      <c r="D937" t="inlineStr">
        <is>
          <t>VÄSTERNORRLANDS LÄN</t>
        </is>
      </c>
      <c r="E937" t="inlineStr">
        <is>
          <t>SOLLEFTEÅ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28366-2023</t>
        </is>
      </c>
      <c r="B938" s="1" t="n">
        <v>45099</v>
      </c>
      <c r="C938" s="1" t="n">
        <v>45964</v>
      </c>
      <c r="D938" t="inlineStr">
        <is>
          <t>VÄSTERNORRLANDS LÄN</t>
        </is>
      </c>
      <c r="E938" t="inlineStr">
        <is>
          <t>SOLLEFTEÅ</t>
        </is>
      </c>
      <c r="F938" t="inlineStr">
        <is>
          <t>SCA</t>
        </is>
      </c>
      <c r="G938" t="n">
        <v>8.1</v>
      </c>
      <c r="H938" t="n">
        <v>0</v>
      </c>
      <c r="I938" t="n">
        <v>0</v>
      </c>
      <c r="J938" t="n">
        <v>0</v>
      </c>
      <c r="K938" t="n">
        <v>0</v>
      </c>
      <c r="L938" t="n">
        <v>0</v>
      </c>
      <c r="M938" t="n">
        <v>0</v>
      </c>
      <c r="N938" t="n">
        <v>0</v>
      </c>
      <c r="O938" t="n">
        <v>0</v>
      </c>
      <c r="P938" t="n">
        <v>0</v>
      </c>
      <c r="Q938" t="n">
        <v>0</v>
      </c>
      <c r="R938" s="2" t="inlineStr"/>
    </row>
    <row r="939" ht="15" customHeight="1">
      <c r="A939" t="inlineStr">
        <is>
          <t>A 18621-2024</t>
        </is>
      </c>
      <c r="B939" s="1" t="n">
        <v>45425</v>
      </c>
      <c r="C939" s="1" t="n">
        <v>45964</v>
      </c>
      <c r="D939" t="inlineStr">
        <is>
          <t>VÄSTERNORRLANDS LÄN</t>
        </is>
      </c>
      <c r="E939" t="inlineStr">
        <is>
          <t>SOLLEFTEÅ</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22666-2024</t>
        </is>
      </c>
      <c r="B940" s="1" t="n">
        <v>45447</v>
      </c>
      <c r="C940" s="1" t="n">
        <v>45964</v>
      </c>
      <c r="D940" t="inlineStr">
        <is>
          <t>VÄSTERNORRLANDS LÄN</t>
        </is>
      </c>
      <c r="E940" t="inlineStr">
        <is>
          <t>SOLLEFTEÅ</t>
        </is>
      </c>
      <c r="F940" t="inlineStr">
        <is>
          <t>SCA</t>
        </is>
      </c>
      <c r="G940" t="n">
        <v>42</v>
      </c>
      <c r="H940" t="n">
        <v>0</v>
      </c>
      <c r="I940" t="n">
        <v>0</v>
      </c>
      <c r="J940" t="n">
        <v>0</v>
      </c>
      <c r="K940" t="n">
        <v>0</v>
      </c>
      <c r="L940" t="n">
        <v>0</v>
      </c>
      <c r="M940" t="n">
        <v>0</v>
      </c>
      <c r="N940" t="n">
        <v>0</v>
      </c>
      <c r="O940" t="n">
        <v>0</v>
      </c>
      <c r="P940" t="n">
        <v>0</v>
      </c>
      <c r="Q940" t="n">
        <v>0</v>
      </c>
      <c r="R940" s="2" t="inlineStr"/>
    </row>
    <row r="941" ht="15" customHeight="1">
      <c r="A941" t="inlineStr">
        <is>
          <t>A 22675-2024</t>
        </is>
      </c>
      <c r="B941" s="1" t="n">
        <v>45447.94508101852</v>
      </c>
      <c r="C941" s="1" t="n">
        <v>45964</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18622-2024</t>
        </is>
      </c>
      <c r="B942" s="1" t="n">
        <v>45425.96364583333</v>
      </c>
      <c r="C942" s="1" t="n">
        <v>45964</v>
      </c>
      <c r="D942" t="inlineStr">
        <is>
          <t>VÄSTERNORRLANDS LÄN</t>
        </is>
      </c>
      <c r="E942" t="inlineStr">
        <is>
          <t>SOLLEFTEÅ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36513-2023</t>
        </is>
      </c>
      <c r="B943" s="1" t="n">
        <v>45152.9537037037</v>
      </c>
      <c r="C943" s="1" t="n">
        <v>45964</v>
      </c>
      <c r="D943" t="inlineStr">
        <is>
          <t>VÄSTERNORRLANDS LÄN</t>
        </is>
      </c>
      <c r="E943" t="inlineStr">
        <is>
          <t>SOLLEFTEÅ</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40569-2024</t>
        </is>
      </c>
      <c r="B944" s="1" t="n">
        <v>45555.67744212963</v>
      </c>
      <c r="C944" s="1" t="n">
        <v>45964</v>
      </c>
      <c r="D944" t="inlineStr">
        <is>
          <t>VÄSTERNORRLANDS LÄN</t>
        </is>
      </c>
      <c r="E944" t="inlineStr">
        <is>
          <t>SOLLEFTEÅ</t>
        </is>
      </c>
      <c r="F944" t="inlineStr">
        <is>
          <t>SCA</t>
        </is>
      </c>
      <c r="G944" t="n">
        <v>0.2</v>
      </c>
      <c r="H944" t="n">
        <v>0</v>
      </c>
      <c r="I944" t="n">
        <v>0</v>
      </c>
      <c r="J944" t="n">
        <v>0</v>
      </c>
      <c r="K944" t="n">
        <v>0</v>
      </c>
      <c r="L944" t="n">
        <v>0</v>
      </c>
      <c r="M944" t="n">
        <v>0</v>
      </c>
      <c r="N944" t="n">
        <v>0</v>
      </c>
      <c r="O944" t="n">
        <v>0</v>
      </c>
      <c r="P944" t="n">
        <v>0</v>
      </c>
      <c r="Q944" t="n">
        <v>0</v>
      </c>
      <c r="R944" s="2" t="inlineStr"/>
    </row>
    <row r="945" ht="15" customHeight="1">
      <c r="A945" t="inlineStr">
        <is>
          <t>A 57019-2022</t>
        </is>
      </c>
      <c r="B945" s="1" t="n">
        <v>44894.95877314815</v>
      </c>
      <c r="C945" s="1" t="n">
        <v>45964</v>
      </c>
      <c r="D945" t="inlineStr">
        <is>
          <t>VÄSTERNORRLANDS LÄN</t>
        </is>
      </c>
      <c r="E945" t="inlineStr">
        <is>
          <t>SOLLEFTEÅ</t>
        </is>
      </c>
      <c r="F945" t="inlineStr">
        <is>
          <t>SCA</t>
        </is>
      </c>
      <c r="G945" t="n">
        <v>4.2</v>
      </c>
      <c r="H945" t="n">
        <v>0</v>
      </c>
      <c r="I945" t="n">
        <v>0</v>
      </c>
      <c r="J945" t="n">
        <v>0</v>
      </c>
      <c r="K945" t="n">
        <v>0</v>
      </c>
      <c r="L945" t="n">
        <v>0</v>
      </c>
      <c r="M945" t="n">
        <v>0</v>
      </c>
      <c r="N945" t="n">
        <v>0</v>
      </c>
      <c r="O945" t="n">
        <v>0</v>
      </c>
      <c r="P945" t="n">
        <v>0</v>
      </c>
      <c r="Q945" t="n">
        <v>0</v>
      </c>
      <c r="R945" s="2" t="inlineStr"/>
    </row>
    <row r="946" ht="15" customHeight="1">
      <c r="A946" t="inlineStr">
        <is>
          <t>A 57273-2022</t>
        </is>
      </c>
      <c r="B946" s="1" t="n">
        <v>44895.9487962963</v>
      </c>
      <c r="C946" s="1" t="n">
        <v>45964</v>
      </c>
      <c r="D946" t="inlineStr">
        <is>
          <t>VÄSTERNORRLANDS LÄN</t>
        </is>
      </c>
      <c r="E946" t="inlineStr">
        <is>
          <t>SOLLEFTEÅ</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54806-2024</t>
        </is>
      </c>
      <c r="B947" s="1" t="n">
        <v>45618.51133101852</v>
      </c>
      <c r="C947" s="1" t="n">
        <v>45964</v>
      </c>
      <c r="D947" t="inlineStr">
        <is>
          <t>VÄSTERNORRLANDS LÄN</t>
        </is>
      </c>
      <c r="E947" t="inlineStr">
        <is>
          <t>SOLLEFTEÅ</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38053-2024</t>
        </is>
      </c>
      <c r="B948" s="1" t="n">
        <v>45544.71903935185</v>
      </c>
      <c r="C948" s="1" t="n">
        <v>45964</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43487-2023</t>
        </is>
      </c>
      <c r="B949" s="1" t="n">
        <v>45181</v>
      </c>
      <c r="C949" s="1" t="n">
        <v>45964</v>
      </c>
      <c r="D949" t="inlineStr">
        <is>
          <t>VÄSTERNORRLANDS LÄN</t>
        </is>
      </c>
      <c r="E949" t="inlineStr">
        <is>
          <t>SOLLEFTEÅ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20437-2025</t>
        </is>
      </c>
      <c r="B950" s="1" t="n">
        <v>45775</v>
      </c>
      <c r="C950" s="1" t="n">
        <v>45964</v>
      </c>
      <c r="D950" t="inlineStr">
        <is>
          <t>VÄSTERNORRLANDS LÄN</t>
        </is>
      </c>
      <c r="E950" t="inlineStr">
        <is>
          <t>SOLLEFTEÅ</t>
        </is>
      </c>
      <c r="G950" t="n">
        <v>1.5</v>
      </c>
      <c r="H950" t="n">
        <v>0</v>
      </c>
      <c r="I950" t="n">
        <v>0</v>
      </c>
      <c r="J950" t="n">
        <v>0</v>
      </c>
      <c r="K950" t="n">
        <v>0</v>
      </c>
      <c r="L950" t="n">
        <v>0</v>
      </c>
      <c r="M950" t="n">
        <v>0</v>
      </c>
      <c r="N950" t="n">
        <v>0</v>
      </c>
      <c r="O950" t="n">
        <v>0</v>
      </c>
      <c r="P950" t="n">
        <v>0</v>
      </c>
      <c r="Q950" t="n">
        <v>0</v>
      </c>
      <c r="R950" s="2" t="inlineStr"/>
    </row>
    <row r="951" ht="15" customHeight="1">
      <c r="A951" t="inlineStr">
        <is>
          <t>A 10240-2025</t>
        </is>
      </c>
      <c r="B951" s="1" t="n">
        <v>45720.34508101852</v>
      </c>
      <c r="C951" s="1" t="n">
        <v>45964</v>
      </c>
      <c r="D951" t="inlineStr">
        <is>
          <t>VÄSTERNORRLANDS LÄN</t>
        </is>
      </c>
      <c r="E951" t="inlineStr">
        <is>
          <t>SOLLEFTEÅ</t>
        </is>
      </c>
      <c r="F951" t="inlineStr">
        <is>
          <t>SCA</t>
        </is>
      </c>
      <c r="G951" t="n">
        <v>18.8</v>
      </c>
      <c r="H951" t="n">
        <v>0</v>
      </c>
      <c r="I951" t="n">
        <v>0</v>
      </c>
      <c r="J951" t="n">
        <v>0</v>
      </c>
      <c r="K951" t="n">
        <v>0</v>
      </c>
      <c r="L951" t="n">
        <v>0</v>
      </c>
      <c r="M951" t="n">
        <v>0</v>
      </c>
      <c r="N951" t="n">
        <v>0</v>
      </c>
      <c r="O951" t="n">
        <v>0</v>
      </c>
      <c r="P951" t="n">
        <v>0</v>
      </c>
      <c r="Q951" t="n">
        <v>0</v>
      </c>
      <c r="R951" s="2" t="inlineStr"/>
    </row>
    <row r="952" ht="15" customHeight="1">
      <c r="A952" t="inlineStr">
        <is>
          <t>A 12644-2025</t>
        </is>
      </c>
      <c r="B952" s="1" t="n">
        <v>45733.38726851852</v>
      </c>
      <c r="C952" s="1" t="n">
        <v>45964</v>
      </c>
      <c r="D952" t="inlineStr">
        <is>
          <t>VÄSTERNORRLANDS LÄN</t>
        </is>
      </c>
      <c r="E952" t="inlineStr">
        <is>
          <t>SOLLEFTEÅ</t>
        </is>
      </c>
      <c r="G952" t="n">
        <v>5</v>
      </c>
      <c r="H952" t="n">
        <v>0</v>
      </c>
      <c r="I952" t="n">
        <v>0</v>
      </c>
      <c r="J952" t="n">
        <v>0</v>
      </c>
      <c r="K952" t="n">
        <v>0</v>
      </c>
      <c r="L952" t="n">
        <v>0</v>
      </c>
      <c r="M952" t="n">
        <v>0</v>
      </c>
      <c r="N952" t="n">
        <v>0</v>
      </c>
      <c r="O952" t="n">
        <v>0</v>
      </c>
      <c r="P952" t="n">
        <v>0</v>
      </c>
      <c r="Q952" t="n">
        <v>0</v>
      </c>
      <c r="R952" s="2" t="inlineStr"/>
    </row>
    <row r="953" ht="15" customHeight="1">
      <c r="A953" t="inlineStr">
        <is>
          <t>A 50716-2023</t>
        </is>
      </c>
      <c r="B953" s="1" t="n">
        <v>45210</v>
      </c>
      <c r="C953" s="1" t="n">
        <v>45964</v>
      </c>
      <c r="D953" t="inlineStr">
        <is>
          <t>VÄSTERNORRLANDS LÄN</t>
        </is>
      </c>
      <c r="E953" t="inlineStr">
        <is>
          <t>SOLLEFTEÅ</t>
        </is>
      </c>
      <c r="G953" t="n">
        <v>3.4</v>
      </c>
      <c r="H953" t="n">
        <v>0</v>
      </c>
      <c r="I953" t="n">
        <v>0</v>
      </c>
      <c r="J953" t="n">
        <v>0</v>
      </c>
      <c r="K953" t="n">
        <v>0</v>
      </c>
      <c r="L953" t="n">
        <v>0</v>
      </c>
      <c r="M953" t="n">
        <v>0</v>
      </c>
      <c r="N953" t="n">
        <v>0</v>
      </c>
      <c r="O953" t="n">
        <v>0</v>
      </c>
      <c r="P953" t="n">
        <v>0</v>
      </c>
      <c r="Q953" t="n">
        <v>0</v>
      </c>
      <c r="R953" s="2" t="inlineStr"/>
    </row>
    <row r="954" ht="15" customHeight="1">
      <c r="A954" t="inlineStr">
        <is>
          <t>A 44762-2022</t>
        </is>
      </c>
      <c r="B954" s="1" t="n">
        <v>44840</v>
      </c>
      <c r="C954" s="1" t="n">
        <v>45964</v>
      </c>
      <c r="D954" t="inlineStr">
        <is>
          <t>VÄSTERNORRLANDS LÄN</t>
        </is>
      </c>
      <c r="E954" t="inlineStr">
        <is>
          <t>SOLLEFTEÅ</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42664-2022</t>
        </is>
      </c>
      <c r="B955" s="1" t="n">
        <v>44831</v>
      </c>
      <c r="C955" s="1" t="n">
        <v>45964</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13539-2024</t>
        </is>
      </c>
      <c r="B956" s="1" t="n">
        <v>45387.92583333333</v>
      </c>
      <c r="C956" s="1" t="n">
        <v>45964</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61485-2024</t>
        </is>
      </c>
      <c r="B957" s="1" t="n">
        <v>45646.53175925926</v>
      </c>
      <c r="C957" s="1" t="n">
        <v>45964</v>
      </c>
      <c r="D957" t="inlineStr">
        <is>
          <t>VÄSTERNORRLANDS LÄN</t>
        </is>
      </c>
      <c r="E957" t="inlineStr">
        <is>
          <t>SOLLEFTEÅ</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40098-2023</t>
        </is>
      </c>
      <c r="B958" s="1" t="n">
        <v>45168.93726851852</v>
      </c>
      <c r="C958" s="1" t="n">
        <v>45964</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3211-2024</t>
        </is>
      </c>
      <c r="B959" s="1" t="n">
        <v>45316</v>
      </c>
      <c r="C959" s="1" t="n">
        <v>45964</v>
      </c>
      <c r="D959" t="inlineStr">
        <is>
          <t>VÄSTERNORRLANDS LÄN</t>
        </is>
      </c>
      <c r="E959" t="inlineStr">
        <is>
          <t>SOLLEFTEÅ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20335-2025</t>
        </is>
      </c>
      <c r="B960" s="1" t="n">
        <v>45775.36510416667</v>
      </c>
      <c r="C960" s="1" t="n">
        <v>45964</v>
      </c>
      <c r="D960" t="inlineStr">
        <is>
          <t>VÄSTERNORRLANDS LÄN</t>
        </is>
      </c>
      <c r="E960" t="inlineStr">
        <is>
          <t>SOLLEFTEÅ</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45940-2024</t>
        </is>
      </c>
      <c r="B961" s="1" t="n">
        <v>45580.53167824074</v>
      </c>
      <c r="C961" s="1" t="n">
        <v>45964</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45975-2024</t>
        </is>
      </c>
      <c r="B962" s="1" t="n">
        <v>45580.59425925926</v>
      </c>
      <c r="C962" s="1" t="n">
        <v>45964</v>
      </c>
      <c r="D962" t="inlineStr">
        <is>
          <t>VÄSTERNORRLANDS LÄN</t>
        </is>
      </c>
      <c r="E962" t="inlineStr">
        <is>
          <t>SOLLEFTEÅ</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34543-2022</t>
        </is>
      </c>
      <c r="B963" s="1" t="n">
        <v>44793</v>
      </c>
      <c r="C963" s="1" t="n">
        <v>45964</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42115-2024</t>
        </is>
      </c>
      <c r="B964" s="1" t="n">
        <v>45562.38615740741</v>
      </c>
      <c r="C964" s="1" t="n">
        <v>45964</v>
      </c>
      <c r="D964" t="inlineStr">
        <is>
          <t>VÄSTERNORRLANDS LÄN</t>
        </is>
      </c>
      <c r="E964" t="inlineStr">
        <is>
          <t>SOLLEFTEÅ</t>
        </is>
      </c>
      <c r="G964" t="n">
        <v>2.4</v>
      </c>
      <c r="H964" t="n">
        <v>0</v>
      </c>
      <c r="I964" t="n">
        <v>0</v>
      </c>
      <c r="J964" t="n">
        <v>0</v>
      </c>
      <c r="K964" t="n">
        <v>0</v>
      </c>
      <c r="L964" t="n">
        <v>0</v>
      </c>
      <c r="M964" t="n">
        <v>0</v>
      </c>
      <c r="N964" t="n">
        <v>0</v>
      </c>
      <c r="O964" t="n">
        <v>0</v>
      </c>
      <c r="P964" t="n">
        <v>0</v>
      </c>
      <c r="Q964" t="n">
        <v>0</v>
      </c>
      <c r="R964" s="2" t="inlineStr"/>
    </row>
    <row r="965" ht="15" customHeight="1">
      <c r="A965" t="inlineStr">
        <is>
          <t>A 22471-2024</t>
        </is>
      </c>
      <c r="B965" s="1" t="n">
        <v>45446</v>
      </c>
      <c r="C965" s="1" t="n">
        <v>45964</v>
      </c>
      <c r="D965" t="inlineStr">
        <is>
          <t>VÄSTERNORRLANDS LÄN</t>
        </is>
      </c>
      <c r="E965" t="inlineStr">
        <is>
          <t>SOLLEFTEÅ</t>
        </is>
      </c>
      <c r="G965" t="n">
        <v>2.7</v>
      </c>
      <c r="H965" t="n">
        <v>0</v>
      </c>
      <c r="I965" t="n">
        <v>0</v>
      </c>
      <c r="J965" t="n">
        <v>0</v>
      </c>
      <c r="K965" t="n">
        <v>0</v>
      </c>
      <c r="L965" t="n">
        <v>0</v>
      </c>
      <c r="M965" t="n">
        <v>0</v>
      </c>
      <c r="N965" t="n">
        <v>0</v>
      </c>
      <c r="O965" t="n">
        <v>0</v>
      </c>
      <c r="P965" t="n">
        <v>0</v>
      </c>
      <c r="Q965" t="n">
        <v>0</v>
      </c>
      <c r="R965" s="2" t="inlineStr"/>
    </row>
    <row r="966" ht="15" customHeight="1">
      <c r="A966" t="inlineStr">
        <is>
          <t>A 14889-2025</t>
        </is>
      </c>
      <c r="B966" s="1" t="n">
        <v>45743.46898148148</v>
      </c>
      <c r="C966" s="1" t="n">
        <v>45964</v>
      </c>
      <c r="D966" t="inlineStr">
        <is>
          <t>VÄSTERNORRLANDS LÄN</t>
        </is>
      </c>
      <c r="E966" t="inlineStr">
        <is>
          <t>SOLLEFTEÅ</t>
        </is>
      </c>
      <c r="G966" t="n">
        <v>5.8</v>
      </c>
      <c r="H966" t="n">
        <v>0</v>
      </c>
      <c r="I966" t="n">
        <v>0</v>
      </c>
      <c r="J966" t="n">
        <v>0</v>
      </c>
      <c r="K966" t="n">
        <v>0</v>
      </c>
      <c r="L966" t="n">
        <v>0</v>
      </c>
      <c r="M966" t="n">
        <v>0</v>
      </c>
      <c r="N966" t="n">
        <v>0</v>
      </c>
      <c r="O966" t="n">
        <v>0</v>
      </c>
      <c r="P966" t="n">
        <v>0</v>
      </c>
      <c r="Q966" t="n">
        <v>0</v>
      </c>
      <c r="R966" s="2" t="inlineStr"/>
    </row>
    <row r="967" ht="15" customHeight="1">
      <c r="A967" t="inlineStr">
        <is>
          <t>A 20628-2023</t>
        </is>
      </c>
      <c r="B967" s="1" t="n">
        <v>45057.94373842593</v>
      </c>
      <c r="C967" s="1" t="n">
        <v>45964</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51006-2022</t>
        </is>
      </c>
      <c r="B968" s="1" t="n">
        <v>44867</v>
      </c>
      <c r="C968" s="1" t="n">
        <v>45964</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55440-2024</t>
        </is>
      </c>
      <c r="B969" s="1" t="n">
        <v>45622.40679398148</v>
      </c>
      <c r="C969" s="1" t="n">
        <v>45964</v>
      </c>
      <c r="D969" t="inlineStr">
        <is>
          <t>VÄSTERNORRLANDS LÄN</t>
        </is>
      </c>
      <c r="E969" t="inlineStr">
        <is>
          <t>SOLLEFTEÅ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67702-2021</t>
        </is>
      </c>
      <c r="B970" s="1" t="n">
        <v>44524.94660879629</v>
      </c>
      <c r="C970" s="1" t="n">
        <v>45964</v>
      </c>
      <c r="D970" t="inlineStr">
        <is>
          <t>VÄSTERNORRLANDS LÄN</t>
        </is>
      </c>
      <c r="E970" t="inlineStr">
        <is>
          <t>SOLLEFTEÅ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3633-2024</t>
        </is>
      </c>
      <c r="B971" s="1" t="n">
        <v>45320</v>
      </c>
      <c r="C971" s="1" t="n">
        <v>45964</v>
      </c>
      <c r="D971" t="inlineStr">
        <is>
          <t>VÄSTERNORRLANDS LÄN</t>
        </is>
      </c>
      <c r="E971" t="inlineStr">
        <is>
          <t>SOLLEFTEÅ</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60861-2023</t>
        </is>
      </c>
      <c r="B972" s="1" t="n">
        <v>45260</v>
      </c>
      <c r="C972" s="1" t="n">
        <v>45964</v>
      </c>
      <c r="D972" t="inlineStr">
        <is>
          <t>VÄSTERNORRLANDS LÄN</t>
        </is>
      </c>
      <c r="E972" t="inlineStr">
        <is>
          <t>SOLLEFTEÅ</t>
        </is>
      </c>
      <c r="F972" t="inlineStr">
        <is>
          <t>SCA</t>
        </is>
      </c>
      <c r="G972" t="n">
        <v>7.3</v>
      </c>
      <c r="H972" t="n">
        <v>0</v>
      </c>
      <c r="I972" t="n">
        <v>0</v>
      </c>
      <c r="J972" t="n">
        <v>0</v>
      </c>
      <c r="K972" t="n">
        <v>0</v>
      </c>
      <c r="L972" t="n">
        <v>0</v>
      </c>
      <c r="M972" t="n">
        <v>0</v>
      </c>
      <c r="N972" t="n">
        <v>0</v>
      </c>
      <c r="O972" t="n">
        <v>0</v>
      </c>
      <c r="P972" t="n">
        <v>0</v>
      </c>
      <c r="Q972" t="n">
        <v>0</v>
      </c>
      <c r="R972" s="2" t="inlineStr"/>
    </row>
    <row r="973" ht="15" customHeight="1">
      <c r="A973" t="inlineStr">
        <is>
          <t>A 25799-2024</t>
        </is>
      </c>
      <c r="B973" s="1" t="n">
        <v>45463</v>
      </c>
      <c r="C973" s="1" t="n">
        <v>45964</v>
      </c>
      <c r="D973" t="inlineStr">
        <is>
          <t>VÄSTERNORRLANDS LÄN</t>
        </is>
      </c>
      <c r="E973" t="inlineStr">
        <is>
          <t>SOLLEFTEÅ</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5108-2022</t>
        </is>
      </c>
      <c r="B974" s="1" t="n">
        <v>44593.92135416667</v>
      </c>
      <c r="C974" s="1" t="n">
        <v>45964</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5134-2022</t>
        </is>
      </c>
      <c r="B975" s="1" t="n">
        <v>44594</v>
      </c>
      <c r="C975" s="1" t="n">
        <v>45964</v>
      </c>
      <c r="D975" t="inlineStr">
        <is>
          <t>VÄSTERNORRLANDS LÄN</t>
        </is>
      </c>
      <c r="E975" t="inlineStr">
        <is>
          <t>SOLLEFTEÅ</t>
        </is>
      </c>
      <c r="G975" t="n">
        <v>20.4</v>
      </c>
      <c r="H975" t="n">
        <v>0</v>
      </c>
      <c r="I975" t="n">
        <v>0</v>
      </c>
      <c r="J975" t="n">
        <v>0</v>
      </c>
      <c r="K975" t="n">
        <v>0</v>
      </c>
      <c r="L975" t="n">
        <v>0</v>
      </c>
      <c r="M975" t="n">
        <v>0</v>
      </c>
      <c r="N975" t="n">
        <v>0</v>
      </c>
      <c r="O975" t="n">
        <v>0</v>
      </c>
      <c r="P975" t="n">
        <v>0</v>
      </c>
      <c r="Q975" t="n">
        <v>0</v>
      </c>
      <c r="R975" s="2" t="inlineStr"/>
    </row>
    <row r="976" ht="15" customHeight="1">
      <c r="A976" t="inlineStr">
        <is>
          <t>A 55872-2024</t>
        </is>
      </c>
      <c r="B976" s="1" t="n">
        <v>45623</v>
      </c>
      <c r="C976" s="1" t="n">
        <v>45964</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35905-2024</t>
        </is>
      </c>
      <c r="B977" s="1" t="n">
        <v>45533.40674768519</v>
      </c>
      <c r="C977" s="1" t="n">
        <v>45964</v>
      </c>
      <c r="D977" t="inlineStr">
        <is>
          <t>VÄSTERNORRLANDS LÄN</t>
        </is>
      </c>
      <c r="E977" t="inlineStr">
        <is>
          <t>SOLLEFTEÅ</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2422-2025</t>
        </is>
      </c>
      <c r="B978" s="1" t="n">
        <v>45674.38592592593</v>
      </c>
      <c r="C978" s="1" t="n">
        <v>45964</v>
      </c>
      <c r="D978" t="inlineStr">
        <is>
          <t>VÄSTERNORRLANDS LÄN</t>
        </is>
      </c>
      <c r="E978" t="inlineStr">
        <is>
          <t>SOLLEFTEÅ</t>
        </is>
      </c>
      <c r="F978" t="inlineStr">
        <is>
          <t>SCA</t>
        </is>
      </c>
      <c r="G978" t="n">
        <v>27.9</v>
      </c>
      <c r="H978" t="n">
        <v>0</v>
      </c>
      <c r="I978" t="n">
        <v>0</v>
      </c>
      <c r="J978" t="n">
        <v>0</v>
      </c>
      <c r="K978" t="n">
        <v>0</v>
      </c>
      <c r="L978" t="n">
        <v>0</v>
      </c>
      <c r="M978" t="n">
        <v>0</v>
      </c>
      <c r="N978" t="n">
        <v>0</v>
      </c>
      <c r="O978" t="n">
        <v>0</v>
      </c>
      <c r="P978" t="n">
        <v>0</v>
      </c>
      <c r="Q978" t="n">
        <v>0</v>
      </c>
      <c r="R978" s="2" t="inlineStr"/>
    </row>
    <row r="979" ht="15" customHeight="1">
      <c r="A979" t="inlineStr">
        <is>
          <t>A 51573-2024</t>
        </is>
      </c>
      <c r="B979" s="1" t="n">
        <v>45604</v>
      </c>
      <c r="C979" s="1" t="n">
        <v>45964</v>
      </c>
      <c r="D979" t="inlineStr">
        <is>
          <t>VÄSTERNORRLANDS LÄN</t>
        </is>
      </c>
      <c r="E979" t="inlineStr">
        <is>
          <t>SOLLEFTEÅ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62750-2022</t>
        </is>
      </c>
      <c r="B980" s="1" t="n">
        <v>44925.93922453704</v>
      </c>
      <c r="C980" s="1" t="n">
        <v>45964</v>
      </c>
      <c r="D980" t="inlineStr">
        <is>
          <t>VÄSTERNORRLANDS LÄN</t>
        </is>
      </c>
      <c r="E980" t="inlineStr">
        <is>
          <t>SOLLEFTEÅ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33312-2024</t>
        </is>
      </c>
      <c r="B981" s="1" t="n">
        <v>45518.97113425926</v>
      </c>
      <c r="C981" s="1" t="n">
        <v>45964</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43008-2024</t>
        </is>
      </c>
      <c r="B982" s="1" t="n">
        <v>45567.38574074074</v>
      </c>
      <c r="C982" s="1" t="n">
        <v>45964</v>
      </c>
      <c r="D982" t="inlineStr">
        <is>
          <t>VÄSTERNORRLANDS LÄN</t>
        </is>
      </c>
      <c r="E982" t="inlineStr">
        <is>
          <t>SOLLEFTEÅ</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12627-2025</t>
        </is>
      </c>
      <c r="B983" s="1" t="n">
        <v>45733.36728009259</v>
      </c>
      <c r="C983" s="1" t="n">
        <v>45964</v>
      </c>
      <c r="D983" t="inlineStr">
        <is>
          <t>VÄSTERNORRLANDS LÄN</t>
        </is>
      </c>
      <c r="E983" t="inlineStr">
        <is>
          <t>SOLLEFTEÅ</t>
        </is>
      </c>
      <c r="G983" t="n">
        <v>12.9</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44305.93701388889</v>
      </c>
      <c r="C984" s="1" t="n">
        <v>45964</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9254-2025</t>
        </is>
      </c>
      <c r="B985" s="1" t="n">
        <v>45714.59442129629</v>
      </c>
      <c r="C985" s="1" t="n">
        <v>45964</v>
      </c>
      <c r="D985" t="inlineStr">
        <is>
          <t>VÄSTERNORRLANDS LÄN</t>
        </is>
      </c>
      <c r="E985" t="inlineStr">
        <is>
          <t>SOLLEFTEÅ</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8414-2024</t>
        </is>
      </c>
      <c r="B986" s="1" t="n">
        <v>45352</v>
      </c>
      <c r="C986" s="1" t="n">
        <v>45964</v>
      </c>
      <c r="D986" t="inlineStr">
        <is>
          <t>VÄSTERNORRLANDS LÄN</t>
        </is>
      </c>
      <c r="E986" t="inlineStr">
        <is>
          <t>SOLLEFTEÅ</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62827-2023</t>
        </is>
      </c>
      <c r="B987" s="1" t="n">
        <v>45271.92690972222</v>
      </c>
      <c r="C987" s="1" t="n">
        <v>45964</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31646-2022</t>
        </is>
      </c>
      <c r="B988" s="1" t="n">
        <v>44775.94166666667</v>
      </c>
      <c r="C988" s="1" t="n">
        <v>45964</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5548-2025</t>
        </is>
      </c>
      <c r="B989" s="1" t="n">
        <v>45693.46940972222</v>
      </c>
      <c r="C989" s="1" t="n">
        <v>45964</v>
      </c>
      <c r="D989" t="inlineStr">
        <is>
          <t>VÄSTERNORRLANDS LÄN</t>
        </is>
      </c>
      <c r="E989" t="inlineStr">
        <is>
          <t>SOLLEFTEÅ</t>
        </is>
      </c>
      <c r="G989" t="n">
        <v>7.9</v>
      </c>
      <c r="H989" t="n">
        <v>0</v>
      </c>
      <c r="I989" t="n">
        <v>0</v>
      </c>
      <c r="J989" t="n">
        <v>0</v>
      </c>
      <c r="K989" t="n">
        <v>0</v>
      </c>
      <c r="L989" t="n">
        <v>0</v>
      </c>
      <c r="M989" t="n">
        <v>0</v>
      </c>
      <c r="N989" t="n">
        <v>0</v>
      </c>
      <c r="O989" t="n">
        <v>0</v>
      </c>
      <c r="P989" t="n">
        <v>0</v>
      </c>
      <c r="Q989" t="n">
        <v>0</v>
      </c>
      <c r="R989" s="2" t="inlineStr"/>
    </row>
    <row r="990" ht="15" customHeight="1">
      <c r="A990" t="inlineStr">
        <is>
          <t>A 44410-2023</t>
        </is>
      </c>
      <c r="B990" s="1" t="n">
        <v>45188.94677083333</v>
      </c>
      <c r="C990" s="1" t="n">
        <v>45964</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35277-2023</t>
        </is>
      </c>
      <c r="B991" s="1" t="n">
        <v>45145</v>
      </c>
      <c r="C991" s="1" t="n">
        <v>45964</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31005-2022</t>
        </is>
      </c>
      <c r="B992" s="1" t="n">
        <v>44768</v>
      </c>
      <c r="C992" s="1" t="n">
        <v>45964</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51544-2022</t>
        </is>
      </c>
      <c r="B993" s="1" t="n">
        <v>44869</v>
      </c>
      <c r="C993" s="1" t="n">
        <v>45964</v>
      </c>
      <c r="D993" t="inlineStr">
        <is>
          <t>VÄSTERNORRLANDS LÄN</t>
        </is>
      </c>
      <c r="E993" t="inlineStr">
        <is>
          <t>SOLLEFTEÅ</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13138-2024</t>
        </is>
      </c>
      <c r="B994" s="1" t="n">
        <v>45386</v>
      </c>
      <c r="C994" s="1" t="n">
        <v>45964</v>
      </c>
      <c r="D994" t="inlineStr">
        <is>
          <t>VÄSTERNORRLANDS LÄN</t>
        </is>
      </c>
      <c r="E994" t="inlineStr">
        <is>
          <t>SOLLEFTEÅ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769-2025</t>
        </is>
      </c>
      <c r="B995" s="1" t="n">
        <v>45659</v>
      </c>
      <c r="C995" s="1" t="n">
        <v>45964</v>
      </c>
      <c r="D995" t="inlineStr">
        <is>
          <t>VÄSTERNORRLANDS LÄN</t>
        </is>
      </c>
      <c r="E995" t="inlineStr">
        <is>
          <t>SOLLEFTEÅ</t>
        </is>
      </c>
      <c r="G995" t="n">
        <v>3.6</v>
      </c>
      <c r="H995" t="n">
        <v>0</v>
      </c>
      <c r="I995" t="n">
        <v>0</v>
      </c>
      <c r="J995" t="n">
        <v>0</v>
      </c>
      <c r="K995" t="n">
        <v>0</v>
      </c>
      <c r="L995" t="n">
        <v>0</v>
      </c>
      <c r="M995" t="n">
        <v>0</v>
      </c>
      <c r="N995" t="n">
        <v>0</v>
      </c>
      <c r="O995" t="n">
        <v>0</v>
      </c>
      <c r="P995" t="n">
        <v>0</v>
      </c>
      <c r="Q995" t="n">
        <v>0</v>
      </c>
      <c r="R995" s="2" t="inlineStr"/>
    </row>
    <row r="996" ht="15" customHeight="1">
      <c r="A996" t="inlineStr">
        <is>
          <t>A 42164-2023</t>
        </is>
      </c>
      <c r="B996" s="1" t="n">
        <v>45177.93747685185</v>
      </c>
      <c r="C996" s="1" t="n">
        <v>45964</v>
      </c>
      <c r="D996" t="inlineStr">
        <is>
          <t>VÄSTERNORRLANDS LÄN</t>
        </is>
      </c>
      <c r="E996" t="inlineStr">
        <is>
          <t>SOLLEFTEÅ</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42514-2023</t>
        </is>
      </c>
      <c r="B997" s="1" t="n">
        <v>45180.95969907408</v>
      </c>
      <c r="C997" s="1" t="n">
        <v>45964</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72958-2021</t>
        </is>
      </c>
      <c r="B998" s="1" t="n">
        <v>44547</v>
      </c>
      <c r="C998" s="1" t="n">
        <v>45964</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37696-2023</t>
        </is>
      </c>
      <c r="B999" s="1" t="n">
        <v>45156</v>
      </c>
      <c r="C999" s="1" t="n">
        <v>45964</v>
      </c>
      <c r="D999" t="inlineStr">
        <is>
          <t>VÄSTERNORRLANDS LÄN</t>
        </is>
      </c>
      <c r="E999" t="inlineStr">
        <is>
          <t>SOLLEFTEÅ</t>
        </is>
      </c>
      <c r="G999" t="n">
        <v>0.1</v>
      </c>
      <c r="H999" t="n">
        <v>0</v>
      </c>
      <c r="I999" t="n">
        <v>0</v>
      </c>
      <c r="J999" t="n">
        <v>0</v>
      </c>
      <c r="K999" t="n">
        <v>0</v>
      </c>
      <c r="L999" t="n">
        <v>0</v>
      </c>
      <c r="M999" t="n">
        <v>0</v>
      </c>
      <c r="N999" t="n">
        <v>0</v>
      </c>
      <c r="O999" t="n">
        <v>0</v>
      </c>
      <c r="P999" t="n">
        <v>0</v>
      </c>
      <c r="Q999" t="n">
        <v>0</v>
      </c>
      <c r="R999" s="2" t="inlineStr"/>
    </row>
    <row r="1000" ht="15" customHeight="1">
      <c r="A1000" t="inlineStr">
        <is>
          <t>A 15955-2025</t>
        </is>
      </c>
      <c r="B1000" s="1" t="n">
        <v>45749.5113425926</v>
      </c>
      <c r="C1000" s="1" t="n">
        <v>45964</v>
      </c>
      <c r="D1000" t="inlineStr">
        <is>
          <t>VÄSTERNORRLANDS LÄN</t>
        </is>
      </c>
      <c r="E1000" t="inlineStr">
        <is>
          <t>SOLLEFTEÅ</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35747-2022</t>
        </is>
      </c>
      <c r="B1001" s="1" t="n">
        <v>44799</v>
      </c>
      <c r="C1001" s="1" t="n">
        <v>45964</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36211-2023</t>
        </is>
      </c>
      <c r="B1002" s="1" t="n">
        <v>45149.95234953704</v>
      </c>
      <c r="C1002" s="1" t="n">
        <v>45964</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34878-2024</t>
        </is>
      </c>
      <c r="B1003" s="1" t="n">
        <v>45527</v>
      </c>
      <c r="C1003" s="1" t="n">
        <v>45964</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20061-2022</t>
        </is>
      </c>
      <c r="B1004" s="1" t="n">
        <v>44697.94140046297</v>
      </c>
      <c r="C1004" s="1" t="n">
        <v>45964</v>
      </c>
      <c r="D1004" t="inlineStr">
        <is>
          <t>VÄSTERNORRLANDS LÄN</t>
        </is>
      </c>
      <c r="E1004" t="inlineStr">
        <is>
          <t>SOLLEFTEÅ</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62507-2022</t>
        </is>
      </c>
      <c r="B1005" s="1" t="n">
        <v>44924</v>
      </c>
      <c r="C1005" s="1" t="n">
        <v>45964</v>
      </c>
      <c r="D1005" t="inlineStr">
        <is>
          <t>VÄSTERNORRLANDS LÄN</t>
        </is>
      </c>
      <c r="E1005" t="inlineStr">
        <is>
          <t>SOLLEFTEÅ</t>
        </is>
      </c>
      <c r="F1005" t="inlineStr">
        <is>
          <t>Holmen skog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8104-2025</t>
        </is>
      </c>
      <c r="B1006" s="1" t="n">
        <v>45707.69835648148</v>
      </c>
      <c r="C1006" s="1" t="n">
        <v>45964</v>
      </c>
      <c r="D1006" t="inlineStr">
        <is>
          <t>VÄSTERNORRLANDS LÄN</t>
        </is>
      </c>
      <c r="E1006" t="inlineStr">
        <is>
          <t>SOLLEFTEÅ</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8124-2025</t>
        </is>
      </c>
      <c r="B1007" s="1" t="n">
        <v>45707</v>
      </c>
      <c r="C1007" s="1" t="n">
        <v>45964</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2044-2025</t>
        </is>
      </c>
      <c r="B1008" s="1" t="n">
        <v>45672</v>
      </c>
      <c r="C1008" s="1" t="n">
        <v>45964</v>
      </c>
      <c r="D1008" t="inlineStr">
        <is>
          <t>VÄSTERNORRLANDS LÄN</t>
        </is>
      </c>
      <c r="E1008" t="inlineStr">
        <is>
          <t>SOLLEFTEÅ</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31681-2024</t>
        </is>
      </c>
      <c r="B1009" s="1" t="n">
        <v>45506.94902777778</v>
      </c>
      <c r="C1009" s="1" t="n">
        <v>45964</v>
      </c>
      <c r="D1009" t="inlineStr">
        <is>
          <t>VÄSTERNORRLANDS LÄN</t>
        </is>
      </c>
      <c r="E1009" t="inlineStr">
        <is>
          <t>SOLLEFTEÅ</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30822-2023</t>
        </is>
      </c>
      <c r="B1010" s="1" t="n">
        <v>45112.94289351852</v>
      </c>
      <c r="C1010" s="1" t="n">
        <v>45964</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8895-2025</t>
        </is>
      </c>
      <c r="B1011" s="1" t="n">
        <v>45713.40670138889</v>
      </c>
      <c r="C1011" s="1" t="n">
        <v>45964</v>
      </c>
      <c r="D1011" t="inlineStr">
        <is>
          <t>VÄSTERNORRLANDS LÄN</t>
        </is>
      </c>
      <c r="E1011" t="inlineStr">
        <is>
          <t>SOLLEFTEÅ</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8914-2025</t>
        </is>
      </c>
      <c r="B1012" s="1" t="n">
        <v>45713.42743055556</v>
      </c>
      <c r="C1012" s="1" t="n">
        <v>45964</v>
      </c>
      <c r="D1012" t="inlineStr">
        <is>
          <t>VÄSTERNORRLANDS LÄN</t>
        </is>
      </c>
      <c r="E1012" t="inlineStr">
        <is>
          <t>SOLLEFTEÅ</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54233-2024</t>
        </is>
      </c>
      <c r="B1013" s="1" t="n">
        <v>45616.67791666667</v>
      </c>
      <c r="C1013" s="1" t="n">
        <v>45964</v>
      </c>
      <c r="D1013" t="inlineStr">
        <is>
          <t>VÄSTERNORRLANDS LÄN</t>
        </is>
      </c>
      <c r="E1013" t="inlineStr">
        <is>
          <t>SOLLEFTEÅ</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37354-2024</t>
        </is>
      </c>
      <c r="B1014" s="1" t="n">
        <v>45540.54201388889</v>
      </c>
      <c r="C1014" s="1" t="n">
        <v>45964</v>
      </c>
      <c r="D1014" t="inlineStr">
        <is>
          <t>VÄSTERNORRLANDS LÄN</t>
        </is>
      </c>
      <c r="E1014" t="inlineStr">
        <is>
          <t>SOLLEFTEÅ</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38100-2023</t>
        </is>
      </c>
      <c r="B1015" s="1" t="n">
        <v>45160.9647800926</v>
      </c>
      <c r="C1015" s="1" t="n">
        <v>45964</v>
      </c>
      <c r="D1015" t="inlineStr">
        <is>
          <t>VÄSTERNORRLANDS LÄN</t>
        </is>
      </c>
      <c r="E1015" t="inlineStr">
        <is>
          <t>SOLLEFTEÅ</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34395-2021</t>
        </is>
      </c>
      <c r="B1016" s="1" t="n">
        <v>44379</v>
      </c>
      <c r="C1016" s="1" t="n">
        <v>45964</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25877-2021</t>
        </is>
      </c>
      <c r="B1017" s="1" t="n">
        <v>44344</v>
      </c>
      <c r="C1017" s="1" t="n">
        <v>45964</v>
      </c>
      <c r="D1017" t="inlineStr">
        <is>
          <t>VÄSTERNORRLANDS LÄN</t>
        </is>
      </c>
      <c r="E1017" t="inlineStr">
        <is>
          <t>SOLLEFTEÅ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57922-2024</t>
        </is>
      </c>
      <c r="B1018" s="1" t="n">
        <v>45631.5107175926</v>
      </c>
      <c r="C1018" s="1" t="n">
        <v>45964</v>
      </c>
      <c r="D1018" t="inlineStr">
        <is>
          <t>VÄSTERNORRLANDS LÄN</t>
        </is>
      </c>
      <c r="E1018" t="inlineStr">
        <is>
          <t>SOLLEFTEÅ</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23542-2024</t>
        </is>
      </c>
      <c r="B1019" s="1" t="n">
        <v>45453.95262731481</v>
      </c>
      <c r="C1019" s="1" t="n">
        <v>45964</v>
      </c>
      <c r="D1019" t="inlineStr">
        <is>
          <t>VÄSTERNORRLANDS LÄN</t>
        </is>
      </c>
      <c r="E1019" t="inlineStr">
        <is>
          <t>SOLLEFTEÅ</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18861-2023</t>
        </is>
      </c>
      <c r="B1020" s="1" t="n">
        <v>45042</v>
      </c>
      <c r="C1020" s="1" t="n">
        <v>45964</v>
      </c>
      <c r="D1020" t="inlineStr">
        <is>
          <t>VÄSTERNORRLANDS LÄN</t>
        </is>
      </c>
      <c r="E1020" t="inlineStr">
        <is>
          <t>SOLLEFTEÅ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17993-2025</t>
        </is>
      </c>
      <c r="B1021" s="1" t="n">
        <v>45761.40673611111</v>
      </c>
      <c r="C1021" s="1" t="n">
        <v>45964</v>
      </c>
      <c r="D1021" t="inlineStr">
        <is>
          <t>VÄSTERNORRLANDS LÄN</t>
        </is>
      </c>
      <c r="E1021" t="inlineStr">
        <is>
          <t>SOLLEFTEÅ</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12164-2023</t>
        </is>
      </c>
      <c r="B1022" s="1" t="n">
        <v>44995</v>
      </c>
      <c r="C1022" s="1" t="n">
        <v>45964</v>
      </c>
      <c r="D1022" t="inlineStr">
        <is>
          <t>VÄSTERNORRLANDS LÄN</t>
        </is>
      </c>
      <c r="E1022" t="inlineStr">
        <is>
          <t>SOLLEFTEÅ</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4131-2025</t>
        </is>
      </c>
      <c r="B1023" s="1" t="n">
        <v>45685.34508101852</v>
      </c>
      <c r="C1023" s="1" t="n">
        <v>45964</v>
      </c>
      <c r="D1023" t="inlineStr">
        <is>
          <t>VÄSTERNORRLANDS LÄN</t>
        </is>
      </c>
      <c r="E1023" t="inlineStr">
        <is>
          <t>SOLLEFTEÅ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1464-2025</t>
        </is>
      </c>
      <c r="B1024" s="1" t="n">
        <v>45670.365</v>
      </c>
      <c r="C1024" s="1" t="n">
        <v>45964</v>
      </c>
      <c r="D1024" t="inlineStr">
        <is>
          <t>VÄSTERNORRLANDS LÄN</t>
        </is>
      </c>
      <c r="E1024" t="inlineStr">
        <is>
          <t>SOLLEFTEÅ</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43531-2023</t>
        </is>
      </c>
      <c r="B1025" s="1" t="n">
        <v>45184.52731481481</v>
      </c>
      <c r="C1025" s="1" t="n">
        <v>45964</v>
      </c>
      <c r="D1025" t="inlineStr">
        <is>
          <t>VÄSTERNORRLANDS LÄN</t>
        </is>
      </c>
      <c r="E1025" t="inlineStr">
        <is>
          <t>SOLLEFTEÅ</t>
        </is>
      </c>
      <c r="F1025" t="inlineStr">
        <is>
          <t>Holmen skog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3368-2025</t>
        </is>
      </c>
      <c r="B1026" s="1" t="n">
        <v>45679</v>
      </c>
      <c r="C1026" s="1" t="n">
        <v>45964</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15809-2022</t>
        </is>
      </c>
      <c r="B1027" s="1" t="n">
        <v>44663</v>
      </c>
      <c r="C1027" s="1" t="n">
        <v>45964</v>
      </c>
      <c r="D1027" t="inlineStr">
        <is>
          <t>VÄSTERNORRLANDS LÄN</t>
        </is>
      </c>
      <c r="E1027" t="inlineStr">
        <is>
          <t>SOLLEFTEÅ</t>
        </is>
      </c>
      <c r="F1027" t="inlineStr">
        <is>
          <t>SCA</t>
        </is>
      </c>
      <c r="G1027" t="n">
        <v>16.3</v>
      </c>
      <c r="H1027" t="n">
        <v>0</v>
      </c>
      <c r="I1027" t="n">
        <v>0</v>
      </c>
      <c r="J1027" t="n">
        <v>0</v>
      </c>
      <c r="K1027" t="n">
        <v>0</v>
      </c>
      <c r="L1027" t="n">
        <v>0</v>
      </c>
      <c r="M1027" t="n">
        <v>0</v>
      </c>
      <c r="N1027" t="n">
        <v>0</v>
      </c>
      <c r="O1027" t="n">
        <v>0</v>
      </c>
      <c r="P1027" t="n">
        <v>0</v>
      </c>
      <c r="Q1027" t="n">
        <v>0</v>
      </c>
      <c r="R1027" s="2" t="inlineStr"/>
    </row>
    <row r="1028" ht="15" customHeight="1">
      <c r="A1028" t="inlineStr">
        <is>
          <t>A 48490-2024</t>
        </is>
      </c>
      <c r="B1028" s="1" t="n">
        <v>45592</v>
      </c>
      <c r="C1028" s="1" t="n">
        <v>45964</v>
      </c>
      <c r="D1028" t="inlineStr">
        <is>
          <t>VÄSTERNORRLANDS LÄN</t>
        </is>
      </c>
      <c r="E1028" t="inlineStr">
        <is>
          <t>SOLLEFTEÅ</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48491-2024</t>
        </is>
      </c>
      <c r="B1029" s="1" t="n">
        <v>45592</v>
      </c>
      <c r="C1029" s="1" t="n">
        <v>45964</v>
      </c>
      <c r="D1029" t="inlineStr">
        <is>
          <t>VÄSTERNORRLANDS LÄN</t>
        </is>
      </c>
      <c r="E1029" t="inlineStr">
        <is>
          <t>SOLLEFTEÅ</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20223-2024</t>
        </is>
      </c>
      <c r="B1030" s="1" t="n">
        <v>45434</v>
      </c>
      <c r="C1030" s="1" t="n">
        <v>45964</v>
      </c>
      <c r="D1030" t="inlineStr">
        <is>
          <t>VÄSTERNORRLANDS LÄN</t>
        </is>
      </c>
      <c r="E1030" t="inlineStr">
        <is>
          <t>SOLLEFTEÅ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16562-2023</t>
        </is>
      </c>
      <c r="B1031" s="1" t="n">
        <v>45029</v>
      </c>
      <c r="C1031" s="1" t="n">
        <v>45964</v>
      </c>
      <c r="D1031" t="inlineStr">
        <is>
          <t>VÄSTERNORRLANDS LÄN</t>
        </is>
      </c>
      <c r="E1031" t="inlineStr">
        <is>
          <t>SOLLEFTEÅ</t>
        </is>
      </c>
      <c r="F1031" t="inlineStr">
        <is>
          <t>SCA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10549-2023</t>
        </is>
      </c>
      <c r="B1032" s="1" t="n">
        <v>44987</v>
      </c>
      <c r="C1032" s="1" t="n">
        <v>45964</v>
      </c>
      <c r="D1032" t="inlineStr">
        <is>
          <t>VÄSTERNORRLANDS LÄN</t>
        </is>
      </c>
      <c r="E1032" t="inlineStr">
        <is>
          <t>SOLLEFTEÅ</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50844-2023</t>
        </is>
      </c>
      <c r="B1033" s="1" t="n">
        <v>45217</v>
      </c>
      <c r="C1033" s="1" t="n">
        <v>45964</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8099-2025</t>
        </is>
      </c>
      <c r="B1034" s="1" t="n">
        <v>45707.69086805556</v>
      </c>
      <c r="C1034" s="1" t="n">
        <v>45964</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62098-2023</t>
        </is>
      </c>
      <c r="B1035" s="1" t="n">
        <v>45266</v>
      </c>
      <c r="C1035" s="1" t="n">
        <v>45964</v>
      </c>
      <c r="D1035" t="inlineStr">
        <is>
          <t>VÄSTERNORRLANDS LÄN</t>
        </is>
      </c>
      <c r="E1035" t="inlineStr">
        <is>
          <t>SOLLEFTEÅ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60420-2022</t>
        </is>
      </c>
      <c r="B1036" s="1" t="n">
        <v>44910</v>
      </c>
      <c r="C1036" s="1" t="n">
        <v>45964</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20516-2024</t>
        </is>
      </c>
      <c r="B1037" s="1" t="n">
        <v>45435</v>
      </c>
      <c r="C1037" s="1" t="n">
        <v>45964</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57492-2024</t>
        </is>
      </c>
      <c r="B1038" s="1" t="n">
        <v>45630.36827546296</v>
      </c>
      <c r="C1038" s="1" t="n">
        <v>45964</v>
      </c>
      <c r="D1038" t="inlineStr">
        <is>
          <t>VÄSTERNORRLANDS LÄN</t>
        </is>
      </c>
      <c r="E1038" t="inlineStr">
        <is>
          <t>SOLLEFTEÅ</t>
        </is>
      </c>
      <c r="F1038" t="inlineStr">
        <is>
          <t>Holmen skog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945-2025</t>
        </is>
      </c>
      <c r="B1039" s="1" t="n">
        <v>45666.34412037037</v>
      </c>
      <c r="C1039" s="1" t="n">
        <v>45964</v>
      </c>
      <c r="D1039" t="inlineStr">
        <is>
          <t>VÄSTERNORRLANDS LÄN</t>
        </is>
      </c>
      <c r="E1039" t="inlineStr">
        <is>
          <t>SOLLEFTEÅ</t>
        </is>
      </c>
      <c r="F1039" t="inlineStr">
        <is>
          <t>SCA</t>
        </is>
      </c>
      <c r="G1039" t="n">
        <v>36.6</v>
      </c>
      <c r="H1039" t="n">
        <v>0</v>
      </c>
      <c r="I1039" t="n">
        <v>0</v>
      </c>
      <c r="J1039" t="n">
        <v>0</v>
      </c>
      <c r="K1039" t="n">
        <v>0</v>
      </c>
      <c r="L1039" t="n">
        <v>0</v>
      </c>
      <c r="M1039" t="n">
        <v>0</v>
      </c>
      <c r="N1039" t="n">
        <v>0</v>
      </c>
      <c r="O1039" t="n">
        <v>0</v>
      </c>
      <c r="P1039" t="n">
        <v>0</v>
      </c>
      <c r="Q1039" t="n">
        <v>0</v>
      </c>
      <c r="R1039" s="2" t="inlineStr"/>
    </row>
    <row r="1040" ht="15" customHeight="1">
      <c r="A1040" t="inlineStr">
        <is>
          <t>A 14712-2025</t>
        </is>
      </c>
      <c r="B1040" s="1" t="n">
        <v>45742.61008101852</v>
      </c>
      <c r="C1040" s="1" t="n">
        <v>45964</v>
      </c>
      <c r="D1040" t="inlineStr">
        <is>
          <t>VÄSTERNORRLANDS LÄN</t>
        </is>
      </c>
      <c r="E1040" t="inlineStr">
        <is>
          <t>SOLLEFTEÅ</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23394-2021</t>
        </is>
      </c>
      <c r="B1041" s="1" t="n">
        <v>44333</v>
      </c>
      <c r="C1041" s="1" t="n">
        <v>45964</v>
      </c>
      <c r="D1041" t="inlineStr">
        <is>
          <t>VÄSTERNORRLANDS LÄN</t>
        </is>
      </c>
      <c r="E1041" t="inlineStr">
        <is>
          <t>SOLLEFTEÅ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18696-2025</t>
        </is>
      </c>
      <c r="B1042" s="1" t="n">
        <v>45763.61578703704</v>
      </c>
      <c r="C1042" s="1" t="n">
        <v>45964</v>
      </c>
      <c r="D1042" t="inlineStr">
        <is>
          <t>VÄSTERNORRLANDS LÄN</t>
        </is>
      </c>
      <c r="E1042" t="inlineStr">
        <is>
          <t>SOLLEFTEÅ</t>
        </is>
      </c>
      <c r="F1042" t="inlineStr">
        <is>
          <t>SCA</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49253-2024</t>
        </is>
      </c>
      <c r="B1043" s="1" t="n">
        <v>45595</v>
      </c>
      <c r="C1043" s="1" t="n">
        <v>45964</v>
      </c>
      <c r="D1043" t="inlineStr">
        <is>
          <t>VÄSTERNORRLANDS LÄN</t>
        </is>
      </c>
      <c r="E1043" t="inlineStr">
        <is>
          <t>SOLLEFTEÅ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53955-2021</t>
        </is>
      </c>
      <c r="B1044" s="1" t="n">
        <v>44469</v>
      </c>
      <c r="C1044" s="1" t="n">
        <v>45964</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51735-2024</t>
        </is>
      </c>
      <c r="B1045" s="1" t="n">
        <v>45607.40127314815</v>
      </c>
      <c r="C1045" s="1" t="n">
        <v>45964</v>
      </c>
      <c r="D1045" t="inlineStr">
        <is>
          <t>VÄSTERNORRLANDS LÄN</t>
        </is>
      </c>
      <c r="E1045" t="inlineStr">
        <is>
          <t>SOLLEFTEÅ</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7003-2025</t>
        </is>
      </c>
      <c r="B1046" s="1" t="n">
        <v>45701</v>
      </c>
      <c r="C1046" s="1" t="n">
        <v>45964</v>
      </c>
      <c r="D1046" t="inlineStr">
        <is>
          <t>VÄSTERNORRLANDS LÄN</t>
        </is>
      </c>
      <c r="E1046" t="inlineStr">
        <is>
          <t>SOLLEFTEÅ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11455-2025</t>
        </is>
      </c>
      <c r="B1047" s="1" t="n">
        <v>45726.64886574074</v>
      </c>
      <c r="C1047" s="1" t="n">
        <v>45964</v>
      </c>
      <c r="D1047" t="inlineStr">
        <is>
          <t>VÄSTERNORRLANDS LÄN</t>
        </is>
      </c>
      <c r="E1047" t="inlineStr">
        <is>
          <t>SOLLEFTEÅ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279-2023</t>
        </is>
      </c>
      <c r="B1048" s="1" t="n">
        <v>44928</v>
      </c>
      <c r="C1048" s="1" t="n">
        <v>45964</v>
      </c>
      <c r="D1048" t="inlineStr">
        <is>
          <t>VÄSTERNORRLANDS LÄN</t>
        </is>
      </c>
      <c r="E1048" t="inlineStr">
        <is>
          <t>SOLLEFTEÅ</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21109-2025</t>
        </is>
      </c>
      <c r="B1049" s="1" t="n">
        <v>45777.67744212963</v>
      </c>
      <c r="C1049" s="1" t="n">
        <v>45964</v>
      </c>
      <c r="D1049" t="inlineStr">
        <is>
          <t>VÄSTERNORRLANDS LÄN</t>
        </is>
      </c>
      <c r="E1049" t="inlineStr">
        <is>
          <t>SOLLEFTEÅ</t>
        </is>
      </c>
      <c r="F1049" t="inlineStr">
        <is>
          <t>SCA</t>
        </is>
      </c>
      <c r="G1049" t="n">
        <v>38.2</v>
      </c>
      <c r="H1049" t="n">
        <v>0</v>
      </c>
      <c r="I1049" t="n">
        <v>0</v>
      </c>
      <c r="J1049" t="n">
        <v>0</v>
      </c>
      <c r="K1049" t="n">
        <v>0</v>
      </c>
      <c r="L1049" t="n">
        <v>0</v>
      </c>
      <c r="M1049" t="n">
        <v>0</v>
      </c>
      <c r="N1049" t="n">
        <v>0</v>
      </c>
      <c r="O1049" t="n">
        <v>0</v>
      </c>
      <c r="P1049" t="n">
        <v>0</v>
      </c>
      <c r="Q1049" t="n">
        <v>0</v>
      </c>
      <c r="R1049" s="2" t="inlineStr"/>
    </row>
    <row r="1050" ht="15" customHeight="1">
      <c r="A1050" t="inlineStr">
        <is>
          <t>A 20867-2025</t>
        </is>
      </c>
      <c r="B1050" s="1" t="n">
        <v>45777.34471064815</v>
      </c>
      <c r="C1050" s="1" t="n">
        <v>45964</v>
      </c>
      <c r="D1050" t="inlineStr">
        <is>
          <t>VÄSTERNORRLANDS LÄN</t>
        </is>
      </c>
      <c r="E1050" t="inlineStr">
        <is>
          <t>SOLLEFTEÅ</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40354-2024</t>
        </is>
      </c>
      <c r="B1051" s="1" t="n">
        <v>45555.36525462963</v>
      </c>
      <c r="C1051" s="1" t="n">
        <v>45964</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24596-2023</t>
        </is>
      </c>
      <c r="B1052" s="1" t="n">
        <v>45083.94011574074</v>
      </c>
      <c r="C1052" s="1" t="n">
        <v>45964</v>
      </c>
      <c r="D1052" t="inlineStr">
        <is>
          <t>VÄSTERNORRLANDS LÄN</t>
        </is>
      </c>
      <c r="E1052" t="inlineStr">
        <is>
          <t>SOLLEFTEÅ</t>
        </is>
      </c>
      <c r="F1052" t="inlineStr">
        <is>
          <t>SCA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10138-2022</t>
        </is>
      </c>
      <c r="B1053" s="1" t="n">
        <v>44621.94612268519</v>
      </c>
      <c r="C1053" s="1" t="n">
        <v>45964</v>
      </c>
      <c r="D1053" t="inlineStr">
        <is>
          <t>VÄSTERNORRLANDS LÄN</t>
        </is>
      </c>
      <c r="E1053" t="inlineStr">
        <is>
          <t>SOLLEFTEÅ</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11746-2025</t>
        </is>
      </c>
      <c r="B1054" s="1" t="n">
        <v>45727.63577546296</v>
      </c>
      <c r="C1054" s="1" t="n">
        <v>45964</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28893-2022</t>
        </is>
      </c>
      <c r="B1055" s="1" t="n">
        <v>44749.53978009259</v>
      </c>
      <c r="C1055" s="1" t="n">
        <v>45964</v>
      </c>
      <c r="D1055" t="inlineStr">
        <is>
          <t>VÄSTERNORRLANDS LÄN</t>
        </is>
      </c>
      <c r="E1055" t="inlineStr">
        <is>
          <t>SOLLEFTEÅ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44392-2023</t>
        </is>
      </c>
      <c r="B1056" s="1" t="n">
        <v>45188.94527777778</v>
      </c>
      <c r="C1056" s="1" t="n">
        <v>45964</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51847-2021</t>
        </is>
      </c>
      <c r="B1057" s="1" t="n">
        <v>44462.69077546296</v>
      </c>
      <c r="C1057" s="1" t="n">
        <v>45964</v>
      </c>
      <c r="D1057" t="inlineStr">
        <is>
          <t>VÄSTERNORRLANDS LÄN</t>
        </is>
      </c>
      <c r="E1057" t="inlineStr">
        <is>
          <t>SOLLEFTEÅ</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30063-2024</t>
        </is>
      </c>
      <c r="B1058" s="1" t="n">
        <v>45488.94841435185</v>
      </c>
      <c r="C1058" s="1" t="n">
        <v>45964</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58179-2021</t>
        </is>
      </c>
      <c r="B1059" s="1" t="n">
        <v>44487</v>
      </c>
      <c r="C1059" s="1" t="n">
        <v>45964</v>
      </c>
      <c r="D1059" t="inlineStr">
        <is>
          <t>VÄSTERNORRLANDS LÄN</t>
        </is>
      </c>
      <c r="E1059" t="inlineStr">
        <is>
          <t>SOLLEFTEÅ</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59317-2024</t>
        </is>
      </c>
      <c r="B1060" s="1" t="n">
        <v>45637.69873842593</v>
      </c>
      <c r="C1060" s="1" t="n">
        <v>45964</v>
      </c>
      <c r="D1060" t="inlineStr">
        <is>
          <t>VÄSTERNORRLANDS LÄN</t>
        </is>
      </c>
      <c r="E1060" t="inlineStr">
        <is>
          <t>SOLLEFTEÅ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59388-2024</t>
        </is>
      </c>
      <c r="B1061" s="1" t="n">
        <v>45638.365</v>
      </c>
      <c r="C1061" s="1" t="n">
        <v>45964</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21088-2025</t>
        </is>
      </c>
      <c r="B1062" s="1" t="n">
        <v>45777.61498842593</v>
      </c>
      <c r="C1062" s="1" t="n">
        <v>45964</v>
      </c>
      <c r="D1062" t="inlineStr">
        <is>
          <t>VÄSTERNORRLANDS LÄN</t>
        </is>
      </c>
      <c r="E1062" t="inlineStr">
        <is>
          <t>SOLLEFTEÅ</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23527-2023</t>
        </is>
      </c>
      <c r="B1063" s="1" t="n">
        <v>45076</v>
      </c>
      <c r="C1063" s="1" t="n">
        <v>45964</v>
      </c>
      <c r="D1063" t="inlineStr">
        <is>
          <t>VÄSTERNORRLANDS LÄN</t>
        </is>
      </c>
      <c r="E1063" t="inlineStr">
        <is>
          <t>SOLLEFTEÅ</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20507-2024</t>
        </is>
      </c>
      <c r="B1064" s="1" t="n">
        <v>45435</v>
      </c>
      <c r="C1064" s="1" t="n">
        <v>45964</v>
      </c>
      <c r="D1064" t="inlineStr">
        <is>
          <t>VÄSTERNORRLANDS LÄN</t>
        </is>
      </c>
      <c r="E1064" t="inlineStr">
        <is>
          <t>SOLLEFTEÅ</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51341-2024</t>
        </is>
      </c>
      <c r="B1065" s="1" t="n">
        <v>45604.34481481482</v>
      </c>
      <c r="C1065" s="1" t="n">
        <v>45964</v>
      </c>
      <c r="D1065" t="inlineStr">
        <is>
          <t>VÄSTERNORRLANDS LÄN</t>
        </is>
      </c>
      <c r="E1065" t="inlineStr">
        <is>
          <t>SOLLEFTEÅ</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72315-2021</t>
        </is>
      </c>
      <c r="B1066" s="1" t="n">
        <v>44545</v>
      </c>
      <c r="C1066" s="1" t="n">
        <v>45964</v>
      </c>
      <c r="D1066" t="inlineStr">
        <is>
          <t>VÄSTERNORRLANDS LÄN</t>
        </is>
      </c>
      <c r="E1066" t="inlineStr">
        <is>
          <t>SOLLEFTEÅ</t>
        </is>
      </c>
      <c r="F1066" t="inlineStr">
        <is>
          <t>SCA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20638-2025</t>
        </is>
      </c>
      <c r="B1067" s="1" t="n">
        <v>45776.36480324074</v>
      </c>
      <c r="C1067" s="1" t="n">
        <v>45964</v>
      </c>
      <c r="D1067" t="inlineStr">
        <is>
          <t>VÄSTERNORRLANDS LÄN</t>
        </is>
      </c>
      <c r="E1067" t="inlineStr">
        <is>
          <t>SOLLEFTEÅ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19407-2025</t>
        </is>
      </c>
      <c r="B1068" s="1" t="n">
        <v>45769.67832175926</v>
      </c>
      <c r="C1068" s="1" t="n">
        <v>45964</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20793-2025</t>
        </is>
      </c>
      <c r="B1069" s="1" t="n">
        <v>45776</v>
      </c>
      <c r="C1069" s="1" t="n">
        <v>45964</v>
      </c>
      <c r="D1069" t="inlineStr">
        <is>
          <t>VÄSTERNORRLANDS LÄN</t>
        </is>
      </c>
      <c r="E1069" t="inlineStr">
        <is>
          <t>SOLLEFTEÅ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20551-2022</t>
        </is>
      </c>
      <c r="B1070" s="1" t="n">
        <v>44699</v>
      </c>
      <c r="C1070" s="1" t="n">
        <v>45964</v>
      </c>
      <c r="D1070" t="inlineStr">
        <is>
          <t>VÄSTERNORRLANDS LÄN</t>
        </is>
      </c>
      <c r="E1070" t="inlineStr">
        <is>
          <t>SOLLEFTEÅ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20725-2025</t>
        </is>
      </c>
      <c r="B1071" s="1" t="n">
        <v>45776.51074074074</v>
      </c>
      <c r="C1071" s="1" t="n">
        <v>45964</v>
      </c>
      <c r="D1071" t="inlineStr">
        <is>
          <t>VÄSTERNORRLANDS LÄN</t>
        </is>
      </c>
      <c r="E1071" t="inlineStr">
        <is>
          <t>SOLLEFTEÅ</t>
        </is>
      </c>
      <c r="F1071" t="inlineStr">
        <is>
          <t>SCA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4935-2025</t>
        </is>
      </c>
      <c r="B1072" s="1" t="n">
        <v>45688.68496527777</v>
      </c>
      <c r="C1072" s="1" t="n">
        <v>45964</v>
      </c>
      <c r="D1072" t="inlineStr">
        <is>
          <t>VÄSTERNORRLANDS LÄN</t>
        </is>
      </c>
      <c r="E1072" t="inlineStr">
        <is>
          <t>SOLLEFTEÅ</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52087-2023</t>
        </is>
      </c>
      <c r="B1073" s="1" t="n">
        <v>45223</v>
      </c>
      <c r="C1073" s="1" t="n">
        <v>45964</v>
      </c>
      <c r="D1073" t="inlineStr">
        <is>
          <t>VÄSTERNORRLANDS LÄN</t>
        </is>
      </c>
      <c r="E1073" t="inlineStr">
        <is>
          <t>SOLLEFTEÅ</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51527-2024</t>
        </is>
      </c>
      <c r="B1074" s="1" t="n">
        <v>45604</v>
      </c>
      <c r="C1074" s="1" t="n">
        <v>45964</v>
      </c>
      <c r="D1074" t="inlineStr">
        <is>
          <t>VÄSTERNORRLANDS LÄN</t>
        </is>
      </c>
      <c r="E1074" t="inlineStr">
        <is>
          <t>SOLLEFTEÅ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3990-2024</t>
        </is>
      </c>
      <c r="B1075" s="1" t="n">
        <v>45322.94880787037</v>
      </c>
      <c r="C1075" s="1" t="n">
        <v>45964</v>
      </c>
      <c r="D1075" t="inlineStr">
        <is>
          <t>VÄSTERNORRLANDS LÄN</t>
        </is>
      </c>
      <c r="E1075" t="inlineStr">
        <is>
          <t>SOLLEFTEÅ</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10094-2023</t>
        </is>
      </c>
      <c r="B1076" s="1" t="n">
        <v>44985</v>
      </c>
      <c r="C1076" s="1" t="n">
        <v>45964</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21269-2025</t>
        </is>
      </c>
      <c r="B1077" s="1" t="n">
        <v>45779.62265046296</v>
      </c>
      <c r="C1077" s="1" t="n">
        <v>45964</v>
      </c>
      <c r="D1077" t="inlineStr">
        <is>
          <t>VÄSTERNORRLANDS LÄN</t>
        </is>
      </c>
      <c r="E1077" t="inlineStr">
        <is>
          <t>SOLLEFTEÅ</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45719-2022</t>
        </is>
      </c>
      <c r="B1078" s="1" t="n">
        <v>44845.95533564815</v>
      </c>
      <c r="C1078" s="1" t="n">
        <v>45964</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54307-2023</t>
        </is>
      </c>
      <c r="B1079" s="1" t="n">
        <v>45225</v>
      </c>
      <c r="C1079" s="1" t="n">
        <v>45964</v>
      </c>
      <c r="D1079" t="inlineStr">
        <is>
          <t>VÄSTERNORRLANDS LÄN</t>
        </is>
      </c>
      <c r="E1079" t="inlineStr">
        <is>
          <t>SOLLEFTEÅ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10865-2025</t>
        </is>
      </c>
      <c r="B1080" s="1" t="n">
        <v>45722.61526620371</v>
      </c>
      <c r="C1080" s="1" t="n">
        <v>45964</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5255-2024</t>
        </is>
      </c>
      <c r="B1081" s="1" t="n">
        <v>45330</v>
      </c>
      <c r="C1081" s="1" t="n">
        <v>45964</v>
      </c>
      <c r="D1081" t="inlineStr">
        <is>
          <t>VÄSTERNORRLANDS LÄN</t>
        </is>
      </c>
      <c r="E1081" t="inlineStr">
        <is>
          <t>SOLLEFTEÅ</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21491-2025</t>
        </is>
      </c>
      <c r="B1082" s="1" t="n">
        <v>45782.59578703704</v>
      </c>
      <c r="C1082" s="1" t="n">
        <v>45964</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47177-2023</t>
        </is>
      </c>
      <c r="B1083" s="1" t="n">
        <v>45201</v>
      </c>
      <c r="C1083" s="1" t="n">
        <v>45964</v>
      </c>
      <c r="D1083" t="inlineStr">
        <is>
          <t>VÄSTERNORRLANDS LÄN</t>
        </is>
      </c>
      <c r="E1083" t="inlineStr">
        <is>
          <t>SOLLEFTEÅ</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17279-2025</t>
        </is>
      </c>
      <c r="B1084" s="1" t="n">
        <v>45756.56396990741</v>
      </c>
      <c r="C1084" s="1" t="n">
        <v>45964</v>
      </c>
      <c r="D1084" t="inlineStr">
        <is>
          <t>VÄSTERNORRLANDS LÄN</t>
        </is>
      </c>
      <c r="E1084" t="inlineStr">
        <is>
          <t>SOLLEFTEÅ</t>
        </is>
      </c>
      <c r="G1084" t="n">
        <v>22.4</v>
      </c>
      <c r="H1084" t="n">
        <v>0</v>
      </c>
      <c r="I1084" t="n">
        <v>0</v>
      </c>
      <c r="J1084" t="n">
        <v>0</v>
      </c>
      <c r="K1084" t="n">
        <v>0</v>
      </c>
      <c r="L1084" t="n">
        <v>0</v>
      </c>
      <c r="M1084" t="n">
        <v>0</v>
      </c>
      <c r="N1084" t="n">
        <v>0</v>
      </c>
      <c r="O1084" t="n">
        <v>0</v>
      </c>
      <c r="P1084" t="n">
        <v>0</v>
      </c>
      <c r="Q1084" t="n">
        <v>0</v>
      </c>
      <c r="R1084" s="2" t="inlineStr"/>
    </row>
    <row r="1085" ht="15" customHeight="1">
      <c r="A1085" t="inlineStr">
        <is>
          <t>A 21687-2025</t>
        </is>
      </c>
      <c r="B1085" s="1" t="n">
        <v>45783.49135416667</v>
      </c>
      <c r="C1085" s="1" t="n">
        <v>45964</v>
      </c>
      <c r="D1085" t="inlineStr">
        <is>
          <t>VÄSTERNORRLANDS LÄN</t>
        </is>
      </c>
      <c r="E1085" t="inlineStr">
        <is>
          <t>SOLLEFTEÅ</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52702-2024</t>
        </is>
      </c>
      <c r="B1086" s="1" t="n">
        <v>45610</v>
      </c>
      <c r="C1086" s="1" t="n">
        <v>45964</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21346-2025</t>
        </is>
      </c>
      <c r="B1087" s="1" t="n">
        <v>45782.40670138889</v>
      </c>
      <c r="C1087" s="1" t="n">
        <v>45964</v>
      </c>
      <c r="D1087" t="inlineStr">
        <is>
          <t>VÄSTERNORRLANDS LÄN</t>
        </is>
      </c>
      <c r="E1087" t="inlineStr">
        <is>
          <t>SOLLEFTEÅ</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21481-2025</t>
        </is>
      </c>
      <c r="B1088" s="1" t="n">
        <v>45782.59451388889</v>
      </c>
      <c r="C1088" s="1" t="n">
        <v>45964</v>
      </c>
      <c r="D1088" t="inlineStr">
        <is>
          <t>VÄSTERNORRLANDS LÄN</t>
        </is>
      </c>
      <c r="E1088" t="inlineStr">
        <is>
          <t>SOLLEFTEÅ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21348-2025</t>
        </is>
      </c>
      <c r="B1089" s="1" t="n">
        <v>45782.40679398148</v>
      </c>
      <c r="C1089" s="1" t="n">
        <v>45964</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21429-2025</t>
        </is>
      </c>
      <c r="B1090" s="1" t="n">
        <v>45782.51084490741</v>
      </c>
      <c r="C1090" s="1" t="n">
        <v>45964</v>
      </c>
      <c r="D1090" t="inlineStr">
        <is>
          <t>VÄSTERNORRLANDS LÄN</t>
        </is>
      </c>
      <c r="E1090" t="inlineStr">
        <is>
          <t>SOLLEFTEÅ</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21455-2025</t>
        </is>
      </c>
      <c r="B1091" s="1" t="n">
        <v>45782.55332175926</v>
      </c>
      <c r="C1091" s="1" t="n">
        <v>45964</v>
      </c>
      <c r="D1091" t="inlineStr">
        <is>
          <t>VÄSTERNORRLANDS LÄN</t>
        </is>
      </c>
      <c r="E1091" t="inlineStr">
        <is>
          <t>SOLLEFTEÅ</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56260-2023</t>
        </is>
      </c>
      <c r="B1092" s="1" t="n">
        <v>45240</v>
      </c>
      <c r="C1092" s="1" t="n">
        <v>45964</v>
      </c>
      <c r="D1092" t="inlineStr">
        <is>
          <t>VÄSTERNORRLANDS LÄN</t>
        </is>
      </c>
      <c r="E1092" t="inlineStr">
        <is>
          <t>SOLLEFTEÅ</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25017-2022</t>
        </is>
      </c>
      <c r="B1093" s="1" t="n">
        <v>44728.94331018518</v>
      </c>
      <c r="C1093" s="1" t="n">
        <v>45964</v>
      </c>
      <c r="D1093" t="inlineStr">
        <is>
          <t>VÄSTERNORRLANDS LÄN</t>
        </is>
      </c>
      <c r="E1093" t="inlineStr">
        <is>
          <t>SOLLEFTEÅ</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58226-2024</t>
        </is>
      </c>
      <c r="B1094" s="1" t="n">
        <v>45632.51076388889</v>
      </c>
      <c r="C1094" s="1" t="n">
        <v>45964</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21669-2025</t>
        </is>
      </c>
      <c r="B1095" s="1" t="n">
        <v>45783.46905092592</v>
      </c>
      <c r="C1095" s="1" t="n">
        <v>45964</v>
      </c>
      <c r="D1095" t="inlineStr">
        <is>
          <t>VÄSTERNORRLANDS LÄN</t>
        </is>
      </c>
      <c r="E1095" t="inlineStr">
        <is>
          <t>SOLLEFTEÅ</t>
        </is>
      </c>
      <c r="F1095" t="inlineStr">
        <is>
          <t>SCA</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21489-2025</t>
        </is>
      </c>
      <c r="B1096" s="1" t="n">
        <v>45782.59555555556</v>
      </c>
      <c r="C1096" s="1" t="n">
        <v>45964</v>
      </c>
      <c r="D1096" t="inlineStr">
        <is>
          <t>VÄSTERNORRLANDS LÄN</t>
        </is>
      </c>
      <c r="E1096" t="inlineStr">
        <is>
          <t>SOLLEFTEÅ</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21553-2025</t>
        </is>
      </c>
      <c r="B1097" s="1" t="n">
        <v>45782.67805555555</v>
      </c>
      <c r="C1097" s="1" t="n">
        <v>45964</v>
      </c>
      <c r="D1097" t="inlineStr">
        <is>
          <t>VÄSTERNORRLANDS LÄN</t>
        </is>
      </c>
      <c r="E1097" t="inlineStr">
        <is>
          <t>SOLLEFTEÅ</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21555-2025</t>
        </is>
      </c>
      <c r="B1098" s="1" t="n">
        <v>45782.67828703704</v>
      </c>
      <c r="C1098" s="1" t="n">
        <v>45964</v>
      </c>
      <c r="D1098" t="inlineStr">
        <is>
          <t>VÄSTERNORRLANDS LÄN</t>
        </is>
      </c>
      <c r="E1098" t="inlineStr">
        <is>
          <t>SOLLEFTEÅ</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21564-2025</t>
        </is>
      </c>
      <c r="B1099" s="1" t="n">
        <v>45782.69837962963</v>
      </c>
      <c r="C1099" s="1" t="n">
        <v>45964</v>
      </c>
      <c r="D1099" t="inlineStr">
        <is>
          <t>VÄSTERNORRLANDS LÄN</t>
        </is>
      </c>
      <c r="E1099" t="inlineStr">
        <is>
          <t>SOLLEFTEÅ</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10428-2023</t>
        </is>
      </c>
      <c r="B1100" s="1" t="n">
        <v>44981</v>
      </c>
      <c r="C1100" s="1" t="n">
        <v>45964</v>
      </c>
      <c r="D1100" t="inlineStr">
        <is>
          <t>VÄSTERNORRLANDS LÄN</t>
        </is>
      </c>
      <c r="E1100" t="inlineStr">
        <is>
          <t>SOLLEFTEÅ</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6058-2024</t>
        </is>
      </c>
      <c r="B1101" s="1" t="n">
        <v>45336.75866898148</v>
      </c>
      <c r="C1101" s="1" t="n">
        <v>45964</v>
      </c>
      <c r="D1101" t="inlineStr">
        <is>
          <t>VÄSTERNORRLANDS LÄN</t>
        </is>
      </c>
      <c r="E1101" t="inlineStr">
        <is>
          <t>SOLLEFTEÅ</t>
        </is>
      </c>
      <c r="F1101" t="inlineStr">
        <is>
          <t>Övriga Aktiebolag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21565-2025</t>
        </is>
      </c>
      <c r="B1102" s="1" t="n">
        <v>45782</v>
      </c>
      <c r="C1102" s="1" t="n">
        <v>45964</v>
      </c>
      <c r="D1102" t="inlineStr">
        <is>
          <t>VÄSTERNORRLANDS LÄN</t>
        </is>
      </c>
      <c r="E1102" t="inlineStr">
        <is>
          <t>SOLLEFTEÅ</t>
        </is>
      </c>
      <c r="F1102" t="inlineStr">
        <is>
          <t>SCA</t>
        </is>
      </c>
      <c r="G1102" t="n">
        <v>17.4</v>
      </c>
      <c r="H1102" t="n">
        <v>0</v>
      </c>
      <c r="I1102" t="n">
        <v>0</v>
      </c>
      <c r="J1102" t="n">
        <v>0</v>
      </c>
      <c r="K1102" t="n">
        <v>0</v>
      </c>
      <c r="L1102" t="n">
        <v>0</v>
      </c>
      <c r="M1102" t="n">
        <v>0</v>
      </c>
      <c r="N1102" t="n">
        <v>0</v>
      </c>
      <c r="O1102" t="n">
        <v>0</v>
      </c>
      <c r="P1102" t="n">
        <v>0</v>
      </c>
      <c r="Q1102" t="n">
        <v>0</v>
      </c>
      <c r="R1102" s="2" t="inlineStr"/>
    </row>
    <row r="1103" ht="15" customHeight="1">
      <c r="A1103" t="inlineStr">
        <is>
          <t>A 13554-2023</t>
        </is>
      </c>
      <c r="B1103" s="1" t="n">
        <v>45005</v>
      </c>
      <c r="C1103" s="1" t="n">
        <v>45964</v>
      </c>
      <c r="D1103" t="inlineStr">
        <is>
          <t>VÄSTERNORRLANDS LÄN</t>
        </is>
      </c>
      <c r="E1103" t="inlineStr">
        <is>
          <t>SOLLEFTEÅ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68317-2021</t>
        </is>
      </c>
      <c r="B1104" s="1" t="n">
        <v>44526.94339120371</v>
      </c>
      <c r="C1104" s="1" t="n">
        <v>45964</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21863-2025</t>
        </is>
      </c>
      <c r="B1105" s="1" t="n">
        <v>45784.36532407408</v>
      </c>
      <c r="C1105" s="1" t="n">
        <v>45964</v>
      </c>
      <c r="D1105" t="inlineStr">
        <is>
          <t>VÄSTERNORRLANDS LÄN</t>
        </is>
      </c>
      <c r="E1105" t="inlineStr">
        <is>
          <t>SOLLEFTEÅ</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326-2025</t>
        </is>
      </c>
      <c r="B1106" s="1" t="n">
        <v>45660.65653935185</v>
      </c>
      <c r="C1106" s="1" t="n">
        <v>45964</v>
      </c>
      <c r="D1106" t="inlineStr">
        <is>
          <t>VÄSTERNORRLANDS LÄN</t>
        </is>
      </c>
      <c r="E1106" t="inlineStr">
        <is>
          <t>SOLLEFTEÅ</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26391-2024</t>
        </is>
      </c>
      <c r="B1107" s="1" t="n">
        <v>45468</v>
      </c>
      <c r="C1107" s="1" t="n">
        <v>45964</v>
      </c>
      <c r="D1107" t="inlineStr">
        <is>
          <t>VÄSTERNORRLANDS LÄN</t>
        </is>
      </c>
      <c r="E1107" t="inlineStr">
        <is>
          <t>SOLLEFTEÅ</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12107-2023</t>
        </is>
      </c>
      <c r="B1108" s="1" t="n">
        <v>44995</v>
      </c>
      <c r="C1108" s="1" t="n">
        <v>45964</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34309-2023</t>
        </is>
      </c>
      <c r="B1109" s="1" t="n">
        <v>45138.92300925926</v>
      </c>
      <c r="C1109" s="1" t="n">
        <v>45964</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55439-2024</t>
        </is>
      </c>
      <c r="B1110" s="1" t="n">
        <v>45622.40663194445</v>
      </c>
      <c r="C1110" s="1" t="n">
        <v>45964</v>
      </c>
      <c r="D1110" t="inlineStr">
        <is>
          <t>VÄSTERNORRLANDS LÄN</t>
        </is>
      </c>
      <c r="E1110" t="inlineStr">
        <is>
          <t>SOLLEFTEÅ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22182-2025</t>
        </is>
      </c>
      <c r="B1111" s="1" t="n">
        <v>45785.61640046296</v>
      </c>
      <c r="C1111" s="1" t="n">
        <v>45964</v>
      </c>
      <c r="D1111" t="inlineStr">
        <is>
          <t>VÄSTERNORRLANDS LÄN</t>
        </is>
      </c>
      <c r="E1111" t="inlineStr">
        <is>
          <t>SOLLEFTEÅ</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295-2025</t>
        </is>
      </c>
      <c r="B1112" s="1" t="n">
        <v>45660.53206018519</v>
      </c>
      <c r="C1112" s="1" t="n">
        <v>45964</v>
      </c>
      <c r="D1112" t="inlineStr">
        <is>
          <t>VÄSTERNORRLANDS LÄN</t>
        </is>
      </c>
      <c r="E1112" t="inlineStr">
        <is>
          <t>SOLLEFTEÅ</t>
        </is>
      </c>
      <c r="F1112" t="inlineStr">
        <is>
          <t>SCA</t>
        </is>
      </c>
      <c r="G1112" t="n">
        <v>30.7</v>
      </c>
      <c r="H1112" t="n">
        <v>0</v>
      </c>
      <c r="I1112" t="n">
        <v>0</v>
      </c>
      <c r="J1112" t="n">
        <v>0</v>
      </c>
      <c r="K1112" t="n">
        <v>0</v>
      </c>
      <c r="L1112" t="n">
        <v>0</v>
      </c>
      <c r="M1112" t="n">
        <v>0</v>
      </c>
      <c r="N1112" t="n">
        <v>0</v>
      </c>
      <c r="O1112" t="n">
        <v>0</v>
      </c>
      <c r="P1112" t="n">
        <v>0</v>
      </c>
      <c r="Q1112" t="n">
        <v>0</v>
      </c>
      <c r="R1112" s="2" t="inlineStr"/>
    </row>
    <row r="1113" ht="15" customHeight="1">
      <c r="A1113" t="inlineStr">
        <is>
          <t>A 22106-2025</t>
        </is>
      </c>
      <c r="B1113" s="1" t="n">
        <v>45785.48988425926</v>
      </c>
      <c r="C1113" s="1" t="n">
        <v>45964</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13009-2023</t>
        </is>
      </c>
      <c r="B1114" s="1" t="n">
        <v>45002.03643518518</v>
      </c>
      <c r="C1114" s="1" t="n">
        <v>45964</v>
      </c>
      <c r="D1114" t="inlineStr">
        <is>
          <t>VÄSTERNORRLANDS LÄN</t>
        </is>
      </c>
      <c r="E1114" t="inlineStr">
        <is>
          <t>SOLLEFTEÅ</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21897-2025</t>
        </is>
      </c>
      <c r="B1115" s="1" t="n">
        <v>45784.45376157408</v>
      </c>
      <c r="C1115" s="1" t="n">
        <v>45964</v>
      </c>
      <c r="D1115" t="inlineStr">
        <is>
          <t>VÄSTERNORRLANDS LÄN</t>
        </is>
      </c>
      <c r="E1115" t="inlineStr">
        <is>
          <t>SOLLEFTEÅ</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22184-2025</t>
        </is>
      </c>
      <c r="B1116" s="1" t="n">
        <v>45785.61679398148</v>
      </c>
      <c r="C1116" s="1" t="n">
        <v>45964</v>
      </c>
      <c r="D1116" t="inlineStr">
        <is>
          <t>VÄSTERNORRLANDS LÄN</t>
        </is>
      </c>
      <c r="E1116" t="inlineStr">
        <is>
          <t>SOLLEFTEÅ</t>
        </is>
      </c>
      <c r="F1116" t="inlineStr">
        <is>
          <t>SCA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48088-2023</t>
        </is>
      </c>
      <c r="B1117" s="1" t="n">
        <v>45204.94657407407</v>
      </c>
      <c r="C1117" s="1" t="n">
        <v>45964</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72949-2021</t>
        </is>
      </c>
      <c r="B1118" s="1" t="n">
        <v>44547.92181712963</v>
      </c>
      <c r="C1118" s="1" t="n">
        <v>45964</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66856-2021</t>
        </is>
      </c>
      <c r="B1119" s="1" t="n">
        <v>44522</v>
      </c>
      <c r="C1119" s="1" t="n">
        <v>45964</v>
      </c>
      <c r="D1119" t="inlineStr">
        <is>
          <t>VÄSTERNORRLANDS LÄN</t>
        </is>
      </c>
      <c r="E1119" t="inlineStr">
        <is>
          <t>SOLLEFTEÅ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7107-2024</t>
        </is>
      </c>
      <c r="B1120" s="1" t="n">
        <v>45343</v>
      </c>
      <c r="C1120" s="1" t="n">
        <v>45964</v>
      </c>
      <c r="D1120" t="inlineStr">
        <is>
          <t>VÄSTERNORRLANDS LÄN</t>
        </is>
      </c>
      <c r="E1120" t="inlineStr">
        <is>
          <t>SOLLEFTEÅ</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22046-2025</t>
        </is>
      </c>
      <c r="B1121" s="1" t="n">
        <v>45785.34412037037</v>
      </c>
      <c r="C1121" s="1" t="n">
        <v>45964</v>
      </c>
      <c r="D1121" t="inlineStr">
        <is>
          <t>VÄSTERNORRLANDS LÄN</t>
        </is>
      </c>
      <c r="E1121" t="inlineStr">
        <is>
          <t>SOLLEFTEÅ</t>
        </is>
      </c>
      <c r="F1121" t="inlineStr">
        <is>
          <t>SCA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22211-2025</t>
        </is>
      </c>
      <c r="B1122" s="1" t="n">
        <v>45785.65752314815</v>
      </c>
      <c r="C1122" s="1" t="n">
        <v>45964</v>
      </c>
      <c r="D1122" t="inlineStr">
        <is>
          <t>VÄSTERNORRLANDS LÄN</t>
        </is>
      </c>
      <c r="E1122" t="inlineStr">
        <is>
          <t>SOLLEFTEÅ</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21898-2025</t>
        </is>
      </c>
      <c r="B1123" s="1" t="n">
        <v>45784.45386574074</v>
      </c>
      <c r="C1123" s="1" t="n">
        <v>45964</v>
      </c>
      <c r="D1123" t="inlineStr">
        <is>
          <t>VÄSTERNORRLANDS LÄN</t>
        </is>
      </c>
      <c r="E1123" t="inlineStr">
        <is>
          <t>SOLLEFTEÅ</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21896-2025</t>
        </is>
      </c>
      <c r="B1124" s="1" t="n">
        <v>45784.45366898148</v>
      </c>
      <c r="C1124" s="1" t="n">
        <v>45964</v>
      </c>
      <c r="D1124" t="inlineStr">
        <is>
          <t>VÄSTERNORRLANDS LÄN</t>
        </is>
      </c>
      <c r="E1124" t="inlineStr">
        <is>
          <t>SOLLEFTEÅ</t>
        </is>
      </c>
      <c r="G1124" t="n">
        <v>16.1</v>
      </c>
      <c r="H1124" t="n">
        <v>0</v>
      </c>
      <c r="I1124" t="n">
        <v>0</v>
      </c>
      <c r="J1124" t="n">
        <v>0</v>
      </c>
      <c r="K1124" t="n">
        <v>0</v>
      </c>
      <c r="L1124" t="n">
        <v>0</v>
      </c>
      <c r="M1124" t="n">
        <v>0</v>
      </c>
      <c r="N1124" t="n">
        <v>0</v>
      </c>
      <c r="O1124" t="n">
        <v>0</v>
      </c>
      <c r="P1124" t="n">
        <v>0</v>
      </c>
      <c r="Q1124" t="n">
        <v>0</v>
      </c>
      <c r="R1124" s="2" t="inlineStr"/>
    </row>
    <row r="1125" ht="15" customHeight="1">
      <c r="A1125" t="inlineStr">
        <is>
          <t>A 5036-2024</t>
        </is>
      </c>
      <c r="B1125" s="1" t="n">
        <v>45329.87555555555</v>
      </c>
      <c r="C1125" s="1" t="n">
        <v>45964</v>
      </c>
      <c r="D1125" t="inlineStr">
        <is>
          <t>VÄSTERNORRLANDS LÄN</t>
        </is>
      </c>
      <c r="E1125" t="inlineStr">
        <is>
          <t>SOLLEFTEÅ</t>
        </is>
      </c>
      <c r="F1125" t="inlineStr">
        <is>
          <t>Övriga Aktiebolag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44636.9250925926</v>
      </c>
      <c r="C1126" s="1" t="n">
        <v>45964</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60389-2024</t>
        </is>
      </c>
      <c r="B1127" s="1" t="n">
        <v>45643.48988425926</v>
      </c>
      <c r="C1127" s="1" t="n">
        <v>45964</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22218-2025</t>
        </is>
      </c>
      <c r="B1128" s="1" t="n">
        <v>45785.65840277778</v>
      </c>
      <c r="C1128" s="1" t="n">
        <v>45964</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4895-2025</t>
        </is>
      </c>
      <c r="B1129" s="1" t="n">
        <v>45688.67891203704</v>
      </c>
      <c r="C1129" s="1" t="n">
        <v>45964</v>
      </c>
      <c r="D1129" t="inlineStr">
        <is>
          <t>VÄSTERNORRLANDS LÄN</t>
        </is>
      </c>
      <c r="E1129" t="inlineStr">
        <is>
          <t>SOLLEFTEÅ</t>
        </is>
      </c>
      <c r="F1129" t="inlineStr">
        <is>
          <t>SCA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60361-2024</t>
        </is>
      </c>
      <c r="B1130" s="1" t="n">
        <v>45643.44851851852</v>
      </c>
      <c r="C1130" s="1" t="n">
        <v>45964</v>
      </c>
      <c r="D1130" t="inlineStr">
        <is>
          <t>VÄSTERNORRLANDS LÄN</t>
        </is>
      </c>
      <c r="E1130" t="inlineStr">
        <is>
          <t>SOLLEFTEÅ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4909-2025</t>
        </is>
      </c>
      <c r="B1131" s="1" t="n">
        <v>45688</v>
      </c>
      <c r="C1131" s="1" t="n">
        <v>45964</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42512-2023</t>
        </is>
      </c>
      <c r="B1132" s="1" t="n">
        <v>45180.95953703704</v>
      </c>
      <c r="C1132" s="1" t="n">
        <v>45964</v>
      </c>
      <c r="D1132" t="inlineStr">
        <is>
          <t>VÄSTERNORRLANDS LÄN</t>
        </is>
      </c>
      <c r="E1132" t="inlineStr">
        <is>
          <t>SOLLEFTEÅ</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8337-2025</t>
        </is>
      </c>
      <c r="B1133" s="1" t="n">
        <v>45708.6597337963</v>
      </c>
      <c r="C1133" s="1" t="n">
        <v>45964</v>
      </c>
      <c r="D1133" t="inlineStr">
        <is>
          <t>VÄSTERNORRLANDS LÄN</t>
        </is>
      </c>
      <c r="E1133" t="inlineStr">
        <is>
          <t>SOLLEFTEÅ</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46207-2023</t>
        </is>
      </c>
      <c r="B1134" s="1" t="n">
        <v>45190</v>
      </c>
      <c r="C1134" s="1" t="n">
        <v>45964</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21983-2025</t>
        </is>
      </c>
      <c r="B1135" s="1" t="n">
        <v>45784.65678240741</v>
      </c>
      <c r="C1135" s="1" t="n">
        <v>45964</v>
      </c>
      <c r="D1135" t="inlineStr">
        <is>
          <t>VÄSTERNORRLANDS LÄN</t>
        </is>
      </c>
      <c r="E1135" t="inlineStr">
        <is>
          <t>SOLLEFTEÅ</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14718-2023</t>
        </is>
      </c>
      <c r="B1136" s="1" t="n">
        <v>45012</v>
      </c>
      <c r="C1136" s="1" t="n">
        <v>45964</v>
      </c>
      <c r="D1136" t="inlineStr">
        <is>
          <t>VÄSTERNORRLANDS LÄN</t>
        </is>
      </c>
      <c r="E1136" t="inlineStr">
        <is>
          <t>SOLLEFTEÅ</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10725-2025</t>
        </is>
      </c>
      <c r="B1137" s="1" t="n">
        <v>45722</v>
      </c>
      <c r="C1137" s="1" t="n">
        <v>45964</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61790-2024</t>
        </is>
      </c>
      <c r="B1138" s="1" t="n">
        <v>45649</v>
      </c>
      <c r="C1138" s="1" t="n">
        <v>45964</v>
      </c>
      <c r="D1138" t="inlineStr">
        <is>
          <t>VÄSTERNORRLANDS LÄN</t>
        </is>
      </c>
      <c r="E1138" t="inlineStr">
        <is>
          <t>SOLLEFTEÅ</t>
        </is>
      </c>
      <c r="F1138" t="inlineStr">
        <is>
          <t>Övriga statliga verk och myndigheter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31562-2024</t>
        </is>
      </c>
      <c r="B1139" s="1" t="n">
        <v>45505</v>
      </c>
      <c r="C1139" s="1" t="n">
        <v>45964</v>
      </c>
      <c r="D1139" t="inlineStr">
        <is>
          <t>VÄSTERNORRLANDS LÄN</t>
        </is>
      </c>
      <c r="E1139" t="inlineStr">
        <is>
          <t>SOLLEFTEÅ</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44591-2024</t>
        </is>
      </c>
      <c r="B1140" s="1" t="n">
        <v>45574</v>
      </c>
      <c r="C1140" s="1" t="n">
        <v>45964</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27593-2022</t>
        </is>
      </c>
      <c r="B1141" s="1" t="n">
        <v>44742</v>
      </c>
      <c r="C1141" s="1" t="n">
        <v>45964</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10139-2022</t>
        </is>
      </c>
      <c r="B1142" s="1" t="n">
        <v>44621</v>
      </c>
      <c r="C1142" s="1" t="n">
        <v>45964</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22036-2025</t>
        </is>
      </c>
      <c r="B1143" s="1" t="n">
        <v>45785.31820601852</v>
      </c>
      <c r="C1143" s="1" t="n">
        <v>45964</v>
      </c>
      <c r="D1143" t="inlineStr">
        <is>
          <t>VÄSTERNORRLANDS LÄN</t>
        </is>
      </c>
      <c r="E1143" t="inlineStr">
        <is>
          <t>SOLLEFTEÅ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52438-2024</t>
        </is>
      </c>
      <c r="B1144" s="1" t="n">
        <v>45609.48300925926</v>
      </c>
      <c r="C1144" s="1" t="n">
        <v>45964</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21985-2025</t>
        </is>
      </c>
      <c r="B1145" s="1" t="n">
        <v>45784.65689814815</v>
      </c>
      <c r="C1145" s="1" t="n">
        <v>45964</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31177-2023</t>
        </is>
      </c>
      <c r="B1146" s="1" t="n">
        <v>45113</v>
      </c>
      <c r="C1146" s="1" t="n">
        <v>45964</v>
      </c>
      <c r="D1146" t="inlineStr">
        <is>
          <t>VÄSTERNORRLANDS LÄN</t>
        </is>
      </c>
      <c r="E1146" t="inlineStr">
        <is>
          <t>SOLLEFTEÅ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40115-2023</t>
        </is>
      </c>
      <c r="B1147" s="1" t="n">
        <v>45168.93859953704</v>
      </c>
      <c r="C1147" s="1" t="n">
        <v>45964</v>
      </c>
      <c r="D1147" t="inlineStr">
        <is>
          <t>VÄSTERNORRLANDS LÄN</t>
        </is>
      </c>
      <c r="E1147" t="inlineStr">
        <is>
          <t>SOLLEFTEÅ</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53669-2023</t>
        </is>
      </c>
      <c r="B1148" s="1" t="n">
        <v>45230</v>
      </c>
      <c r="C1148" s="1" t="n">
        <v>45964</v>
      </c>
      <c r="D1148" t="inlineStr">
        <is>
          <t>VÄSTERNORRLANDS LÄN</t>
        </is>
      </c>
      <c r="E1148" t="inlineStr">
        <is>
          <t>SOLLEFTEÅ</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12730-2023</t>
        </is>
      </c>
      <c r="B1149" s="1" t="n">
        <v>45000.92381944445</v>
      </c>
      <c r="C1149" s="1" t="n">
        <v>45964</v>
      </c>
      <c r="D1149" t="inlineStr">
        <is>
          <t>VÄSTERNORRLANDS LÄN</t>
        </is>
      </c>
      <c r="E1149" t="inlineStr">
        <is>
          <t>SOLLEFTEÅ</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12733-2023</t>
        </is>
      </c>
      <c r="B1150" s="1" t="n">
        <v>45000</v>
      </c>
      <c r="C1150" s="1" t="n">
        <v>45964</v>
      </c>
      <c r="D1150" t="inlineStr">
        <is>
          <t>VÄSTERNORRLANDS LÄN</t>
        </is>
      </c>
      <c r="E1150" t="inlineStr">
        <is>
          <t>SOLLEFTEÅ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25079-2023</t>
        </is>
      </c>
      <c r="B1151" s="1" t="n">
        <v>45086</v>
      </c>
      <c r="C1151" s="1" t="n">
        <v>45964</v>
      </c>
      <c r="D1151" t="inlineStr">
        <is>
          <t>VÄSTERNORRLANDS LÄN</t>
        </is>
      </c>
      <c r="E1151" t="inlineStr">
        <is>
          <t>SOLLEFTEÅ</t>
        </is>
      </c>
      <c r="F1151" t="inlineStr">
        <is>
          <t>Kommuner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23287-2023</t>
        </is>
      </c>
      <c r="B1152" s="1" t="n">
        <v>45075</v>
      </c>
      <c r="C1152" s="1" t="n">
        <v>45964</v>
      </c>
      <c r="D1152" t="inlineStr">
        <is>
          <t>VÄSTERNORRLANDS LÄN</t>
        </is>
      </c>
      <c r="E1152" t="inlineStr">
        <is>
          <t>SOLLEFTEÅ</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37381-2023</t>
        </is>
      </c>
      <c r="B1153" s="1" t="n">
        <v>45155</v>
      </c>
      <c r="C1153" s="1" t="n">
        <v>45964</v>
      </c>
      <c r="D1153" t="inlineStr">
        <is>
          <t>VÄSTERNORRLANDS LÄN</t>
        </is>
      </c>
      <c r="E1153" t="inlineStr">
        <is>
          <t>SOLLEFTEÅ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34316-2024</t>
        </is>
      </c>
      <c r="B1154" s="1" t="n">
        <v>45524</v>
      </c>
      <c r="C1154" s="1" t="n">
        <v>45964</v>
      </c>
      <c r="D1154" t="inlineStr">
        <is>
          <t>VÄSTERNORRLANDS LÄN</t>
        </is>
      </c>
      <c r="E1154" t="inlineStr">
        <is>
          <t>SOLLEFTEÅ</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49417-2023</t>
        </is>
      </c>
      <c r="B1155" s="1" t="n">
        <v>45205</v>
      </c>
      <c r="C1155" s="1" t="n">
        <v>45964</v>
      </c>
      <c r="D1155" t="inlineStr">
        <is>
          <t>VÄSTERNORRLANDS LÄN</t>
        </is>
      </c>
      <c r="E1155" t="inlineStr">
        <is>
          <t>SOLLEFTEÅ</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13521-2023</t>
        </is>
      </c>
      <c r="B1156" s="1" t="n">
        <v>45005</v>
      </c>
      <c r="C1156" s="1" t="n">
        <v>45964</v>
      </c>
      <c r="D1156" t="inlineStr">
        <is>
          <t>VÄSTERNORRLANDS LÄN</t>
        </is>
      </c>
      <c r="E1156" t="inlineStr">
        <is>
          <t>SOLLEFTEÅ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37197-2024</t>
        </is>
      </c>
      <c r="B1157" s="1" t="n">
        <v>45539</v>
      </c>
      <c r="C1157" s="1" t="n">
        <v>45964</v>
      </c>
      <c r="D1157" t="inlineStr">
        <is>
          <t>VÄSTERNORRLANDS LÄN</t>
        </is>
      </c>
      <c r="E1157" t="inlineStr">
        <is>
          <t>SOLLEFTEÅ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21364-2024</t>
        </is>
      </c>
      <c r="B1158" s="1" t="n">
        <v>45440.95248842592</v>
      </c>
      <c r="C1158" s="1" t="n">
        <v>45964</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13292-2023</t>
        </is>
      </c>
      <c r="B1159" s="1" t="n">
        <v>45004</v>
      </c>
      <c r="C1159" s="1" t="n">
        <v>45964</v>
      </c>
      <c r="D1159" t="inlineStr">
        <is>
          <t>VÄSTERNORRLANDS LÄN</t>
        </is>
      </c>
      <c r="E1159" t="inlineStr">
        <is>
          <t>SOLLEFTEÅ</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47471-2024</t>
        </is>
      </c>
      <c r="B1160" s="1" t="n">
        <v>45587.57324074074</v>
      </c>
      <c r="C1160" s="1" t="n">
        <v>45964</v>
      </c>
      <c r="D1160" t="inlineStr">
        <is>
          <t>VÄSTERNORRLANDS LÄN</t>
        </is>
      </c>
      <c r="E1160" t="inlineStr">
        <is>
          <t>SOLLEFTEÅ</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21099-2024</t>
        </is>
      </c>
      <c r="B1161" s="1" t="n">
        <v>45439</v>
      </c>
      <c r="C1161" s="1" t="n">
        <v>45964</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66178-2021</t>
        </is>
      </c>
      <c r="B1162" s="1" t="n">
        <v>44517</v>
      </c>
      <c r="C1162" s="1" t="n">
        <v>45964</v>
      </c>
      <c r="D1162" t="inlineStr">
        <is>
          <t>VÄSTERNORRLANDS LÄN</t>
        </is>
      </c>
      <c r="E1162" t="inlineStr">
        <is>
          <t>SOLLEFTEÅ</t>
        </is>
      </c>
      <c r="F1162" t="inlineStr">
        <is>
          <t>SCA</t>
        </is>
      </c>
      <c r="G1162" t="n">
        <v>31.7</v>
      </c>
      <c r="H1162" t="n">
        <v>0</v>
      </c>
      <c r="I1162" t="n">
        <v>0</v>
      </c>
      <c r="J1162" t="n">
        <v>0</v>
      </c>
      <c r="K1162" t="n">
        <v>0</v>
      </c>
      <c r="L1162" t="n">
        <v>0</v>
      </c>
      <c r="M1162" t="n">
        <v>0</v>
      </c>
      <c r="N1162" t="n">
        <v>0</v>
      </c>
      <c r="O1162" t="n">
        <v>0</v>
      </c>
      <c r="P1162" t="n">
        <v>0</v>
      </c>
      <c r="Q1162" t="n">
        <v>0</v>
      </c>
      <c r="R1162" s="2" t="inlineStr"/>
    </row>
    <row r="1163" ht="15" customHeight="1">
      <c r="A1163" t="inlineStr">
        <is>
          <t>A 18456-2023</t>
        </is>
      </c>
      <c r="B1163" s="1" t="n">
        <v>45041</v>
      </c>
      <c r="C1163" s="1" t="n">
        <v>45964</v>
      </c>
      <c r="D1163" t="inlineStr">
        <is>
          <t>VÄSTERNORRLANDS LÄN</t>
        </is>
      </c>
      <c r="E1163" t="inlineStr">
        <is>
          <t>SOLLEFTEÅ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12022-2022</t>
        </is>
      </c>
      <c r="B1164" s="1" t="n">
        <v>44635.94396990741</v>
      </c>
      <c r="C1164" s="1" t="n">
        <v>45964</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50864-2024</t>
        </is>
      </c>
      <c r="B1165" s="1" t="n">
        <v>45602.63653935185</v>
      </c>
      <c r="C1165" s="1" t="n">
        <v>45964</v>
      </c>
      <c r="D1165" t="inlineStr">
        <is>
          <t>VÄSTERNORRLANDS LÄN</t>
        </is>
      </c>
      <c r="E1165" t="inlineStr">
        <is>
          <t>SOLLEFTEÅ</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967-2025</t>
        </is>
      </c>
      <c r="B1166" s="1" t="n">
        <v>45666</v>
      </c>
      <c r="C1166" s="1" t="n">
        <v>45964</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22803-2025</t>
        </is>
      </c>
      <c r="B1167" s="1" t="n">
        <v>45789</v>
      </c>
      <c r="C1167" s="1" t="n">
        <v>45964</v>
      </c>
      <c r="D1167" t="inlineStr">
        <is>
          <t>VÄSTERNORRLANDS LÄN</t>
        </is>
      </c>
      <c r="E1167" t="inlineStr">
        <is>
          <t>SOLLEFTEÅ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54532-2024</t>
        </is>
      </c>
      <c r="B1168" s="1" t="n">
        <v>45617.60480324074</v>
      </c>
      <c r="C1168" s="1" t="n">
        <v>45964</v>
      </c>
      <c r="D1168" t="inlineStr">
        <is>
          <t>VÄSTERNORRLANDS LÄN</t>
        </is>
      </c>
      <c r="E1168" t="inlineStr">
        <is>
          <t>SOLLEFTEÅ</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56249-2024</t>
        </is>
      </c>
      <c r="B1169" s="1" t="n">
        <v>45624.63584490741</v>
      </c>
      <c r="C1169" s="1" t="n">
        <v>45964</v>
      </c>
      <c r="D1169" t="inlineStr">
        <is>
          <t>VÄSTERNORRLANDS LÄN</t>
        </is>
      </c>
      <c r="E1169" t="inlineStr">
        <is>
          <t>SOLLEFTEÅ</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56261-2023</t>
        </is>
      </c>
      <c r="B1170" s="1" t="n">
        <v>45240</v>
      </c>
      <c r="C1170" s="1" t="n">
        <v>45964</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32733-2023</t>
        </is>
      </c>
      <c r="B1171" s="1" t="n">
        <v>45121</v>
      </c>
      <c r="C1171" s="1" t="n">
        <v>45964</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30464-2024</t>
        </is>
      </c>
      <c r="B1172" s="1" t="n">
        <v>45491.94599537037</v>
      </c>
      <c r="C1172" s="1" t="n">
        <v>45964</v>
      </c>
      <c r="D1172" t="inlineStr">
        <is>
          <t>VÄSTERNORRLANDS LÄN</t>
        </is>
      </c>
      <c r="E1172" t="inlineStr">
        <is>
          <t>SOLLEFTEÅ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30466-2024</t>
        </is>
      </c>
      <c r="B1173" s="1" t="n">
        <v>45491.94641203704</v>
      </c>
      <c r="C1173" s="1" t="n">
        <v>45964</v>
      </c>
      <c r="D1173" t="inlineStr">
        <is>
          <t>VÄSTERNORRLANDS LÄN</t>
        </is>
      </c>
      <c r="E1173" t="inlineStr">
        <is>
          <t>SOLLEFTEÅ</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7332-2023</t>
        </is>
      </c>
      <c r="B1174" s="1" t="n">
        <v>44970</v>
      </c>
      <c r="C1174" s="1" t="n">
        <v>45964</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48606-2024</t>
        </is>
      </c>
      <c r="B1175" s="1" t="n">
        <v>45593.4485300926</v>
      </c>
      <c r="C1175" s="1" t="n">
        <v>45964</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53379-2023</t>
        </is>
      </c>
      <c r="B1176" s="1" t="n">
        <v>45222</v>
      </c>
      <c r="C1176" s="1" t="n">
        <v>45964</v>
      </c>
      <c r="D1176" t="inlineStr">
        <is>
          <t>VÄSTERNORRLANDS LÄN</t>
        </is>
      </c>
      <c r="E1176" t="inlineStr">
        <is>
          <t>SOLLEFTEÅ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48489-2024</t>
        </is>
      </c>
      <c r="B1177" s="1" t="n">
        <v>45592</v>
      </c>
      <c r="C1177" s="1" t="n">
        <v>45964</v>
      </c>
      <c r="D1177" t="inlineStr">
        <is>
          <t>VÄSTERNORRLANDS LÄN</t>
        </is>
      </c>
      <c r="E1177" t="inlineStr">
        <is>
          <t>SOLLEFTEÅ</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21089-2025</t>
        </is>
      </c>
      <c r="B1178" s="1" t="n">
        <v>45777</v>
      </c>
      <c r="C1178" s="1" t="n">
        <v>45964</v>
      </c>
      <c r="D1178" t="inlineStr">
        <is>
          <t>VÄSTERNORRLANDS LÄN</t>
        </is>
      </c>
      <c r="E1178" t="inlineStr">
        <is>
          <t>SOLLEFTEÅ</t>
        </is>
      </c>
      <c r="F1178" t="inlineStr">
        <is>
          <t>SCA</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59579-2023</t>
        </is>
      </c>
      <c r="B1179" s="1" t="n">
        <v>45253</v>
      </c>
      <c r="C1179" s="1" t="n">
        <v>45964</v>
      </c>
      <c r="D1179" t="inlineStr">
        <is>
          <t>VÄSTERNORRLANDS LÄN</t>
        </is>
      </c>
      <c r="E1179" t="inlineStr">
        <is>
          <t>SOLLEFTEÅ</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22615-2025</t>
        </is>
      </c>
      <c r="B1180" s="1" t="n">
        <v>45789.42741898148</v>
      </c>
      <c r="C1180" s="1" t="n">
        <v>45964</v>
      </c>
      <c r="D1180" t="inlineStr">
        <is>
          <t>VÄSTERNORRLANDS LÄN</t>
        </is>
      </c>
      <c r="E1180" t="inlineStr">
        <is>
          <t>SOLLEFTEÅ</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22815-2025</t>
        </is>
      </c>
      <c r="B1181" s="1" t="n">
        <v>45789.69826388889</v>
      </c>
      <c r="C1181" s="1" t="n">
        <v>45964</v>
      </c>
      <c r="D1181" t="inlineStr">
        <is>
          <t>VÄSTERNORRLANDS LÄN</t>
        </is>
      </c>
      <c r="E1181" t="inlineStr">
        <is>
          <t>SOLLEFTEÅ</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9950-2025</t>
        </is>
      </c>
      <c r="B1182" s="1" t="n">
        <v>45719.34416666667</v>
      </c>
      <c r="C1182" s="1" t="n">
        <v>45964</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60328-2023</t>
        </is>
      </c>
      <c r="B1183" s="1" t="n">
        <v>45258</v>
      </c>
      <c r="C1183" s="1" t="n">
        <v>45964</v>
      </c>
      <c r="D1183" t="inlineStr">
        <is>
          <t>VÄSTERNORRLANDS LÄN</t>
        </is>
      </c>
      <c r="E1183" t="inlineStr">
        <is>
          <t>SOLLEFTEÅ</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6065-2024</t>
        </is>
      </c>
      <c r="B1184" s="1" t="n">
        <v>45336.87826388889</v>
      </c>
      <c r="C1184" s="1" t="n">
        <v>45964</v>
      </c>
      <c r="D1184" t="inlineStr">
        <is>
          <t>VÄSTERNORRLANDS LÄN</t>
        </is>
      </c>
      <c r="E1184" t="inlineStr">
        <is>
          <t>SOLLEFTEÅ</t>
        </is>
      </c>
      <c r="F1184" t="inlineStr">
        <is>
          <t>Övriga Aktiebolag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32735-2023</t>
        </is>
      </c>
      <c r="B1185" s="1" t="n">
        <v>45121</v>
      </c>
      <c r="C1185" s="1" t="n">
        <v>45964</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43220-2021</t>
        </is>
      </c>
      <c r="B1186" s="1" t="n">
        <v>44431.9378125</v>
      </c>
      <c r="C1186" s="1" t="n">
        <v>45964</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22569-2025</t>
        </is>
      </c>
      <c r="B1187" s="1" t="n">
        <v>45789.36363425926</v>
      </c>
      <c r="C1187" s="1" t="n">
        <v>45964</v>
      </c>
      <c r="D1187" t="inlineStr">
        <is>
          <t>VÄSTERNORRLANDS LÄN</t>
        </is>
      </c>
      <c r="E1187" t="inlineStr">
        <is>
          <t>SOLLEFTEÅ</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54485-2024</t>
        </is>
      </c>
      <c r="B1188" s="1" t="n">
        <v>45617.5625462963</v>
      </c>
      <c r="C1188" s="1" t="n">
        <v>45964</v>
      </c>
      <c r="D1188" t="inlineStr">
        <is>
          <t>VÄSTERNORRLANDS LÄN</t>
        </is>
      </c>
      <c r="E1188" t="inlineStr">
        <is>
          <t>SOLLEFTEÅ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57107-2024</t>
        </is>
      </c>
      <c r="B1189" s="1" t="n">
        <v>45629</v>
      </c>
      <c r="C1189" s="1" t="n">
        <v>45964</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22767-2025</t>
        </is>
      </c>
      <c r="B1190" s="1" t="n">
        <v>45789.63309027778</v>
      </c>
      <c r="C1190" s="1" t="n">
        <v>45964</v>
      </c>
      <c r="D1190" t="inlineStr">
        <is>
          <t>VÄSTERNORRLANDS LÄN</t>
        </is>
      </c>
      <c r="E1190" t="inlineStr">
        <is>
          <t>SOLLEFTEÅ</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22287-2025</t>
        </is>
      </c>
      <c r="B1191" s="1" t="n">
        <v>45786.34409722222</v>
      </c>
      <c r="C1191" s="1" t="n">
        <v>45964</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14875-2023</t>
        </is>
      </c>
      <c r="B1192" s="1" t="n">
        <v>45015.07292824074</v>
      </c>
      <c r="C1192" s="1" t="n">
        <v>45964</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4838-2025</t>
        </is>
      </c>
      <c r="B1193" s="1" t="n">
        <v>45688.67167824074</v>
      </c>
      <c r="C1193" s="1" t="n">
        <v>45964</v>
      </c>
      <c r="D1193" t="inlineStr">
        <is>
          <t>VÄSTERNORRLANDS LÄN</t>
        </is>
      </c>
      <c r="E1193" t="inlineStr">
        <is>
          <t>SOLLEFTEÅ</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14975-2024</t>
        </is>
      </c>
      <c r="B1194" s="1" t="n">
        <v>45398.94100694444</v>
      </c>
      <c r="C1194" s="1" t="n">
        <v>45964</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14983-2024</t>
        </is>
      </c>
      <c r="B1195" s="1" t="n">
        <v>45398.94237268518</v>
      </c>
      <c r="C1195" s="1" t="n">
        <v>45964</v>
      </c>
      <c r="D1195" t="inlineStr">
        <is>
          <t>VÄSTERNORRLANDS LÄN</t>
        </is>
      </c>
      <c r="E1195" t="inlineStr">
        <is>
          <t>SOLLEFTEÅ</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50721-2024</t>
        </is>
      </c>
      <c r="B1196" s="1" t="n">
        <v>45602.3863425926</v>
      </c>
      <c r="C1196" s="1" t="n">
        <v>45964</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15154-2024</t>
        </is>
      </c>
      <c r="B1197" s="1" t="n">
        <v>45399.94466435185</v>
      </c>
      <c r="C1197" s="1" t="n">
        <v>45964</v>
      </c>
      <c r="D1197" t="inlineStr">
        <is>
          <t>VÄSTERNORRLANDS LÄN</t>
        </is>
      </c>
      <c r="E1197" t="inlineStr">
        <is>
          <t>SOLLEFTEÅ</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15621-2025</t>
        </is>
      </c>
      <c r="B1198" s="1" t="n">
        <v>45748.35635416667</v>
      </c>
      <c r="C1198" s="1" t="n">
        <v>45964</v>
      </c>
      <c r="D1198" t="inlineStr">
        <is>
          <t>VÄSTERNORRLANDS LÄN</t>
        </is>
      </c>
      <c r="E1198" t="inlineStr">
        <is>
          <t>SOLLEFTEÅ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53477-2024</t>
        </is>
      </c>
      <c r="B1199" s="1" t="n">
        <v>45611</v>
      </c>
      <c r="C1199" s="1" t="n">
        <v>45964</v>
      </c>
      <c r="D1199" t="inlineStr">
        <is>
          <t>VÄSTERNORRLANDS LÄN</t>
        </is>
      </c>
      <c r="E1199" t="inlineStr">
        <is>
          <t>SOLLEFTEÅ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1986-2025</t>
        </is>
      </c>
      <c r="B1200" s="1" t="n">
        <v>45672.40684027778</v>
      </c>
      <c r="C1200" s="1" t="n">
        <v>45964</v>
      </c>
      <c r="D1200" t="inlineStr">
        <is>
          <t>VÄSTERNORRLANDS LÄN</t>
        </is>
      </c>
      <c r="E1200" t="inlineStr">
        <is>
          <t>SOLLEFTEÅ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16492-2025</t>
        </is>
      </c>
      <c r="B1201" s="1" t="n">
        <v>45751.59414351852</v>
      </c>
      <c r="C1201" s="1" t="n">
        <v>45964</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10256-2023</t>
        </is>
      </c>
      <c r="B1202" s="1" t="n">
        <v>44980</v>
      </c>
      <c r="C1202" s="1" t="n">
        <v>45964</v>
      </c>
      <c r="D1202" t="inlineStr">
        <is>
          <t>VÄSTERNORRLANDS LÄN</t>
        </is>
      </c>
      <c r="E1202" t="inlineStr">
        <is>
          <t>SOLLEFTEÅ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7330-2023</t>
        </is>
      </c>
      <c r="B1203" s="1" t="n">
        <v>44970.97920138889</v>
      </c>
      <c r="C1203" s="1" t="n">
        <v>45964</v>
      </c>
      <c r="D1203" t="inlineStr">
        <is>
          <t>VÄSTERNORRLANDS LÄN</t>
        </is>
      </c>
      <c r="E1203" t="inlineStr">
        <is>
          <t>SOLLEFTEÅ</t>
        </is>
      </c>
      <c r="F1203" t="inlineStr">
        <is>
          <t>SCA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7333-2023</t>
        </is>
      </c>
      <c r="B1204" s="1" t="n">
        <v>44970.97947916666</v>
      </c>
      <c r="C1204" s="1" t="n">
        <v>45964</v>
      </c>
      <c r="D1204" t="inlineStr">
        <is>
          <t>VÄSTERNORRLANDS LÄN</t>
        </is>
      </c>
      <c r="E1204" t="inlineStr">
        <is>
          <t>SOLLEFTEÅ</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22562-2025</t>
        </is>
      </c>
      <c r="B1205" s="1" t="n">
        <v>45789.34736111111</v>
      </c>
      <c r="C1205" s="1" t="n">
        <v>45964</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41028-2024</t>
        </is>
      </c>
      <c r="B1206" s="1" t="n">
        <v>45559.34466435185</v>
      </c>
      <c r="C1206" s="1" t="n">
        <v>45964</v>
      </c>
      <c r="D1206" t="inlineStr">
        <is>
          <t>VÄSTERNORRLANDS LÄN</t>
        </is>
      </c>
      <c r="E1206" t="inlineStr">
        <is>
          <t>SOLLEFTEÅ</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35795-2024</t>
        </is>
      </c>
      <c r="B1207" s="1" t="n">
        <v>45532</v>
      </c>
      <c r="C1207" s="1" t="n">
        <v>45964</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35803-2024</t>
        </is>
      </c>
      <c r="B1208" s="1" t="n">
        <v>45532.64506944444</v>
      </c>
      <c r="C1208" s="1" t="n">
        <v>45964</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22737-2025</t>
        </is>
      </c>
      <c r="B1209" s="1" t="n">
        <v>45789.59130787037</v>
      </c>
      <c r="C1209" s="1" t="n">
        <v>45964</v>
      </c>
      <c r="D1209" t="inlineStr">
        <is>
          <t>VÄSTERNORRLANDS LÄN</t>
        </is>
      </c>
      <c r="E1209" t="inlineStr">
        <is>
          <t>SOLLEFTEÅ</t>
        </is>
      </c>
      <c r="G1209" t="n">
        <v>15.6</v>
      </c>
      <c r="H1209" t="n">
        <v>0</v>
      </c>
      <c r="I1209" t="n">
        <v>0</v>
      </c>
      <c r="J1209" t="n">
        <v>0</v>
      </c>
      <c r="K1209" t="n">
        <v>0</v>
      </c>
      <c r="L1209" t="n">
        <v>0</v>
      </c>
      <c r="M1209" t="n">
        <v>0</v>
      </c>
      <c r="N1209" t="n">
        <v>0</v>
      </c>
      <c r="O1209" t="n">
        <v>0</v>
      </c>
      <c r="P1209" t="n">
        <v>0</v>
      </c>
      <c r="Q1209" t="n">
        <v>0</v>
      </c>
      <c r="R1209" s="2" t="inlineStr"/>
    </row>
    <row r="1210" ht="15" customHeight="1">
      <c r="A1210" t="inlineStr">
        <is>
          <t>A 22810-2025</t>
        </is>
      </c>
      <c r="B1210" s="1" t="n">
        <v>45789.68076388889</v>
      </c>
      <c r="C1210" s="1" t="n">
        <v>45964</v>
      </c>
      <c r="D1210" t="inlineStr">
        <is>
          <t>VÄSTERNORRLANDS LÄN</t>
        </is>
      </c>
      <c r="E1210" t="inlineStr">
        <is>
          <t>SOLLEFTEÅ</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26172-2024</t>
        </is>
      </c>
      <c r="B1211" s="1" t="n">
        <v>45468</v>
      </c>
      <c r="C1211" s="1" t="n">
        <v>45964</v>
      </c>
      <c r="D1211" t="inlineStr">
        <is>
          <t>VÄSTERNORRLANDS LÄN</t>
        </is>
      </c>
      <c r="E1211" t="inlineStr">
        <is>
          <t>SOLLEFTEÅ</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22704-2025</t>
        </is>
      </c>
      <c r="B1212" s="1" t="n">
        <v>45789.55251157407</v>
      </c>
      <c r="C1212" s="1" t="n">
        <v>45964</v>
      </c>
      <c r="D1212" t="inlineStr">
        <is>
          <t>VÄSTERNORRLANDS LÄN</t>
        </is>
      </c>
      <c r="E1212" t="inlineStr">
        <is>
          <t>SOLLEFTEÅ</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11039-2023</t>
        </is>
      </c>
      <c r="B1213" s="1" t="n">
        <v>44991.94622685185</v>
      </c>
      <c r="C1213" s="1" t="n">
        <v>45964</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52709-2024</t>
        </is>
      </c>
      <c r="B1214" s="1" t="n">
        <v>45610.42753472222</v>
      </c>
      <c r="C1214" s="1" t="n">
        <v>45964</v>
      </c>
      <c r="D1214" t="inlineStr">
        <is>
          <t>VÄSTERNORRLANDS LÄN</t>
        </is>
      </c>
      <c r="E1214" t="inlineStr">
        <is>
          <t>SOLLEFTEÅ</t>
        </is>
      </c>
      <c r="F1214" t="inlineStr">
        <is>
          <t>SCA</t>
        </is>
      </c>
      <c r="G1214" t="n">
        <v>11.6</v>
      </c>
      <c r="H1214" t="n">
        <v>0</v>
      </c>
      <c r="I1214" t="n">
        <v>0</v>
      </c>
      <c r="J1214" t="n">
        <v>0</v>
      </c>
      <c r="K1214" t="n">
        <v>0</v>
      </c>
      <c r="L1214" t="n">
        <v>0</v>
      </c>
      <c r="M1214" t="n">
        <v>0</v>
      </c>
      <c r="N1214" t="n">
        <v>0</v>
      </c>
      <c r="O1214" t="n">
        <v>0</v>
      </c>
      <c r="P1214" t="n">
        <v>0</v>
      </c>
      <c r="Q1214" t="n">
        <v>0</v>
      </c>
      <c r="R1214" s="2" t="inlineStr"/>
    </row>
    <row r="1215" ht="15" customHeight="1">
      <c r="A1215" t="inlineStr">
        <is>
          <t>A 44533-2023</t>
        </is>
      </c>
      <c r="B1215" s="1" t="n">
        <v>45183</v>
      </c>
      <c r="C1215" s="1" t="n">
        <v>45964</v>
      </c>
      <c r="D1215" t="inlineStr">
        <is>
          <t>VÄSTERNORRLANDS LÄN</t>
        </is>
      </c>
      <c r="E1215" t="inlineStr">
        <is>
          <t>SOLLEFTEÅ</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22866-2025</t>
        </is>
      </c>
      <c r="B1216" s="1" t="n">
        <v>45790.36519675926</v>
      </c>
      <c r="C1216" s="1" t="n">
        <v>45964</v>
      </c>
      <c r="D1216" t="inlineStr">
        <is>
          <t>VÄSTERNORRLANDS LÄN</t>
        </is>
      </c>
      <c r="E1216" t="inlineStr">
        <is>
          <t>SOLLEFTEÅ</t>
        </is>
      </c>
      <c r="F1216" t="inlineStr">
        <is>
          <t>SCA</t>
        </is>
      </c>
      <c r="G1216" t="n">
        <v>16.2</v>
      </c>
      <c r="H1216" t="n">
        <v>0</v>
      </c>
      <c r="I1216" t="n">
        <v>0</v>
      </c>
      <c r="J1216" t="n">
        <v>0</v>
      </c>
      <c r="K1216" t="n">
        <v>0</v>
      </c>
      <c r="L1216" t="n">
        <v>0</v>
      </c>
      <c r="M1216" t="n">
        <v>0</v>
      </c>
      <c r="N1216" t="n">
        <v>0</v>
      </c>
      <c r="O1216" t="n">
        <v>0</v>
      </c>
      <c r="P1216" t="n">
        <v>0</v>
      </c>
      <c r="Q1216" t="n">
        <v>0</v>
      </c>
      <c r="R1216" s="2" t="inlineStr"/>
    </row>
    <row r="1217" ht="15" customHeight="1">
      <c r="A1217" t="inlineStr">
        <is>
          <t>A 4905-2025</t>
        </is>
      </c>
      <c r="B1217" s="1" t="n">
        <v>45688.68043981482</v>
      </c>
      <c r="C1217" s="1" t="n">
        <v>45964</v>
      </c>
      <c r="D1217" t="inlineStr">
        <is>
          <t>VÄSTERNORRLANDS LÄN</t>
        </is>
      </c>
      <c r="E1217" t="inlineStr">
        <is>
          <t>SOLLEFTEÅ</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25847-2024</t>
        </is>
      </c>
      <c r="B1218" s="1" t="n">
        <v>45467</v>
      </c>
      <c r="C1218" s="1" t="n">
        <v>45964</v>
      </c>
      <c r="D1218" t="inlineStr">
        <is>
          <t>VÄSTERNORRLANDS LÄN</t>
        </is>
      </c>
      <c r="E1218" t="inlineStr">
        <is>
          <t>SOLLEFTEÅ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25851-2024</t>
        </is>
      </c>
      <c r="B1219" s="1" t="n">
        <v>45467.44688657407</v>
      </c>
      <c r="C1219" s="1" t="n">
        <v>45964</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6284-2025</t>
        </is>
      </c>
      <c r="B1220" s="1" t="n">
        <v>45698.63611111111</v>
      </c>
      <c r="C1220" s="1" t="n">
        <v>45964</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56204-2024</t>
        </is>
      </c>
      <c r="B1221" s="1" t="n">
        <v>45624</v>
      </c>
      <c r="C1221" s="1" t="n">
        <v>45964</v>
      </c>
      <c r="D1221" t="inlineStr">
        <is>
          <t>VÄSTERNORRLANDS LÄN</t>
        </is>
      </c>
      <c r="E1221" t="inlineStr">
        <is>
          <t>SOLLEFTEÅ</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2346-2025</t>
        </is>
      </c>
      <c r="B1222" s="1" t="n">
        <v>45673.67767361111</v>
      </c>
      <c r="C1222" s="1" t="n">
        <v>45964</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8033-2024</t>
        </is>
      </c>
      <c r="B1223" s="1" t="n">
        <v>45350.95284722222</v>
      </c>
      <c r="C1223" s="1" t="n">
        <v>45964</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55149-2024</t>
        </is>
      </c>
      <c r="B1224" s="1" t="n">
        <v>45621.49055555555</v>
      </c>
      <c r="C1224" s="1" t="n">
        <v>45964</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9966-2025</t>
        </is>
      </c>
      <c r="B1225" s="1" t="n">
        <v>45719</v>
      </c>
      <c r="C1225" s="1" t="n">
        <v>45964</v>
      </c>
      <c r="D1225" t="inlineStr">
        <is>
          <t>VÄSTERNORRLANDS LÄN</t>
        </is>
      </c>
      <c r="E1225" t="inlineStr">
        <is>
          <t>SOLLEFTEÅ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20204-2025</t>
        </is>
      </c>
      <c r="B1226" s="1" t="n">
        <v>45772.61537037037</v>
      </c>
      <c r="C1226" s="1" t="n">
        <v>45964</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34284-2023</t>
        </is>
      </c>
      <c r="B1227" s="1" t="n">
        <v>45128</v>
      </c>
      <c r="C1227" s="1" t="n">
        <v>45964</v>
      </c>
      <c r="D1227" t="inlineStr">
        <is>
          <t>VÄSTERNORRLANDS LÄN</t>
        </is>
      </c>
      <c r="E1227" t="inlineStr">
        <is>
          <t>SOLLEFTEÅ</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918-2023</t>
        </is>
      </c>
      <c r="B1228" s="1" t="n">
        <v>44931.95329861111</v>
      </c>
      <c r="C1228" s="1" t="n">
        <v>45964</v>
      </c>
      <c r="D1228" t="inlineStr">
        <is>
          <t>VÄSTERNORRLANDS LÄN</t>
        </is>
      </c>
      <c r="E1228" t="inlineStr">
        <is>
          <t>SOLLEFTEÅ</t>
        </is>
      </c>
      <c r="F1228" t="inlineStr">
        <is>
          <t>SCA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54235-2024</t>
        </is>
      </c>
      <c r="B1229" s="1" t="n">
        <v>45616.67806712963</v>
      </c>
      <c r="C1229" s="1" t="n">
        <v>45964</v>
      </c>
      <c r="D1229" t="inlineStr">
        <is>
          <t>VÄSTERNORRLANDS LÄN</t>
        </is>
      </c>
      <c r="E1229" t="inlineStr">
        <is>
          <t>SOLLEFTEÅ</t>
        </is>
      </c>
      <c r="F1229" t="inlineStr">
        <is>
          <t>SCA</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24461-2024</t>
        </is>
      </c>
      <c r="B1230" s="1" t="n">
        <v>45457.96806712963</v>
      </c>
      <c r="C1230" s="1" t="n">
        <v>45964</v>
      </c>
      <c r="D1230" t="inlineStr">
        <is>
          <t>VÄSTERNORRLANDS LÄN</t>
        </is>
      </c>
      <c r="E1230" t="inlineStr">
        <is>
          <t>SOLLEFTEÅ</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31547-2024</t>
        </is>
      </c>
      <c r="B1231" s="1" t="n">
        <v>45505.96362268519</v>
      </c>
      <c r="C1231" s="1" t="n">
        <v>45964</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1030-2025</t>
        </is>
      </c>
      <c r="B1232" s="1" t="n">
        <v>45666</v>
      </c>
      <c r="C1232" s="1" t="n">
        <v>45964</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14731-2025</t>
        </is>
      </c>
      <c r="B1233" s="1" t="n">
        <v>45742.6360300926</v>
      </c>
      <c r="C1233" s="1" t="n">
        <v>45964</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7184-2025</t>
        </is>
      </c>
      <c r="B1234" s="1" t="n">
        <v>45702</v>
      </c>
      <c r="C1234" s="1" t="n">
        <v>45964</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20389-2025</t>
        </is>
      </c>
      <c r="B1235" s="1" t="n">
        <v>45775</v>
      </c>
      <c r="C1235" s="1" t="n">
        <v>45964</v>
      </c>
      <c r="D1235" t="inlineStr">
        <is>
          <t>VÄSTERNORRLANDS LÄN</t>
        </is>
      </c>
      <c r="E1235" t="inlineStr">
        <is>
          <t>SOLLEFTEÅ</t>
        </is>
      </c>
      <c r="F1235" t="inlineStr">
        <is>
          <t>SCA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6172-2022</t>
        </is>
      </c>
      <c r="B1236" s="1" t="n">
        <v>44599.93700231481</v>
      </c>
      <c r="C1236" s="1" t="n">
        <v>45964</v>
      </c>
      <c r="D1236" t="inlineStr">
        <is>
          <t>VÄSTERNORRLANDS LÄN</t>
        </is>
      </c>
      <c r="E1236" t="inlineStr">
        <is>
          <t>SOLLEFTEÅ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25338-2022</t>
        </is>
      </c>
      <c r="B1237" s="1" t="n">
        <v>44731</v>
      </c>
      <c r="C1237" s="1" t="n">
        <v>45964</v>
      </c>
      <c r="D1237" t="inlineStr">
        <is>
          <t>VÄSTERNORRLANDS LÄN</t>
        </is>
      </c>
      <c r="E1237" t="inlineStr">
        <is>
          <t>SOLLEFTEÅ</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15241-2022</t>
        </is>
      </c>
      <c r="B1238" s="1" t="n">
        <v>44658.9375</v>
      </c>
      <c r="C1238" s="1" t="n">
        <v>45964</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22514-2025</t>
        </is>
      </c>
      <c r="B1239" s="1" t="n">
        <v>45786.67755787037</v>
      </c>
      <c r="C1239" s="1" t="n">
        <v>45964</v>
      </c>
      <c r="D1239" t="inlineStr">
        <is>
          <t>VÄSTERNORRLANDS LÄN</t>
        </is>
      </c>
      <c r="E1239" t="inlineStr">
        <is>
          <t>SOLLEFTEÅ</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23090-2025</t>
        </is>
      </c>
      <c r="B1240" s="1" t="n">
        <v>45791.34443287037</v>
      </c>
      <c r="C1240" s="1" t="n">
        <v>45964</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22750-2023</t>
        </is>
      </c>
      <c r="B1241" s="1" t="n">
        <v>45071.94090277778</v>
      </c>
      <c r="C1241" s="1" t="n">
        <v>45964</v>
      </c>
      <c r="D1241" t="inlineStr">
        <is>
          <t>VÄSTERNORRLANDS LÄN</t>
        </is>
      </c>
      <c r="E1241" t="inlineStr">
        <is>
          <t>SOLLEFTEÅ</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31925-2023</t>
        </is>
      </c>
      <c r="B1242" s="1" t="n">
        <v>45118</v>
      </c>
      <c r="C1242" s="1" t="n">
        <v>45964</v>
      </c>
      <c r="D1242" t="inlineStr">
        <is>
          <t>VÄSTERNORRLANDS LÄN</t>
        </is>
      </c>
      <c r="E1242" t="inlineStr">
        <is>
          <t>SOLLEFTEÅ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22854-2025</t>
        </is>
      </c>
      <c r="B1243" s="1" t="n">
        <v>45790.34457175926</v>
      </c>
      <c r="C1243" s="1" t="n">
        <v>45964</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469-2025</t>
        </is>
      </c>
      <c r="B1244" s="1" t="n">
        <v>45664</v>
      </c>
      <c r="C1244" s="1" t="n">
        <v>45964</v>
      </c>
      <c r="D1244" t="inlineStr">
        <is>
          <t>VÄSTERNORRLANDS LÄN</t>
        </is>
      </c>
      <c r="E1244" t="inlineStr">
        <is>
          <t>SOLLEFTEÅ</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3324-2025</t>
        </is>
      </c>
      <c r="B1245" s="1" t="n">
        <v>45679.69924768519</v>
      </c>
      <c r="C1245" s="1" t="n">
        <v>45964</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6876-2025</t>
        </is>
      </c>
      <c r="B1246" s="1" t="n">
        <v>45701.34446759259</v>
      </c>
      <c r="C1246" s="1" t="n">
        <v>45964</v>
      </c>
      <c r="D1246" t="inlineStr">
        <is>
          <t>VÄSTERNORRLANDS LÄN</t>
        </is>
      </c>
      <c r="E1246" t="inlineStr">
        <is>
          <t>SOLLEFTEÅ</t>
        </is>
      </c>
      <c r="F1246" t="inlineStr">
        <is>
          <t>SCA</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46759-2024</t>
        </is>
      </c>
      <c r="B1247" s="1" t="n">
        <v>45583.49101851852</v>
      </c>
      <c r="C1247" s="1" t="n">
        <v>45964</v>
      </c>
      <c r="D1247" t="inlineStr">
        <is>
          <t>VÄSTERNORRLANDS LÄN</t>
        </is>
      </c>
      <c r="E1247" t="inlineStr">
        <is>
          <t>SOLLEFTEÅ</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59424-2024</t>
        </is>
      </c>
      <c r="B1248" s="1" t="n">
        <v>45638</v>
      </c>
      <c r="C1248" s="1" t="n">
        <v>45964</v>
      </c>
      <c r="D1248" t="inlineStr">
        <is>
          <t>VÄSTERNORRLANDS LÄN</t>
        </is>
      </c>
      <c r="E1248" t="inlineStr">
        <is>
          <t>SOLLEFTEÅ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59434-2024</t>
        </is>
      </c>
      <c r="B1249" s="1" t="n">
        <v>45638.43040509259</v>
      </c>
      <c r="C1249" s="1" t="n">
        <v>45964</v>
      </c>
      <c r="D1249" t="inlineStr">
        <is>
          <t>VÄSTERNORRLANDS LÄN</t>
        </is>
      </c>
      <c r="E1249" t="inlineStr">
        <is>
          <t>SOLLEFTEÅ</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39449-2024</t>
        </is>
      </c>
      <c r="B1250" s="1" t="n">
        <v>45551.61609953704</v>
      </c>
      <c r="C1250" s="1" t="n">
        <v>45964</v>
      </c>
      <c r="D1250" t="inlineStr">
        <is>
          <t>VÄSTERNORRLANDS LÄN</t>
        </is>
      </c>
      <c r="E1250" t="inlineStr">
        <is>
          <t>SOLLEFTEÅ</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50655-2022</t>
        </is>
      </c>
      <c r="B1251" s="1" t="n">
        <v>44866</v>
      </c>
      <c r="C1251" s="1" t="n">
        <v>45964</v>
      </c>
      <c r="D1251" t="inlineStr">
        <is>
          <t>VÄSTERNORRLANDS LÄN</t>
        </is>
      </c>
      <c r="E1251" t="inlineStr">
        <is>
          <t>SOLLEFTEÅ</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10926-2022</t>
        </is>
      </c>
      <c r="B1252" s="1" t="n">
        <v>44627.94447916667</v>
      </c>
      <c r="C1252" s="1" t="n">
        <v>45964</v>
      </c>
      <c r="D1252" t="inlineStr">
        <is>
          <t>VÄSTERNORRLANDS LÄN</t>
        </is>
      </c>
      <c r="E1252" t="inlineStr">
        <is>
          <t>SOLLEFTEÅ</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27789-2024</t>
        </is>
      </c>
      <c r="B1253" s="1" t="n">
        <v>45475</v>
      </c>
      <c r="C1253" s="1" t="n">
        <v>45964</v>
      </c>
      <c r="D1253" t="inlineStr">
        <is>
          <t>VÄSTERNORRLANDS LÄN</t>
        </is>
      </c>
      <c r="E1253" t="inlineStr">
        <is>
          <t>SOLLEFTEÅ</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23339-2025</t>
        </is>
      </c>
      <c r="B1254" s="1" t="n">
        <v>45791.65577546296</v>
      </c>
      <c r="C1254" s="1" t="n">
        <v>45964</v>
      </c>
      <c r="D1254" t="inlineStr">
        <is>
          <t>VÄSTERNORRLANDS LÄN</t>
        </is>
      </c>
      <c r="E1254" t="inlineStr">
        <is>
          <t>SOLLEFTEÅ</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22853-2025</t>
        </is>
      </c>
      <c r="B1255" s="1" t="n">
        <v>45790.34443287037</v>
      </c>
      <c r="C1255" s="1" t="n">
        <v>45964</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42915-2024</t>
        </is>
      </c>
      <c r="B1256" s="1" t="n">
        <v>45566</v>
      </c>
      <c r="C1256" s="1" t="n">
        <v>45964</v>
      </c>
      <c r="D1256" t="inlineStr">
        <is>
          <t>VÄSTERNORRLANDS LÄN</t>
        </is>
      </c>
      <c r="E1256" t="inlineStr">
        <is>
          <t>SOLLEFTEÅ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41413-2024</t>
        </is>
      </c>
      <c r="B1257" s="1" t="n">
        <v>45560.345</v>
      </c>
      <c r="C1257" s="1" t="n">
        <v>45964</v>
      </c>
      <c r="D1257" t="inlineStr">
        <is>
          <t>VÄSTERNORRLANDS LÄN</t>
        </is>
      </c>
      <c r="E1257" t="inlineStr">
        <is>
          <t>SOLLEFTEÅ</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54575-2024</t>
        </is>
      </c>
      <c r="B1258" s="1" t="n">
        <v>45617.65232638889</v>
      </c>
      <c r="C1258" s="1" t="n">
        <v>45964</v>
      </c>
      <c r="D1258" t="inlineStr">
        <is>
          <t>VÄSTERNORRLANDS LÄN</t>
        </is>
      </c>
      <c r="E1258" t="inlineStr">
        <is>
          <t>SOLLEFTEÅ</t>
        </is>
      </c>
      <c r="F1258" t="inlineStr">
        <is>
          <t>Holmen skog AB</t>
        </is>
      </c>
      <c r="G1258" t="n">
        <v>1.7</v>
      </c>
      <c r="H1258" t="n">
        <v>0</v>
      </c>
      <c r="I1258" t="n">
        <v>0</v>
      </c>
      <c r="J1258" t="n">
        <v>0</v>
      </c>
      <c r="K1258" t="n">
        <v>0</v>
      </c>
      <c r="L1258" t="n">
        <v>0</v>
      </c>
      <c r="M1258" t="n">
        <v>0</v>
      </c>
      <c r="N1258" t="n">
        <v>0</v>
      </c>
      <c r="O1258" t="n">
        <v>0</v>
      </c>
      <c r="P1258" t="n">
        <v>0</v>
      </c>
      <c r="Q1258" t="n">
        <v>0</v>
      </c>
      <c r="R1258" s="2" t="inlineStr"/>
      <c r="U1258">
        <f>HYPERLINK("https://klasma.github.io/Logging_2283/knärot/A 54575-2024 karta knärot.png", "A 54575-2024")</f>
        <v/>
      </c>
      <c r="V1258">
        <f>HYPERLINK("https://klasma.github.io/Logging_2283/klagomål/A 54575-2024 FSC-klagomål.docx", "A 54575-2024")</f>
        <v/>
      </c>
      <c r="W1258">
        <f>HYPERLINK("https://klasma.github.io/Logging_2283/klagomålsmail/A 54575-2024 FSC-klagomål mail.docx", "A 54575-2024")</f>
        <v/>
      </c>
      <c r="X1258">
        <f>HYPERLINK("https://klasma.github.io/Logging_2283/tillsyn/A 54575-2024 tillsynsbegäran.docx", "A 54575-2024")</f>
        <v/>
      </c>
      <c r="Y1258">
        <f>HYPERLINK("https://klasma.github.io/Logging_2283/tillsynsmail/A 54575-2024 tillsynsbegäran mail.docx", "A 54575-2024")</f>
        <v/>
      </c>
    </row>
    <row r="1259" ht="15" customHeight="1">
      <c r="A1259" t="inlineStr">
        <is>
          <t>A 23409-2025</t>
        </is>
      </c>
      <c r="B1259" s="1" t="n">
        <v>45792.34560185186</v>
      </c>
      <c r="C1259" s="1" t="n">
        <v>45964</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19433-2021</t>
        </is>
      </c>
      <c r="B1260" s="1" t="n">
        <v>44309.94400462963</v>
      </c>
      <c r="C1260" s="1" t="n">
        <v>45964</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21191-2022</t>
        </is>
      </c>
      <c r="B1261" s="1" t="n">
        <v>44704.94193287037</v>
      </c>
      <c r="C1261" s="1" t="n">
        <v>45964</v>
      </c>
      <c r="D1261" t="inlineStr">
        <is>
          <t>VÄSTERNORRLANDS LÄN</t>
        </is>
      </c>
      <c r="E1261" t="inlineStr">
        <is>
          <t>SOLLEFTEÅ</t>
        </is>
      </c>
      <c r="F1261" t="inlineStr">
        <is>
          <t>SCA</t>
        </is>
      </c>
      <c r="G1261" t="n">
        <v>26.5</v>
      </c>
      <c r="H1261" t="n">
        <v>0</v>
      </c>
      <c r="I1261" t="n">
        <v>0</v>
      </c>
      <c r="J1261" t="n">
        <v>0</v>
      </c>
      <c r="K1261" t="n">
        <v>0</v>
      </c>
      <c r="L1261" t="n">
        <v>0</v>
      </c>
      <c r="M1261" t="n">
        <v>0</v>
      </c>
      <c r="N1261" t="n">
        <v>0</v>
      </c>
      <c r="O1261" t="n">
        <v>0</v>
      </c>
      <c r="P1261" t="n">
        <v>0</v>
      </c>
      <c r="Q1261" t="n">
        <v>0</v>
      </c>
      <c r="R1261" s="2" t="inlineStr"/>
    </row>
    <row r="1262" ht="15" customHeight="1">
      <c r="A1262" t="inlineStr">
        <is>
          <t>A 23735-2025</t>
        </is>
      </c>
      <c r="B1262" s="1" t="n">
        <v>45793.42777777778</v>
      </c>
      <c r="C1262" s="1" t="n">
        <v>45964</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23738-2025</t>
        </is>
      </c>
      <c r="B1263" s="1" t="n">
        <v>45793.42819444444</v>
      </c>
      <c r="C1263" s="1" t="n">
        <v>45964</v>
      </c>
      <c r="D1263" t="inlineStr">
        <is>
          <t>VÄSTERNORRLANDS LÄN</t>
        </is>
      </c>
      <c r="E1263" t="inlineStr">
        <is>
          <t>SOLLEFTEÅ</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37046-2024</t>
        </is>
      </c>
      <c r="B1264" s="1" t="n">
        <v>45539.42739583334</v>
      </c>
      <c r="C1264" s="1" t="n">
        <v>45964</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7014-2025</t>
        </is>
      </c>
      <c r="B1265" s="1" t="n">
        <v>45701.61085648148</v>
      </c>
      <c r="C1265" s="1" t="n">
        <v>45964</v>
      </c>
      <c r="D1265" t="inlineStr">
        <is>
          <t>VÄSTERNORRLANDS LÄN</t>
        </is>
      </c>
      <c r="E1265" t="inlineStr">
        <is>
          <t>SOLLEFTEÅ</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23515-2025</t>
        </is>
      </c>
      <c r="B1266" s="1" t="n">
        <v>45792</v>
      </c>
      <c r="C1266" s="1" t="n">
        <v>45964</v>
      </c>
      <c r="D1266" t="inlineStr">
        <is>
          <t>VÄSTERNORRLANDS LÄN</t>
        </is>
      </c>
      <c r="E1266" t="inlineStr">
        <is>
          <t>SOLLEFTEÅ</t>
        </is>
      </c>
      <c r="F1266" t="inlineStr">
        <is>
          <t>Holmen skog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23634-2025</t>
        </is>
      </c>
      <c r="B1267" s="1" t="n">
        <v>45792.67803240741</v>
      </c>
      <c r="C1267" s="1" t="n">
        <v>45964</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23734-2025</t>
        </is>
      </c>
      <c r="B1268" s="1" t="n">
        <v>45793.4275462963</v>
      </c>
      <c r="C1268" s="1" t="n">
        <v>45964</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50688-2023</t>
        </is>
      </c>
      <c r="B1269" s="1" t="n">
        <v>45210</v>
      </c>
      <c r="C1269" s="1" t="n">
        <v>45964</v>
      </c>
      <c r="D1269" t="inlineStr">
        <is>
          <t>VÄSTERNORRLANDS LÄN</t>
        </is>
      </c>
      <c r="E1269" t="inlineStr">
        <is>
          <t>SOLLEFTEÅ</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23564-2025</t>
        </is>
      </c>
      <c r="B1270" s="1" t="n">
        <v>45792.58840277778</v>
      </c>
      <c r="C1270" s="1" t="n">
        <v>45964</v>
      </c>
      <c r="D1270" t="inlineStr">
        <is>
          <t>VÄSTERNORRLANDS LÄN</t>
        </is>
      </c>
      <c r="E1270" t="inlineStr">
        <is>
          <t>SOLLEFTEÅ</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50745-2023</t>
        </is>
      </c>
      <c r="B1271" s="1" t="n">
        <v>45210</v>
      </c>
      <c r="C1271" s="1" t="n">
        <v>45964</v>
      </c>
      <c r="D1271" t="inlineStr">
        <is>
          <t>VÄSTERNORRLANDS LÄN</t>
        </is>
      </c>
      <c r="E1271" t="inlineStr">
        <is>
          <t>SOLLEFTEÅ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23542-2025</t>
        </is>
      </c>
      <c r="B1272" s="1" t="n">
        <v>45792.56184027778</v>
      </c>
      <c r="C1272" s="1" t="n">
        <v>45964</v>
      </c>
      <c r="D1272" t="inlineStr">
        <is>
          <t>VÄSTERNORRLANDS LÄN</t>
        </is>
      </c>
      <c r="E1272" t="inlineStr">
        <is>
          <t>SOLLEFTEÅ</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43772-2022</t>
        </is>
      </c>
      <c r="B1273" s="1" t="n">
        <v>44837</v>
      </c>
      <c r="C1273" s="1" t="n">
        <v>45964</v>
      </c>
      <c r="D1273" t="inlineStr">
        <is>
          <t>VÄSTERNORRLANDS LÄN</t>
        </is>
      </c>
      <c r="E1273" t="inlineStr">
        <is>
          <t>SOLLEFTEÅ</t>
        </is>
      </c>
      <c r="F1273" t="inlineStr">
        <is>
          <t>Kyrkan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23871-2025</t>
        </is>
      </c>
      <c r="B1274" s="1" t="n">
        <v>45793.67741898148</v>
      </c>
      <c r="C1274" s="1" t="n">
        <v>45964</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48038-2024</t>
        </is>
      </c>
      <c r="B1275" s="1" t="n">
        <v>45589.49350694445</v>
      </c>
      <c r="C1275" s="1" t="n">
        <v>45964</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61201-2024</t>
        </is>
      </c>
      <c r="B1276" s="1" t="n">
        <v>45645.6360300926</v>
      </c>
      <c r="C1276" s="1" t="n">
        <v>45964</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23478-2025</t>
        </is>
      </c>
      <c r="B1277" s="1" t="n">
        <v>45792</v>
      </c>
      <c r="C1277" s="1" t="n">
        <v>45964</v>
      </c>
      <c r="D1277" t="inlineStr">
        <is>
          <t>VÄSTERNORRLANDS LÄN</t>
        </is>
      </c>
      <c r="E1277" t="inlineStr">
        <is>
          <t>SOLLEFTEÅ</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47955-2024</t>
        </is>
      </c>
      <c r="B1278" s="1" t="n">
        <v>45589.3703125</v>
      </c>
      <c r="C1278" s="1" t="n">
        <v>45964</v>
      </c>
      <c r="D1278" t="inlineStr">
        <is>
          <t>VÄSTERNORRLANDS LÄN</t>
        </is>
      </c>
      <c r="E1278" t="inlineStr">
        <is>
          <t>SOLLEFTEÅ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23522-2025</t>
        </is>
      </c>
      <c r="B1279" s="1" t="n">
        <v>45792.51415509259</v>
      </c>
      <c r="C1279" s="1" t="n">
        <v>45964</v>
      </c>
      <c r="D1279" t="inlineStr">
        <is>
          <t>VÄSTERNORRLANDS LÄN</t>
        </is>
      </c>
      <c r="E1279" t="inlineStr">
        <is>
          <t>SOLLEFTEÅ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4722-2025</t>
        </is>
      </c>
      <c r="B1280" s="1" t="n">
        <v>45688.41627314815</v>
      </c>
      <c r="C1280" s="1" t="n">
        <v>45964</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4726-2025</t>
        </is>
      </c>
      <c r="B1281" s="1" t="n">
        <v>45688</v>
      </c>
      <c r="C1281" s="1" t="n">
        <v>45964</v>
      </c>
      <c r="D1281" t="inlineStr">
        <is>
          <t>VÄSTERNORRLANDS LÄN</t>
        </is>
      </c>
      <c r="E1281" t="inlineStr">
        <is>
          <t>SOLLEFTEÅ</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657-2025</t>
        </is>
      </c>
      <c r="B1282" s="1" t="n">
        <v>45664.67766203704</v>
      </c>
      <c r="C1282" s="1" t="n">
        <v>45964</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6282-2024</t>
        </is>
      </c>
      <c r="B1283" s="1" t="n">
        <v>45337</v>
      </c>
      <c r="C1283" s="1" t="n">
        <v>45964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23977-2025</t>
        </is>
      </c>
      <c r="B1284" s="1" t="n">
        <v>45796.38637731481</v>
      </c>
      <c r="C1284" s="1" t="n">
        <v>45964</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24420-2025</t>
        </is>
      </c>
      <c r="B1285" s="1" t="n">
        <v>45797.67771990741</v>
      </c>
      <c r="C1285" s="1" t="n">
        <v>45964</v>
      </c>
      <c r="D1285" t="inlineStr">
        <is>
          <t>VÄSTERNORRLANDS LÄN</t>
        </is>
      </c>
      <c r="E1285" t="inlineStr">
        <is>
          <t>SOLLEFTEÅ</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31886-2024</t>
        </is>
      </c>
      <c r="B1286" s="1" t="n">
        <v>45509.95780092593</v>
      </c>
      <c r="C1286" s="1" t="n">
        <v>45964</v>
      </c>
      <c r="D1286" t="inlineStr">
        <is>
          <t>VÄSTERNORRLANDS LÄN</t>
        </is>
      </c>
      <c r="E1286" t="inlineStr">
        <is>
          <t>SOLLEFTEÅ</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16365-2022</t>
        </is>
      </c>
      <c r="B1287" s="1" t="n">
        <v>44670.9406712963</v>
      </c>
      <c r="C1287" s="1" t="n">
        <v>45964</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21100-2024</t>
        </is>
      </c>
      <c r="B1288" s="1" t="n">
        <v>45439.95072916667</v>
      </c>
      <c r="C1288" s="1" t="n">
        <v>45964</v>
      </c>
      <c r="D1288" t="inlineStr">
        <is>
          <t>VÄSTERNORRLANDS LÄN</t>
        </is>
      </c>
      <c r="E1288" t="inlineStr">
        <is>
          <t>SOLLEFTEÅ</t>
        </is>
      </c>
      <c r="F1288" t="inlineStr">
        <is>
          <t>SCA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2699-2025</t>
        </is>
      </c>
      <c r="B1289" s="1" t="n">
        <v>45677.40665509259</v>
      </c>
      <c r="C1289" s="1" t="n">
        <v>45964</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14656-2025</t>
        </is>
      </c>
      <c r="B1290" s="1" t="n">
        <v>45742.51074074074</v>
      </c>
      <c r="C1290" s="1" t="n">
        <v>45964</v>
      </c>
      <c r="D1290" t="inlineStr">
        <is>
          <t>VÄSTERNORRLANDS LÄN</t>
        </is>
      </c>
      <c r="E1290" t="inlineStr">
        <is>
          <t>SOLLEFTEÅ</t>
        </is>
      </c>
      <c r="F1290" t="inlineStr">
        <is>
          <t>SCA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63210-2020</t>
        </is>
      </c>
      <c r="B1291" s="1" t="n">
        <v>44163</v>
      </c>
      <c r="C1291" s="1" t="n">
        <v>45964</v>
      </c>
      <c r="D1291" t="inlineStr">
        <is>
          <t>VÄSTERNORRLANDS LÄN</t>
        </is>
      </c>
      <c r="E1291" t="inlineStr">
        <is>
          <t>SOLLEFTEÅ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55610-2021</t>
        </is>
      </c>
      <c r="B1292" s="1" t="n">
        <v>44475.94237268518</v>
      </c>
      <c r="C1292" s="1" t="n">
        <v>45964</v>
      </c>
      <c r="D1292" t="inlineStr">
        <is>
          <t>VÄSTERNORRLANDS LÄN</t>
        </is>
      </c>
      <c r="E1292" t="inlineStr">
        <is>
          <t>SOLLEFTEÅ</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55654-2023</t>
        </is>
      </c>
      <c r="B1293" s="1" t="n">
        <v>45238.96642361111</v>
      </c>
      <c r="C1293" s="1" t="n">
        <v>45964</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23974-2025</t>
        </is>
      </c>
      <c r="B1294" s="1" t="n">
        <v>45796.38594907407</v>
      </c>
      <c r="C1294" s="1" t="n">
        <v>45964</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62523-2023</t>
        </is>
      </c>
      <c r="B1295" s="1" t="n">
        <v>45267</v>
      </c>
      <c r="C1295" s="1" t="n">
        <v>45964</v>
      </c>
      <c r="D1295" t="inlineStr">
        <is>
          <t>VÄSTERNORRLANDS LÄN</t>
        </is>
      </c>
      <c r="E1295" t="inlineStr">
        <is>
          <t>SOLLEFTEÅ</t>
        </is>
      </c>
      <c r="G1295" t="n">
        <v>33.6</v>
      </c>
      <c r="H1295" t="n">
        <v>0</v>
      </c>
      <c r="I1295" t="n">
        <v>0</v>
      </c>
      <c r="J1295" t="n">
        <v>0</v>
      </c>
      <c r="K1295" t="n">
        <v>0</v>
      </c>
      <c r="L1295" t="n">
        <v>0</v>
      </c>
      <c r="M1295" t="n">
        <v>0</v>
      </c>
      <c r="N1295" t="n">
        <v>0</v>
      </c>
      <c r="O1295" t="n">
        <v>0</v>
      </c>
      <c r="P1295" t="n">
        <v>0</v>
      </c>
      <c r="Q1295" t="n">
        <v>0</v>
      </c>
      <c r="R1295" s="2" t="inlineStr"/>
    </row>
    <row r="1296" ht="15" customHeight="1">
      <c r="A1296" t="inlineStr">
        <is>
          <t>A 35358-2021</t>
        </is>
      </c>
      <c r="B1296" s="1" t="n">
        <v>44384.93591435185</v>
      </c>
      <c r="C1296" s="1" t="n">
        <v>45964</v>
      </c>
      <c r="D1296" t="inlineStr">
        <is>
          <t>VÄSTERNORRLANDS LÄN</t>
        </is>
      </c>
      <c r="E1296" t="inlineStr">
        <is>
          <t>SOLLEFTEÅ</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52602-2024</t>
        </is>
      </c>
      <c r="B1297" s="1" t="n">
        <v>45609</v>
      </c>
      <c r="C1297" s="1" t="n">
        <v>45964</v>
      </c>
      <c r="D1297" t="inlineStr">
        <is>
          <t>VÄSTERNORRLANDS LÄN</t>
        </is>
      </c>
      <c r="E1297" t="inlineStr">
        <is>
          <t>SOLLEFTEÅ</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6896-2025</t>
        </is>
      </c>
      <c r="B1298" s="1" t="n">
        <v>45701.38577546296</v>
      </c>
      <c r="C1298" s="1" t="n">
        <v>45964</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3001-2022</t>
        </is>
      </c>
      <c r="B1299" s="1" t="n">
        <v>44581</v>
      </c>
      <c r="C1299" s="1" t="n">
        <v>45964</v>
      </c>
      <c r="D1299" t="inlineStr">
        <is>
          <t>VÄSTERNORRLANDS LÄN</t>
        </is>
      </c>
      <c r="E1299" t="inlineStr">
        <is>
          <t>SOLLEFTEÅ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17664-2023</t>
        </is>
      </c>
      <c r="B1300" s="1" t="n">
        <v>45036.94416666667</v>
      </c>
      <c r="C1300" s="1" t="n">
        <v>45964</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1268-2024</t>
        </is>
      </c>
      <c r="B1301" s="1" t="n">
        <v>45302</v>
      </c>
      <c r="C1301" s="1" t="n">
        <v>45964</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34983-2023</t>
        </is>
      </c>
      <c r="B1302" s="1" t="n">
        <v>45141</v>
      </c>
      <c r="C1302" s="1" t="n">
        <v>45964</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18741-2021</t>
        </is>
      </c>
      <c r="B1303" s="1" t="n">
        <v>44306</v>
      </c>
      <c r="C1303" s="1" t="n">
        <v>45964</v>
      </c>
      <c r="D1303" t="inlineStr">
        <is>
          <t>VÄSTERNORRLANDS LÄN</t>
        </is>
      </c>
      <c r="E1303" t="inlineStr">
        <is>
          <t>SOLLEFTEÅ</t>
        </is>
      </c>
      <c r="F1303" t="inlineStr">
        <is>
          <t>Kyrkan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44700.92697916667</v>
      </c>
      <c r="C1304" s="1" t="n">
        <v>45964</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7007-2025</t>
        </is>
      </c>
      <c r="B1305" s="1" t="n">
        <v>45701</v>
      </c>
      <c r="C1305" s="1" t="n">
        <v>45964</v>
      </c>
      <c r="D1305" t="inlineStr">
        <is>
          <t>VÄSTERNORRLANDS LÄN</t>
        </is>
      </c>
      <c r="E1305" t="inlineStr">
        <is>
          <t>SOLLEFTEÅ</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600-2025</t>
        </is>
      </c>
      <c r="B1306" s="1" t="n">
        <v>45664.59428240741</v>
      </c>
      <c r="C1306" s="1" t="n">
        <v>45964</v>
      </c>
      <c r="D1306" t="inlineStr">
        <is>
          <t>VÄSTERNORRLANDS LÄN</t>
        </is>
      </c>
      <c r="E1306" t="inlineStr">
        <is>
          <t>SOLLEFTEÅ</t>
        </is>
      </c>
      <c r="F1306" t="inlineStr">
        <is>
          <t>SCA</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37648-2021</t>
        </is>
      </c>
      <c r="B1307" s="1" t="n">
        <v>44400</v>
      </c>
      <c r="C1307" s="1" t="n">
        <v>45964</v>
      </c>
      <c r="D1307" t="inlineStr">
        <is>
          <t>VÄSTERNORRLANDS LÄN</t>
        </is>
      </c>
      <c r="E1307" t="inlineStr">
        <is>
          <t>SOLLEFTEÅ</t>
        </is>
      </c>
      <c r="G1307" t="n">
        <v>33.6</v>
      </c>
      <c r="H1307" t="n">
        <v>0</v>
      </c>
      <c r="I1307" t="n">
        <v>0</v>
      </c>
      <c r="J1307" t="n">
        <v>0</v>
      </c>
      <c r="K1307" t="n">
        <v>0</v>
      </c>
      <c r="L1307" t="n">
        <v>0</v>
      </c>
      <c r="M1307" t="n">
        <v>0</v>
      </c>
      <c r="N1307" t="n">
        <v>0</v>
      </c>
      <c r="O1307" t="n">
        <v>0</v>
      </c>
      <c r="P1307" t="n">
        <v>0</v>
      </c>
      <c r="Q1307" t="n">
        <v>0</v>
      </c>
      <c r="R1307" s="2" t="inlineStr"/>
    </row>
    <row r="1308" ht="15" customHeight="1">
      <c r="A1308" t="inlineStr">
        <is>
          <t>A 23997-2025</t>
        </is>
      </c>
      <c r="B1308" s="1" t="n">
        <v>45796.42061342593</v>
      </c>
      <c r="C1308" s="1" t="n">
        <v>45964</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21092-2024</t>
        </is>
      </c>
      <c r="B1309" s="1" t="n">
        <v>45439.95009259259</v>
      </c>
      <c r="C1309" s="1" t="n">
        <v>45964</v>
      </c>
      <c r="D1309" t="inlineStr">
        <is>
          <t>VÄSTERNORRLANDS LÄN</t>
        </is>
      </c>
      <c r="E1309" t="inlineStr">
        <is>
          <t>SOLLEFTEÅ</t>
        </is>
      </c>
      <c r="F1309" t="inlineStr">
        <is>
          <t>SCA</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44661-2024</t>
        </is>
      </c>
      <c r="B1310" s="1" t="n">
        <v>45574.53180555555</v>
      </c>
      <c r="C1310" s="1" t="n">
        <v>45964</v>
      </c>
      <c r="D1310" t="inlineStr">
        <is>
          <t>VÄSTERNORRLANDS LÄN</t>
        </is>
      </c>
      <c r="E1310" t="inlineStr">
        <is>
          <t>SOLLEFTEÅ</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23285-2023</t>
        </is>
      </c>
      <c r="B1311" s="1" t="n">
        <v>45075</v>
      </c>
      <c r="C1311" s="1" t="n">
        <v>45964</v>
      </c>
      <c r="D1311" t="inlineStr">
        <is>
          <t>VÄSTERNORRLANDS LÄN</t>
        </is>
      </c>
      <c r="E1311" t="inlineStr">
        <is>
          <t>SOLLEFTEÅ</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24393-2025</t>
        </is>
      </c>
      <c r="B1312" s="1" t="n">
        <v>45797.63653935185</v>
      </c>
      <c r="C1312" s="1" t="n">
        <v>45964</v>
      </c>
      <c r="D1312" t="inlineStr">
        <is>
          <t>VÄSTERNORRLANDS LÄN</t>
        </is>
      </c>
      <c r="E1312" t="inlineStr">
        <is>
          <t>SOLLEFTEÅ</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28290-2024</t>
        </is>
      </c>
      <c r="B1313" s="1" t="n">
        <v>45477.46743055555</v>
      </c>
      <c r="C1313" s="1" t="n">
        <v>45964</v>
      </c>
      <c r="D1313" t="inlineStr">
        <is>
          <t>VÄSTERNORRLANDS LÄN</t>
        </is>
      </c>
      <c r="E1313" t="inlineStr">
        <is>
          <t>SOLLEFTEÅ</t>
        </is>
      </c>
      <c r="F1313" t="inlineStr">
        <is>
          <t>Holmen skog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19936-2025</t>
        </is>
      </c>
      <c r="B1314" s="1" t="n">
        <v>45771.64130787037</v>
      </c>
      <c r="C1314" s="1" t="n">
        <v>45964</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33110-2024</t>
        </is>
      </c>
      <c r="B1315" s="1" t="n">
        <v>45517</v>
      </c>
      <c r="C1315" s="1" t="n">
        <v>45964</v>
      </c>
      <c r="D1315" t="inlineStr">
        <is>
          <t>VÄSTERNORRLANDS LÄN</t>
        </is>
      </c>
      <c r="E1315" t="inlineStr">
        <is>
          <t>SOLLEFTEÅ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41787-2024</t>
        </is>
      </c>
      <c r="B1316" s="1" t="n">
        <v>45561.34986111111</v>
      </c>
      <c r="C1316" s="1" t="n">
        <v>45964</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1466-2025</t>
        </is>
      </c>
      <c r="B1317" s="1" t="n">
        <v>45670</v>
      </c>
      <c r="C1317" s="1" t="n">
        <v>45964</v>
      </c>
      <c r="D1317" t="inlineStr">
        <is>
          <t>VÄSTERNORRLANDS LÄN</t>
        </is>
      </c>
      <c r="E1317" t="inlineStr">
        <is>
          <t>SOLLEFTEÅ</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23889-2025</t>
        </is>
      </c>
      <c r="B1318" s="1" t="n">
        <v>45793.79209490741</v>
      </c>
      <c r="C1318" s="1" t="n">
        <v>45964</v>
      </c>
      <c r="D1318" t="inlineStr">
        <is>
          <t>VÄSTERNORRLANDS LÄN</t>
        </is>
      </c>
      <c r="E1318" t="inlineStr">
        <is>
          <t>SOLLEFTEÅ</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20183-2025</t>
        </is>
      </c>
      <c r="B1319" s="1" t="n">
        <v>45772.59440972222</v>
      </c>
      <c r="C1319" s="1" t="n">
        <v>45964</v>
      </c>
      <c r="D1319" t="inlineStr">
        <is>
          <t>VÄSTERNORRLANDS LÄN</t>
        </is>
      </c>
      <c r="E1319" t="inlineStr">
        <is>
          <t>SOLLEFTEÅ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20334-2025</t>
        </is>
      </c>
      <c r="B1320" s="1" t="n">
        <v>45775.36496527777</v>
      </c>
      <c r="C1320" s="1" t="n">
        <v>45964</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19556-2024</t>
        </is>
      </c>
      <c r="B1321" s="1" t="n">
        <v>45429</v>
      </c>
      <c r="C1321" s="1" t="n">
        <v>45964</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39230-2021</t>
        </is>
      </c>
      <c r="B1322" s="1" t="n">
        <v>44413.43902777778</v>
      </c>
      <c r="C1322" s="1" t="n">
        <v>45964</v>
      </c>
      <c r="D1322" t="inlineStr">
        <is>
          <t>VÄSTERNORRLANDS LÄN</t>
        </is>
      </c>
      <c r="E1322" t="inlineStr">
        <is>
          <t>SOLLEFTEÅ</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54330-2023</t>
        </is>
      </c>
      <c r="B1323" s="1" t="n">
        <v>45232.95814814815</v>
      </c>
      <c r="C1323" s="1" t="n">
        <v>45964</v>
      </c>
      <c r="D1323" t="inlineStr">
        <is>
          <t>VÄSTERNORRLANDS LÄN</t>
        </is>
      </c>
      <c r="E1323" t="inlineStr">
        <is>
          <t>SOLLEFTEÅ</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40571-2024</t>
        </is>
      </c>
      <c r="B1324" s="1" t="n">
        <v>45555.67759259259</v>
      </c>
      <c r="C1324" s="1" t="n">
        <v>45964</v>
      </c>
      <c r="D1324" t="inlineStr">
        <is>
          <t>VÄSTERNORRLANDS LÄN</t>
        </is>
      </c>
      <c r="E1324" t="inlineStr">
        <is>
          <t>SOLLEFTEÅ</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40679-2024</t>
        </is>
      </c>
      <c r="B1325" s="1" t="n">
        <v>45558</v>
      </c>
      <c r="C1325" s="1" t="n">
        <v>45964</v>
      </c>
      <c r="D1325" t="inlineStr">
        <is>
          <t>VÄSTERNORRLANDS LÄN</t>
        </is>
      </c>
      <c r="E1325" t="inlineStr">
        <is>
          <t>SOLLEFTEÅ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63529-2023</t>
        </is>
      </c>
      <c r="B1326" s="1" t="n">
        <v>45274.94859953703</v>
      </c>
      <c r="C1326" s="1" t="n">
        <v>45964</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14308-2022</t>
        </is>
      </c>
      <c r="B1327" s="1" t="n">
        <v>44651.93954861111</v>
      </c>
      <c r="C1327" s="1" t="n">
        <v>45964</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42663-2022</t>
        </is>
      </c>
      <c r="B1328" s="1" t="n">
        <v>44831</v>
      </c>
      <c r="C1328" s="1" t="n">
        <v>45964</v>
      </c>
      <c r="D1328" t="inlineStr">
        <is>
          <t>VÄSTERNORRLANDS LÄN</t>
        </is>
      </c>
      <c r="E1328" t="inlineStr">
        <is>
          <t>SOLLEFTEÅ</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23488-2023</t>
        </is>
      </c>
      <c r="B1329" s="1" t="n">
        <v>45072</v>
      </c>
      <c r="C1329" s="1" t="n">
        <v>45964</v>
      </c>
      <c r="D1329" t="inlineStr">
        <is>
          <t>VÄSTERNORRLANDS LÄN</t>
        </is>
      </c>
      <c r="E1329" t="inlineStr">
        <is>
          <t>SOLLEFTEÅ</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24693-2025</t>
        </is>
      </c>
      <c r="B1330" s="1" t="n">
        <v>45798.6775462963</v>
      </c>
      <c r="C1330" s="1" t="n">
        <v>45964</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19749-2025</t>
        </is>
      </c>
      <c r="B1331" s="1" t="n">
        <v>45771.38582175926</v>
      </c>
      <c r="C1331" s="1" t="n">
        <v>45964</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49629-2024</t>
        </is>
      </c>
      <c r="B1332" s="1" t="n">
        <v>45596</v>
      </c>
      <c r="C1332" s="1" t="n">
        <v>45964</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17172-2024</t>
        </is>
      </c>
      <c r="B1333" s="1" t="n">
        <v>45412.97858796296</v>
      </c>
      <c r="C1333" s="1" t="n">
        <v>45964</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50757-2023</t>
        </is>
      </c>
      <c r="B1334" s="1" t="n">
        <v>45217</v>
      </c>
      <c r="C1334" s="1" t="n">
        <v>45964</v>
      </c>
      <c r="D1334" t="inlineStr">
        <is>
          <t>VÄSTERNORRLANDS LÄN</t>
        </is>
      </c>
      <c r="E1334" t="inlineStr">
        <is>
          <t>SOLLEFTEÅ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31444-2022</t>
        </is>
      </c>
      <c r="B1335" s="1" t="n">
        <v>44774</v>
      </c>
      <c r="C1335" s="1" t="n">
        <v>45964</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9328-2024</t>
        </is>
      </c>
      <c r="B1336" s="1" t="n">
        <v>45358.99144675926</v>
      </c>
      <c r="C1336" s="1" t="n">
        <v>45964</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2939-2025</t>
        </is>
      </c>
      <c r="B1337" s="1" t="n">
        <v>45678.38581018519</v>
      </c>
      <c r="C1337" s="1" t="n">
        <v>45964</v>
      </c>
      <c r="D1337" t="inlineStr">
        <is>
          <t>VÄSTERNORRLANDS LÄN</t>
        </is>
      </c>
      <c r="E1337" t="inlineStr">
        <is>
          <t>SOLLEFTEÅ</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16709-2024</t>
        </is>
      </c>
      <c r="B1338" s="1" t="n">
        <v>45409.07737268518</v>
      </c>
      <c r="C1338" s="1" t="n">
        <v>45964</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24531-2025</t>
        </is>
      </c>
      <c r="B1339" s="1" t="n">
        <v>45798.42810185185</v>
      </c>
      <c r="C1339" s="1" t="n">
        <v>45964</v>
      </c>
      <c r="D1339" t="inlineStr">
        <is>
          <t>VÄSTERNORRLANDS LÄN</t>
        </is>
      </c>
      <c r="E1339" t="inlineStr">
        <is>
          <t>SOLLEFTEÅ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53855-2024</t>
        </is>
      </c>
      <c r="B1340" s="1" t="n">
        <v>45615.63724537037</v>
      </c>
      <c r="C1340" s="1" t="n">
        <v>45964</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24532-2025</t>
        </is>
      </c>
      <c r="B1341" s="1" t="n">
        <v>45798.42820601852</v>
      </c>
      <c r="C1341" s="1" t="n">
        <v>45964</v>
      </c>
      <c r="D1341" t="inlineStr">
        <is>
          <t>VÄSTERNORRLANDS LÄN</t>
        </is>
      </c>
      <c r="E1341" t="inlineStr">
        <is>
          <t>SOLLEFTEÅ</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20461-2023</t>
        </is>
      </c>
      <c r="B1342" s="1" t="n">
        <v>45056.95284722222</v>
      </c>
      <c r="C1342" s="1" t="n">
        <v>45964</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24759-2025</t>
        </is>
      </c>
      <c r="B1343" s="1" t="n">
        <v>45799.38284722222</v>
      </c>
      <c r="C1343" s="1" t="n">
        <v>45964</v>
      </c>
      <c r="D1343" t="inlineStr">
        <is>
          <t>VÄSTERNORRLANDS LÄN</t>
        </is>
      </c>
      <c r="E1343" t="inlineStr">
        <is>
          <t>SOLLEFTEÅ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24760-2025</t>
        </is>
      </c>
      <c r="B1344" s="1" t="n">
        <v>45799</v>
      </c>
      <c r="C1344" s="1" t="n">
        <v>45964</v>
      </c>
      <c r="D1344" t="inlineStr">
        <is>
          <t>VÄSTERNORRLANDS LÄN</t>
        </is>
      </c>
      <c r="E1344" t="inlineStr">
        <is>
          <t>SOLLEFTEÅ</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54045-2023</t>
        </is>
      </c>
      <c r="B1345" s="1" t="n">
        <v>45231.96743055555</v>
      </c>
      <c r="C1345" s="1" t="n">
        <v>45964</v>
      </c>
      <c r="D1345" t="inlineStr">
        <is>
          <t>VÄSTERNORRLANDS LÄN</t>
        </is>
      </c>
      <c r="E1345" t="inlineStr">
        <is>
          <t>SOLLEFTEÅ</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3081-2025</t>
        </is>
      </c>
      <c r="B1346" s="1" t="n">
        <v>45678.644375</v>
      </c>
      <c r="C1346" s="1" t="n">
        <v>45964</v>
      </c>
      <c r="D1346" t="inlineStr">
        <is>
          <t>VÄSTERNORRLANDS LÄN</t>
        </is>
      </c>
      <c r="E1346" t="inlineStr">
        <is>
          <t>SOLLEFTEÅ</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19929-2025</t>
        </is>
      </c>
      <c r="B1347" s="1" t="n">
        <v>45771.6359837963</v>
      </c>
      <c r="C1347" s="1" t="n">
        <v>45964</v>
      </c>
      <c r="D1347" t="inlineStr">
        <is>
          <t>VÄSTERNORRLANDS LÄN</t>
        </is>
      </c>
      <c r="E1347" t="inlineStr">
        <is>
          <t>SOLLEFTEÅ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19932-2025</t>
        </is>
      </c>
      <c r="B1348" s="1" t="n">
        <v>45771.63940972222</v>
      </c>
      <c r="C1348" s="1" t="n">
        <v>45964</v>
      </c>
      <c r="D1348" t="inlineStr">
        <is>
          <t>VÄSTERNORRLANDS LÄN</t>
        </is>
      </c>
      <c r="E1348" t="inlineStr">
        <is>
          <t>SOLLEFTEÅ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24730-2025</t>
        </is>
      </c>
      <c r="B1349" s="1" t="n">
        <v>45799.34150462963</v>
      </c>
      <c r="C1349" s="1" t="n">
        <v>45964</v>
      </c>
      <c r="D1349" t="inlineStr">
        <is>
          <t>VÄSTERNORRLANDS LÄN</t>
        </is>
      </c>
      <c r="E1349" t="inlineStr">
        <is>
          <t>SOLLEFTEÅ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18949-2025</t>
        </is>
      </c>
      <c r="B1350" s="1" t="n">
        <v>45764</v>
      </c>
      <c r="C1350" s="1" t="n">
        <v>45964</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48396-2024</t>
        </is>
      </c>
      <c r="B1351" s="1" t="n">
        <v>45590.61503472222</v>
      </c>
      <c r="C1351" s="1" t="n">
        <v>45964</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16632-2025</t>
        </is>
      </c>
      <c r="B1352" s="1" t="n">
        <v>45754.36490740741</v>
      </c>
      <c r="C1352" s="1" t="n">
        <v>45964</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44045-2022</t>
        </is>
      </c>
      <c r="B1353" s="1" t="n">
        <v>44838</v>
      </c>
      <c r="C1353" s="1" t="n">
        <v>45964</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51314-2022</t>
        </is>
      </c>
      <c r="B1354" s="1" t="n">
        <v>44868.950625</v>
      </c>
      <c r="C1354" s="1" t="n">
        <v>45964</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24787-2025</t>
        </is>
      </c>
      <c r="B1355" s="1" t="n">
        <v>45799.42791666667</v>
      </c>
      <c r="C1355" s="1" t="n">
        <v>45964</v>
      </c>
      <c r="D1355" t="inlineStr">
        <is>
          <t>VÄSTERNORRLANDS LÄN</t>
        </is>
      </c>
      <c r="E1355" t="inlineStr">
        <is>
          <t>SOLLEFTEÅ</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11009-2024</t>
        </is>
      </c>
      <c r="B1356" s="1" t="n">
        <v>45370</v>
      </c>
      <c r="C1356" s="1" t="n">
        <v>45964</v>
      </c>
      <c r="D1356" t="inlineStr">
        <is>
          <t>VÄSTERNORRLANDS LÄN</t>
        </is>
      </c>
      <c r="E1356" t="inlineStr">
        <is>
          <t>SOLLEFTEÅ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25313-2025</t>
        </is>
      </c>
      <c r="B1357" s="1" t="n">
        <v>45799</v>
      </c>
      <c r="C1357" s="1" t="n">
        <v>45964</v>
      </c>
      <c r="D1357" t="inlineStr">
        <is>
          <t>VÄSTERNORRLANDS LÄN</t>
        </is>
      </c>
      <c r="E1357" t="inlineStr">
        <is>
          <t>SOLLEFTEÅ</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24488-2025</t>
        </is>
      </c>
      <c r="B1358" s="1" t="n">
        <v>45798.38576388889</v>
      </c>
      <c r="C1358" s="1" t="n">
        <v>45964</v>
      </c>
      <c r="D1358" t="inlineStr">
        <is>
          <t>VÄSTERNORRLANDS LÄN</t>
        </is>
      </c>
      <c r="E1358" t="inlineStr">
        <is>
          <t>SOLLEFTEÅ</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24552-2025</t>
        </is>
      </c>
      <c r="B1359" s="1" t="n">
        <v>45798.44865740741</v>
      </c>
      <c r="C1359" s="1" t="n">
        <v>45964</v>
      </c>
      <c r="D1359" t="inlineStr">
        <is>
          <t>VÄSTERNORRLANDS LÄN</t>
        </is>
      </c>
      <c r="E1359" t="inlineStr">
        <is>
          <t>SOLLEFTEÅ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8880-2023</t>
        </is>
      </c>
      <c r="B1360" s="1" t="n">
        <v>44978.94346064814</v>
      </c>
      <c r="C1360" s="1" t="n">
        <v>45964</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24530-2025</t>
        </is>
      </c>
      <c r="B1361" s="1" t="n">
        <v>45798.42799768518</v>
      </c>
      <c r="C1361" s="1" t="n">
        <v>45964</v>
      </c>
      <c r="D1361" t="inlineStr">
        <is>
          <t>VÄSTERNORRLANDS LÄN</t>
        </is>
      </c>
      <c r="E1361" t="inlineStr">
        <is>
          <t>SOLLEFTEÅ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51942-2024</t>
        </is>
      </c>
      <c r="B1362" s="1" t="n">
        <v>45607.63592592593</v>
      </c>
      <c r="C1362" s="1" t="n">
        <v>45964</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22690-2024</t>
        </is>
      </c>
      <c r="B1363" s="1" t="n">
        <v>45448.31293981482</v>
      </c>
      <c r="C1363" s="1" t="n">
        <v>45964</v>
      </c>
      <c r="D1363" t="inlineStr">
        <is>
          <t>VÄSTERNORRLANDS LÄN</t>
        </is>
      </c>
      <c r="E1363" t="inlineStr">
        <is>
          <t>SOLLEFTEÅ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45964</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50963-2024</t>
        </is>
      </c>
      <c r="B1365" s="1" t="n">
        <v>45603.32388888889</v>
      </c>
      <c r="C1365" s="1" t="n">
        <v>45964</v>
      </c>
      <c r="D1365" t="inlineStr">
        <is>
          <t>VÄSTERNORRLANDS LÄN</t>
        </is>
      </c>
      <c r="E1365" t="inlineStr">
        <is>
          <t>SOLLEFTEÅ</t>
        </is>
      </c>
      <c r="F1365" t="inlineStr">
        <is>
          <t>Holmen skog AB</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19326-2024</t>
        </is>
      </c>
      <c r="B1366" s="1" t="n">
        <v>45428</v>
      </c>
      <c r="C1366" s="1" t="n">
        <v>45964</v>
      </c>
      <c r="D1366" t="inlineStr">
        <is>
          <t>VÄSTERNORRLANDS LÄN</t>
        </is>
      </c>
      <c r="E1366" t="inlineStr">
        <is>
          <t>SOLLEFTEÅ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17604-2021</t>
        </is>
      </c>
      <c r="B1367" s="1" t="n">
        <v>44299</v>
      </c>
      <c r="C1367" s="1" t="n">
        <v>45964</v>
      </c>
      <c r="D1367" t="inlineStr">
        <is>
          <t>VÄSTERNORRLANDS LÄN</t>
        </is>
      </c>
      <c r="E1367" t="inlineStr">
        <is>
          <t>SOLLEFTEÅ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16238-2024</t>
        </is>
      </c>
      <c r="B1368" s="1" t="n">
        <v>45407.05692129629</v>
      </c>
      <c r="C1368" s="1" t="n">
        <v>45964</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59371-2022</t>
        </is>
      </c>
      <c r="B1369" s="1" t="n">
        <v>44904</v>
      </c>
      <c r="C1369" s="1" t="n">
        <v>45964</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45801-2024</t>
        </is>
      </c>
      <c r="B1370" s="1" t="n">
        <v>45579.67798611111</v>
      </c>
      <c r="C1370" s="1" t="n">
        <v>45964</v>
      </c>
      <c r="D1370" t="inlineStr">
        <is>
          <t>VÄSTERNORRLANDS LÄN</t>
        </is>
      </c>
      <c r="E1370" t="inlineStr">
        <is>
          <t>SOLLEFTEÅ</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45802-2024</t>
        </is>
      </c>
      <c r="B1371" s="1" t="n">
        <v>45579.67818287037</v>
      </c>
      <c r="C1371" s="1" t="n">
        <v>45964</v>
      </c>
      <c r="D1371" t="inlineStr">
        <is>
          <t>VÄSTERNORRLANDS LÄN</t>
        </is>
      </c>
      <c r="E1371" t="inlineStr">
        <is>
          <t>SOLLEFTEÅ</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46101-2024</t>
        </is>
      </c>
      <c r="B1372" s="1" t="n">
        <v>45581</v>
      </c>
      <c r="C1372" s="1" t="n">
        <v>45964</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14554-2024</t>
        </is>
      </c>
      <c r="B1373" s="1" t="n">
        <v>45394</v>
      </c>
      <c r="C1373" s="1" t="n">
        <v>45964</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14365-2024</t>
        </is>
      </c>
      <c r="B1374" s="1" t="n">
        <v>45393.94332175926</v>
      </c>
      <c r="C1374" s="1" t="n">
        <v>45964</v>
      </c>
      <c r="D1374" t="inlineStr">
        <is>
          <t>VÄSTERNORRLANDS LÄN</t>
        </is>
      </c>
      <c r="E1374" t="inlineStr">
        <is>
          <t>SOLLEFTEÅ</t>
        </is>
      </c>
      <c r="F1374" t="inlineStr">
        <is>
          <t>SCA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1840-2024</t>
        </is>
      </c>
      <c r="B1375" s="1" t="n">
        <v>45307</v>
      </c>
      <c r="C1375" s="1" t="n">
        <v>45964</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1844-2024</t>
        </is>
      </c>
      <c r="B1376" s="1" t="n">
        <v>45307</v>
      </c>
      <c r="C1376" s="1" t="n">
        <v>45964</v>
      </c>
      <c r="D1376" t="inlineStr">
        <is>
          <t>VÄSTERNORRLANDS LÄN</t>
        </is>
      </c>
      <c r="E1376" t="inlineStr">
        <is>
          <t>SOLLEFTEÅ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39177-2024</t>
        </is>
      </c>
      <c r="B1377" s="1" t="n">
        <v>45548.65681712963</v>
      </c>
      <c r="C1377" s="1" t="n">
        <v>45964</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29946-2023</t>
        </is>
      </c>
      <c r="B1378" s="1" t="n">
        <v>45107.93818287037</v>
      </c>
      <c r="C1378" s="1" t="n">
        <v>45964</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25238-2025</t>
        </is>
      </c>
      <c r="B1379" s="1" t="n">
        <v>45800.49016203704</v>
      </c>
      <c r="C1379" s="1" t="n">
        <v>45964</v>
      </c>
      <c r="D1379" t="inlineStr">
        <is>
          <t>VÄSTERNORRLANDS LÄN</t>
        </is>
      </c>
      <c r="E1379" t="inlineStr">
        <is>
          <t>SOLLEFTEÅ</t>
        </is>
      </c>
      <c r="F1379" t="inlineStr">
        <is>
          <t>SCA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15080-2023</t>
        </is>
      </c>
      <c r="B1380" s="1" t="n">
        <v>45016.07525462963</v>
      </c>
      <c r="C1380" s="1" t="n">
        <v>45964</v>
      </c>
      <c r="D1380" t="inlineStr">
        <is>
          <t>VÄSTERNORRLANDS LÄN</t>
        </is>
      </c>
      <c r="E1380" t="inlineStr">
        <is>
          <t>SOLLEFTEÅ</t>
        </is>
      </c>
      <c r="F1380" t="inlineStr">
        <is>
          <t>SCA</t>
        </is>
      </c>
      <c r="G1380" t="n">
        <v>33.6</v>
      </c>
      <c r="H1380" t="n">
        <v>0</v>
      </c>
      <c r="I1380" t="n">
        <v>0</v>
      </c>
      <c r="J1380" t="n">
        <v>0</v>
      </c>
      <c r="K1380" t="n">
        <v>0</v>
      </c>
      <c r="L1380" t="n">
        <v>0</v>
      </c>
      <c r="M1380" t="n">
        <v>0</v>
      </c>
      <c r="N1380" t="n">
        <v>0</v>
      </c>
      <c r="O1380" t="n">
        <v>0</v>
      </c>
      <c r="P1380" t="n">
        <v>0</v>
      </c>
      <c r="Q1380" t="n">
        <v>0</v>
      </c>
      <c r="R1380" s="2" t="inlineStr"/>
    </row>
    <row r="1381" ht="15" customHeight="1">
      <c r="A1381" t="inlineStr">
        <is>
          <t>A 38102-2022</t>
        </is>
      </c>
      <c r="B1381" s="1" t="n">
        <v>44811</v>
      </c>
      <c r="C1381" s="1" t="n">
        <v>45964</v>
      </c>
      <c r="D1381" t="inlineStr">
        <is>
          <t>VÄSTERNORRLANDS LÄN</t>
        </is>
      </c>
      <c r="E1381" t="inlineStr">
        <is>
          <t>SOLLEFTEÅ</t>
        </is>
      </c>
      <c r="F1381" t="inlineStr">
        <is>
          <t>SCA</t>
        </is>
      </c>
      <c r="G1381" t="n">
        <v>4.9</v>
      </c>
      <c r="H1381" t="n">
        <v>0</v>
      </c>
      <c r="I1381" t="n">
        <v>0</v>
      </c>
      <c r="J1381" t="n">
        <v>0</v>
      </c>
      <c r="K1381" t="n">
        <v>0</v>
      </c>
      <c r="L1381" t="n">
        <v>0</v>
      </c>
      <c r="M1381" t="n">
        <v>0</v>
      </c>
      <c r="N1381" t="n">
        <v>0</v>
      </c>
      <c r="O1381" t="n">
        <v>0</v>
      </c>
      <c r="P1381" t="n">
        <v>0</v>
      </c>
      <c r="Q1381" t="n">
        <v>0</v>
      </c>
      <c r="R1381" s="2" t="inlineStr"/>
      <c r="U1381">
        <f>HYPERLINK("https://klasma.github.io/Logging_2283/knärot/A 38102-2022 karta knärot.png", "A 38102-2022")</f>
        <v/>
      </c>
      <c r="V1381">
        <f>HYPERLINK("https://klasma.github.io/Logging_2283/klagomål/A 38102-2022 FSC-klagomål.docx", "A 38102-2022")</f>
        <v/>
      </c>
      <c r="W1381">
        <f>HYPERLINK("https://klasma.github.io/Logging_2283/klagomålsmail/A 38102-2022 FSC-klagomål mail.docx", "A 38102-2022")</f>
        <v/>
      </c>
      <c r="X1381">
        <f>HYPERLINK("https://klasma.github.io/Logging_2283/tillsyn/A 38102-2022 tillsynsbegäran.docx", "A 38102-2022")</f>
        <v/>
      </c>
      <c r="Y1381">
        <f>HYPERLINK("https://klasma.github.io/Logging_2283/tillsynsmail/A 38102-2022 tillsynsbegäran mail.docx", "A 38102-2022")</f>
        <v/>
      </c>
    </row>
    <row r="1382" ht="15" customHeight="1">
      <c r="A1382" t="inlineStr">
        <is>
          <t>A 57394-2023</t>
        </is>
      </c>
      <c r="B1382" s="1" t="n">
        <v>45245.96774305555</v>
      </c>
      <c r="C1382" s="1" t="n">
        <v>45964</v>
      </c>
      <c r="D1382" t="inlineStr">
        <is>
          <t>VÄSTERNORRLANDS LÄN</t>
        </is>
      </c>
      <c r="E1382" t="inlineStr">
        <is>
          <t>SOLLEFTEÅ</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47181-2023</t>
        </is>
      </c>
      <c r="B1383" s="1" t="n">
        <v>45201.94876157407</v>
      </c>
      <c r="C1383" s="1" t="n">
        <v>45964</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25517-2025</t>
        </is>
      </c>
      <c r="B1384" s="1" t="n">
        <v>45803.37570601852</v>
      </c>
      <c r="C1384" s="1" t="n">
        <v>45964</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25145-2025</t>
        </is>
      </c>
      <c r="B1385" s="1" t="n">
        <v>45800</v>
      </c>
      <c r="C1385" s="1" t="n">
        <v>45964</v>
      </c>
      <c r="D1385" t="inlineStr">
        <is>
          <t>VÄSTERNORRLANDS LÄN</t>
        </is>
      </c>
      <c r="E1385" t="inlineStr">
        <is>
          <t>SOLLEFTEÅ</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28580-2024</t>
        </is>
      </c>
      <c r="B1386" s="1" t="n">
        <v>45478</v>
      </c>
      <c r="C1386" s="1" t="n">
        <v>45964</v>
      </c>
      <c r="D1386" t="inlineStr">
        <is>
          <t>VÄSTERNORRLANDS LÄN</t>
        </is>
      </c>
      <c r="E1386" t="inlineStr">
        <is>
          <t>SOLLEFTEÅ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25297-2025</t>
        </is>
      </c>
      <c r="B1387" s="1" t="n">
        <v>45800.5684837963</v>
      </c>
      <c r="C1387" s="1" t="n">
        <v>45964</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6474-2023</t>
        </is>
      </c>
      <c r="B1388" s="1" t="n">
        <v>44965.94128472222</v>
      </c>
      <c r="C1388" s="1" t="n">
        <v>45964</v>
      </c>
      <c r="D1388" t="inlineStr">
        <is>
          <t>VÄSTERNORRLANDS LÄN</t>
        </is>
      </c>
      <c r="E1388" t="inlineStr">
        <is>
          <t>SOLLEFTEÅ</t>
        </is>
      </c>
      <c r="F1388" t="inlineStr">
        <is>
          <t>SCA</t>
        </is>
      </c>
      <c r="G1388" t="n">
        <v>47.3</v>
      </c>
      <c r="H1388" t="n">
        <v>0</v>
      </c>
      <c r="I1388" t="n">
        <v>0</v>
      </c>
      <c r="J1388" t="n">
        <v>0</v>
      </c>
      <c r="K1388" t="n">
        <v>0</v>
      </c>
      <c r="L1388" t="n">
        <v>0</v>
      </c>
      <c r="M1388" t="n">
        <v>0</v>
      </c>
      <c r="N1388" t="n">
        <v>0</v>
      </c>
      <c r="O1388" t="n">
        <v>0</v>
      </c>
      <c r="P1388" t="n">
        <v>0</v>
      </c>
      <c r="Q1388" t="n">
        <v>0</v>
      </c>
      <c r="R1388" s="2" t="inlineStr"/>
    </row>
    <row r="1389" ht="15" customHeight="1">
      <c r="A1389" t="inlineStr">
        <is>
          <t>A 25132-2025</t>
        </is>
      </c>
      <c r="B1389" s="1" t="n">
        <v>45800</v>
      </c>
      <c r="C1389" s="1" t="n">
        <v>45964</v>
      </c>
      <c r="D1389" t="inlineStr">
        <is>
          <t>VÄSTERNORRLANDS LÄN</t>
        </is>
      </c>
      <c r="E1389" t="inlineStr">
        <is>
          <t>SOLLEFTEÅ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52035-2022</t>
        </is>
      </c>
      <c r="B1390" s="1" t="n">
        <v>44872</v>
      </c>
      <c r="C1390" s="1" t="n">
        <v>45964</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25833-2025</t>
        </is>
      </c>
      <c r="B1391" s="1" t="n">
        <v>45804.44827546296</v>
      </c>
      <c r="C1391" s="1" t="n">
        <v>45964</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59346-2023</t>
        </is>
      </c>
      <c r="B1392" s="1" t="n">
        <v>45253</v>
      </c>
      <c r="C1392" s="1" t="n">
        <v>45964</v>
      </c>
      <c r="D1392" t="inlineStr">
        <is>
          <t>VÄSTERNORRLANDS LÄN</t>
        </is>
      </c>
      <c r="E1392" t="inlineStr">
        <is>
          <t>SOLLEFTEÅ</t>
        </is>
      </c>
      <c r="F1392" t="inlineStr">
        <is>
          <t>Holmen skog AB</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50549-2024</t>
        </is>
      </c>
      <c r="B1393" s="1" t="n">
        <v>45601</v>
      </c>
      <c r="C1393" s="1" t="n">
        <v>45964</v>
      </c>
      <c r="D1393" t="inlineStr">
        <is>
          <t>VÄSTERNORRLANDS LÄN</t>
        </is>
      </c>
      <c r="E1393" t="inlineStr">
        <is>
          <t>SOLLEFTEÅ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38769-2024</t>
        </is>
      </c>
      <c r="B1394" s="1" t="n">
        <v>45547.44914351852</v>
      </c>
      <c r="C1394" s="1" t="n">
        <v>45964</v>
      </c>
      <c r="D1394" t="inlineStr">
        <is>
          <t>VÄSTERNORRLANDS LÄN</t>
        </is>
      </c>
      <c r="E1394" t="inlineStr">
        <is>
          <t>SOLLEFTEÅ</t>
        </is>
      </c>
      <c r="F1394" t="inlineStr">
        <is>
          <t>SCA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50624-2024</t>
        </is>
      </c>
      <c r="B1395" s="1" t="n">
        <v>45601.65728009259</v>
      </c>
      <c r="C1395" s="1" t="n">
        <v>45964</v>
      </c>
      <c r="D1395" t="inlineStr">
        <is>
          <t>VÄSTERNORRLANDS LÄN</t>
        </is>
      </c>
      <c r="E1395" t="inlineStr">
        <is>
          <t>SOLLEFTEÅ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25856-2025</t>
        </is>
      </c>
      <c r="B1396" s="1" t="n">
        <v>45804.46944444445</v>
      </c>
      <c r="C1396" s="1" t="n">
        <v>45964</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46804-2023</t>
        </is>
      </c>
      <c r="B1397" s="1" t="n">
        <v>45198</v>
      </c>
      <c r="C1397" s="1" t="n">
        <v>45964</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30068-2024</t>
        </is>
      </c>
      <c r="B1398" s="1" t="n">
        <v>45488.94886574074</v>
      </c>
      <c r="C1398" s="1" t="n">
        <v>45964</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73367-2021</t>
        </is>
      </c>
      <c r="B1399" s="1" t="n">
        <v>44550</v>
      </c>
      <c r="C1399" s="1" t="n">
        <v>45964</v>
      </c>
      <c r="D1399" t="inlineStr">
        <is>
          <t>VÄSTERNORRLANDS LÄN</t>
        </is>
      </c>
      <c r="E1399" t="inlineStr">
        <is>
          <t>SOLLEFTEÅ</t>
        </is>
      </c>
      <c r="G1399" t="n">
        <v>10.8</v>
      </c>
      <c r="H1399" t="n">
        <v>0</v>
      </c>
      <c r="I1399" t="n">
        <v>0</v>
      </c>
      <c r="J1399" t="n">
        <v>0</v>
      </c>
      <c r="K1399" t="n">
        <v>0</v>
      </c>
      <c r="L1399" t="n">
        <v>0</v>
      </c>
      <c r="M1399" t="n">
        <v>0</v>
      </c>
      <c r="N1399" t="n">
        <v>0</v>
      </c>
      <c r="O1399" t="n">
        <v>0</v>
      </c>
      <c r="P1399" t="n">
        <v>0</v>
      </c>
      <c r="Q1399" t="n">
        <v>0</v>
      </c>
      <c r="R1399" s="2" t="inlineStr"/>
    </row>
    <row r="1400" ht="15" customHeight="1">
      <c r="A1400" t="inlineStr">
        <is>
          <t>A 4501-2023</t>
        </is>
      </c>
      <c r="B1400" s="1" t="n">
        <v>44952</v>
      </c>
      <c r="C1400" s="1" t="n">
        <v>45964</v>
      </c>
      <c r="D1400" t="inlineStr">
        <is>
          <t>VÄSTERNORRLANDS LÄN</t>
        </is>
      </c>
      <c r="E1400" t="inlineStr">
        <is>
          <t>SOLLEFTEÅ</t>
        </is>
      </c>
      <c r="F1400" t="inlineStr">
        <is>
          <t>Övriga Aktiebolag</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12064-2025</t>
        </is>
      </c>
      <c r="B1401" s="1" t="n">
        <v>45728.69861111111</v>
      </c>
      <c r="C1401" s="1" t="n">
        <v>45964</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25963-2025</t>
        </is>
      </c>
      <c r="B1402" s="1" t="n">
        <v>45804.61568287037</v>
      </c>
      <c r="C1402" s="1" t="n">
        <v>45964</v>
      </c>
      <c r="D1402" t="inlineStr">
        <is>
          <t>VÄSTERNORRLANDS LÄN</t>
        </is>
      </c>
      <c r="E1402" t="inlineStr">
        <is>
          <t>SOLLEFTEÅ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26341-2025</t>
        </is>
      </c>
      <c r="B1403" s="1" t="n">
        <v>45805.69878472222</v>
      </c>
      <c r="C1403" s="1" t="n">
        <v>45964</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35470-2023</t>
        </is>
      </c>
      <c r="B1404" s="1" t="n">
        <v>45146</v>
      </c>
      <c r="C1404" s="1" t="n">
        <v>45964</v>
      </c>
      <c r="D1404" t="inlineStr">
        <is>
          <t>VÄSTERNORRLANDS LÄN</t>
        </is>
      </c>
      <c r="E1404" t="inlineStr">
        <is>
          <t>SOLLEFTEÅ</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56685-2023</t>
        </is>
      </c>
      <c r="B1405" s="1" t="n">
        <v>45243.96600694444</v>
      </c>
      <c r="C1405" s="1" t="n">
        <v>45964</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59038-2022</t>
        </is>
      </c>
      <c r="B1406" s="1" t="n">
        <v>44903.9496412037</v>
      </c>
      <c r="C1406" s="1" t="n">
        <v>45964</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48296-2022</t>
        </is>
      </c>
      <c r="B1407" s="1" t="n">
        <v>44858.51815972223</v>
      </c>
      <c r="C1407" s="1" t="n">
        <v>45964</v>
      </c>
      <c r="D1407" t="inlineStr">
        <is>
          <t>VÄSTERNORRLANDS LÄN</t>
        </is>
      </c>
      <c r="E1407" t="inlineStr">
        <is>
          <t>SOLLEFTEÅ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25939-2025</t>
        </is>
      </c>
      <c r="B1408" s="1" t="n">
        <v>45804.5943287037</v>
      </c>
      <c r="C1408" s="1" t="n">
        <v>45964</v>
      </c>
      <c r="D1408" t="inlineStr">
        <is>
          <t>VÄSTERNORRLANDS LÄN</t>
        </is>
      </c>
      <c r="E1408" t="inlineStr">
        <is>
          <t>SOLLEFTEÅ</t>
        </is>
      </c>
      <c r="F1408" t="inlineStr">
        <is>
          <t>SCA</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11318-2022</t>
        </is>
      </c>
      <c r="B1409" s="1" t="n">
        <v>44629.94743055556</v>
      </c>
      <c r="C1409" s="1" t="n">
        <v>45964</v>
      </c>
      <c r="D1409" t="inlineStr">
        <is>
          <t>VÄSTERNORRLANDS LÄN</t>
        </is>
      </c>
      <c r="E1409" t="inlineStr">
        <is>
          <t>SOLLEFTEÅ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26088-2025</t>
        </is>
      </c>
      <c r="B1410" s="1" t="n">
        <v>45805.34497685185</v>
      </c>
      <c r="C1410" s="1" t="n">
        <v>45964</v>
      </c>
      <c r="D1410" t="inlineStr">
        <is>
          <t>VÄSTERNORRLANDS LÄN</t>
        </is>
      </c>
      <c r="E1410" t="inlineStr">
        <is>
          <t>SOLLEFTEÅ</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12311-2023</t>
        </is>
      </c>
      <c r="B1411" s="1" t="n">
        <v>44995</v>
      </c>
      <c r="C1411" s="1" t="n">
        <v>45964</v>
      </c>
      <c r="D1411" t="inlineStr">
        <is>
          <t>VÄSTERNORRLANDS LÄN</t>
        </is>
      </c>
      <c r="E1411" t="inlineStr">
        <is>
          <t>SOLLEFTEÅ</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25854-2025</t>
        </is>
      </c>
      <c r="B1412" s="1" t="n">
        <v>45804.46920138889</v>
      </c>
      <c r="C1412" s="1" t="n">
        <v>45964</v>
      </c>
      <c r="D1412" t="inlineStr">
        <is>
          <t>VÄSTERNORRLANDS LÄN</t>
        </is>
      </c>
      <c r="E1412" t="inlineStr">
        <is>
          <t>SOLLEFTEÅ</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16710-2024</t>
        </is>
      </c>
      <c r="B1413" s="1" t="n">
        <v>45409.07748842592</v>
      </c>
      <c r="C1413" s="1" t="n">
        <v>45964</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50557-2024</t>
        </is>
      </c>
      <c r="B1414" s="1" t="n">
        <v>45601</v>
      </c>
      <c r="C1414" s="1" t="n">
        <v>45964</v>
      </c>
      <c r="D1414" t="inlineStr">
        <is>
          <t>VÄSTERNORRLANDS LÄN</t>
        </is>
      </c>
      <c r="E1414" t="inlineStr">
        <is>
          <t>SOLLEFTEÅ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14094-2025</t>
        </is>
      </c>
      <c r="B1415" s="1" t="n">
        <v>45740.44827546296</v>
      </c>
      <c r="C1415" s="1" t="n">
        <v>45964</v>
      </c>
      <c r="D1415" t="inlineStr">
        <is>
          <t>VÄSTERNORRLANDS LÄN</t>
        </is>
      </c>
      <c r="E1415" t="inlineStr">
        <is>
          <t>SOLLEFTEÅ</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14096-2025</t>
        </is>
      </c>
      <c r="B1416" s="1" t="n">
        <v>45740.44858796296</v>
      </c>
      <c r="C1416" s="1" t="n">
        <v>45964</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14097-2025</t>
        </is>
      </c>
      <c r="B1417" s="1" t="n">
        <v>45740.44875</v>
      </c>
      <c r="C1417" s="1" t="n">
        <v>45964</v>
      </c>
      <c r="D1417" t="inlineStr">
        <is>
          <t>VÄSTERNORRLANDS LÄN</t>
        </is>
      </c>
      <c r="E1417" t="inlineStr">
        <is>
          <t>SOLLEFTEÅ</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25855-2025</t>
        </is>
      </c>
      <c r="B1418" s="1" t="n">
        <v>45804.46934027778</v>
      </c>
      <c r="C1418" s="1" t="n">
        <v>45964</v>
      </c>
      <c r="D1418" t="inlineStr">
        <is>
          <t>VÄSTERNORRLANDS LÄN</t>
        </is>
      </c>
      <c r="E1418" t="inlineStr">
        <is>
          <t>SOLLEFTEÅ</t>
        </is>
      </c>
      <c r="F1418" t="inlineStr">
        <is>
          <t>SCA</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16308-2025</t>
        </is>
      </c>
      <c r="B1419" s="1" t="n">
        <v>45751.34700231482</v>
      </c>
      <c r="C1419" s="1" t="n">
        <v>45964</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25857-2025</t>
        </is>
      </c>
      <c r="B1420" s="1" t="n">
        <v>45804.46956018519</v>
      </c>
      <c r="C1420" s="1" t="n">
        <v>45964</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19510-2021</t>
        </is>
      </c>
      <c r="B1421" s="1" t="n">
        <v>44308</v>
      </c>
      <c r="C1421" s="1" t="n">
        <v>45964</v>
      </c>
      <c r="D1421" t="inlineStr">
        <is>
          <t>VÄSTERNORRLANDS LÄN</t>
        </is>
      </c>
      <c r="E1421" t="inlineStr">
        <is>
          <t>SOLLEFTEÅ</t>
        </is>
      </c>
      <c r="F1421" t="inlineStr">
        <is>
          <t>Kyrkan</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26477-2025</t>
        </is>
      </c>
      <c r="B1422" s="1" t="n">
        <v>45807.47011574074</v>
      </c>
      <c r="C1422" s="1" t="n">
        <v>45964</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26409-2025</t>
        </is>
      </c>
      <c r="B1423" s="1" t="n">
        <v>45807.344375</v>
      </c>
      <c r="C1423" s="1" t="n">
        <v>45964</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26426-2025</t>
        </is>
      </c>
      <c r="B1424" s="1" t="n">
        <v>45807.38574074074</v>
      </c>
      <c r="C1424" s="1" t="n">
        <v>45964</v>
      </c>
      <c r="D1424" t="inlineStr">
        <is>
          <t>VÄSTERNORRLANDS LÄN</t>
        </is>
      </c>
      <c r="E1424" t="inlineStr">
        <is>
          <t>SOLLEFTEÅ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61391-2022</t>
        </is>
      </c>
      <c r="B1425" s="1" t="n">
        <v>44915.94334490741</v>
      </c>
      <c r="C1425" s="1" t="n">
        <v>45964</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18188-2022</t>
        </is>
      </c>
      <c r="B1426" s="1" t="n">
        <v>44684.94004629629</v>
      </c>
      <c r="C1426" s="1" t="n">
        <v>45964</v>
      </c>
      <c r="D1426" t="inlineStr">
        <is>
          <t>VÄSTERNORRLANDS LÄN</t>
        </is>
      </c>
      <c r="E1426" t="inlineStr">
        <is>
          <t>SOLLEFTEÅ</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5111-2022</t>
        </is>
      </c>
      <c r="B1427" s="1" t="n">
        <v>44593.92144675926</v>
      </c>
      <c r="C1427" s="1" t="n">
        <v>45964</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46032-2022</t>
        </is>
      </c>
      <c r="B1428" s="1" t="n">
        <v>44846</v>
      </c>
      <c r="C1428" s="1" t="n">
        <v>45964</v>
      </c>
      <c r="D1428" t="inlineStr">
        <is>
          <t>VÄSTERNORRLANDS LÄN</t>
        </is>
      </c>
      <c r="E1428" t="inlineStr">
        <is>
          <t>SOLLEFTEÅ</t>
        </is>
      </c>
      <c r="F1428" t="inlineStr">
        <is>
          <t>SCA</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26570-2025</t>
        </is>
      </c>
      <c r="B1429" s="1" t="n">
        <v>45807.67743055556</v>
      </c>
      <c r="C1429" s="1" t="n">
        <v>45964</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35276-2023</t>
        </is>
      </c>
      <c r="B1430" s="1" t="n">
        <v>45145.95409722222</v>
      </c>
      <c r="C1430" s="1" t="n">
        <v>45964</v>
      </c>
      <c r="D1430" t="inlineStr">
        <is>
          <t>VÄSTERNORRLANDS LÄN</t>
        </is>
      </c>
      <c r="E1430" t="inlineStr">
        <is>
          <t>SOLLEFTEÅ</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42160-2023</t>
        </is>
      </c>
      <c r="B1431" s="1" t="n">
        <v>45177</v>
      </c>
      <c r="C1431" s="1" t="n">
        <v>45964</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18795-2025</t>
        </is>
      </c>
      <c r="B1432" s="1" t="n">
        <v>45764.34564814815</v>
      </c>
      <c r="C1432" s="1" t="n">
        <v>45964</v>
      </c>
      <c r="D1432" t="inlineStr">
        <is>
          <t>VÄSTERNORRLANDS LÄN</t>
        </is>
      </c>
      <c r="E1432" t="inlineStr">
        <is>
          <t>SOLLEFTEÅ</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26478-2025</t>
        </is>
      </c>
      <c r="B1433" s="1" t="n">
        <v>45807.47013888889</v>
      </c>
      <c r="C1433" s="1" t="n">
        <v>45964</v>
      </c>
      <c r="D1433" t="inlineStr">
        <is>
          <t>VÄSTERNORRLANDS LÄN</t>
        </is>
      </c>
      <c r="E1433" t="inlineStr">
        <is>
          <t>SOLLEFTEÅ</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41456-2022</t>
        </is>
      </c>
      <c r="B1434" s="1" t="n">
        <v>44826</v>
      </c>
      <c r="C1434" s="1" t="n">
        <v>45964</v>
      </c>
      <c r="D1434" t="inlineStr">
        <is>
          <t>VÄSTERNORRLANDS LÄN</t>
        </is>
      </c>
      <c r="E1434" t="inlineStr">
        <is>
          <t>SOLLEFTEÅ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56249-2023</t>
        </is>
      </c>
      <c r="B1435" s="1" t="n">
        <v>45240.9468287037</v>
      </c>
      <c r="C1435" s="1" t="n">
        <v>45964</v>
      </c>
      <c r="D1435" t="inlineStr">
        <is>
          <t>VÄSTERNORRLANDS LÄN</t>
        </is>
      </c>
      <c r="E1435" t="inlineStr">
        <is>
          <t>SOLLEFTEÅ</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43845-2024</t>
        </is>
      </c>
      <c r="B1436" s="1" t="n">
        <v>45572.34483796296</v>
      </c>
      <c r="C1436" s="1" t="n">
        <v>45964</v>
      </c>
      <c r="D1436" t="inlineStr">
        <is>
          <t>VÄSTERNORRLANDS LÄN</t>
        </is>
      </c>
      <c r="E1436" t="inlineStr">
        <is>
          <t>SOLLEFTEÅ</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20599-2023</t>
        </is>
      </c>
      <c r="B1437" s="1" t="n">
        <v>45057.94172453704</v>
      </c>
      <c r="C1437" s="1" t="n">
        <v>45964</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13492-2022</t>
        </is>
      </c>
      <c r="B1438" s="1" t="n">
        <v>44646.92120370371</v>
      </c>
      <c r="C1438" s="1" t="n">
        <v>45964</v>
      </c>
      <c r="D1438" t="inlineStr">
        <is>
          <t>VÄSTERNORRLANDS LÄN</t>
        </is>
      </c>
      <c r="E1438" t="inlineStr">
        <is>
          <t>SOLLEFTEÅ</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16670-2022</t>
        </is>
      </c>
      <c r="B1439" s="1" t="n">
        <v>44672.93802083333</v>
      </c>
      <c r="C1439" s="1" t="n">
        <v>45964</v>
      </c>
      <c r="D1439" t="inlineStr">
        <is>
          <t>VÄSTERNORRLANDS LÄN</t>
        </is>
      </c>
      <c r="E1439" t="inlineStr">
        <is>
          <t>SOLLEFTEÅ</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26916-2025</t>
        </is>
      </c>
      <c r="B1440" s="1" t="n">
        <v>45811.37184027778</v>
      </c>
      <c r="C1440" s="1" t="n">
        <v>45964</v>
      </c>
      <c r="D1440" t="inlineStr">
        <is>
          <t>VÄSTERNORRLANDS LÄN</t>
        </is>
      </c>
      <c r="E1440" t="inlineStr">
        <is>
          <t>SOLLEFTEÅ</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41334-2021</t>
        </is>
      </c>
      <c r="B1441" s="1" t="n">
        <v>44424</v>
      </c>
      <c r="C1441" s="1" t="n">
        <v>45964</v>
      </c>
      <c r="D1441" t="inlineStr">
        <is>
          <t>VÄSTERNORRLANDS LÄN</t>
        </is>
      </c>
      <c r="E1441" t="inlineStr">
        <is>
          <t>SOLLEFTEÅ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47272-2022</t>
        </is>
      </c>
      <c r="B1442" s="1" t="n">
        <v>44852.95016203704</v>
      </c>
      <c r="C1442" s="1" t="n">
        <v>45964</v>
      </c>
      <c r="D1442" t="inlineStr">
        <is>
          <t>VÄSTERNORRLANDS LÄN</t>
        </is>
      </c>
      <c r="E1442" t="inlineStr">
        <is>
          <t>SOLLEFTEÅ</t>
        </is>
      </c>
      <c r="G1442" t="n">
        <v>12.2</v>
      </c>
      <c r="H1442" t="n">
        <v>0</v>
      </c>
      <c r="I1442" t="n">
        <v>0</v>
      </c>
      <c r="J1442" t="n">
        <v>0</v>
      </c>
      <c r="K1442" t="n">
        <v>0</v>
      </c>
      <c r="L1442" t="n">
        <v>0</v>
      </c>
      <c r="M1442" t="n">
        <v>0</v>
      </c>
      <c r="N1442" t="n">
        <v>0</v>
      </c>
      <c r="O1442" t="n">
        <v>0</v>
      </c>
      <c r="P1442" t="n">
        <v>0</v>
      </c>
      <c r="Q1442" t="n">
        <v>0</v>
      </c>
      <c r="R1442" s="2" t="inlineStr"/>
    </row>
    <row r="1443" ht="15" customHeight="1">
      <c r="A1443" t="inlineStr">
        <is>
          <t>A 53325-2024</t>
        </is>
      </c>
      <c r="B1443" s="1" t="n">
        <v>45614.41177083334</v>
      </c>
      <c r="C1443" s="1" t="n">
        <v>45964</v>
      </c>
      <c r="D1443" t="inlineStr">
        <is>
          <t>VÄSTERNORRLANDS LÄN</t>
        </is>
      </c>
      <c r="E1443" t="inlineStr">
        <is>
          <t>SOLLEFTEÅ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35420-2024</t>
        </is>
      </c>
      <c r="B1444" s="1" t="n">
        <v>45531</v>
      </c>
      <c r="C1444" s="1" t="n">
        <v>45964</v>
      </c>
      <c r="D1444" t="inlineStr">
        <is>
          <t>VÄSTERNORRLANDS LÄN</t>
        </is>
      </c>
      <c r="E1444" t="inlineStr">
        <is>
          <t>SOLLEFTEÅ</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35147-2023</t>
        </is>
      </c>
      <c r="B1445" s="1" t="n">
        <v>45142</v>
      </c>
      <c r="C1445" s="1" t="n">
        <v>45964</v>
      </c>
      <c r="D1445" t="inlineStr">
        <is>
          <t>VÄSTERNORRLANDS LÄN</t>
        </is>
      </c>
      <c r="E1445" t="inlineStr">
        <is>
          <t>SOLLEFTEÅ</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26642-2025</t>
        </is>
      </c>
      <c r="B1446" s="1" t="n">
        <v>45810.36521990741</v>
      </c>
      <c r="C1446" s="1" t="n">
        <v>45964</v>
      </c>
      <c r="D1446" t="inlineStr">
        <is>
          <t>VÄSTERNORRLANDS LÄN</t>
        </is>
      </c>
      <c r="E1446" t="inlineStr">
        <is>
          <t>SOLLEFTEÅ</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25795-2023</t>
        </is>
      </c>
      <c r="B1447" s="1" t="n">
        <v>45085</v>
      </c>
      <c r="C1447" s="1" t="n">
        <v>45964</v>
      </c>
      <c r="D1447" t="inlineStr">
        <is>
          <t>VÄSTERNORRLANDS LÄN</t>
        </is>
      </c>
      <c r="E1447" t="inlineStr">
        <is>
          <t>SOLLEFTEÅ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23030-2021</t>
        </is>
      </c>
      <c r="B1448" s="1" t="n">
        <v>44328.94091435185</v>
      </c>
      <c r="C1448" s="1" t="n">
        <v>45964</v>
      </c>
      <c r="D1448" t="inlineStr">
        <is>
          <t>VÄSTERNORRLANDS LÄN</t>
        </is>
      </c>
      <c r="E1448" t="inlineStr">
        <is>
          <t>SOLLEFTEÅ</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4623-2023</t>
        </is>
      </c>
      <c r="B1449" s="1" t="n">
        <v>44956.94013888889</v>
      </c>
      <c r="C1449" s="1" t="n">
        <v>45964</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52455-2024</t>
        </is>
      </c>
      <c r="B1450" s="1" t="n">
        <v>45609.50984953704</v>
      </c>
      <c r="C1450" s="1" t="n">
        <v>45964</v>
      </c>
      <c r="D1450" t="inlineStr">
        <is>
          <t>VÄSTERNORRLANDS LÄN</t>
        </is>
      </c>
      <c r="E1450" t="inlineStr">
        <is>
          <t>SOLLEFTEÅ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26641-2025</t>
        </is>
      </c>
      <c r="B1451" s="1" t="n">
        <v>45810.36509259259</v>
      </c>
      <c r="C1451" s="1" t="n">
        <v>45964</v>
      </c>
      <c r="D1451" t="inlineStr">
        <is>
          <t>VÄSTERNORRLANDS LÄN</t>
        </is>
      </c>
      <c r="E1451" t="inlineStr">
        <is>
          <t>SOLLEFTEÅ</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26921-2025</t>
        </is>
      </c>
      <c r="B1452" s="1" t="n">
        <v>45811.38575231482</v>
      </c>
      <c r="C1452" s="1" t="n">
        <v>45964</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26953-2025</t>
        </is>
      </c>
      <c r="B1453" s="1" t="n">
        <v>45811.44856481482</v>
      </c>
      <c r="C1453" s="1" t="n">
        <v>45964</v>
      </c>
      <c r="D1453" t="inlineStr">
        <is>
          <t>VÄSTERNORRLANDS LÄN</t>
        </is>
      </c>
      <c r="E1453" t="inlineStr">
        <is>
          <t>SOLLEFTEÅ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31918-2023</t>
        </is>
      </c>
      <c r="B1454" s="1" t="n">
        <v>45118</v>
      </c>
      <c r="C1454" s="1" t="n">
        <v>45964</v>
      </c>
      <c r="D1454" t="inlineStr">
        <is>
          <t>VÄSTERNORRLANDS LÄN</t>
        </is>
      </c>
      <c r="E1454" t="inlineStr">
        <is>
          <t>SOLLEFTEÅ</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17682-2025</t>
        </is>
      </c>
      <c r="B1455" s="1" t="n">
        <v>45758</v>
      </c>
      <c r="C1455" s="1" t="n">
        <v>45964</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31922-2023</t>
        </is>
      </c>
      <c r="B1456" s="1" t="n">
        <v>45118.94021990741</v>
      </c>
      <c r="C1456" s="1" t="n">
        <v>45964</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26733-2025</t>
        </is>
      </c>
      <c r="B1457" s="1" t="n">
        <v>45810.51078703703</v>
      </c>
      <c r="C1457" s="1" t="n">
        <v>45964</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3080-2025</t>
        </is>
      </c>
      <c r="B1458" s="1" t="n">
        <v>45678</v>
      </c>
      <c r="C1458" s="1" t="n">
        <v>45964</v>
      </c>
      <c r="D1458" t="inlineStr">
        <is>
          <t>VÄSTERNORRLANDS LÄN</t>
        </is>
      </c>
      <c r="E1458" t="inlineStr">
        <is>
          <t>SOLLEFTEÅ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13300-2022</t>
        </is>
      </c>
      <c r="B1459" s="1" t="n">
        <v>44644</v>
      </c>
      <c r="C1459" s="1" t="n">
        <v>45964</v>
      </c>
      <c r="D1459" t="inlineStr">
        <is>
          <t>VÄSTERNORRLANDS LÄN</t>
        </is>
      </c>
      <c r="E1459" t="inlineStr">
        <is>
          <t>SOLLEFTEÅ</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7258-2024</t>
        </is>
      </c>
      <c r="B1460" s="1" t="n">
        <v>45344.74564814815</v>
      </c>
      <c r="C1460" s="1" t="n">
        <v>45964</v>
      </c>
      <c r="D1460" t="inlineStr">
        <is>
          <t>VÄSTERNORRLANDS LÄN</t>
        </is>
      </c>
      <c r="E1460" t="inlineStr">
        <is>
          <t>SOLLEFTEÅ</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56256-2023</t>
        </is>
      </c>
      <c r="B1461" s="1" t="n">
        <v>45240</v>
      </c>
      <c r="C1461" s="1" t="n">
        <v>45964</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27908-2024</t>
        </is>
      </c>
      <c r="B1462" s="1" t="n">
        <v>45475.94615740741</v>
      </c>
      <c r="C1462" s="1" t="n">
        <v>45964</v>
      </c>
      <c r="D1462" t="inlineStr">
        <is>
          <t>VÄSTERNORRLANDS LÄN</t>
        </is>
      </c>
      <c r="E1462" t="inlineStr">
        <is>
          <t>SOLLEFTEÅ</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27916-2024</t>
        </is>
      </c>
      <c r="B1463" s="1" t="n">
        <v>45475.94834490741</v>
      </c>
      <c r="C1463" s="1" t="n">
        <v>45964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12355-2025</t>
        </is>
      </c>
      <c r="B1464" s="1" t="n">
        <v>45730.36490740741</v>
      </c>
      <c r="C1464" s="1" t="n">
        <v>45964</v>
      </c>
      <c r="D1464" t="inlineStr">
        <is>
          <t>VÄSTERNORRLANDS LÄN</t>
        </is>
      </c>
      <c r="E1464" t="inlineStr">
        <is>
          <t>SOLLEFTEÅ</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7585-2024</t>
        </is>
      </c>
      <c r="B1465" s="1" t="n">
        <v>45348</v>
      </c>
      <c r="C1465" s="1" t="n">
        <v>45964</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22473-2024</t>
        </is>
      </c>
      <c r="B1466" s="1" t="n">
        <v>45446</v>
      </c>
      <c r="C1466" s="1" t="n">
        <v>45964</v>
      </c>
      <c r="D1466" t="inlineStr">
        <is>
          <t>VÄSTERNORRLANDS LÄN</t>
        </is>
      </c>
      <c r="E1466" t="inlineStr">
        <is>
          <t>SOLLEFTEÅ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26935-2025</t>
        </is>
      </c>
      <c r="B1467" s="1" t="n">
        <v>45811.40413194444</v>
      </c>
      <c r="C1467" s="1" t="n">
        <v>45964</v>
      </c>
      <c r="D1467" t="inlineStr">
        <is>
          <t>VÄSTERNORRLANDS LÄN</t>
        </is>
      </c>
      <c r="E1467" t="inlineStr">
        <is>
          <t>SOLLEFTEÅ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26952-2025</t>
        </is>
      </c>
      <c r="B1468" s="1" t="n">
        <v>45811.4484375</v>
      </c>
      <c r="C1468" s="1" t="n">
        <v>45964</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44407-2023</t>
        </is>
      </c>
      <c r="B1469" s="1" t="n">
        <v>45188.9465625</v>
      </c>
      <c r="C1469" s="1" t="n">
        <v>45964</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44408-2023</t>
        </is>
      </c>
      <c r="B1470" s="1" t="n">
        <v>45188.94663194445</v>
      </c>
      <c r="C1470" s="1" t="n">
        <v>45964</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31662-2024</t>
        </is>
      </c>
      <c r="B1471" s="1" t="n">
        <v>45506.92857638889</v>
      </c>
      <c r="C1471" s="1" t="n">
        <v>45964</v>
      </c>
      <c r="D1471" t="inlineStr">
        <is>
          <t>VÄSTERNORRLANDS LÄN</t>
        </is>
      </c>
      <c r="E1471" t="inlineStr">
        <is>
          <t>SOLLEFTEÅ</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31453-2022</t>
        </is>
      </c>
      <c r="B1472" s="1" t="n">
        <v>44774.94159722222</v>
      </c>
      <c r="C1472" s="1" t="n">
        <v>45964</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26896-2025</t>
        </is>
      </c>
      <c r="B1473" s="1" t="n">
        <v>45811.33834490741</v>
      </c>
      <c r="C1473" s="1" t="n">
        <v>45964</v>
      </c>
      <c r="D1473" t="inlineStr">
        <is>
          <t>VÄSTERNORRLANDS LÄN</t>
        </is>
      </c>
      <c r="E1473" t="inlineStr">
        <is>
          <t>SOLLEFTEÅ</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27633-2024</t>
        </is>
      </c>
      <c r="B1474" s="1" t="n">
        <v>45474.94590277778</v>
      </c>
      <c r="C1474" s="1" t="n">
        <v>45964</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27634-2024</t>
        </is>
      </c>
      <c r="B1475" s="1" t="n">
        <v>45474.94599537037</v>
      </c>
      <c r="C1475" s="1" t="n">
        <v>45964</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36139-2024</t>
        </is>
      </c>
      <c r="B1476" s="1" t="n">
        <v>45534.35474537037</v>
      </c>
      <c r="C1476" s="1" t="n">
        <v>45964</v>
      </c>
      <c r="D1476" t="inlineStr">
        <is>
          <t>VÄSTERNORRLANDS LÄN</t>
        </is>
      </c>
      <c r="E1476" t="inlineStr">
        <is>
          <t>SOLLEFTEÅ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46261-2024</t>
        </is>
      </c>
      <c r="B1477" s="1" t="n">
        <v>45581.61048611111</v>
      </c>
      <c r="C1477" s="1" t="n">
        <v>45964</v>
      </c>
      <c r="D1477" t="inlineStr">
        <is>
          <t>VÄSTERNORRLANDS LÄN</t>
        </is>
      </c>
      <c r="E1477" t="inlineStr">
        <is>
          <t>SOLLEFTEÅ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25702-2024</t>
        </is>
      </c>
      <c r="B1478" s="1" t="n">
        <v>45463</v>
      </c>
      <c r="C1478" s="1" t="n">
        <v>45964</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25711-2024</t>
        </is>
      </c>
      <c r="B1479" s="1" t="n">
        <v>45463</v>
      </c>
      <c r="C1479" s="1" t="n">
        <v>45964</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25356-2024</t>
        </is>
      </c>
      <c r="B1480" s="1" t="n">
        <v>45462.9565162037</v>
      </c>
      <c r="C1480" s="1" t="n">
        <v>45964</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23282-2022</t>
        </is>
      </c>
      <c r="B1481" s="1" t="n">
        <v>44720</v>
      </c>
      <c r="C1481" s="1" t="n">
        <v>45964</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62662-2022</t>
        </is>
      </c>
      <c r="B1482" s="1" t="n">
        <v>44917</v>
      </c>
      <c r="C1482" s="1" t="n">
        <v>45964</v>
      </c>
      <c r="D1482" t="inlineStr">
        <is>
          <t>VÄSTERNORRLANDS LÄN</t>
        </is>
      </c>
      <c r="E1482" t="inlineStr">
        <is>
          <t>SOLLEFTEÅ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27288-2025</t>
        </is>
      </c>
      <c r="B1483" s="1" t="n">
        <v>45812.55234953704</v>
      </c>
      <c r="C1483" s="1" t="n">
        <v>45964</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63413-2023</t>
        </is>
      </c>
      <c r="B1484" s="1" t="n">
        <v>45274</v>
      </c>
      <c r="C1484" s="1" t="n">
        <v>45964</v>
      </c>
      <c r="D1484" t="inlineStr">
        <is>
          <t>VÄSTERNORRLANDS LÄN</t>
        </is>
      </c>
      <c r="E1484" t="inlineStr">
        <is>
          <t>SOLLEFTEÅ</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63422-2023</t>
        </is>
      </c>
      <c r="B1485" s="1" t="n">
        <v>45274</v>
      </c>
      <c r="C1485" s="1" t="n">
        <v>45964</v>
      </c>
      <c r="D1485" t="inlineStr">
        <is>
          <t>VÄSTERNORRLANDS LÄN</t>
        </is>
      </c>
      <c r="E1485" t="inlineStr">
        <is>
          <t>SOLLEFTEÅ</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6066-2024</t>
        </is>
      </c>
      <c r="B1486" s="1" t="n">
        <v>45336.88386574074</v>
      </c>
      <c r="C1486" s="1" t="n">
        <v>45964</v>
      </c>
      <c r="D1486" t="inlineStr">
        <is>
          <t>VÄSTERNORRLANDS LÄN</t>
        </is>
      </c>
      <c r="E1486" t="inlineStr">
        <is>
          <t>SOLLEFTEÅ</t>
        </is>
      </c>
      <c r="F1486" t="inlineStr">
        <is>
          <t>Övriga Aktiebolag</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64638-2021</t>
        </is>
      </c>
      <c r="B1487" s="1" t="n">
        <v>44511</v>
      </c>
      <c r="C1487" s="1" t="n">
        <v>45964</v>
      </c>
      <c r="D1487" t="inlineStr">
        <is>
          <t>VÄSTERNORRLANDS LÄN</t>
        </is>
      </c>
      <c r="E1487" t="inlineStr">
        <is>
          <t>SOLLEFTEÅ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7157-2025</t>
        </is>
      </c>
      <c r="B1488" s="1" t="n">
        <v>45702.38637731481</v>
      </c>
      <c r="C1488" s="1" t="n">
        <v>45964</v>
      </c>
      <c r="D1488" t="inlineStr">
        <is>
          <t>VÄSTERNORRLANDS LÄN</t>
        </is>
      </c>
      <c r="E1488" t="inlineStr">
        <is>
          <t>SOLLEFTEÅ</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27142-2025</t>
        </is>
      </c>
      <c r="B1489" s="1" t="n">
        <v>45812.28087962963</v>
      </c>
      <c r="C1489" s="1" t="n">
        <v>45964</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31670-2024</t>
        </is>
      </c>
      <c r="B1490" s="1" t="n">
        <v>45506.94805555556</v>
      </c>
      <c r="C1490" s="1" t="n">
        <v>45964</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32157-2024</t>
        </is>
      </c>
      <c r="B1491" s="1" t="n">
        <v>45511.57340277778</v>
      </c>
      <c r="C1491" s="1" t="n">
        <v>45964</v>
      </c>
      <c r="D1491" t="inlineStr">
        <is>
          <t>VÄSTERNORRLANDS LÄN</t>
        </is>
      </c>
      <c r="E1491" t="inlineStr">
        <is>
          <t>SOLLEFTEÅ</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40421-2023</t>
        </is>
      </c>
      <c r="B1492" s="1" t="n">
        <v>45169.93973379629</v>
      </c>
      <c r="C1492" s="1" t="n">
        <v>45964</v>
      </c>
      <c r="D1492" t="inlineStr">
        <is>
          <t>VÄSTERNORRLANDS LÄN</t>
        </is>
      </c>
      <c r="E1492" t="inlineStr">
        <is>
          <t>SOLLEFTEÅ</t>
        </is>
      </c>
      <c r="F1492" t="inlineStr">
        <is>
          <t>SCA</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27427-2025</t>
        </is>
      </c>
      <c r="B1493" s="1" t="n">
        <v>45813.28706018518</v>
      </c>
      <c r="C1493" s="1" t="n">
        <v>45964</v>
      </c>
      <c r="D1493" t="inlineStr">
        <is>
          <t>VÄSTERNORRLANDS LÄN</t>
        </is>
      </c>
      <c r="E1493" t="inlineStr">
        <is>
          <t>SOLLEFTEÅ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27167-2025</t>
        </is>
      </c>
      <c r="B1494" s="1" t="n">
        <v>45812.34465277778</v>
      </c>
      <c r="C1494" s="1" t="n">
        <v>45964</v>
      </c>
      <c r="D1494" t="inlineStr">
        <is>
          <t>VÄSTERNORRLANDS LÄN</t>
        </is>
      </c>
      <c r="E1494" t="inlineStr">
        <is>
          <t>SOLLEFTEÅ</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27519-2025</t>
        </is>
      </c>
      <c r="B1495" s="1" t="n">
        <v>45813.44186342593</v>
      </c>
      <c r="C1495" s="1" t="n">
        <v>45964</v>
      </c>
      <c r="D1495" t="inlineStr">
        <is>
          <t>VÄSTERNORRLANDS LÄN</t>
        </is>
      </c>
      <c r="E1495" t="inlineStr">
        <is>
          <t>SOLLEFTEÅ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27407-2025</t>
        </is>
      </c>
      <c r="B1496" s="1" t="n">
        <v>45812.74519675926</v>
      </c>
      <c r="C1496" s="1" t="n">
        <v>45964</v>
      </c>
      <c r="D1496" t="inlineStr">
        <is>
          <t>VÄSTERNORRLANDS LÄN</t>
        </is>
      </c>
      <c r="E1496" t="inlineStr">
        <is>
          <t>SOLLEFTEÅ</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27592-2025</t>
        </is>
      </c>
      <c r="B1497" s="1" t="n">
        <v>45813.5191550926</v>
      </c>
      <c r="C1497" s="1" t="n">
        <v>45964</v>
      </c>
      <c r="D1497" t="inlineStr">
        <is>
          <t>VÄSTERNORRLANDS LÄN</t>
        </is>
      </c>
      <c r="E1497" t="inlineStr">
        <is>
          <t>SOLLEFTEÅ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27660-2025</t>
        </is>
      </c>
      <c r="B1498" s="1" t="n">
        <v>45813.61490740741</v>
      </c>
      <c r="C1498" s="1" t="n">
        <v>45964</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42987-2024</t>
        </is>
      </c>
      <c r="B1499" s="1" t="n">
        <v>45567</v>
      </c>
      <c r="C1499" s="1" t="n">
        <v>45964</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66844-2020</t>
        </is>
      </c>
      <c r="B1500" s="1" t="n">
        <v>44179</v>
      </c>
      <c r="C1500" s="1" t="n">
        <v>45964</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46765-2024</t>
        </is>
      </c>
      <c r="B1501" s="1" t="n">
        <v>45583.49491898148</v>
      </c>
      <c r="C1501" s="1" t="n">
        <v>45964</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56416-2023</t>
        </is>
      </c>
      <c r="B1502" s="1" t="n">
        <v>45237</v>
      </c>
      <c r="C1502" s="1" t="n">
        <v>45964</v>
      </c>
      <c r="D1502" t="inlineStr">
        <is>
          <t>VÄSTERNORRLANDS LÄN</t>
        </is>
      </c>
      <c r="E1502" t="inlineStr">
        <is>
          <t>SOLLEFTEÅ</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21349-2023</t>
        </is>
      </c>
      <c r="B1503" s="1" t="n">
        <v>45062.9390625</v>
      </c>
      <c r="C1503" s="1" t="n">
        <v>45964</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25259-2023</t>
        </is>
      </c>
      <c r="B1504" s="1" t="n">
        <v>45079</v>
      </c>
      <c r="C1504" s="1" t="n">
        <v>45964</v>
      </c>
      <c r="D1504" t="inlineStr">
        <is>
          <t>VÄSTERNORRLANDS LÄN</t>
        </is>
      </c>
      <c r="E1504" t="inlineStr">
        <is>
          <t>SOLLEFTEÅ</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32071-2024</t>
        </is>
      </c>
      <c r="B1505" s="1" t="n">
        <v>45510.97246527778</v>
      </c>
      <c r="C1505" s="1" t="n">
        <v>45964</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45120-2022</t>
        </is>
      </c>
      <c r="B1506" s="1" t="n">
        <v>44843</v>
      </c>
      <c r="C1506" s="1" t="n">
        <v>45964</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58694-2024</t>
        </is>
      </c>
      <c r="B1507" s="1" t="n">
        <v>45635.63575231482</v>
      </c>
      <c r="C1507" s="1" t="n">
        <v>45964</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15429-2025</t>
        </is>
      </c>
      <c r="B1508" s="1" t="n">
        <v>45747.47</v>
      </c>
      <c r="C1508" s="1" t="n">
        <v>45964</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12617-2025</t>
        </is>
      </c>
      <c r="B1509" s="1" t="n">
        <v>45733.34895833334</v>
      </c>
      <c r="C1509" s="1" t="n">
        <v>45964</v>
      </c>
      <c r="D1509" t="inlineStr">
        <is>
          <t>VÄSTERNORRLANDS LÄN</t>
        </is>
      </c>
      <c r="E1509" t="inlineStr">
        <is>
          <t>SOLLEFTEÅ</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23025-2024</t>
        </is>
      </c>
      <c r="B1510" s="1" t="n">
        <v>45450.36578703704</v>
      </c>
      <c r="C1510" s="1" t="n">
        <v>45964</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2677-2025</t>
        </is>
      </c>
      <c r="B1511" s="1" t="n">
        <v>45677</v>
      </c>
      <c r="C1511" s="1" t="n">
        <v>45964</v>
      </c>
      <c r="D1511" t="inlineStr">
        <is>
          <t>VÄSTERNORRLANDS LÄN</t>
        </is>
      </c>
      <c r="E1511" t="inlineStr">
        <is>
          <t>SOLLEFTEÅ</t>
        </is>
      </c>
      <c r="F1511" t="inlineStr">
        <is>
          <t>SCA</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36004-2024</t>
        </is>
      </c>
      <c r="B1512" s="1" t="n">
        <v>45533.54848379629</v>
      </c>
      <c r="C1512" s="1" t="n">
        <v>45964</v>
      </c>
      <c r="D1512" t="inlineStr">
        <is>
          <t>VÄSTERNORRLANDS LÄN</t>
        </is>
      </c>
      <c r="E1512" t="inlineStr">
        <is>
          <t>SOLLEFTEÅ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27748-2025</t>
        </is>
      </c>
      <c r="B1513" s="1" t="n">
        <v>45815.67740740741</v>
      </c>
      <c r="C1513" s="1" t="n">
        <v>45964</v>
      </c>
      <c r="D1513" t="inlineStr">
        <is>
          <t>VÄSTERNORRLANDS LÄN</t>
        </is>
      </c>
      <c r="E1513" t="inlineStr">
        <is>
          <t>SOLLEFTEÅ</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27956-2025</t>
        </is>
      </c>
      <c r="B1514" s="1" t="n">
        <v>45817.5344675926</v>
      </c>
      <c r="C1514" s="1" t="n">
        <v>45964</v>
      </c>
      <c r="D1514" t="inlineStr">
        <is>
          <t>VÄSTERNORRLANDS LÄN</t>
        </is>
      </c>
      <c r="E1514" t="inlineStr">
        <is>
          <t>SOLLEFTEÅ</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13257-2025</t>
        </is>
      </c>
      <c r="B1515" s="1" t="n">
        <v>45735.51075231482</v>
      </c>
      <c r="C1515" s="1" t="n">
        <v>45964</v>
      </c>
      <c r="D1515" t="inlineStr">
        <is>
          <t>VÄSTERNORRLANDS LÄN</t>
        </is>
      </c>
      <c r="E1515" t="inlineStr">
        <is>
          <t>SOLLEFTEÅ</t>
        </is>
      </c>
      <c r="F1515" t="inlineStr">
        <is>
          <t>SCA</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27822-2025</t>
        </is>
      </c>
      <c r="B1516" s="1" t="n">
        <v>45817.34410879629</v>
      </c>
      <c r="C1516" s="1" t="n">
        <v>45964</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34473-2021</t>
        </is>
      </c>
      <c r="B1517" s="1" t="n">
        <v>44381.93096064815</v>
      </c>
      <c r="C1517" s="1" t="n">
        <v>45964</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57094-2024</t>
        </is>
      </c>
      <c r="B1518" s="1" t="n">
        <v>45629.35780092593</v>
      </c>
      <c r="C1518" s="1" t="n">
        <v>45964</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38283-2021</t>
        </is>
      </c>
      <c r="B1519" s="1" t="n">
        <v>44405</v>
      </c>
      <c r="C1519" s="1" t="n">
        <v>45964</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32924-2024</t>
        </is>
      </c>
      <c r="B1520" s="1" t="n">
        <v>45516.95292824074</v>
      </c>
      <c r="C1520" s="1" t="n">
        <v>45964</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51505-2024</t>
        </is>
      </c>
      <c r="B1521" s="1" t="n">
        <v>45604</v>
      </c>
      <c r="C1521" s="1" t="n">
        <v>45964</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35975-2023</t>
        </is>
      </c>
      <c r="B1522" s="1" t="n">
        <v>45148</v>
      </c>
      <c r="C1522" s="1" t="n">
        <v>45964</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4031-2025</t>
        </is>
      </c>
      <c r="B1523" s="1" t="n">
        <v>45684.5978125</v>
      </c>
      <c r="C1523" s="1" t="n">
        <v>45964</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56684-2023</t>
        </is>
      </c>
      <c r="B1524" s="1" t="n">
        <v>45243.96592592593</v>
      </c>
      <c r="C1524" s="1" t="n">
        <v>45964</v>
      </c>
      <c r="D1524" t="inlineStr">
        <is>
          <t>VÄSTERNORRLANDS LÄN</t>
        </is>
      </c>
      <c r="E1524" t="inlineStr">
        <is>
          <t>SOLLEFTEÅ</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28579-2025</t>
        </is>
      </c>
      <c r="B1525" s="1" t="n">
        <v>45819.57334490741</v>
      </c>
      <c r="C1525" s="1" t="n">
        <v>45964</v>
      </c>
      <c r="D1525" t="inlineStr">
        <is>
          <t>VÄSTERNORRLANDS LÄN</t>
        </is>
      </c>
      <c r="E1525" t="inlineStr">
        <is>
          <t>SOLLEFTEÅ</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1269-2024</t>
        </is>
      </c>
      <c r="B1526" s="1" t="n">
        <v>45302</v>
      </c>
      <c r="C1526" s="1" t="n">
        <v>45964</v>
      </c>
      <c r="D1526" t="inlineStr">
        <is>
          <t>VÄSTERNORRLANDS LÄN</t>
        </is>
      </c>
      <c r="E1526" t="inlineStr">
        <is>
          <t>SOLLEFTEÅ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22342-2022</t>
        </is>
      </c>
      <c r="B1527" s="1" t="n">
        <v>44712.94203703704</v>
      </c>
      <c r="C1527" s="1" t="n">
        <v>45964</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45964</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12706-2025</t>
        </is>
      </c>
      <c r="B1529" s="1" t="n">
        <v>45733.46958333333</v>
      </c>
      <c r="C1529" s="1" t="n">
        <v>45964</v>
      </c>
      <c r="D1529" t="inlineStr">
        <is>
          <t>VÄSTERNORRLANDS LÄN</t>
        </is>
      </c>
      <c r="E1529" t="inlineStr">
        <is>
          <t>SOLLEFTEÅ</t>
        </is>
      </c>
      <c r="F1529" t="inlineStr">
        <is>
          <t>SCA</t>
        </is>
      </c>
      <c r="G1529" t="n">
        <v>21.7</v>
      </c>
      <c r="H1529" t="n">
        <v>0</v>
      </c>
      <c r="I1529" t="n">
        <v>0</v>
      </c>
      <c r="J1529" t="n">
        <v>0</v>
      </c>
      <c r="K1529" t="n">
        <v>0</v>
      </c>
      <c r="L1529" t="n">
        <v>0</v>
      </c>
      <c r="M1529" t="n">
        <v>0</v>
      </c>
      <c r="N1529" t="n">
        <v>0</v>
      </c>
      <c r="O1529" t="n">
        <v>0</v>
      </c>
      <c r="P1529" t="n">
        <v>0</v>
      </c>
      <c r="Q1529" t="n">
        <v>0</v>
      </c>
      <c r="R1529" s="2" t="inlineStr"/>
    </row>
    <row r="1530" ht="15" customHeight="1">
      <c r="A1530" t="inlineStr">
        <is>
          <t>A 55898-2022</t>
        </is>
      </c>
      <c r="B1530" s="1" t="n">
        <v>44888.95342592592</v>
      </c>
      <c r="C1530" s="1" t="n">
        <v>45964</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28686-2025</t>
        </is>
      </c>
      <c r="B1531" s="1" t="n">
        <v>45819</v>
      </c>
      <c r="C1531" s="1" t="n">
        <v>45964</v>
      </c>
      <c r="D1531" t="inlineStr">
        <is>
          <t>VÄSTERNORRLANDS LÄN</t>
        </is>
      </c>
      <c r="E1531" t="inlineStr">
        <is>
          <t>SOLLEFTEÅ</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31179-2023</t>
        </is>
      </c>
      <c r="B1532" s="1" t="n">
        <v>45113.92564814815</v>
      </c>
      <c r="C1532" s="1" t="n">
        <v>45964</v>
      </c>
      <c r="D1532" t="inlineStr">
        <is>
          <t>VÄSTERNORRLANDS LÄN</t>
        </is>
      </c>
      <c r="E1532" t="inlineStr">
        <is>
          <t>SOLLEFTEÅ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28672-2025</t>
        </is>
      </c>
      <c r="B1533" s="1" t="n">
        <v>45819.6754050926</v>
      </c>
      <c r="C1533" s="1" t="n">
        <v>45964</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45644-2023</t>
        </is>
      </c>
      <c r="B1534" s="1" t="n">
        <v>45188</v>
      </c>
      <c r="C1534" s="1" t="n">
        <v>45964</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c r="U1534">
        <f>HYPERLINK("https://klasma.github.io/Logging_2283/knärot/A 45644-2023 karta knärot.png", "A 45644-2023")</f>
        <v/>
      </c>
      <c r="V1534">
        <f>HYPERLINK("https://klasma.github.io/Logging_2283/klagomål/A 45644-2023 FSC-klagomål.docx", "A 45644-2023")</f>
        <v/>
      </c>
      <c r="W1534">
        <f>HYPERLINK("https://klasma.github.io/Logging_2283/klagomålsmail/A 45644-2023 FSC-klagomål mail.docx", "A 45644-2023")</f>
        <v/>
      </c>
      <c r="X1534">
        <f>HYPERLINK("https://klasma.github.io/Logging_2283/tillsyn/A 45644-2023 tillsynsbegäran.docx", "A 45644-2023")</f>
        <v/>
      </c>
      <c r="Y1534">
        <f>HYPERLINK("https://klasma.github.io/Logging_2283/tillsynsmail/A 45644-2023 tillsynsbegäran mail.docx", "A 45644-2023")</f>
        <v/>
      </c>
    </row>
    <row r="1535" ht="15" customHeight="1">
      <c r="A1535" t="inlineStr">
        <is>
          <t>A 33739-2024</t>
        </is>
      </c>
      <c r="B1535" s="1" t="n">
        <v>45520.55943287037</v>
      </c>
      <c r="C1535" s="1" t="n">
        <v>45964</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34765-2024</t>
        </is>
      </c>
      <c r="B1536" s="1" t="n">
        <v>45526</v>
      </c>
      <c r="C1536" s="1" t="n">
        <v>45964</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45964</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45964</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45964</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5359-2025</t>
        </is>
      </c>
      <c r="B1540" s="1" t="n">
        <v>45692</v>
      </c>
      <c r="C1540" s="1" t="n">
        <v>45964</v>
      </c>
      <c r="D1540" t="inlineStr">
        <is>
          <t>VÄSTERNORRLANDS LÄN</t>
        </is>
      </c>
      <c r="E1540" t="inlineStr">
        <is>
          <t>SOLLEFTEÅ</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52718-2022</t>
        </is>
      </c>
      <c r="B1541" s="1" t="n">
        <v>44874</v>
      </c>
      <c r="C1541" s="1" t="n">
        <v>45964</v>
      </c>
      <c r="D1541" t="inlineStr">
        <is>
          <t>VÄSTERNORRLANDS LÄN</t>
        </is>
      </c>
      <c r="E1541" t="inlineStr">
        <is>
          <t>SOLLEFTEÅ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46973-2025</t>
        </is>
      </c>
      <c r="B1542" s="1" t="n">
        <v>45929.51083333333</v>
      </c>
      <c r="C1542" s="1" t="n">
        <v>45964</v>
      </c>
      <c r="D1542" t="inlineStr">
        <is>
          <t>VÄSTERNORRLANDS LÄN</t>
        </is>
      </c>
      <c r="E1542" t="inlineStr">
        <is>
          <t>SOLLEFTEÅ</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28142-2025</t>
        </is>
      </c>
      <c r="B1543" s="1" t="n">
        <v>45818.34538194445</v>
      </c>
      <c r="C1543" s="1" t="n">
        <v>45964</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28195-2025</t>
        </is>
      </c>
      <c r="B1544" s="1" t="n">
        <v>45818</v>
      </c>
      <c r="C1544" s="1" t="n">
        <v>45964</v>
      </c>
      <c r="D1544" t="inlineStr">
        <is>
          <t>VÄSTERNORRLANDS LÄN</t>
        </is>
      </c>
      <c r="E1544" t="inlineStr">
        <is>
          <t>SOLLEFTEÅ</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29142-2025</t>
        </is>
      </c>
      <c r="B1545" s="1" t="n">
        <v>45821.61518518518</v>
      </c>
      <c r="C1545" s="1" t="n">
        <v>45964</v>
      </c>
      <c r="D1545" t="inlineStr">
        <is>
          <t>VÄSTERNORRLANDS LÄN</t>
        </is>
      </c>
      <c r="E1545" t="inlineStr">
        <is>
          <t>SOLLEFTEÅ</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28698-2025</t>
        </is>
      </c>
      <c r="B1546" s="1" t="n">
        <v>45819.925625</v>
      </c>
      <c r="C1546" s="1" t="n">
        <v>45964</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29103-2025</t>
        </is>
      </c>
      <c r="B1547" s="1" t="n">
        <v>45821.57219907407</v>
      </c>
      <c r="C1547" s="1" t="n">
        <v>45964</v>
      </c>
      <c r="D1547" t="inlineStr">
        <is>
          <t>VÄSTERNORRLANDS LÄN</t>
        </is>
      </c>
      <c r="E1547" t="inlineStr">
        <is>
          <t>SOLLEFTEÅ</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45964</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18761-2023</t>
        </is>
      </c>
      <c r="B1549" s="1" t="n">
        <v>45043</v>
      </c>
      <c r="C1549" s="1" t="n">
        <v>45964</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18762-2023</t>
        </is>
      </c>
      <c r="B1550" s="1" t="n">
        <v>45043</v>
      </c>
      <c r="C1550" s="1" t="n">
        <v>45964</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45964</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3103-2025</t>
        </is>
      </c>
      <c r="B1552" s="1" t="n">
        <v>45678.67739583334</v>
      </c>
      <c r="C1552" s="1" t="n">
        <v>45964</v>
      </c>
      <c r="D1552" t="inlineStr">
        <is>
          <t>VÄSTERNORRLANDS LÄN</t>
        </is>
      </c>
      <c r="E1552" t="inlineStr">
        <is>
          <t>SOLLEFTEÅ</t>
        </is>
      </c>
      <c r="F1552" t="inlineStr">
        <is>
          <t>SCA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57078-2024</t>
        </is>
      </c>
      <c r="B1553" s="1" t="n">
        <v>45629.35518518519</v>
      </c>
      <c r="C1553" s="1" t="n">
        <v>45964</v>
      </c>
      <c r="D1553" t="inlineStr">
        <is>
          <t>VÄSTERNORRLANDS LÄN</t>
        </is>
      </c>
      <c r="E1553" t="inlineStr">
        <is>
          <t>SOLLEFTEÅ</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28715-2025</t>
        </is>
      </c>
      <c r="B1554" s="1" t="n">
        <v>45820</v>
      </c>
      <c r="C1554" s="1" t="n">
        <v>45964</v>
      </c>
      <c r="D1554" t="inlineStr">
        <is>
          <t>VÄSTERNORRLANDS LÄN</t>
        </is>
      </c>
      <c r="E1554" t="inlineStr">
        <is>
          <t>SOLLEFTEÅ</t>
        </is>
      </c>
      <c r="F1554" t="inlineStr">
        <is>
          <t>SCA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28719-2025</t>
        </is>
      </c>
      <c r="B1555" s="1" t="n">
        <v>45820</v>
      </c>
      <c r="C1555" s="1" t="n">
        <v>45964</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28993-2025</t>
        </is>
      </c>
      <c r="B1556" s="1" t="n">
        <v>45821.38574074074</v>
      </c>
      <c r="C1556" s="1" t="n">
        <v>45964</v>
      </c>
      <c r="D1556" t="inlineStr">
        <is>
          <t>VÄSTERNORRLANDS LÄN</t>
        </is>
      </c>
      <c r="E1556" t="inlineStr">
        <is>
          <t>SOLLEFTEÅ</t>
        </is>
      </c>
      <c r="F1556" t="inlineStr">
        <is>
          <t>SCA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28994-2025</t>
        </is>
      </c>
      <c r="B1557" s="1" t="n">
        <v>45821.38587962963</v>
      </c>
      <c r="C1557" s="1" t="n">
        <v>45964</v>
      </c>
      <c r="D1557" t="inlineStr">
        <is>
          <t>VÄSTERNORRLANDS LÄN</t>
        </is>
      </c>
      <c r="E1557" t="inlineStr">
        <is>
          <t>SOLLEFTEÅ</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45964</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27392-2023</t>
        </is>
      </c>
      <c r="B1559" s="1" t="n">
        <v>45096.93997685185</v>
      </c>
      <c r="C1559" s="1" t="n">
        <v>45964</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6068-2024</t>
        </is>
      </c>
      <c r="B1560" s="1" t="n">
        <v>45336.89725694444</v>
      </c>
      <c r="C1560" s="1" t="n">
        <v>45964</v>
      </c>
      <c r="D1560" t="inlineStr">
        <is>
          <t>VÄSTERNORRLANDS LÄN</t>
        </is>
      </c>
      <c r="E1560" t="inlineStr">
        <is>
          <t>SOLLEFTEÅ</t>
        </is>
      </c>
      <c r="F1560" t="inlineStr">
        <is>
          <t>Övriga Aktiebolag</t>
        </is>
      </c>
      <c r="G1560" t="n">
        <v>12.6</v>
      </c>
      <c r="H1560" t="n">
        <v>0</v>
      </c>
      <c r="I1560" t="n">
        <v>0</v>
      </c>
      <c r="J1560" t="n">
        <v>0</v>
      </c>
      <c r="K1560" t="n">
        <v>0</v>
      </c>
      <c r="L1560" t="n">
        <v>0</v>
      </c>
      <c r="M1560" t="n">
        <v>0</v>
      </c>
      <c r="N1560" t="n">
        <v>0</v>
      </c>
      <c r="O1560" t="n">
        <v>0</v>
      </c>
      <c r="P1560" t="n">
        <v>0</v>
      </c>
      <c r="Q1560" t="n">
        <v>0</v>
      </c>
      <c r="R1560" s="2" t="inlineStr"/>
    </row>
    <row r="1561" ht="15" customHeight="1">
      <c r="A1561" t="inlineStr">
        <is>
          <t>A 27025-2024</t>
        </is>
      </c>
      <c r="B1561" s="1" t="n">
        <v>45471.42071759259</v>
      </c>
      <c r="C1561" s="1" t="n">
        <v>45964</v>
      </c>
      <c r="D1561" t="inlineStr">
        <is>
          <t>VÄSTERNORRLANDS LÄN</t>
        </is>
      </c>
      <c r="E1561" t="inlineStr">
        <is>
          <t>SOLLEFTEÅ</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28995-2025</t>
        </is>
      </c>
      <c r="B1562" s="1" t="n">
        <v>45821.38596064815</v>
      </c>
      <c r="C1562" s="1" t="n">
        <v>45964</v>
      </c>
      <c r="D1562" t="inlineStr">
        <is>
          <t>VÄSTERNORRLANDS LÄN</t>
        </is>
      </c>
      <c r="E1562" t="inlineStr">
        <is>
          <t>SOLLEFTEÅ</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38596-2025</t>
        </is>
      </c>
      <c r="B1563" s="1" t="n">
        <v>45884.49040509259</v>
      </c>
      <c r="C1563" s="1" t="n">
        <v>45964</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38598-2025</t>
        </is>
      </c>
      <c r="B1564" s="1" t="n">
        <v>45884.49074074074</v>
      </c>
      <c r="C1564" s="1" t="n">
        <v>45964</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28743-2025</t>
        </is>
      </c>
      <c r="B1565" s="1" t="n">
        <v>45820.38586805556</v>
      </c>
      <c r="C1565" s="1" t="n">
        <v>45964</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29039-2025</t>
        </is>
      </c>
      <c r="B1566" s="1" t="n">
        <v>45821.44844907407</v>
      </c>
      <c r="C1566" s="1" t="n">
        <v>45964</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12062-2025</t>
        </is>
      </c>
      <c r="B1567" s="1" t="n">
        <v>45728.6984837963</v>
      </c>
      <c r="C1567" s="1" t="n">
        <v>45964</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12063-2025</t>
        </is>
      </c>
      <c r="B1568" s="1" t="n">
        <v>45728.69851851852</v>
      </c>
      <c r="C1568" s="1" t="n">
        <v>45964</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29273-2025</t>
        </is>
      </c>
      <c r="B1569" s="1" t="n">
        <v>45824.41125</v>
      </c>
      <c r="C1569" s="1" t="n">
        <v>45964</v>
      </c>
      <c r="D1569" t="inlineStr">
        <is>
          <t>VÄSTERNORRLANDS LÄN</t>
        </is>
      </c>
      <c r="E1569" t="inlineStr">
        <is>
          <t>SOLLEFTEÅ</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7261-2024</t>
        </is>
      </c>
      <c r="B1570" s="1" t="n">
        <v>45344</v>
      </c>
      <c r="C1570" s="1" t="n">
        <v>45964</v>
      </c>
      <c r="D1570" t="inlineStr">
        <is>
          <t>VÄSTERNORRLANDS LÄN</t>
        </is>
      </c>
      <c r="E1570" t="inlineStr">
        <is>
          <t>SOLLEFTEÅ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29793-2025</t>
        </is>
      </c>
      <c r="B1571" s="1" t="n">
        <v>45825</v>
      </c>
      <c r="C1571" s="1" t="n">
        <v>45964</v>
      </c>
      <c r="D1571" t="inlineStr">
        <is>
          <t>VÄSTERNORRLANDS LÄN</t>
        </is>
      </c>
      <c r="E1571" t="inlineStr">
        <is>
          <t>SOLLEFTEÅ</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40575-2024</t>
        </is>
      </c>
      <c r="B1572" s="1" t="n">
        <v>45555</v>
      </c>
      <c r="C1572" s="1" t="n">
        <v>45964</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29309-2025</t>
        </is>
      </c>
      <c r="B1573" s="1" t="n">
        <v>45824.46333333333</v>
      </c>
      <c r="C1573" s="1" t="n">
        <v>45964</v>
      </c>
      <c r="D1573" t="inlineStr">
        <is>
          <t>VÄSTERNORRLANDS LÄN</t>
        </is>
      </c>
      <c r="E1573" t="inlineStr">
        <is>
          <t>SOLLEFTEÅ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1096-2025</t>
        </is>
      </c>
      <c r="B1574" s="1" t="n">
        <v>45666</v>
      </c>
      <c r="C1574" s="1" t="n">
        <v>45964</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29435-2025</t>
        </is>
      </c>
      <c r="B1575" s="1" t="n">
        <v>45824.65762731482</v>
      </c>
      <c r="C1575" s="1" t="n">
        <v>45964</v>
      </c>
      <c r="D1575" t="inlineStr">
        <is>
          <t>VÄSTERNORRLANDS LÄN</t>
        </is>
      </c>
      <c r="E1575" t="inlineStr">
        <is>
          <t>SOLLEFTEÅ</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52471-2024</t>
        </is>
      </c>
      <c r="B1576" s="1" t="n">
        <v>45609.53076388889</v>
      </c>
      <c r="C1576" s="1" t="n">
        <v>45964</v>
      </c>
      <c r="D1576" t="inlineStr">
        <is>
          <t>VÄSTERNORRLANDS LÄN</t>
        </is>
      </c>
      <c r="E1576" t="inlineStr">
        <is>
          <t>SOLLEFTEÅ</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10950-2025</t>
        </is>
      </c>
      <c r="B1577" s="1" t="n">
        <v>45723.34474537037</v>
      </c>
      <c r="C1577" s="1" t="n">
        <v>45964</v>
      </c>
      <c r="D1577" t="inlineStr">
        <is>
          <t>VÄSTERNORRLANDS LÄN</t>
        </is>
      </c>
      <c r="E1577" t="inlineStr">
        <is>
          <t>SOLLEFTEÅ</t>
        </is>
      </c>
      <c r="F1577" t="inlineStr">
        <is>
          <t>SCA</t>
        </is>
      </c>
      <c r="G1577" t="n">
        <v>32.3</v>
      </c>
      <c r="H1577" t="n">
        <v>0</v>
      </c>
      <c r="I1577" t="n">
        <v>0</v>
      </c>
      <c r="J1577" t="n">
        <v>0</v>
      </c>
      <c r="K1577" t="n">
        <v>0</v>
      </c>
      <c r="L1577" t="n">
        <v>0</v>
      </c>
      <c r="M1577" t="n">
        <v>0</v>
      </c>
      <c r="N1577" t="n">
        <v>0</v>
      </c>
      <c r="O1577" t="n">
        <v>0</v>
      </c>
      <c r="P1577" t="n">
        <v>0</v>
      </c>
      <c r="Q1577" t="n">
        <v>0</v>
      </c>
      <c r="R1577" s="2" t="inlineStr"/>
    </row>
    <row r="1578" ht="15" customHeight="1">
      <c r="A1578" t="inlineStr">
        <is>
          <t>A 41478-2022</t>
        </is>
      </c>
      <c r="B1578" s="1" t="n">
        <v>44826.94892361111</v>
      </c>
      <c r="C1578" s="1" t="n">
        <v>45964</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29759-2025</t>
        </is>
      </c>
      <c r="B1579" s="1" t="n">
        <v>45825</v>
      </c>
      <c r="C1579" s="1" t="n">
        <v>45964</v>
      </c>
      <c r="D1579" t="inlineStr">
        <is>
          <t>VÄSTERNORRLANDS LÄN</t>
        </is>
      </c>
      <c r="E1579" t="inlineStr">
        <is>
          <t>SOLLEFTEÅ</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39446-2024</t>
        </is>
      </c>
      <c r="B1580" s="1" t="n">
        <v>45551</v>
      </c>
      <c r="C1580" s="1" t="n">
        <v>45964</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39469-2024</t>
        </is>
      </c>
      <c r="B1581" s="1" t="n">
        <v>45551</v>
      </c>
      <c r="C1581" s="1" t="n">
        <v>45964</v>
      </c>
      <c r="D1581" t="inlineStr">
        <is>
          <t>VÄSTERNORRLANDS LÄN</t>
        </is>
      </c>
      <c r="E1581" t="inlineStr">
        <is>
          <t>SOLLEFTEÅ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26014-2025</t>
        </is>
      </c>
      <c r="B1582" s="1" t="n">
        <v>45804.67773148148</v>
      </c>
      <c r="C1582" s="1" t="n">
        <v>45964</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12965-2025</t>
        </is>
      </c>
      <c r="B1583" s="1" t="n">
        <v>45734.42753472222</v>
      </c>
      <c r="C1583" s="1" t="n">
        <v>45964</v>
      </c>
      <c r="D1583" t="inlineStr">
        <is>
          <t>VÄSTERNORRLANDS LÄN</t>
        </is>
      </c>
      <c r="E1583" t="inlineStr">
        <is>
          <t>SOLLEFTEÅ</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29011-2025</t>
        </is>
      </c>
      <c r="B1584" s="1" t="n">
        <v>45821.40659722222</v>
      </c>
      <c r="C1584" s="1" t="n">
        <v>45964</v>
      </c>
      <c r="D1584" t="inlineStr">
        <is>
          <t>VÄSTERNORRLANDS LÄN</t>
        </is>
      </c>
      <c r="E1584" t="inlineStr">
        <is>
          <t>SOLLEFTEÅ</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29535-2025</t>
        </is>
      </c>
      <c r="B1585" s="1" t="n">
        <v>45825.34486111111</v>
      </c>
      <c r="C1585" s="1" t="n">
        <v>45964</v>
      </c>
      <c r="D1585" t="inlineStr">
        <is>
          <t>VÄSTERNORRLANDS LÄN</t>
        </is>
      </c>
      <c r="E1585" t="inlineStr">
        <is>
          <t>SOLLEFTEÅ</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25139-2024</t>
        </is>
      </c>
      <c r="B1586" s="1" t="n">
        <v>45462.48130787037</v>
      </c>
      <c r="C1586" s="1" t="n">
        <v>45964</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27314-2024</t>
        </is>
      </c>
      <c r="B1587" s="1" t="n">
        <v>45471.94633101852</v>
      </c>
      <c r="C1587" s="1" t="n">
        <v>45964</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c r="U1587">
        <f>HYPERLINK("https://klasma.github.io/Logging_2283/knärot/A 27314-2024 karta knärot.png", "A 27314-2024")</f>
        <v/>
      </c>
      <c r="V1587">
        <f>HYPERLINK("https://klasma.github.io/Logging_2283/klagomål/A 27314-2024 FSC-klagomål.docx", "A 27314-2024")</f>
        <v/>
      </c>
      <c r="W1587">
        <f>HYPERLINK("https://klasma.github.io/Logging_2283/klagomålsmail/A 27314-2024 FSC-klagomål mail.docx", "A 27314-2024")</f>
        <v/>
      </c>
      <c r="X1587">
        <f>HYPERLINK("https://klasma.github.io/Logging_2283/tillsyn/A 27314-2024 tillsynsbegäran.docx", "A 27314-2024")</f>
        <v/>
      </c>
      <c r="Y1587">
        <f>HYPERLINK("https://klasma.github.io/Logging_2283/tillsynsmail/A 27314-2024 tillsynsbegäran mail.docx", "A 27314-2024")</f>
        <v/>
      </c>
    </row>
    <row r="1588" ht="15" customHeight="1">
      <c r="A1588" t="inlineStr">
        <is>
          <t>A 29760-2025</t>
        </is>
      </c>
      <c r="B1588" s="1" t="n">
        <v>45825.61805555555</v>
      </c>
      <c r="C1588" s="1" t="n">
        <v>45964</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29769-2025</t>
        </is>
      </c>
      <c r="B1589" s="1" t="n">
        <v>45825.62796296296</v>
      </c>
      <c r="C1589" s="1" t="n">
        <v>45964</v>
      </c>
      <c r="D1589" t="inlineStr">
        <is>
          <t>VÄSTERNORRLANDS LÄN</t>
        </is>
      </c>
      <c r="E1589" t="inlineStr">
        <is>
          <t>SOLLEFTEÅ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1623-2025</t>
        </is>
      </c>
      <c r="B1590" s="1" t="n">
        <v>45670.61526620371</v>
      </c>
      <c r="C1590" s="1" t="n">
        <v>45964</v>
      </c>
      <c r="D1590" t="inlineStr">
        <is>
          <t>VÄSTERNORRLANDS LÄN</t>
        </is>
      </c>
      <c r="E1590" t="inlineStr">
        <is>
          <t>SOLLEFTEÅ</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11057-2025</t>
        </is>
      </c>
      <c r="B1591" s="1" t="n">
        <v>45723.51069444444</v>
      </c>
      <c r="C1591" s="1" t="n">
        <v>45964</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29436-2025</t>
        </is>
      </c>
      <c r="B1592" s="1" t="n">
        <v>45824.65766203704</v>
      </c>
      <c r="C1592" s="1" t="n">
        <v>45964</v>
      </c>
      <c r="D1592" t="inlineStr">
        <is>
          <t>VÄSTERNORRLANDS LÄN</t>
        </is>
      </c>
      <c r="E1592" t="inlineStr">
        <is>
          <t>SOLLEFTEÅ</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63712-2023</t>
        </is>
      </c>
      <c r="B1593" s="1" t="n">
        <v>45275.95094907407</v>
      </c>
      <c r="C1593" s="1" t="n">
        <v>45964</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29445-2025</t>
        </is>
      </c>
      <c r="B1594" s="1" t="n">
        <v>45824.66322916667</v>
      </c>
      <c r="C1594" s="1" t="n">
        <v>45964</v>
      </c>
      <c r="D1594" t="inlineStr">
        <is>
          <t>VÄSTERNORRLANDS LÄN</t>
        </is>
      </c>
      <c r="E1594" t="inlineStr">
        <is>
          <t>SOLLEFTEÅ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29762-2025</t>
        </is>
      </c>
      <c r="B1595" s="1" t="n">
        <v>45825.61826388889</v>
      </c>
      <c r="C1595" s="1" t="n">
        <v>45964</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33628-2024</t>
        </is>
      </c>
      <c r="B1596" s="1" t="n">
        <v>45520.4302662037</v>
      </c>
      <c r="C1596" s="1" t="n">
        <v>45964</v>
      </c>
      <c r="D1596" t="inlineStr">
        <is>
          <t>VÄSTERNORRLANDS LÄN</t>
        </is>
      </c>
      <c r="E1596" t="inlineStr">
        <is>
          <t>SOLLEFTEÅ</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28998-2025</t>
        </is>
      </c>
      <c r="B1597" s="1" t="n">
        <v>45821.38626157407</v>
      </c>
      <c r="C1597" s="1" t="n">
        <v>45964</v>
      </c>
      <c r="D1597" t="inlineStr">
        <is>
          <t>VÄSTERNORRLANDS LÄN</t>
        </is>
      </c>
      <c r="E1597" t="inlineStr">
        <is>
          <t>SOLLEFTEÅ</t>
        </is>
      </c>
      <c r="F1597" t="inlineStr">
        <is>
          <t>SCA</t>
        </is>
      </c>
      <c r="G1597" t="n">
        <v>14.2</v>
      </c>
      <c r="H1597" t="n">
        <v>0</v>
      </c>
      <c r="I1597" t="n">
        <v>0</v>
      </c>
      <c r="J1597" t="n">
        <v>0</v>
      </c>
      <c r="K1597" t="n">
        <v>0</v>
      </c>
      <c r="L1597" t="n">
        <v>0</v>
      </c>
      <c r="M1597" t="n">
        <v>0</v>
      </c>
      <c r="N1597" t="n">
        <v>0</v>
      </c>
      <c r="O1597" t="n">
        <v>0</v>
      </c>
      <c r="P1597" t="n">
        <v>0</v>
      </c>
      <c r="Q1597" t="n">
        <v>0</v>
      </c>
      <c r="R1597" s="2" t="inlineStr"/>
    </row>
    <row r="1598" ht="15" customHeight="1">
      <c r="A1598" t="inlineStr">
        <is>
          <t>A 49403-2024</t>
        </is>
      </c>
      <c r="B1598" s="1" t="n">
        <v>45595.67730324074</v>
      </c>
      <c r="C1598" s="1" t="n">
        <v>45964</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59179-2024</t>
        </is>
      </c>
      <c r="B1599" s="1" t="n">
        <v>45637.51149305556</v>
      </c>
      <c r="C1599" s="1" t="n">
        <v>45964</v>
      </c>
      <c r="D1599" t="inlineStr">
        <is>
          <t>VÄSTERNORRLANDS LÄN</t>
        </is>
      </c>
      <c r="E1599" t="inlineStr">
        <is>
          <t>SOLLEFTEÅ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29562-2025</t>
        </is>
      </c>
      <c r="B1600" s="1" t="n">
        <v>45825</v>
      </c>
      <c r="C1600" s="1" t="n">
        <v>45964</v>
      </c>
      <c r="D1600" t="inlineStr">
        <is>
          <t>VÄSTERNORRLANDS LÄN</t>
        </is>
      </c>
      <c r="E1600" t="inlineStr">
        <is>
          <t>SOLLEFTEÅ</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30369-2025</t>
        </is>
      </c>
      <c r="B1601" s="1" t="n">
        <v>45827.55729166666</v>
      </c>
      <c r="C1601" s="1" t="n">
        <v>45964</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30389-2025</t>
        </is>
      </c>
      <c r="B1602" s="1" t="n">
        <v>45827.57356481482</v>
      </c>
      <c r="C1602" s="1" t="n">
        <v>45964</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1402-2022</t>
        </is>
      </c>
      <c r="B1603" s="1" t="n">
        <v>44573</v>
      </c>
      <c r="C1603" s="1" t="n">
        <v>45964</v>
      </c>
      <c r="D1603" t="inlineStr">
        <is>
          <t>VÄSTERNORRLANDS LÄN</t>
        </is>
      </c>
      <c r="E1603" t="inlineStr">
        <is>
          <t>SOLLEFTEÅ</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29884-2025</t>
        </is>
      </c>
      <c r="B1604" s="1" t="n">
        <v>45826.36582175926</v>
      </c>
      <c r="C1604" s="1" t="n">
        <v>45964</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30060-2024</t>
        </is>
      </c>
      <c r="B1605" s="1" t="n">
        <v>45488.94813657407</v>
      </c>
      <c r="C1605" s="1" t="n">
        <v>45964</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30279-2025</t>
        </is>
      </c>
      <c r="B1606" s="1" t="n">
        <v>45827</v>
      </c>
      <c r="C1606" s="1" t="n">
        <v>45964</v>
      </c>
      <c r="D1606" t="inlineStr">
        <is>
          <t>VÄSTERNORRLANDS LÄN</t>
        </is>
      </c>
      <c r="E1606" t="inlineStr">
        <is>
          <t>SOLLEFTEÅ</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41655-2023</t>
        </is>
      </c>
      <c r="B1607" s="1" t="n">
        <v>45175.95751157407</v>
      </c>
      <c r="C1607" s="1" t="n">
        <v>45964</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18691-2025</t>
        </is>
      </c>
      <c r="B1608" s="1" t="n">
        <v>45763.61511574074</v>
      </c>
      <c r="C1608" s="1" t="n">
        <v>45964</v>
      </c>
      <c r="D1608" t="inlineStr">
        <is>
          <t>VÄSTERNORRLANDS LÄN</t>
        </is>
      </c>
      <c r="E1608" t="inlineStr">
        <is>
          <t>SOLLEFTEÅ</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30311-2025</t>
        </is>
      </c>
      <c r="B1609" s="1" t="n">
        <v>45827.49015046296</v>
      </c>
      <c r="C1609" s="1" t="n">
        <v>45964</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45964</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35556-2023</t>
        </is>
      </c>
      <c r="B1611" s="1" t="n">
        <v>45147</v>
      </c>
      <c r="C1611" s="1" t="n">
        <v>45964</v>
      </c>
      <c r="D1611" t="inlineStr">
        <is>
          <t>VÄSTERNORRLANDS LÄN</t>
        </is>
      </c>
      <c r="E1611" t="inlineStr">
        <is>
          <t>SOLLEFTEÅ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55851-2024</t>
        </is>
      </c>
      <c r="B1612" s="1" t="n">
        <v>45623.51140046296</v>
      </c>
      <c r="C1612" s="1" t="n">
        <v>45964</v>
      </c>
      <c r="D1612" t="inlineStr">
        <is>
          <t>VÄSTERNORRLANDS LÄN</t>
        </is>
      </c>
      <c r="E1612" t="inlineStr">
        <is>
          <t>SOLLEFTEÅ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45964</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45964</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36514-2023</t>
        </is>
      </c>
      <c r="B1615" s="1" t="n">
        <v>45152.95377314815</v>
      </c>
      <c r="C1615" s="1" t="n">
        <v>45964</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40921-2024</t>
        </is>
      </c>
      <c r="B1616" s="1" t="n">
        <v>45558.6358912037</v>
      </c>
      <c r="C1616" s="1" t="n">
        <v>45964</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37977-2022</t>
        </is>
      </c>
      <c r="B1617" s="1" t="n">
        <v>44811</v>
      </c>
      <c r="C1617" s="1" t="n">
        <v>45964</v>
      </c>
      <c r="D1617" t="inlineStr">
        <is>
          <t>VÄSTERNORRLANDS LÄN</t>
        </is>
      </c>
      <c r="E1617" t="inlineStr">
        <is>
          <t>SOLLEFTEÅ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52267-2023</t>
        </is>
      </c>
      <c r="B1618" s="1" t="n">
        <v>45217</v>
      </c>
      <c r="C1618" s="1" t="n">
        <v>45964</v>
      </c>
      <c r="D1618" t="inlineStr">
        <is>
          <t>VÄSTERNORRLANDS LÄN</t>
        </is>
      </c>
      <c r="E1618" t="inlineStr">
        <is>
          <t>SOLLEFTEÅ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44836.80145833334</v>
      </c>
      <c r="C1619" s="1" t="n">
        <v>45964</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30018-2025</t>
        </is>
      </c>
      <c r="B1620" s="1" t="n">
        <v>45826.55332175926</v>
      </c>
      <c r="C1620" s="1" t="n">
        <v>45964</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30020-2025</t>
        </is>
      </c>
      <c r="B1621" s="1" t="n">
        <v>45826.55337962963</v>
      </c>
      <c r="C1621" s="1" t="n">
        <v>45964</v>
      </c>
      <c r="D1621" t="inlineStr">
        <is>
          <t>VÄSTERNORRLANDS LÄN</t>
        </is>
      </c>
      <c r="E1621" t="inlineStr">
        <is>
          <t>SOLLEFTEÅ</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63138-2023</t>
        </is>
      </c>
      <c r="B1622" s="1" t="n">
        <v>45272</v>
      </c>
      <c r="C1622" s="1" t="n">
        <v>45964</v>
      </c>
      <c r="D1622" t="inlineStr">
        <is>
          <t>VÄSTERNORRLANDS LÄN</t>
        </is>
      </c>
      <c r="E1622" t="inlineStr">
        <is>
          <t>SOLLEFTEÅ</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29883-2025</t>
        </is>
      </c>
      <c r="B1623" s="1" t="n">
        <v>45826.36568287037</v>
      </c>
      <c r="C1623" s="1" t="n">
        <v>45964</v>
      </c>
      <c r="D1623" t="inlineStr">
        <is>
          <t>VÄSTERNORRLANDS LÄN</t>
        </is>
      </c>
      <c r="E1623" t="inlineStr">
        <is>
          <t>SOLLEFTEÅ</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46873-2025</t>
        </is>
      </c>
      <c r="B1624" s="1" t="n">
        <v>45929.34421296296</v>
      </c>
      <c r="C1624" s="1" t="n">
        <v>45964</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46968-2025</t>
        </is>
      </c>
      <c r="B1625" s="1" t="n">
        <v>45929.50158564815</v>
      </c>
      <c r="C1625" s="1" t="n">
        <v>45964</v>
      </c>
      <c r="D1625" t="inlineStr">
        <is>
          <t>VÄSTERNORRLANDS LÄN</t>
        </is>
      </c>
      <c r="E1625" t="inlineStr">
        <is>
          <t>SOLLEFTEÅ</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30401-2025</t>
        </is>
      </c>
      <c r="B1626" s="1" t="n">
        <v>45827.59135416667</v>
      </c>
      <c r="C1626" s="1" t="n">
        <v>45964</v>
      </c>
      <c r="D1626" t="inlineStr">
        <is>
          <t>VÄSTERNORRLANDS LÄN</t>
        </is>
      </c>
      <c r="E1626" t="inlineStr">
        <is>
          <t>SOLLEFTEÅ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45964</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45964</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68022-2020</t>
        </is>
      </c>
      <c r="B1629" s="1" t="n">
        <v>44182</v>
      </c>
      <c r="C1629" s="1" t="n">
        <v>45964</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49324-2023</t>
        </is>
      </c>
      <c r="B1630" s="1" t="n">
        <v>45210</v>
      </c>
      <c r="C1630" s="1" t="n">
        <v>45964</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30073-2025</t>
        </is>
      </c>
      <c r="B1631" s="1" t="n">
        <v>45826.63643518519</v>
      </c>
      <c r="C1631" s="1" t="n">
        <v>45964</v>
      </c>
      <c r="D1631" t="inlineStr">
        <is>
          <t>VÄSTERNORRLANDS LÄN</t>
        </is>
      </c>
      <c r="E1631" t="inlineStr">
        <is>
          <t>SOLLEFTEÅ</t>
        </is>
      </c>
      <c r="F1631" t="inlineStr">
        <is>
          <t>SCA</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37691-2023</t>
        </is>
      </c>
      <c r="B1632" s="1" t="n">
        <v>45156</v>
      </c>
      <c r="C1632" s="1" t="n">
        <v>45964</v>
      </c>
      <c r="D1632" t="inlineStr">
        <is>
          <t>VÄSTERNORRLANDS LÄN</t>
        </is>
      </c>
      <c r="E1632" t="inlineStr">
        <is>
          <t>SOLLEFTEÅ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19205-2025</t>
        </is>
      </c>
      <c r="B1633" s="1" t="n">
        <v>45769.42861111111</v>
      </c>
      <c r="C1633" s="1" t="n">
        <v>45964</v>
      </c>
      <c r="D1633" t="inlineStr">
        <is>
          <t>VÄSTERNORRLANDS LÄN</t>
        </is>
      </c>
      <c r="E1633" t="inlineStr">
        <is>
          <t>SOLLEFTEÅ</t>
        </is>
      </c>
      <c r="F1633" t="inlineStr">
        <is>
          <t>SCA</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19207-2025</t>
        </is>
      </c>
      <c r="B1634" s="1" t="n">
        <v>45769</v>
      </c>
      <c r="C1634" s="1" t="n">
        <v>45964</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18364-2024</t>
        </is>
      </c>
      <c r="B1635" s="1" t="n">
        <v>45422</v>
      </c>
      <c r="C1635" s="1" t="n">
        <v>45964</v>
      </c>
      <c r="D1635" t="inlineStr">
        <is>
          <t>VÄSTERNORRLANDS LÄN</t>
        </is>
      </c>
      <c r="E1635" t="inlineStr">
        <is>
          <t>SOLLEFTEÅ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64617-2023</t>
        </is>
      </c>
      <c r="B1636" s="1" t="n">
        <v>45281</v>
      </c>
      <c r="C1636" s="1" t="n">
        <v>45964</v>
      </c>
      <c r="D1636" t="inlineStr">
        <is>
          <t>VÄSTERNORRLANDS LÄN</t>
        </is>
      </c>
      <c r="E1636" t="inlineStr">
        <is>
          <t>SOLLEFTEÅ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45964</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34560-2024</t>
        </is>
      </c>
      <c r="B1638" s="1" t="n">
        <v>45526.31116898148</v>
      </c>
      <c r="C1638" s="1" t="n">
        <v>45964</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30478-2025</t>
        </is>
      </c>
      <c r="B1639" s="1" t="n">
        <v>45828.45866898148</v>
      </c>
      <c r="C1639" s="1" t="n">
        <v>45964</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c r="U1639">
        <f>HYPERLINK("https://klasma.github.io/Logging_2283/knärot/A 30478-2025 karta knärot.png", "A 30478-2025")</f>
        <v/>
      </c>
      <c r="V1639">
        <f>HYPERLINK("https://klasma.github.io/Logging_2283/klagomål/A 30478-2025 FSC-klagomål.docx", "A 30478-2025")</f>
        <v/>
      </c>
      <c r="W1639">
        <f>HYPERLINK("https://klasma.github.io/Logging_2283/klagomålsmail/A 30478-2025 FSC-klagomål mail.docx", "A 30478-2025")</f>
        <v/>
      </c>
      <c r="X1639">
        <f>HYPERLINK("https://klasma.github.io/Logging_2283/tillsyn/A 30478-2025 tillsynsbegäran.docx", "A 30478-2025")</f>
        <v/>
      </c>
      <c r="Y1639">
        <f>HYPERLINK("https://klasma.github.io/Logging_2283/tillsynsmail/A 30478-2025 tillsynsbegäran mail.docx", "A 30478-2025")</f>
        <v/>
      </c>
    </row>
    <row r="1640" ht="15" customHeight="1">
      <c r="A1640" t="inlineStr">
        <is>
          <t>A 12834-2025</t>
        </is>
      </c>
      <c r="B1640" s="1" t="n">
        <v>45733.63612268519</v>
      </c>
      <c r="C1640" s="1" t="n">
        <v>45964</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12941-2025</t>
        </is>
      </c>
      <c r="B1641" s="1" t="n">
        <v>45734.36525462963</v>
      </c>
      <c r="C1641" s="1" t="n">
        <v>45964</v>
      </c>
      <c r="D1641" t="inlineStr">
        <is>
          <t>VÄSTERNORRLANDS LÄN</t>
        </is>
      </c>
      <c r="E1641" t="inlineStr">
        <is>
          <t>SOLLEFTEÅ</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30750-2025</t>
        </is>
      </c>
      <c r="B1642" s="1" t="n">
        <v>45831.58900462963</v>
      </c>
      <c r="C1642" s="1" t="n">
        <v>45964</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30754-2025</t>
        </is>
      </c>
      <c r="B1643" s="1" t="n">
        <v>45831.59417824074</v>
      </c>
      <c r="C1643" s="1" t="n">
        <v>45964</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27641-2024</t>
        </is>
      </c>
      <c r="B1644" s="1" t="n">
        <v>45474.94694444445</v>
      </c>
      <c r="C1644" s="1" t="n">
        <v>45964</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36078-2022</t>
        </is>
      </c>
      <c r="B1645" s="1" t="n">
        <v>44802.9459375</v>
      </c>
      <c r="C1645" s="1" t="n">
        <v>45964</v>
      </c>
      <c r="D1645" t="inlineStr">
        <is>
          <t>VÄSTERNORRLANDS LÄN</t>
        </is>
      </c>
      <c r="E1645" t="inlineStr">
        <is>
          <t>SOLLEFTEÅ</t>
        </is>
      </c>
      <c r="F1645" t="inlineStr">
        <is>
          <t>SCA</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37201-2024</t>
        </is>
      </c>
      <c r="B1646" s="1" t="n">
        <v>45539</v>
      </c>
      <c r="C1646" s="1" t="n">
        <v>45964</v>
      </c>
      <c r="D1646" t="inlineStr">
        <is>
          <t>VÄSTERNORRLANDS LÄN</t>
        </is>
      </c>
      <c r="E1646" t="inlineStr">
        <is>
          <t>SOLLEFTEÅ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60177-2024</t>
        </is>
      </c>
      <c r="B1647" s="1" t="n">
        <v>45642.63850694444</v>
      </c>
      <c r="C1647" s="1" t="n">
        <v>45964</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30774-2025</t>
        </is>
      </c>
      <c r="B1648" s="1" t="n">
        <v>45831.61501157407</v>
      </c>
      <c r="C1648" s="1" t="n">
        <v>45964</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30834-2025</t>
        </is>
      </c>
      <c r="B1649" s="1" t="n">
        <v>45831.6984837963</v>
      </c>
      <c r="C1649" s="1" t="n">
        <v>45964</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22235-2024</t>
        </is>
      </c>
      <c r="B1650" s="1" t="n">
        <v>45446</v>
      </c>
      <c r="C1650" s="1" t="n">
        <v>45964</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30733-2025</t>
        </is>
      </c>
      <c r="B1651" s="1" t="n">
        <v>45831.57340277778</v>
      </c>
      <c r="C1651" s="1" t="n">
        <v>45964</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30734-2025</t>
        </is>
      </c>
      <c r="B1652" s="1" t="n">
        <v>45831.5734375</v>
      </c>
      <c r="C1652" s="1" t="n">
        <v>45964</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5867-2024</t>
        </is>
      </c>
      <c r="B1653" s="1" t="n">
        <v>45335.64733796296</v>
      </c>
      <c r="C1653" s="1" t="n">
        <v>45964</v>
      </c>
      <c r="D1653" t="inlineStr">
        <is>
          <t>VÄSTERNORRLANDS LÄN</t>
        </is>
      </c>
      <c r="E1653" t="inlineStr">
        <is>
          <t>SOLLEFTEÅ</t>
        </is>
      </c>
      <c r="F1653" t="inlineStr">
        <is>
          <t>Övriga Aktiebolag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43627-2024</t>
        </is>
      </c>
      <c r="B1654" s="1" t="n">
        <v>45569.49006944444</v>
      </c>
      <c r="C1654" s="1" t="n">
        <v>45964</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45964</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30889-2025</t>
        </is>
      </c>
      <c r="B1656" s="1" t="n">
        <v>45832.34618055556</v>
      </c>
      <c r="C1656" s="1" t="n">
        <v>45964</v>
      </c>
      <c r="D1656" t="inlineStr">
        <is>
          <t>VÄSTERNORRLANDS LÄN</t>
        </is>
      </c>
      <c r="E1656" t="inlineStr">
        <is>
          <t>SOLLEFTEÅ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38493-2025</t>
        </is>
      </c>
      <c r="B1657" s="1" t="n">
        <v>45884.36516203704</v>
      </c>
      <c r="C1657" s="1" t="n">
        <v>45964</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30964-2025</t>
        </is>
      </c>
      <c r="B1658" s="1" t="n">
        <v>45832.45111111111</v>
      </c>
      <c r="C1658" s="1" t="n">
        <v>45964</v>
      </c>
      <c r="D1658" t="inlineStr">
        <is>
          <t>VÄSTERNORRLANDS LÄN</t>
        </is>
      </c>
      <c r="E1658" t="inlineStr">
        <is>
          <t>SOLLEFTEÅ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8221-2022</t>
        </is>
      </c>
      <c r="B1659" s="1" t="n">
        <v>44609.93001157408</v>
      </c>
      <c r="C1659" s="1" t="n">
        <v>45964</v>
      </c>
      <c r="D1659" t="inlineStr">
        <is>
          <t>VÄSTERNORRLANDS LÄN</t>
        </is>
      </c>
      <c r="E1659" t="inlineStr">
        <is>
          <t>SOLLEFTEÅ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31183-2025</t>
        </is>
      </c>
      <c r="B1660" s="1" t="n">
        <v>45832.67774305555</v>
      </c>
      <c r="C1660" s="1" t="n">
        <v>45964</v>
      </c>
      <c r="D1660" t="inlineStr">
        <is>
          <t>VÄSTERNORRLANDS LÄN</t>
        </is>
      </c>
      <c r="E1660" t="inlineStr">
        <is>
          <t>SOLLEFTEÅ</t>
        </is>
      </c>
      <c r="F1660" t="inlineStr">
        <is>
          <t>SCA</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31345-2025</t>
        </is>
      </c>
      <c r="B1661" s="1" t="n">
        <v>45833.42854166667</v>
      </c>
      <c r="C1661" s="1" t="n">
        <v>45964</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31347-2025</t>
        </is>
      </c>
      <c r="B1662" s="1" t="n">
        <v>45833</v>
      </c>
      <c r="C1662" s="1" t="n">
        <v>45964</v>
      </c>
      <c r="D1662" t="inlineStr">
        <is>
          <t>VÄSTERNORRLANDS LÄN</t>
        </is>
      </c>
      <c r="E1662" t="inlineStr">
        <is>
          <t>SOLLEFTEÅ</t>
        </is>
      </c>
      <c r="F1662" t="inlineStr">
        <is>
          <t>SCA</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31435-2025</t>
        </is>
      </c>
      <c r="B1663" s="1" t="n">
        <v>45833.49708333334</v>
      </c>
      <c r="C1663" s="1" t="n">
        <v>45964</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23286-2023</t>
        </is>
      </c>
      <c r="B1664" s="1" t="n">
        <v>45075</v>
      </c>
      <c r="C1664" s="1" t="n">
        <v>45964</v>
      </c>
      <c r="D1664" t="inlineStr">
        <is>
          <t>VÄSTERNORRLANDS LÄN</t>
        </is>
      </c>
      <c r="E1664" t="inlineStr">
        <is>
          <t>SOLLEFTEÅ</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31396-2025</t>
        </is>
      </c>
      <c r="B1665" s="1" t="n">
        <v>45833.4658912037</v>
      </c>
      <c r="C1665" s="1" t="n">
        <v>45964</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13499-2023</t>
        </is>
      </c>
      <c r="B1666" s="1" t="n">
        <v>45005</v>
      </c>
      <c r="C1666" s="1" t="n">
        <v>45964</v>
      </c>
      <c r="D1666" t="inlineStr">
        <is>
          <t>VÄSTERNORRLANDS LÄN</t>
        </is>
      </c>
      <c r="E1666" t="inlineStr">
        <is>
          <t>SOLLEFTEÅ</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18187-2022</t>
        </is>
      </c>
      <c r="B1667" s="1" t="n">
        <v>44684</v>
      </c>
      <c r="C1667" s="1" t="n">
        <v>45964</v>
      </c>
      <c r="D1667" t="inlineStr">
        <is>
          <t>VÄSTERNORRLANDS LÄN</t>
        </is>
      </c>
      <c r="E1667" t="inlineStr">
        <is>
          <t>SOLLEFTEÅ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25363-2024</t>
        </is>
      </c>
      <c r="B1668" s="1" t="n">
        <v>45462.95833333334</v>
      </c>
      <c r="C1668" s="1" t="n">
        <v>45964</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25384-2024</t>
        </is>
      </c>
      <c r="B1669" s="1" t="n">
        <v>45462.96334490741</v>
      </c>
      <c r="C1669" s="1" t="n">
        <v>45964</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8652-2024</t>
        </is>
      </c>
      <c r="B1670" s="1" t="n">
        <v>45356</v>
      </c>
      <c r="C1670" s="1" t="n">
        <v>45964</v>
      </c>
      <c r="D1670" t="inlineStr">
        <is>
          <t>VÄSTERNORRLANDS LÄN</t>
        </is>
      </c>
      <c r="E1670" t="inlineStr">
        <is>
          <t>SOLLEFTEÅ</t>
        </is>
      </c>
      <c r="F1670" t="inlineStr">
        <is>
          <t>SCA</t>
        </is>
      </c>
      <c r="G1670" t="n">
        <v>38.6</v>
      </c>
      <c r="H1670" t="n">
        <v>0</v>
      </c>
      <c r="I1670" t="n">
        <v>0</v>
      </c>
      <c r="J1670" t="n">
        <v>0</v>
      </c>
      <c r="K1670" t="n">
        <v>0</v>
      </c>
      <c r="L1670" t="n">
        <v>0</v>
      </c>
      <c r="M1670" t="n">
        <v>0</v>
      </c>
      <c r="N1670" t="n">
        <v>0</v>
      </c>
      <c r="O1670" t="n">
        <v>0</v>
      </c>
      <c r="P1670" t="n">
        <v>0</v>
      </c>
      <c r="Q1670" t="n">
        <v>0</v>
      </c>
      <c r="R1670" s="2" t="inlineStr"/>
    </row>
    <row r="1671" ht="15" customHeight="1">
      <c r="A1671" t="inlineStr">
        <is>
          <t>A 31423-2025</t>
        </is>
      </c>
      <c r="B1671" s="1" t="n">
        <v>45833.48957175926</v>
      </c>
      <c r="C1671" s="1" t="n">
        <v>45964</v>
      </c>
      <c r="D1671" t="inlineStr">
        <is>
          <t>VÄSTERNORRLANDS LÄN</t>
        </is>
      </c>
      <c r="E1671" t="inlineStr">
        <is>
          <t>SOLLEFTEÅ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31306-2025</t>
        </is>
      </c>
      <c r="B1672" s="1" t="n">
        <v>45833</v>
      </c>
      <c r="C1672" s="1" t="n">
        <v>45964</v>
      </c>
      <c r="D1672" t="inlineStr">
        <is>
          <t>VÄSTERNORRLANDS LÄN</t>
        </is>
      </c>
      <c r="E1672" t="inlineStr">
        <is>
          <t>SOLLEFTEÅ</t>
        </is>
      </c>
      <c r="F1672" t="inlineStr">
        <is>
          <t>SCA</t>
        </is>
      </c>
      <c r="G1672" t="n">
        <v>19.3</v>
      </c>
      <c r="H1672" t="n">
        <v>0</v>
      </c>
      <c r="I1672" t="n">
        <v>0</v>
      </c>
      <c r="J1672" t="n">
        <v>0</v>
      </c>
      <c r="K1672" t="n">
        <v>0</v>
      </c>
      <c r="L1672" t="n">
        <v>0</v>
      </c>
      <c r="M1672" t="n">
        <v>0</v>
      </c>
      <c r="N1672" t="n">
        <v>0</v>
      </c>
      <c r="O1672" t="n">
        <v>0</v>
      </c>
      <c r="P1672" t="n">
        <v>0</v>
      </c>
      <c r="Q1672" t="n">
        <v>0</v>
      </c>
      <c r="R1672" s="2" t="inlineStr"/>
    </row>
    <row r="1673" ht="15" customHeight="1">
      <c r="A1673" t="inlineStr">
        <is>
          <t>A 50698-2023</t>
        </is>
      </c>
      <c r="B1673" s="1" t="n">
        <v>45210</v>
      </c>
      <c r="C1673" s="1" t="n">
        <v>45964</v>
      </c>
      <c r="D1673" t="inlineStr">
        <is>
          <t>VÄSTERNORRLANDS LÄN</t>
        </is>
      </c>
      <c r="E1673" t="inlineStr">
        <is>
          <t>SOLLEFTEÅ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31337-2025</t>
        </is>
      </c>
      <c r="B1674" s="1" t="n">
        <v>45833.42751157407</v>
      </c>
      <c r="C1674" s="1" t="n">
        <v>45964</v>
      </c>
      <c r="D1674" t="inlineStr">
        <is>
          <t>VÄSTERNORRLANDS LÄN</t>
        </is>
      </c>
      <c r="E1674" t="inlineStr">
        <is>
          <t>SOLLEFTEÅ</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31545-2025</t>
        </is>
      </c>
      <c r="B1675" s="1" t="n">
        <v>45833.63615740741</v>
      </c>
      <c r="C1675" s="1" t="n">
        <v>45964</v>
      </c>
      <c r="D1675" t="inlineStr">
        <is>
          <t>VÄSTERNORRLANDS LÄN</t>
        </is>
      </c>
      <c r="E1675" t="inlineStr">
        <is>
          <t>SOLLEFTEÅ</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42970-2024</t>
        </is>
      </c>
      <c r="B1676" s="1" t="n">
        <v>45567.37322916667</v>
      </c>
      <c r="C1676" s="1" t="n">
        <v>45964</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42981-2024</t>
        </is>
      </c>
      <c r="B1677" s="1" t="n">
        <v>45567.37460648148</v>
      </c>
      <c r="C1677" s="1" t="n">
        <v>45964</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31432-2025</t>
        </is>
      </c>
      <c r="B1678" s="1" t="n">
        <v>45833.49442129629</v>
      </c>
      <c r="C1678" s="1" t="n">
        <v>45964</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31304-2025</t>
        </is>
      </c>
      <c r="B1679" s="1" t="n">
        <v>45833.38600694444</v>
      </c>
      <c r="C1679" s="1" t="n">
        <v>45964</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31338-2025</t>
        </is>
      </c>
      <c r="B1680" s="1" t="n">
        <v>45833.42768518518</v>
      </c>
      <c r="C1680" s="1" t="n">
        <v>45964</v>
      </c>
      <c r="D1680" t="inlineStr">
        <is>
          <t>VÄSTERNORRLANDS LÄN</t>
        </is>
      </c>
      <c r="E1680" t="inlineStr">
        <is>
          <t>SOLLEFTEÅ</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31437-2025</t>
        </is>
      </c>
      <c r="B1681" s="1" t="n">
        <v>45833.49855324074</v>
      </c>
      <c r="C1681" s="1" t="n">
        <v>45964</v>
      </c>
      <c r="D1681" t="inlineStr">
        <is>
          <t>VÄSTERNORRLANDS LÄN</t>
        </is>
      </c>
      <c r="E1681" t="inlineStr">
        <is>
          <t>SOLLEFTEÅ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31479-2025</t>
        </is>
      </c>
      <c r="B1682" s="1" t="n">
        <v>45833.57333333333</v>
      </c>
      <c r="C1682" s="1" t="n">
        <v>45964</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1465-2025</t>
        </is>
      </c>
      <c r="B1683" s="1" t="n">
        <v>45670.36513888889</v>
      </c>
      <c r="C1683" s="1" t="n">
        <v>45964</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33713-2023</t>
        </is>
      </c>
      <c r="B1684" s="1" t="n">
        <v>45132.94952546297</v>
      </c>
      <c r="C1684" s="1" t="n">
        <v>45964</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33134-2024</t>
        </is>
      </c>
      <c r="B1685" s="1" t="n">
        <v>45518</v>
      </c>
      <c r="C1685" s="1" t="n">
        <v>45964</v>
      </c>
      <c r="D1685" t="inlineStr">
        <is>
          <t>VÄSTERNORRLANDS LÄN</t>
        </is>
      </c>
      <c r="E1685" t="inlineStr">
        <is>
          <t>SOLLEFTEÅ</t>
        </is>
      </c>
      <c r="F1685" t="inlineStr">
        <is>
          <t>Holmen skog AB</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33141-2024</t>
        </is>
      </c>
      <c r="B1686" s="1" t="n">
        <v>45518</v>
      </c>
      <c r="C1686" s="1" t="n">
        <v>45964</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32271-2025</t>
        </is>
      </c>
      <c r="B1687" s="1" t="n">
        <v>45835.65662037037</v>
      </c>
      <c r="C1687" s="1" t="n">
        <v>45964</v>
      </c>
      <c r="D1687" t="inlineStr">
        <is>
          <t>VÄSTERNORRLANDS LÄN</t>
        </is>
      </c>
      <c r="E1687" t="inlineStr">
        <is>
          <t>SOLLEFTEÅ</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49171-2022</t>
        </is>
      </c>
      <c r="B1688" s="1" t="n">
        <v>44860.9269212963</v>
      </c>
      <c r="C1688" s="1" t="n">
        <v>45964</v>
      </c>
      <c r="D1688" t="inlineStr">
        <is>
          <t>VÄSTERNORRLANDS LÄN</t>
        </is>
      </c>
      <c r="E1688" t="inlineStr">
        <is>
          <t>SOLLEFTEÅ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32291-2025</t>
        </is>
      </c>
      <c r="B1689" s="1" t="n">
        <v>45835.69961805556</v>
      </c>
      <c r="C1689" s="1" t="n">
        <v>45964</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32280-2025</t>
        </is>
      </c>
      <c r="B1690" s="1" t="n">
        <v>45835.67638888889</v>
      </c>
      <c r="C1690" s="1" t="n">
        <v>45964</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32069-2025</t>
        </is>
      </c>
      <c r="B1691" s="1" t="n">
        <v>45835.4487037037</v>
      </c>
      <c r="C1691" s="1" t="n">
        <v>45964</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32139-2025</t>
        </is>
      </c>
      <c r="B1692" s="1" t="n">
        <v>45835</v>
      </c>
      <c r="C1692" s="1" t="n">
        <v>45964</v>
      </c>
      <c r="D1692" t="inlineStr">
        <is>
          <t>VÄSTERNORRLANDS LÄN</t>
        </is>
      </c>
      <c r="E1692" t="inlineStr">
        <is>
          <t>SOLLEFTEÅ</t>
        </is>
      </c>
      <c r="G1692" t="n">
        <v>17.8</v>
      </c>
      <c r="H1692" t="n">
        <v>0</v>
      </c>
      <c r="I1692" t="n">
        <v>0</v>
      </c>
      <c r="J1692" t="n">
        <v>0</v>
      </c>
      <c r="K1692" t="n">
        <v>0</v>
      </c>
      <c r="L1692" t="n">
        <v>0</v>
      </c>
      <c r="M1692" t="n">
        <v>0</v>
      </c>
      <c r="N1692" t="n">
        <v>0</v>
      </c>
      <c r="O1692" t="n">
        <v>0</v>
      </c>
      <c r="P1692" t="n">
        <v>0</v>
      </c>
      <c r="Q1692" t="n">
        <v>0</v>
      </c>
      <c r="R1692" s="2" t="inlineStr"/>
    </row>
    <row r="1693" ht="15" customHeight="1">
      <c r="A1693" t="inlineStr">
        <is>
          <t>A 18882-2021</t>
        </is>
      </c>
      <c r="B1693" s="1" t="n">
        <v>44307.93505787037</v>
      </c>
      <c r="C1693" s="1" t="n">
        <v>45964</v>
      </c>
      <c r="D1693" t="inlineStr">
        <is>
          <t>VÄSTERNORRLANDS LÄN</t>
        </is>
      </c>
      <c r="E1693" t="inlineStr">
        <is>
          <t>SOLLEFTEÅ</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19055-2022</t>
        </is>
      </c>
      <c r="B1694" s="1" t="n">
        <v>44691.42189814815</v>
      </c>
      <c r="C1694" s="1" t="n">
        <v>45964</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2816-2024</t>
        </is>
      </c>
      <c r="B1695" s="1" t="n">
        <v>45314</v>
      </c>
      <c r="C1695" s="1" t="n">
        <v>45964</v>
      </c>
      <c r="D1695" t="inlineStr">
        <is>
          <t>VÄSTERNORRLANDS LÄN</t>
        </is>
      </c>
      <c r="E1695" t="inlineStr">
        <is>
          <t>SOLLEFTEÅ</t>
        </is>
      </c>
      <c r="F1695" t="inlineStr">
        <is>
          <t>Holmen skog AB</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40355-2024</t>
        </is>
      </c>
      <c r="B1696" s="1" t="n">
        <v>45555.36541666667</v>
      </c>
      <c r="C1696" s="1" t="n">
        <v>45964</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32073-2025</t>
        </is>
      </c>
      <c r="B1697" s="1" t="n">
        <v>45835.44931712963</v>
      </c>
      <c r="C1697" s="1" t="n">
        <v>45964</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37671-2023</t>
        </is>
      </c>
      <c r="B1698" s="1" t="n">
        <v>45156</v>
      </c>
      <c r="C1698" s="1" t="n">
        <v>45964</v>
      </c>
      <c r="D1698" t="inlineStr">
        <is>
          <t>VÄSTERNORRLANDS LÄN</t>
        </is>
      </c>
      <c r="E1698" t="inlineStr">
        <is>
          <t>SOLLEFTEÅ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54559-2022</t>
        </is>
      </c>
      <c r="B1699" s="1" t="n">
        <v>44882</v>
      </c>
      <c r="C1699" s="1" t="n">
        <v>45964</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28658-2025</t>
        </is>
      </c>
      <c r="B1700" s="1" t="n">
        <v>45819</v>
      </c>
      <c r="C1700" s="1" t="n">
        <v>45964</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20859-2023</t>
        </is>
      </c>
      <c r="B1701" s="1" t="n">
        <v>45058.94212962963</v>
      </c>
      <c r="C1701" s="1" t="n">
        <v>45964</v>
      </c>
      <c r="D1701" t="inlineStr">
        <is>
          <t>VÄSTERNORRLANDS LÄN</t>
        </is>
      </c>
      <c r="E1701" t="inlineStr">
        <is>
          <t>SOLLEFTEÅ</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54458-2024</t>
        </is>
      </c>
      <c r="B1702" s="1" t="n">
        <v>45617.5325</v>
      </c>
      <c r="C1702" s="1" t="n">
        <v>45964</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38507-2025</t>
        </is>
      </c>
      <c r="B1703" s="1" t="n">
        <v>45884.38591435185</v>
      </c>
      <c r="C1703" s="1" t="n">
        <v>45964</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29210-2023</t>
        </is>
      </c>
      <c r="B1704" s="1" t="n">
        <v>45097</v>
      </c>
      <c r="C1704" s="1" t="n">
        <v>45964</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29336-2023</t>
        </is>
      </c>
      <c r="B1705" s="1" t="n">
        <v>45105</v>
      </c>
      <c r="C1705" s="1" t="n">
        <v>45964</v>
      </c>
      <c r="D1705" t="inlineStr">
        <is>
          <t>VÄSTERNORRLANDS LÄN</t>
        </is>
      </c>
      <c r="E1705" t="inlineStr">
        <is>
          <t>SOLLEFTEÅ</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32029-2025</t>
        </is>
      </c>
      <c r="B1706" s="1" t="n">
        <v>45835.40788194445</v>
      </c>
      <c r="C1706" s="1" t="n">
        <v>45964</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32112-2025</t>
        </is>
      </c>
      <c r="B1707" s="1" t="n">
        <v>45835.48392361111</v>
      </c>
      <c r="C1707" s="1" t="n">
        <v>45964</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59491-2024</t>
        </is>
      </c>
      <c r="B1708" s="1" t="n">
        <v>45637</v>
      </c>
      <c r="C1708" s="1" t="n">
        <v>45964</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12561-2022</t>
        </is>
      </c>
      <c r="B1709" s="1" t="n">
        <v>44638</v>
      </c>
      <c r="C1709" s="1" t="n">
        <v>45964</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12820-2023</t>
        </is>
      </c>
      <c r="B1710" s="1" t="n">
        <v>45000</v>
      </c>
      <c r="C1710" s="1" t="n">
        <v>45964</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61480-2021</t>
        </is>
      </c>
      <c r="B1711" s="1" t="n">
        <v>44500</v>
      </c>
      <c r="C1711" s="1" t="n">
        <v>45964</v>
      </c>
      <c r="D1711" t="inlineStr">
        <is>
          <t>VÄSTERNORRLANDS LÄN</t>
        </is>
      </c>
      <c r="E1711" t="inlineStr">
        <is>
          <t>SOLLEFTEÅ</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26444-2024</t>
        </is>
      </c>
      <c r="B1712" s="1" t="n">
        <v>45469.50122685185</v>
      </c>
      <c r="C1712" s="1" t="n">
        <v>45964</v>
      </c>
      <c r="D1712" t="inlineStr">
        <is>
          <t>VÄSTERNORRLANDS LÄN</t>
        </is>
      </c>
      <c r="E1712" t="inlineStr">
        <is>
          <t>SOLLEFTEÅ</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40211-2024</t>
        </is>
      </c>
      <c r="B1713" s="1" t="n">
        <v>45554.59435185185</v>
      </c>
      <c r="C1713" s="1" t="n">
        <v>45964</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18111-2025</t>
        </is>
      </c>
      <c r="B1714" s="1" t="n">
        <v>45761.57334490741</v>
      </c>
      <c r="C1714" s="1" t="n">
        <v>45964</v>
      </c>
      <c r="D1714" t="inlineStr">
        <is>
          <t>VÄSTERNORRLANDS LÄN</t>
        </is>
      </c>
      <c r="E1714" t="inlineStr">
        <is>
          <t>SOLLEFTEÅ</t>
        </is>
      </c>
      <c r="F1714" t="inlineStr">
        <is>
          <t>SCA</t>
        </is>
      </c>
      <c r="G1714" t="n">
        <v>41.6</v>
      </c>
      <c r="H1714" t="n">
        <v>0</v>
      </c>
      <c r="I1714" t="n">
        <v>0</v>
      </c>
      <c r="J1714" t="n">
        <v>0</v>
      </c>
      <c r="K1714" t="n">
        <v>0</v>
      </c>
      <c r="L1714" t="n">
        <v>0</v>
      </c>
      <c r="M1714" t="n">
        <v>0</v>
      </c>
      <c r="N1714" t="n">
        <v>0</v>
      </c>
      <c r="O1714" t="n">
        <v>0</v>
      </c>
      <c r="P1714" t="n">
        <v>0</v>
      </c>
      <c r="Q1714" t="n">
        <v>0</v>
      </c>
      <c r="R1714" s="2" t="inlineStr"/>
    </row>
    <row r="1715" ht="15" customHeight="1">
      <c r="A1715" t="inlineStr">
        <is>
          <t>A 31801-2025</t>
        </is>
      </c>
      <c r="B1715" s="1" t="n">
        <v>45834.55290509259</v>
      </c>
      <c r="C1715" s="1" t="n">
        <v>45964</v>
      </c>
      <c r="D1715" t="inlineStr">
        <is>
          <t>VÄSTERNORRLANDS LÄN</t>
        </is>
      </c>
      <c r="E1715" t="inlineStr">
        <is>
          <t>SOLLEFTEÅ</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3096-2025</t>
        </is>
      </c>
      <c r="B1716" s="1" t="n">
        <v>45678.66643518519</v>
      </c>
      <c r="C1716" s="1" t="n">
        <v>45964</v>
      </c>
      <c r="D1716" t="inlineStr">
        <is>
          <t>VÄSTERNORRLANDS LÄN</t>
        </is>
      </c>
      <c r="E1716" t="inlineStr">
        <is>
          <t>SOLLEFTEÅ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31665-2025</t>
        </is>
      </c>
      <c r="B1717" s="1" t="n">
        <v>45834.36497685185</v>
      </c>
      <c r="C1717" s="1" t="n">
        <v>45964</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31963-2025</t>
        </is>
      </c>
      <c r="B1718" s="1" t="n">
        <v>45835.34480324074</v>
      </c>
      <c r="C1718" s="1" t="n">
        <v>45964</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43049-2024</t>
        </is>
      </c>
      <c r="B1719" s="1" t="n">
        <v>45567</v>
      </c>
      <c r="C1719" s="1" t="n">
        <v>45964</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49711-2021</t>
        </is>
      </c>
      <c r="B1720" s="1" t="n">
        <v>44455</v>
      </c>
      <c r="C1720" s="1" t="n">
        <v>45964</v>
      </c>
      <c r="D1720" t="inlineStr">
        <is>
          <t>VÄSTERNORRLANDS LÄN</t>
        </is>
      </c>
      <c r="E1720" t="inlineStr">
        <is>
          <t>SOLLEFTEÅ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32749-2025</t>
        </is>
      </c>
      <c r="B1721" s="1" t="n">
        <v>45839.42834490741</v>
      </c>
      <c r="C1721" s="1" t="n">
        <v>45964</v>
      </c>
      <c r="D1721" t="inlineStr">
        <is>
          <t>VÄSTERNORRLANDS LÄN</t>
        </is>
      </c>
      <c r="E1721" t="inlineStr">
        <is>
          <t>SOLLEFTEÅ</t>
        </is>
      </c>
      <c r="F1721" t="inlineStr">
        <is>
          <t>SCA</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47185-2023</t>
        </is>
      </c>
      <c r="B1722" s="1" t="n">
        <v>45201</v>
      </c>
      <c r="C1722" s="1" t="n">
        <v>45964</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12632-2025</t>
        </is>
      </c>
      <c r="B1723" s="1" t="n">
        <v>45733.37693287037</v>
      </c>
      <c r="C1723" s="1" t="n">
        <v>45964</v>
      </c>
      <c r="D1723" t="inlineStr">
        <is>
          <t>VÄSTERNORRLANDS LÄN</t>
        </is>
      </c>
      <c r="E1723" t="inlineStr">
        <is>
          <t>SOLLEFTEÅ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32745-2025</t>
        </is>
      </c>
      <c r="B1724" s="1" t="n">
        <v>45839.42753472222</v>
      </c>
      <c r="C1724" s="1" t="n">
        <v>45964</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53524-2021</t>
        </is>
      </c>
      <c r="B1725" s="1" t="n">
        <v>44468</v>
      </c>
      <c r="C1725" s="1" t="n">
        <v>45964</v>
      </c>
      <c r="D1725" t="inlineStr">
        <is>
          <t>VÄSTERNORRLANDS LÄN</t>
        </is>
      </c>
      <c r="E1725" t="inlineStr">
        <is>
          <t>SOLLEFTEÅ</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26655-2024</t>
        </is>
      </c>
      <c r="B1726" s="1" t="n">
        <v>45469</v>
      </c>
      <c r="C1726" s="1" t="n">
        <v>45964</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9967-2025</t>
        </is>
      </c>
      <c r="B1727" s="1" t="n">
        <v>45719.37890046297</v>
      </c>
      <c r="C1727" s="1" t="n">
        <v>45964</v>
      </c>
      <c r="D1727" t="inlineStr">
        <is>
          <t>VÄSTERNORRLANDS LÄN</t>
        </is>
      </c>
      <c r="E1727" t="inlineStr">
        <is>
          <t>SOLLEFTEÅ</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45435-2024</t>
        </is>
      </c>
      <c r="B1728" s="1" t="n">
        <v>45576.61538194444</v>
      </c>
      <c r="C1728" s="1" t="n">
        <v>45964</v>
      </c>
      <c r="D1728" t="inlineStr">
        <is>
          <t>VÄSTERNORRLANDS LÄN</t>
        </is>
      </c>
      <c r="E1728" t="inlineStr">
        <is>
          <t>SOLLEFTEÅ</t>
        </is>
      </c>
      <c r="F1728" t="inlineStr">
        <is>
          <t>SCA</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31554-2024</t>
        </is>
      </c>
      <c r="B1729" s="1" t="n">
        <v>45505.96472222222</v>
      </c>
      <c r="C1729" s="1" t="n">
        <v>45964</v>
      </c>
      <c r="D1729" t="inlineStr">
        <is>
          <t>VÄSTERNORRLANDS LÄN</t>
        </is>
      </c>
      <c r="E1729" t="inlineStr">
        <is>
          <t>SOLLEFTEÅ</t>
        </is>
      </c>
      <c r="F1729" t="inlineStr">
        <is>
          <t>SCA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4931-2025</t>
        </is>
      </c>
      <c r="B1730" s="1" t="n">
        <v>45688.68476851852</v>
      </c>
      <c r="C1730" s="1" t="n">
        <v>45964</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32346-2025</t>
        </is>
      </c>
      <c r="B1731" s="1" t="n">
        <v>45837.44827546296</v>
      </c>
      <c r="C1731" s="1" t="n">
        <v>45964</v>
      </c>
      <c r="D1731" t="inlineStr">
        <is>
          <t>VÄSTERNORRLANDS LÄN</t>
        </is>
      </c>
      <c r="E1731" t="inlineStr">
        <is>
          <t>SOLLEFTEÅ</t>
        </is>
      </c>
      <c r="F1731" t="inlineStr">
        <is>
          <t>SCA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1082-2025</t>
        </is>
      </c>
      <c r="B1732" s="1" t="n">
        <v>45666.61646990741</v>
      </c>
      <c r="C1732" s="1" t="n">
        <v>45964</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15872-2024</t>
        </is>
      </c>
      <c r="B1733" s="1" t="n">
        <v>45405</v>
      </c>
      <c r="C1733" s="1" t="n">
        <v>45964</v>
      </c>
      <c r="D1733" t="inlineStr">
        <is>
          <t>VÄSTERNORRLANDS LÄN</t>
        </is>
      </c>
      <c r="E1733" t="inlineStr">
        <is>
          <t>SOLLEFTEÅ</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32338-2025</t>
        </is>
      </c>
      <c r="B1734" s="1" t="n">
        <v>45836.67751157407</v>
      </c>
      <c r="C1734" s="1" t="n">
        <v>45964</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3319-2025</t>
        </is>
      </c>
      <c r="B1735" s="1" t="n">
        <v>45679</v>
      </c>
      <c r="C1735" s="1" t="n">
        <v>45964</v>
      </c>
      <c r="D1735" t="inlineStr">
        <is>
          <t>VÄSTERNORRLANDS LÄN</t>
        </is>
      </c>
      <c r="E1735" t="inlineStr">
        <is>
          <t>SOLLEFTEÅ</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394-2024</t>
        </is>
      </c>
      <c r="B1736" s="1" t="n">
        <v>45296</v>
      </c>
      <c r="C1736" s="1" t="n">
        <v>45964</v>
      </c>
      <c r="D1736" t="inlineStr">
        <is>
          <t>VÄSTERNORRLANDS LÄN</t>
        </is>
      </c>
      <c r="E1736" t="inlineStr">
        <is>
          <t>SOLLEFTEÅ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12006-2022</t>
        </is>
      </c>
      <c r="B1737" s="1" t="n">
        <v>44635.92496527778</v>
      </c>
      <c r="C1737" s="1" t="n">
        <v>45964</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32537-2025</t>
        </is>
      </c>
      <c r="B1738" s="1" t="n">
        <v>45838.49689814815</v>
      </c>
      <c r="C1738" s="1" t="n">
        <v>45964</v>
      </c>
      <c r="D1738" t="inlineStr">
        <is>
          <t>VÄSTERNORRLANDS LÄN</t>
        </is>
      </c>
      <c r="E1738" t="inlineStr">
        <is>
          <t>SOLLEFTEÅ</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3082-2025</t>
        </is>
      </c>
      <c r="B1739" s="1" t="n">
        <v>45678.64443287037</v>
      </c>
      <c r="C1739" s="1" t="n">
        <v>45964</v>
      </c>
      <c r="D1739" t="inlineStr">
        <is>
          <t>VÄSTERNORRLANDS LÄN</t>
        </is>
      </c>
      <c r="E1739" t="inlineStr">
        <is>
          <t>SOLLEFTEÅ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34313-2024</t>
        </is>
      </c>
      <c r="B1740" s="1" t="n">
        <v>45524</v>
      </c>
      <c r="C1740" s="1" t="n">
        <v>45964</v>
      </c>
      <c r="D1740" t="inlineStr">
        <is>
          <t>VÄSTERNORRLANDS LÄN</t>
        </is>
      </c>
      <c r="E1740" t="inlineStr">
        <is>
          <t>SOLLEFTEÅ</t>
        </is>
      </c>
      <c r="F1740" t="inlineStr">
        <is>
          <t>Övriga statliga verk och myndigheter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34318-2024</t>
        </is>
      </c>
      <c r="B1741" s="1" t="n">
        <v>45524</v>
      </c>
      <c r="C1741" s="1" t="n">
        <v>45964</v>
      </c>
      <c r="D1741" t="inlineStr">
        <is>
          <t>VÄSTERNORRLANDS LÄN</t>
        </is>
      </c>
      <c r="E1741" t="inlineStr">
        <is>
          <t>SOLLEFTEÅ</t>
        </is>
      </c>
      <c r="F1741" t="inlineStr">
        <is>
          <t>Övriga statliga verk och myndigheter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53483-2024</t>
        </is>
      </c>
      <c r="B1742" s="1" t="n">
        <v>45611</v>
      </c>
      <c r="C1742" s="1" t="n">
        <v>45964</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5874-2024</t>
        </is>
      </c>
      <c r="B1743" s="1" t="n">
        <v>45335.6615625</v>
      </c>
      <c r="C1743" s="1" t="n">
        <v>45964</v>
      </c>
      <c r="D1743" t="inlineStr">
        <is>
          <t>VÄSTERNORRLANDS LÄN</t>
        </is>
      </c>
      <c r="E1743" t="inlineStr">
        <is>
          <t>SOLLEFTEÅ</t>
        </is>
      </c>
      <c r="F1743" t="inlineStr">
        <is>
          <t>Övriga Aktiebolag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8084-2025</t>
        </is>
      </c>
      <c r="B1744" s="1" t="n">
        <v>45707</v>
      </c>
      <c r="C1744" s="1" t="n">
        <v>45964</v>
      </c>
      <c r="D1744" t="inlineStr">
        <is>
          <t>VÄSTERNORRLANDS LÄN</t>
        </is>
      </c>
      <c r="E1744" t="inlineStr">
        <is>
          <t>SOLLEFTEÅ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38959-2025</t>
        </is>
      </c>
      <c r="B1745" s="1" t="n">
        <v>45887.67769675926</v>
      </c>
      <c r="C1745" s="1" t="n">
        <v>45964</v>
      </c>
      <c r="D1745" t="inlineStr">
        <is>
          <t>VÄSTERNORRLANDS LÄN</t>
        </is>
      </c>
      <c r="E1745" t="inlineStr">
        <is>
          <t>SOLLEFTEÅ</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33502-2025</t>
        </is>
      </c>
      <c r="B1746" s="1" t="n">
        <v>45841.51101851852</v>
      </c>
      <c r="C1746" s="1" t="n">
        <v>45964</v>
      </c>
      <c r="D1746" t="inlineStr">
        <is>
          <t>VÄSTERNORRLANDS LÄN</t>
        </is>
      </c>
      <c r="E1746" t="inlineStr">
        <is>
          <t>SOLLEFTEÅ</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58427-2023</t>
        </is>
      </c>
      <c r="B1747" s="1" t="n">
        <v>45250</v>
      </c>
      <c r="C1747" s="1" t="n">
        <v>45964</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23730-2024</t>
        </is>
      </c>
      <c r="B1748" s="1" t="n">
        <v>45454.95877314815</v>
      </c>
      <c r="C1748" s="1" t="n">
        <v>45964</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36771-2023</t>
        </is>
      </c>
      <c r="B1749" s="1" t="n">
        <v>45153</v>
      </c>
      <c r="C1749" s="1" t="n">
        <v>45964</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38910-2025</t>
        </is>
      </c>
      <c r="B1750" s="1" t="n">
        <v>45887.61509259259</v>
      </c>
      <c r="C1750" s="1" t="n">
        <v>45964</v>
      </c>
      <c r="D1750" t="inlineStr">
        <is>
          <t>VÄSTERNORRLANDS LÄN</t>
        </is>
      </c>
      <c r="E1750" t="inlineStr">
        <is>
          <t>SOLLEFTEÅ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20066-2024</t>
        </is>
      </c>
      <c r="B1751" s="1" t="n">
        <v>45434</v>
      </c>
      <c r="C1751" s="1" t="n">
        <v>45964</v>
      </c>
      <c r="D1751" t="inlineStr">
        <is>
          <t>VÄSTERNORRLANDS LÄN</t>
        </is>
      </c>
      <c r="E1751" t="inlineStr">
        <is>
          <t>SOLLEFTEÅ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4859-2025</t>
        </is>
      </c>
      <c r="B1752" s="1" t="n">
        <v>45688.67451388889</v>
      </c>
      <c r="C1752" s="1" t="n">
        <v>45964</v>
      </c>
      <c r="D1752" t="inlineStr">
        <is>
          <t>VÄSTERNORRLANDS LÄN</t>
        </is>
      </c>
      <c r="E1752" t="inlineStr">
        <is>
          <t>SOLLEFTEÅ</t>
        </is>
      </c>
      <c r="F1752" t="inlineStr">
        <is>
          <t>SCA</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4894-2025</t>
        </is>
      </c>
      <c r="B1753" s="1" t="n">
        <v>45688.67888888889</v>
      </c>
      <c r="C1753" s="1" t="n">
        <v>45964</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42950-2024</t>
        </is>
      </c>
      <c r="B1754" s="1" t="n">
        <v>45567.36657407408</v>
      </c>
      <c r="C1754" s="1" t="n">
        <v>45964</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20515-2024</t>
        </is>
      </c>
      <c r="B1755" s="1" t="n">
        <v>45435</v>
      </c>
      <c r="C1755" s="1" t="n">
        <v>45964</v>
      </c>
      <c r="D1755" t="inlineStr">
        <is>
          <t>VÄSTERNORRLANDS LÄN</t>
        </is>
      </c>
      <c r="E1755" t="inlineStr">
        <is>
          <t>SOLLEFTEÅ</t>
        </is>
      </c>
      <c r="F1755" t="inlineStr">
        <is>
          <t>SCA</t>
        </is>
      </c>
      <c r="G1755" t="n">
        <v>18.8</v>
      </c>
      <c r="H1755" t="n">
        <v>0</v>
      </c>
      <c r="I1755" t="n">
        <v>0</v>
      </c>
      <c r="J1755" t="n">
        <v>0</v>
      </c>
      <c r="K1755" t="n">
        <v>0</v>
      </c>
      <c r="L1755" t="n">
        <v>0</v>
      </c>
      <c r="M1755" t="n">
        <v>0</v>
      </c>
      <c r="N1755" t="n">
        <v>0</v>
      </c>
      <c r="O1755" t="n">
        <v>0</v>
      </c>
      <c r="P1755" t="n">
        <v>0</v>
      </c>
      <c r="Q1755" t="n">
        <v>0</v>
      </c>
      <c r="R1755" s="2" t="inlineStr"/>
    </row>
    <row r="1756" ht="15" customHeight="1">
      <c r="A1756" t="inlineStr">
        <is>
          <t>A 33430-2025</t>
        </is>
      </c>
      <c r="B1756" s="1" t="n">
        <v>45841.44829861111</v>
      </c>
      <c r="C1756" s="1" t="n">
        <v>45964</v>
      </c>
      <c r="D1756" t="inlineStr">
        <is>
          <t>VÄSTERNORRLANDS LÄN</t>
        </is>
      </c>
      <c r="E1756" t="inlineStr">
        <is>
          <t>SOLLEFTEÅ</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33436-2025</t>
        </is>
      </c>
      <c r="B1757" s="1" t="n">
        <v>45841.44898148148</v>
      </c>
      <c r="C1757" s="1" t="n">
        <v>45964</v>
      </c>
      <c r="D1757" t="inlineStr">
        <is>
          <t>VÄSTERNORRLANDS LÄN</t>
        </is>
      </c>
      <c r="E1757" t="inlineStr">
        <is>
          <t>SOLLEFTEÅ</t>
        </is>
      </c>
      <c r="F1757" t="inlineStr">
        <is>
          <t>SCA</t>
        </is>
      </c>
      <c r="G1757" t="n">
        <v>19.2</v>
      </c>
      <c r="H1757" t="n">
        <v>0</v>
      </c>
      <c r="I1757" t="n">
        <v>0</v>
      </c>
      <c r="J1757" t="n">
        <v>0</v>
      </c>
      <c r="K1757" t="n">
        <v>0</v>
      </c>
      <c r="L1757" t="n">
        <v>0</v>
      </c>
      <c r="M1757" t="n">
        <v>0</v>
      </c>
      <c r="N1757" t="n">
        <v>0</v>
      </c>
      <c r="O1757" t="n">
        <v>0</v>
      </c>
      <c r="P1757" t="n">
        <v>0</v>
      </c>
      <c r="Q1757" t="n">
        <v>0</v>
      </c>
      <c r="R1757" s="2" t="inlineStr"/>
    </row>
    <row r="1758" ht="15" customHeight="1">
      <c r="A1758" t="inlineStr">
        <is>
          <t>A 33437-2025</t>
        </is>
      </c>
      <c r="B1758" s="1" t="n">
        <v>45841.4502199074</v>
      </c>
      <c r="C1758" s="1" t="n">
        <v>45964</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52136-2023</t>
        </is>
      </c>
      <c r="B1759" s="1" t="n">
        <v>45223.96625</v>
      </c>
      <c r="C1759" s="1" t="n">
        <v>45964</v>
      </c>
      <c r="D1759" t="inlineStr">
        <is>
          <t>VÄSTERNORRLANDS LÄN</t>
        </is>
      </c>
      <c r="E1759" t="inlineStr">
        <is>
          <t>SOLLEFTEÅ</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46212-2023</t>
        </is>
      </c>
      <c r="B1760" s="1" t="n">
        <v>45190</v>
      </c>
      <c r="C1760" s="1" t="n">
        <v>45964</v>
      </c>
      <c r="D1760" t="inlineStr">
        <is>
          <t>VÄSTERNORRLANDS LÄN</t>
        </is>
      </c>
      <c r="E1760" t="inlineStr">
        <is>
          <t>SOLLEFTEÅ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33676-2025</t>
        </is>
      </c>
      <c r="B1761" s="1" t="n">
        <v>45841.67818287037</v>
      </c>
      <c r="C1761" s="1" t="n">
        <v>45964</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39399-2023</t>
        </is>
      </c>
      <c r="B1762" s="1" t="n">
        <v>45163</v>
      </c>
      <c r="C1762" s="1" t="n">
        <v>45964</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15147-2024</t>
        </is>
      </c>
      <c r="B1763" s="1" t="n">
        <v>45399.94372685185</v>
      </c>
      <c r="C1763" s="1" t="n">
        <v>45964</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29070-2023</t>
        </is>
      </c>
      <c r="B1764" s="1" t="n">
        <v>45104.94119212963</v>
      </c>
      <c r="C1764" s="1" t="n">
        <v>45964</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29197-2023</t>
        </is>
      </c>
      <c r="B1765" s="1" t="n">
        <v>45097</v>
      </c>
      <c r="C1765" s="1" t="n">
        <v>45964</v>
      </c>
      <c r="D1765" t="inlineStr">
        <is>
          <t>VÄSTERNORRLANDS LÄN</t>
        </is>
      </c>
      <c r="E1765" t="inlineStr">
        <is>
          <t>SOLLEFTEÅ</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19814-2022</t>
        </is>
      </c>
      <c r="B1766" s="1" t="n">
        <v>44694.93945601852</v>
      </c>
      <c r="C1766" s="1" t="n">
        <v>45964</v>
      </c>
      <c r="D1766" t="inlineStr">
        <is>
          <t>VÄSTERNORRLANDS LÄN</t>
        </is>
      </c>
      <c r="E1766" t="inlineStr">
        <is>
          <t>SOLLEFTEÅ</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33013-2025</t>
        </is>
      </c>
      <c r="B1767" s="1" t="n">
        <v>45840.36518518518</v>
      </c>
      <c r="C1767" s="1" t="n">
        <v>45964</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45973-2023</t>
        </is>
      </c>
      <c r="B1768" s="1" t="n">
        <v>45195</v>
      </c>
      <c r="C1768" s="1" t="n">
        <v>45964</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33607-2025</t>
        </is>
      </c>
      <c r="B1769" s="1" t="n">
        <v>45841.61521990741</v>
      </c>
      <c r="C1769" s="1" t="n">
        <v>45964</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59421-2024</t>
        </is>
      </c>
      <c r="B1770" s="1" t="n">
        <v>45638.41244212963</v>
      </c>
      <c r="C1770" s="1" t="n">
        <v>45964</v>
      </c>
      <c r="D1770" t="inlineStr">
        <is>
          <t>VÄSTERNORRLANDS LÄN</t>
        </is>
      </c>
      <c r="E1770" t="inlineStr">
        <is>
          <t>SOLLEFTEÅ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55912-2023</t>
        </is>
      </c>
      <c r="B1771" s="1" t="n">
        <v>45239.92665509259</v>
      </c>
      <c r="C1771" s="1" t="n">
        <v>45964</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11125-2022</t>
        </is>
      </c>
      <c r="B1772" s="1" t="n">
        <v>44628</v>
      </c>
      <c r="C1772" s="1" t="n">
        <v>45964</v>
      </c>
      <c r="D1772" t="inlineStr">
        <is>
          <t>VÄSTERNORRLANDS LÄN</t>
        </is>
      </c>
      <c r="E1772" t="inlineStr">
        <is>
          <t>SOLLEFTEÅ</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33673-2025</t>
        </is>
      </c>
      <c r="B1773" s="1" t="n">
        <v>45841.67761574074</v>
      </c>
      <c r="C1773" s="1" t="n">
        <v>45964</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33012-2025</t>
        </is>
      </c>
      <c r="B1774" s="1" t="n">
        <v>45840.36498842593</v>
      </c>
      <c r="C1774" s="1" t="n">
        <v>45964</v>
      </c>
      <c r="D1774" t="inlineStr">
        <is>
          <t>VÄSTERNORRLANDS LÄN</t>
        </is>
      </c>
      <c r="E1774" t="inlineStr">
        <is>
          <t>SOLLEFTEÅ</t>
        </is>
      </c>
      <c r="F1774" t="inlineStr">
        <is>
          <t>SCA</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54574-2024</t>
        </is>
      </c>
      <c r="B1775" s="1" t="n">
        <v>45617.65201388889</v>
      </c>
      <c r="C1775" s="1" t="n">
        <v>45964</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33675-2025</t>
        </is>
      </c>
      <c r="B1776" s="1" t="n">
        <v>45841.67796296296</v>
      </c>
      <c r="C1776" s="1" t="n">
        <v>45964</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26955-2024</t>
        </is>
      </c>
      <c r="B1777" s="1" t="n">
        <v>45470.97040509259</v>
      </c>
      <c r="C1777" s="1" t="n">
        <v>45964</v>
      </c>
      <c r="D1777" t="inlineStr">
        <is>
          <t>VÄSTERNORRLANDS LÄN</t>
        </is>
      </c>
      <c r="E1777" t="inlineStr">
        <is>
          <t>SOLLEFTEÅ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14612-2025</t>
        </is>
      </c>
      <c r="B1778" s="1" t="n">
        <v>45742</v>
      </c>
      <c r="C1778" s="1" t="n">
        <v>45964</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22475-2024</t>
        </is>
      </c>
      <c r="B1779" s="1" t="n">
        <v>45446.95151620371</v>
      </c>
      <c r="C1779" s="1" t="n">
        <v>45964</v>
      </c>
      <c r="D1779" t="inlineStr">
        <is>
          <t>VÄSTERNORRLANDS LÄN</t>
        </is>
      </c>
      <c r="E1779" t="inlineStr">
        <is>
          <t>SOLLEFTEÅ</t>
        </is>
      </c>
      <c r="F1779" t="inlineStr">
        <is>
          <t>SCA</t>
        </is>
      </c>
      <c r="G1779" t="n">
        <v>18.5</v>
      </c>
      <c r="H1779" t="n">
        <v>0</v>
      </c>
      <c r="I1779" t="n">
        <v>0</v>
      </c>
      <c r="J1779" t="n">
        <v>0</v>
      </c>
      <c r="K1779" t="n">
        <v>0</v>
      </c>
      <c r="L1779" t="n">
        <v>0</v>
      </c>
      <c r="M1779" t="n">
        <v>0</v>
      </c>
      <c r="N1779" t="n">
        <v>0</v>
      </c>
      <c r="O1779" t="n">
        <v>0</v>
      </c>
      <c r="P1779" t="n">
        <v>0</v>
      </c>
      <c r="Q1779" t="n">
        <v>0</v>
      </c>
      <c r="R1779" s="2" t="inlineStr"/>
    </row>
    <row r="1780" ht="15" customHeight="1">
      <c r="A1780" t="inlineStr">
        <is>
          <t>A 33442-2025</t>
        </is>
      </c>
      <c r="B1780" s="1" t="n">
        <v>45841.46092592592</v>
      </c>
      <c r="C1780" s="1" t="n">
        <v>45964</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37042-2021</t>
        </is>
      </c>
      <c r="B1781" s="1" t="n">
        <v>44393.93495370371</v>
      </c>
      <c r="C1781" s="1" t="n">
        <v>45964</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33674-2025</t>
        </is>
      </c>
      <c r="B1782" s="1" t="n">
        <v>45841.67770833334</v>
      </c>
      <c r="C1782" s="1" t="n">
        <v>45964</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61845-2024</t>
        </is>
      </c>
      <c r="B1783" s="1" t="n">
        <v>45646</v>
      </c>
      <c r="C1783" s="1" t="n">
        <v>45964</v>
      </c>
      <c r="D1783" t="inlineStr">
        <is>
          <t>VÄSTERNORRLANDS LÄN</t>
        </is>
      </c>
      <c r="E1783" t="inlineStr">
        <is>
          <t>SOLLEFTEÅ</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61849-2024</t>
        </is>
      </c>
      <c r="B1784" s="1" t="n">
        <v>45646</v>
      </c>
      <c r="C1784" s="1" t="n">
        <v>45964</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33452-2025</t>
        </is>
      </c>
      <c r="B1785" s="1" t="n">
        <v>45841.46940972222</v>
      </c>
      <c r="C1785" s="1" t="n">
        <v>45964</v>
      </c>
      <c r="D1785" t="inlineStr">
        <is>
          <t>VÄSTERNORRLANDS LÄN</t>
        </is>
      </c>
      <c r="E1785" t="inlineStr">
        <is>
          <t>SOLLEFTEÅ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58995-2024</t>
        </is>
      </c>
      <c r="B1786" s="1" t="n">
        <v>45636.63726851852</v>
      </c>
      <c r="C1786" s="1" t="n">
        <v>45964</v>
      </c>
      <c r="D1786" t="inlineStr">
        <is>
          <t>VÄSTERNORRLANDS LÄN</t>
        </is>
      </c>
      <c r="E1786" t="inlineStr">
        <is>
          <t>SOLLEFTEÅ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47329-2023</t>
        </is>
      </c>
      <c r="B1787" s="1" t="n">
        <v>45196</v>
      </c>
      <c r="C1787" s="1" t="n">
        <v>45964</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33825-2025</t>
        </is>
      </c>
      <c r="B1788" s="1" t="n">
        <v>45842.46930555555</v>
      </c>
      <c r="C1788" s="1" t="n">
        <v>45964</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41925-2024</t>
        </is>
      </c>
      <c r="B1789" s="1" t="n">
        <v>45561</v>
      </c>
      <c r="C1789" s="1" t="n">
        <v>45964</v>
      </c>
      <c r="D1789" t="inlineStr">
        <is>
          <t>VÄSTERNORRLANDS LÄN</t>
        </is>
      </c>
      <c r="E1789" t="inlineStr">
        <is>
          <t>SOLLEFTEÅ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33855-2025</t>
        </is>
      </c>
      <c r="B1790" s="1" t="n">
        <v>45842.51125</v>
      </c>
      <c r="C1790" s="1" t="n">
        <v>45964</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58808-2024</t>
        </is>
      </c>
      <c r="B1791" s="1" t="n">
        <v>45636.34446759259</v>
      </c>
      <c r="C1791" s="1" t="n">
        <v>45964</v>
      </c>
      <c r="D1791" t="inlineStr">
        <is>
          <t>VÄSTERNORRLANDS LÄN</t>
        </is>
      </c>
      <c r="E1791" t="inlineStr">
        <is>
          <t>SOLLEFTEÅ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33936-2025</t>
        </is>
      </c>
      <c r="B1792" s="1" t="n">
        <v>45842.63630787037</v>
      </c>
      <c r="C1792" s="1" t="n">
        <v>45964</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33917-2025</t>
        </is>
      </c>
      <c r="B1793" s="1" t="n">
        <v>45842.61491898148</v>
      </c>
      <c r="C1793" s="1" t="n">
        <v>45964</v>
      </c>
      <c r="D1793" t="inlineStr">
        <is>
          <t>VÄSTERNORRLANDS LÄN</t>
        </is>
      </c>
      <c r="E1793" t="inlineStr">
        <is>
          <t>SOLLEFTEÅ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27377-2024</t>
        </is>
      </c>
      <c r="B1794" s="1" t="n">
        <v>45473.88317129629</v>
      </c>
      <c r="C1794" s="1" t="n">
        <v>45964</v>
      </c>
      <c r="D1794" t="inlineStr">
        <is>
          <t>VÄSTERNORRLANDS LÄN</t>
        </is>
      </c>
      <c r="E1794" t="inlineStr">
        <is>
          <t>SOLLEFTEÅ</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1114-2025</t>
        </is>
      </c>
      <c r="B1795" s="1" t="n">
        <v>45666.65664351852</v>
      </c>
      <c r="C1795" s="1" t="n">
        <v>45964</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68030-2020</t>
        </is>
      </c>
      <c r="B1796" s="1" t="n">
        <v>44182</v>
      </c>
      <c r="C1796" s="1" t="n">
        <v>45964</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68037-2020</t>
        </is>
      </c>
      <c r="B1797" s="1" t="n">
        <v>44182</v>
      </c>
      <c r="C1797" s="1" t="n">
        <v>45964</v>
      </c>
      <c r="D1797" t="inlineStr">
        <is>
          <t>VÄSTERNORRLANDS LÄN</t>
        </is>
      </c>
      <c r="E1797" t="inlineStr">
        <is>
          <t>SOLLEFTEÅ</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39799-2024</t>
        </is>
      </c>
      <c r="B1798" s="1" t="n">
        <v>45553.34415509259</v>
      </c>
      <c r="C1798" s="1" t="n">
        <v>45964</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39801-2024</t>
        </is>
      </c>
      <c r="B1799" s="1" t="n">
        <v>45553.34439814815</v>
      </c>
      <c r="C1799" s="1" t="n">
        <v>45964</v>
      </c>
      <c r="D1799" t="inlineStr">
        <is>
          <t>VÄSTERNORRLANDS LÄN</t>
        </is>
      </c>
      <c r="E1799" t="inlineStr">
        <is>
          <t>SOLLEFTEÅ</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42983-2024</t>
        </is>
      </c>
      <c r="B1800" s="1" t="n">
        <v>45567.37471064815</v>
      </c>
      <c r="C1800" s="1" t="n">
        <v>45964</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42984-2024</t>
        </is>
      </c>
      <c r="B1801" s="1" t="n">
        <v>45567.37532407408</v>
      </c>
      <c r="C1801" s="1" t="n">
        <v>45964</v>
      </c>
      <c r="D1801" t="inlineStr">
        <is>
          <t>VÄSTERNORRLANDS LÄN</t>
        </is>
      </c>
      <c r="E1801" t="inlineStr">
        <is>
          <t>SOLLEFTEÅ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42985-2024</t>
        </is>
      </c>
      <c r="B1802" s="1" t="n">
        <v>45567.37533564815</v>
      </c>
      <c r="C1802" s="1" t="n">
        <v>45964</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60168-2022</t>
        </is>
      </c>
      <c r="B1803" s="1" t="n">
        <v>44909</v>
      </c>
      <c r="C1803" s="1" t="n">
        <v>45964</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60171-2022</t>
        </is>
      </c>
      <c r="B1804" s="1" t="n">
        <v>44909</v>
      </c>
      <c r="C1804" s="1" t="n">
        <v>45964</v>
      </c>
      <c r="D1804" t="inlineStr">
        <is>
          <t>VÄSTERNORRLANDS LÄN</t>
        </is>
      </c>
      <c r="E1804" t="inlineStr">
        <is>
          <t>SOLLEFTEÅ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40429-2024</t>
        </is>
      </c>
      <c r="B1805" s="1" t="n">
        <v>45555</v>
      </c>
      <c r="C1805" s="1" t="n">
        <v>45964</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41595-2024</t>
        </is>
      </c>
      <c r="B1806" s="1" t="n">
        <v>45560.57378472222</v>
      </c>
      <c r="C1806" s="1" t="n">
        <v>45964</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48964-2023</t>
        </is>
      </c>
      <c r="B1807" s="1" t="n">
        <v>45204</v>
      </c>
      <c r="C1807" s="1" t="n">
        <v>45964</v>
      </c>
      <c r="D1807" t="inlineStr">
        <is>
          <t>VÄSTERNORRLANDS LÄN</t>
        </is>
      </c>
      <c r="E1807" t="inlineStr">
        <is>
          <t>SOLLEFTEÅ</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1679-2024</t>
        </is>
      </c>
      <c r="B1808" s="1" t="n">
        <v>45306</v>
      </c>
      <c r="C1808" s="1" t="n">
        <v>45964</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48785-2024</t>
        </is>
      </c>
      <c r="B1809" s="1" t="n">
        <v>45593</v>
      </c>
      <c r="C1809" s="1" t="n">
        <v>45964</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41146-2023</t>
        </is>
      </c>
      <c r="B1810" s="1" t="n">
        <v>45173.94277777777</v>
      </c>
      <c r="C1810" s="1" t="n">
        <v>45964</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34100-2023</t>
        </is>
      </c>
      <c r="B1811" s="1" t="n">
        <v>45125</v>
      </c>
      <c r="C1811" s="1" t="n">
        <v>45964</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22462-2024</t>
        </is>
      </c>
      <c r="B1812" s="1" t="n">
        <v>45446</v>
      </c>
      <c r="C1812" s="1" t="n">
        <v>45964</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22468-2024</t>
        </is>
      </c>
      <c r="B1813" s="1" t="n">
        <v>45446.95068287037</v>
      </c>
      <c r="C1813" s="1" t="n">
        <v>45964</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33935-2025</t>
        </is>
      </c>
      <c r="B1814" s="1" t="n">
        <v>45842.63614583333</v>
      </c>
      <c r="C1814" s="1" t="n">
        <v>45964</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34051-2025</t>
        </is>
      </c>
      <c r="B1815" s="1" t="n">
        <v>45845.40672453704</v>
      </c>
      <c r="C1815" s="1" t="n">
        <v>45964</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31555-2024</t>
        </is>
      </c>
      <c r="B1816" s="1" t="n">
        <v>45505.96484953703</v>
      </c>
      <c r="C1816" s="1" t="n">
        <v>45964</v>
      </c>
      <c r="D1816" t="inlineStr">
        <is>
          <t>VÄSTERNORRLANDS LÄN</t>
        </is>
      </c>
      <c r="E1816" t="inlineStr">
        <is>
          <t>SOLLEFTEÅ</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54607-2023</t>
        </is>
      </c>
      <c r="B1817" s="1" t="n">
        <v>45233.95748842593</v>
      </c>
      <c r="C1817" s="1" t="n">
        <v>45964</v>
      </c>
      <c r="D1817" t="inlineStr">
        <is>
          <t>VÄSTERNORRLANDS LÄN</t>
        </is>
      </c>
      <c r="E1817" t="inlineStr">
        <is>
          <t>SOLLEFTEÅ</t>
        </is>
      </c>
      <c r="F1817" t="inlineStr">
        <is>
          <t>SCA</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33852-2025</t>
        </is>
      </c>
      <c r="B1818" s="1" t="n">
        <v>45842.51079861111</v>
      </c>
      <c r="C1818" s="1" t="n">
        <v>45964</v>
      </c>
      <c r="D1818" t="inlineStr">
        <is>
          <t>VÄSTERNORRLANDS LÄN</t>
        </is>
      </c>
      <c r="E1818" t="inlineStr">
        <is>
          <t>SOLLEFTEÅ</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41420-2024</t>
        </is>
      </c>
      <c r="B1819" s="1" t="n">
        <v>45560.34616898148</v>
      </c>
      <c r="C1819" s="1" t="n">
        <v>45964</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18442-2025</t>
        </is>
      </c>
      <c r="B1820" s="1" t="n">
        <v>45762.65658564815</v>
      </c>
      <c r="C1820" s="1" t="n">
        <v>45964</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33957-2025</t>
        </is>
      </c>
      <c r="B1821" s="1" t="n">
        <v>45842.67762731481</v>
      </c>
      <c r="C1821" s="1" t="n">
        <v>45964</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34000-2025</t>
        </is>
      </c>
      <c r="B1822" s="1" t="n">
        <v>45844.37024305556</v>
      </c>
      <c r="C1822" s="1" t="n">
        <v>45964</v>
      </c>
      <c r="D1822" t="inlineStr">
        <is>
          <t>VÄSTERNORRLANDS LÄN</t>
        </is>
      </c>
      <c r="E1822" t="inlineStr">
        <is>
          <t>SOLLEFTEÅ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33999-2025</t>
        </is>
      </c>
      <c r="B1823" s="1" t="n">
        <v>45844.36113425926</v>
      </c>
      <c r="C1823" s="1" t="n">
        <v>45964</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20738-2022</t>
        </is>
      </c>
      <c r="B1824" s="1" t="n">
        <v>44700</v>
      </c>
      <c r="C1824" s="1" t="n">
        <v>45964</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34459-2025</t>
        </is>
      </c>
      <c r="B1825" s="1" t="n">
        <v>45847.34442129629</v>
      </c>
      <c r="C1825" s="1" t="n">
        <v>45964</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9608-2025</t>
        </is>
      </c>
      <c r="B1826" s="1" t="n">
        <v>45715.65699074074</v>
      </c>
      <c r="C1826" s="1" t="n">
        <v>45964</v>
      </c>
      <c r="D1826" t="inlineStr">
        <is>
          <t>VÄSTERNORRLANDS LÄN</t>
        </is>
      </c>
      <c r="E1826" t="inlineStr">
        <is>
          <t>SOLLEFTEÅ</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34476-2025</t>
        </is>
      </c>
      <c r="B1827" s="1" t="n">
        <v>45847.36752314815</v>
      </c>
      <c r="C1827" s="1" t="n">
        <v>45964</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44979.94303240741</v>
      </c>
      <c r="C1828" s="1" t="n">
        <v>45964</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42482-2024</t>
        </is>
      </c>
      <c r="B1829" s="1" t="n">
        <v>45565</v>
      </c>
      <c r="C1829" s="1" t="n">
        <v>45964</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34462-2025</t>
        </is>
      </c>
      <c r="B1830" s="1" t="n">
        <v>45847.34498842592</v>
      </c>
      <c r="C1830" s="1" t="n">
        <v>45964</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34473-2025</t>
        </is>
      </c>
      <c r="B1831" s="1" t="n">
        <v>45847.36511574074</v>
      </c>
      <c r="C1831" s="1" t="n">
        <v>45964</v>
      </c>
      <c r="D1831" t="inlineStr">
        <is>
          <t>VÄSTERNORRLANDS LÄN</t>
        </is>
      </c>
      <c r="E1831" t="inlineStr">
        <is>
          <t>SOLLEFTEÅ</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18220-2025</t>
        </is>
      </c>
      <c r="B1832" s="1" t="n">
        <v>45761.7190625</v>
      </c>
      <c r="C1832" s="1" t="n">
        <v>45964</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25999-2021</t>
        </is>
      </c>
      <c r="B1833" s="1" t="n">
        <v>44344</v>
      </c>
      <c r="C1833" s="1" t="n">
        <v>45964</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34870-2025</t>
        </is>
      </c>
      <c r="B1834" s="1" t="n">
        <v>45849.44729166666</v>
      </c>
      <c r="C1834" s="1" t="n">
        <v>45964</v>
      </c>
      <c r="D1834" t="inlineStr">
        <is>
          <t>VÄSTERNORRLANDS LÄN</t>
        </is>
      </c>
      <c r="E1834" t="inlineStr">
        <is>
          <t>SOLLEFTEÅ</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57846-2024</t>
        </is>
      </c>
      <c r="B1835" s="1" t="n">
        <v>45631.40759259259</v>
      </c>
      <c r="C1835" s="1" t="n">
        <v>45964</v>
      </c>
      <c r="D1835" t="inlineStr">
        <is>
          <t>VÄSTERNORRLANDS LÄN</t>
        </is>
      </c>
      <c r="E1835" t="inlineStr">
        <is>
          <t>SOLLEFTEÅ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10870-2024</t>
        </is>
      </c>
      <c r="B1836" s="1" t="n">
        <v>45370.02083333334</v>
      </c>
      <c r="C1836" s="1" t="n">
        <v>45964</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20133-2025</t>
        </is>
      </c>
      <c r="B1837" s="1" t="n">
        <v>45772.51092592593</v>
      </c>
      <c r="C1837" s="1" t="n">
        <v>45964</v>
      </c>
      <c r="D1837" t="inlineStr">
        <is>
          <t>VÄSTERNORRLANDS LÄN</t>
        </is>
      </c>
      <c r="E1837" t="inlineStr">
        <is>
          <t>SOLLEFTEÅ</t>
        </is>
      </c>
      <c r="F1837" t="inlineStr">
        <is>
          <t>SCA</t>
        </is>
      </c>
      <c r="G1837" t="n">
        <v>58.2</v>
      </c>
      <c r="H1837" t="n">
        <v>0</v>
      </c>
      <c r="I1837" t="n">
        <v>0</v>
      </c>
      <c r="J1837" t="n">
        <v>0</v>
      </c>
      <c r="K1837" t="n">
        <v>0</v>
      </c>
      <c r="L1837" t="n">
        <v>0</v>
      </c>
      <c r="M1837" t="n">
        <v>0</v>
      </c>
      <c r="N1837" t="n">
        <v>0</v>
      </c>
      <c r="O1837" t="n">
        <v>0</v>
      </c>
      <c r="P1837" t="n">
        <v>0</v>
      </c>
      <c r="Q1837" t="n">
        <v>0</v>
      </c>
      <c r="R1837" s="2" t="inlineStr"/>
    </row>
    <row r="1838" ht="15" customHeight="1">
      <c r="A1838" t="inlineStr">
        <is>
          <t>A 31680-2024</t>
        </is>
      </c>
      <c r="B1838" s="1" t="n">
        <v>45506.94894675926</v>
      </c>
      <c r="C1838" s="1" t="n">
        <v>45964</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55643-2021</t>
        </is>
      </c>
      <c r="B1839" s="1" t="n">
        <v>44475</v>
      </c>
      <c r="C1839" s="1" t="n">
        <v>45964</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49810-2023</t>
        </is>
      </c>
      <c r="B1840" s="1" t="n">
        <v>45212.66369212963</v>
      </c>
      <c r="C1840" s="1" t="n">
        <v>45964</v>
      </c>
      <c r="D1840" t="inlineStr">
        <is>
          <t>VÄSTERNORRLANDS LÄN</t>
        </is>
      </c>
      <c r="E1840" t="inlineStr">
        <is>
          <t>SOLLEFTEÅ</t>
        </is>
      </c>
      <c r="F1840" t="inlineStr">
        <is>
          <t>Holmen skog AB</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10726-2025</t>
        </is>
      </c>
      <c r="B1841" s="1" t="n">
        <v>45722.38599537037</v>
      </c>
      <c r="C1841" s="1" t="n">
        <v>45964</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32140-2024</t>
        </is>
      </c>
      <c r="B1842" s="1" t="n">
        <v>45511.54391203704</v>
      </c>
      <c r="C1842" s="1" t="n">
        <v>45964</v>
      </c>
      <c r="D1842" t="inlineStr">
        <is>
          <t>VÄSTERNORRLANDS LÄN</t>
        </is>
      </c>
      <c r="E1842" t="inlineStr">
        <is>
          <t>SOLLEFTEÅ</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13567-2023</t>
        </is>
      </c>
      <c r="B1843" s="1" t="n">
        <v>45005</v>
      </c>
      <c r="C1843" s="1" t="n">
        <v>45964</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13570-2023</t>
        </is>
      </c>
      <c r="B1844" s="1" t="n">
        <v>45005</v>
      </c>
      <c r="C1844" s="1" t="n">
        <v>45964</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25945-2025</t>
        </is>
      </c>
      <c r="B1845" s="1" t="n">
        <v>45804</v>
      </c>
      <c r="C1845" s="1" t="n">
        <v>45964</v>
      </c>
      <c r="D1845" t="inlineStr">
        <is>
          <t>VÄSTERNORRLANDS LÄN</t>
        </is>
      </c>
      <c r="E1845" t="inlineStr">
        <is>
          <t>SOLLEFTEÅ</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56356-2023</t>
        </is>
      </c>
      <c r="B1846" s="1" t="n">
        <v>45236</v>
      </c>
      <c r="C1846" s="1" t="n">
        <v>45964</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35041-2025</t>
        </is>
      </c>
      <c r="B1847" s="1" t="n">
        <v>45852.3443287037</v>
      </c>
      <c r="C1847" s="1" t="n">
        <v>45964</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7257-2024</t>
        </is>
      </c>
      <c r="B1848" s="1" t="n">
        <v>45344.7371412037</v>
      </c>
      <c r="C1848" s="1" t="n">
        <v>45964</v>
      </c>
      <c r="D1848" t="inlineStr">
        <is>
          <t>VÄSTERNORRLANDS LÄN</t>
        </is>
      </c>
      <c r="E1848" t="inlineStr">
        <is>
          <t>SOLLEFTEÅ</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11108-2025</t>
        </is>
      </c>
      <c r="B1849" s="1" t="n">
        <v>45723.6150462963</v>
      </c>
      <c r="C1849" s="1" t="n">
        <v>45964</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57991-2022</t>
        </is>
      </c>
      <c r="B1850" s="1" t="n">
        <v>44900.48915509259</v>
      </c>
      <c r="C1850" s="1" t="n">
        <v>45964</v>
      </c>
      <c r="D1850" t="inlineStr">
        <is>
          <t>VÄSTERNORRLANDS LÄN</t>
        </is>
      </c>
      <c r="E1850" t="inlineStr">
        <is>
          <t>SOLLEFTEÅ</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61847-2024</t>
        </is>
      </c>
      <c r="B1851" s="1" t="n">
        <v>45646</v>
      </c>
      <c r="C1851" s="1" t="n">
        <v>45964</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53831-2024</t>
        </is>
      </c>
      <c r="B1852" s="1" t="n">
        <v>45615.61575231481</v>
      </c>
      <c r="C1852" s="1" t="n">
        <v>45964</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57010-2023</t>
        </is>
      </c>
      <c r="B1853" s="1" t="n">
        <v>45239</v>
      </c>
      <c r="C1853" s="1" t="n">
        <v>45964</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c r="U1853">
        <f>HYPERLINK("https://klasma.github.io/Logging_2283/knärot/A 57010-2023 karta knärot.png", "A 57010-2023")</f>
        <v/>
      </c>
      <c r="V1853">
        <f>HYPERLINK("https://klasma.github.io/Logging_2283/klagomål/A 57010-2023 FSC-klagomål.docx", "A 57010-2023")</f>
        <v/>
      </c>
      <c r="W1853">
        <f>HYPERLINK("https://klasma.github.io/Logging_2283/klagomålsmail/A 57010-2023 FSC-klagomål mail.docx", "A 57010-2023")</f>
        <v/>
      </c>
      <c r="X1853">
        <f>HYPERLINK("https://klasma.github.io/Logging_2283/tillsyn/A 57010-2023 tillsynsbegäran.docx", "A 57010-2023")</f>
        <v/>
      </c>
      <c r="Y1853">
        <f>HYPERLINK("https://klasma.github.io/Logging_2283/tillsynsmail/A 57010-2023 tillsynsbegäran mail.docx", "A 57010-2023")</f>
        <v/>
      </c>
    </row>
    <row r="1854" ht="15" customHeight="1">
      <c r="A1854" t="inlineStr">
        <is>
          <t>A 35086-2025</t>
        </is>
      </c>
      <c r="B1854" s="1" t="n">
        <v>45852.51719907407</v>
      </c>
      <c r="C1854" s="1" t="n">
        <v>45964</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20184-2025</t>
        </is>
      </c>
      <c r="B1855" s="1" t="n">
        <v>45772.59458333333</v>
      </c>
      <c r="C1855" s="1" t="n">
        <v>45964</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6139-2024</t>
        </is>
      </c>
      <c r="B1856" s="1" t="n">
        <v>45337</v>
      </c>
      <c r="C1856" s="1" t="n">
        <v>45964</v>
      </c>
      <c r="D1856" t="inlineStr">
        <is>
          <t>VÄSTERNORRLANDS LÄN</t>
        </is>
      </c>
      <c r="E1856" t="inlineStr">
        <is>
          <t>SOLLEFTEÅ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5254-2024</t>
        </is>
      </c>
      <c r="B1857" s="1" t="n">
        <v>45330</v>
      </c>
      <c r="C1857" s="1" t="n">
        <v>45964</v>
      </c>
      <c r="D1857" t="inlineStr">
        <is>
          <t>VÄSTERNORRLANDS LÄN</t>
        </is>
      </c>
      <c r="E1857" t="inlineStr">
        <is>
          <t>SOLLEFTEÅ</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35066-2025</t>
        </is>
      </c>
      <c r="B1858" s="1" t="n">
        <v>45852.45013888889</v>
      </c>
      <c r="C1858" s="1" t="n">
        <v>45964</v>
      </c>
      <c r="D1858" t="inlineStr">
        <is>
          <t>VÄSTERNORRLANDS LÄN</t>
        </is>
      </c>
      <c r="E1858" t="inlineStr">
        <is>
          <t>SOLLEFTEÅ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39504-2021</t>
        </is>
      </c>
      <c r="B1859" s="1" t="n">
        <v>44414.93480324074</v>
      </c>
      <c r="C1859" s="1" t="n">
        <v>45964</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58578-2024</t>
        </is>
      </c>
      <c r="B1860" s="1" t="n">
        <v>45635</v>
      </c>
      <c r="C1860" s="1" t="n">
        <v>45964</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58588-2024</t>
        </is>
      </c>
      <c r="B1861" s="1" t="n">
        <v>45635.50605324074</v>
      </c>
      <c r="C1861" s="1" t="n">
        <v>45964</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12539-2023</t>
        </is>
      </c>
      <c r="B1862" s="1" t="n">
        <v>45000.01452546296</v>
      </c>
      <c r="C1862" s="1" t="n">
        <v>45964</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35042-2025</t>
        </is>
      </c>
      <c r="B1863" s="1" t="n">
        <v>45852.34447916667</v>
      </c>
      <c r="C1863" s="1" t="n">
        <v>45964</v>
      </c>
      <c r="D1863" t="inlineStr">
        <is>
          <t>VÄSTERNORRLANDS LÄN</t>
        </is>
      </c>
      <c r="E1863" t="inlineStr">
        <is>
          <t>SOLLEFTEÅ</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2048-2025</t>
        </is>
      </c>
      <c r="B1864" s="1" t="n">
        <v>45671</v>
      </c>
      <c r="C1864" s="1" t="n">
        <v>45964</v>
      </c>
      <c r="D1864" t="inlineStr">
        <is>
          <t>VÄSTERNORRLANDS LÄN</t>
        </is>
      </c>
      <c r="E1864" t="inlineStr">
        <is>
          <t>SOLLEFTEÅ</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22208-2024</t>
        </is>
      </c>
      <c r="B1865" s="1" t="n">
        <v>45446.38181712963</v>
      </c>
      <c r="C1865" s="1" t="n">
        <v>45964</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2582-2025</t>
        </is>
      </c>
      <c r="B1866" s="1" t="n">
        <v>45674.67787037037</v>
      </c>
      <c r="C1866" s="1" t="n">
        <v>45964</v>
      </c>
      <c r="D1866" t="inlineStr">
        <is>
          <t>VÄSTERNORRLANDS LÄN</t>
        </is>
      </c>
      <c r="E1866" t="inlineStr">
        <is>
          <t>SOLLEFTEÅ</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4253-2025</t>
        </is>
      </c>
      <c r="B1867" s="1" t="n">
        <v>45685.61232638889</v>
      </c>
      <c r="C1867" s="1" t="n">
        <v>45964</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35132-2025</t>
        </is>
      </c>
      <c r="B1868" s="1" t="n">
        <v>45852.63618055556</v>
      </c>
      <c r="C1868" s="1" t="n">
        <v>45964</v>
      </c>
      <c r="D1868" t="inlineStr">
        <is>
          <t>VÄSTERNORRLANDS LÄN</t>
        </is>
      </c>
      <c r="E1868" t="inlineStr">
        <is>
          <t>SOLLEFTEÅ</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3414-2025</t>
        </is>
      </c>
      <c r="B1869" s="1" t="n">
        <v>45680</v>
      </c>
      <c r="C1869" s="1" t="n">
        <v>45964</v>
      </c>
      <c r="D1869" t="inlineStr">
        <is>
          <t>VÄSTERNORRLANDS LÄN</t>
        </is>
      </c>
      <c r="E1869" t="inlineStr">
        <is>
          <t>SOLLEFTEÅ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3194-2025</t>
        </is>
      </c>
      <c r="B1870" s="1" t="n">
        <v>45679.42130787037</v>
      </c>
      <c r="C1870" s="1" t="n">
        <v>45964</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59474-2024</t>
        </is>
      </c>
      <c r="B1871" s="1" t="n">
        <v>45638.504375</v>
      </c>
      <c r="C1871" s="1" t="n">
        <v>45964</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14109-2023</t>
        </is>
      </c>
      <c r="B1872" s="1" t="n">
        <v>45008</v>
      </c>
      <c r="C1872" s="1" t="n">
        <v>45964</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35286-2025</t>
        </is>
      </c>
      <c r="B1873" s="1" t="n">
        <v>45854.36512731481</v>
      </c>
      <c r="C1873" s="1" t="n">
        <v>45964</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58155-2023</t>
        </is>
      </c>
      <c r="B1874" s="1" t="n">
        <v>45250</v>
      </c>
      <c r="C1874" s="1" t="n">
        <v>45964</v>
      </c>
      <c r="D1874" t="inlineStr">
        <is>
          <t>VÄSTERNORRLANDS LÄN</t>
        </is>
      </c>
      <c r="E1874" t="inlineStr">
        <is>
          <t>SOLLEFTEÅ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35448-2025</t>
        </is>
      </c>
      <c r="B1875" s="1" t="n">
        <v>45855.55247685185</v>
      </c>
      <c r="C1875" s="1" t="n">
        <v>45964</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19053-2022</t>
        </is>
      </c>
      <c r="B1876" s="1" t="n">
        <v>44691.41626157407</v>
      </c>
      <c r="C1876" s="1" t="n">
        <v>45964</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54572-2024</t>
        </is>
      </c>
      <c r="B1877" s="1" t="n">
        <v>45617.65054398148</v>
      </c>
      <c r="C1877" s="1" t="n">
        <v>45964</v>
      </c>
      <c r="D1877" t="inlineStr">
        <is>
          <t>VÄSTERNORRLANDS LÄN</t>
        </is>
      </c>
      <c r="E1877" t="inlineStr">
        <is>
          <t>SOLLEFTEÅ</t>
        </is>
      </c>
      <c r="G1877" t="n">
        <v>28.2</v>
      </c>
      <c r="H1877" t="n">
        <v>0</v>
      </c>
      <c r="I1877" t="n">
        <v>0</v>
      </c>
      <c r="J1877" t="n">
        <v>0</v>
      </c>
      <c r="K1877" t="n">
        <v>0</v>
      </c>
      <c r="L1877" t="n">
        <v>0</v>
      </c>
      <c r="M1877" t="n">
        <v>0</v>
      </c>
      <c r="N1877" t="n">
        <v>0</v>
      </c>
      <c r="O1877" t="n">
        <v>0</v>
      </c>
      <c r="P1877" t="n">
        <v>0</v>
      </c>
      <c r="Q1877" t="n">
        <v>0</v>
      </c>
      <c r="R1877" s="2" t="inlineStr"/>
    </row>
    <row r="1878" ht="15" customHeight="1">
      <c r="A1878" t="inlineStr">
        <is>
          <t>A 62100-2023</t>
        </is>
      </c>
      <c r="B1878" s="1" t="n">
        <v>45266.92689814815</v>
      </c>
      <c r="C1878" s="1" t="n">
        <v>45964</v>
      </c>
      <c r="D1878" t="inlineStr">
        <is>
          <t>VÄSTERNORRLANDS LÄN</t>
        </is>
      </c>
      <c r="E1878" t="inlineStr">
        <is>
          <t>SOLLEFTEÅ</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38581-2025</t>
        </is>
      </c>
      <c r="B1879" s="1" t="n">
        <v>45884.46965277778</v>
      </c>
      <c r="C1879" s="1" t="n">
        <v>45964</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12379-2025</t>
        </is>
      </c>
      <c r="B1880" s="1" t="n">
        <v>45730</v>
      </c>
      <c r="C1880" s="1" t="n">
        <v>45964</v>
      </c>
      <c r="D1880" t="inlineStr">
        <is>
          <t>VÄSTERNORRLANDS LÄN</t>
        </is>
      </c>
      <c r="E1880" t="inlineStr">
        <is>
          <t>SOLLEFTEÅ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14252-2025</t>
        </is>
      </c>
      <c r="B1881" s="1" t="n">
        <v>45740.61601851852</v>
      </c>
      <c r="C1881" s="1" t="n">
        <v>45964</v>
      </c>
      <c r="D1881" t="inlineStr">
        <is>
          <t>VÄSTERNORRLANDS LÄN</t>
        </is>
      </c>
      <c r="E1881" t="inlineStr">
        <is>
          <t>SOLLEFTEÅ</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24731-2021</t>
        </is>
      </c>
      <c r="B1882" s="1" t="n">
        <v>44340</v>
      </c>
      <c r="C1882" s="1" t="n">
        <v>45964</v>
      </c>
      <c r="D1882" t="inlineStr">
        <is>
          <t>VÄSTERNORRLANDS LÄN</t>
        </is>
      </c>
      <c r="E1882" t="inlineStr">
        <is>
          <t>SOLLEFTEÅ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6063-2024</t>
        </is>
      </c>
      <c r="B1883" s="1" t="n">
        <v>45336.86584490741</v>
      </c>
      <c r="C1883" s="1" t="n">
        <v>45964</v>
      </c>
      <c r="D1883" t="inlineStr">
        <is>
          <t>VÄSTERNORRLANDS LÄN</t>
        </is>
      </c>
      <c r="E1883" t="inlineStr">
        <is>
          <t>SOLLEFTEÅ</t>
        </is>
      </c>
      <c r="F1883" t="inlineStr">
        <is>
          <t>Övriga Aktiebolag</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10093-2023</t>
        </is>
      </c>
      <c r="B1884" s="1" t="n">
        <v>44985</v>
      </c>
      <c r="C1884" s="1" t="n">
        <v>45964</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35572-2025</t>
        </is>
      </c>
      <c r="B1885" s="1" t="n">
        <v>45856.59423611111</v>
      </c>
      <c r="C1885" s="1" t="n">
        <v>45964</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35513-2025</t>
        </is>
      </c>
      <c r="B1886" s="1" t="n">
        <v>45856.36520833334</v>
      </c>
      <c r="C1886" s="1" t="n">
        <v>45964</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35506-2025</t>
        </is>
      </c>
      <c r="B1887" s="1" t="n">
        <v>45856</v>
      </c>
      <c r="C1887" s="1" t="n">
        <v>45964</v>
      </c>
      <c r="D1887" t="inlineStr">
        <is>
          <t>VÄSTERNORRLANDS LÄN</t>
        </is>
      </c>
      <c r="E1887" t="inlineStr">
        <is>
          <t>SOLLEFTEÅ</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34376-2024</t>
        </is>
      </c>
      <c r="B1888" s="1" t="n">
        <v>45525</v>
      </c>
      <c r="C1888" s="1" t="n">
        <v>45964</v>
      </c>
      <c r="D1888" t="inlineStr">
        <is>
          <t>VÄSTERNORRLANDS LÄN</t>
        </is>
      </c>
      <c r="E1888" t="inlineStr">
        <is>
          <t>SOLLEFTEÅ</t>
        </is>
      </c>
      <c r="F1888" t="inlineStr">
        <is>
          <t>Övriga statliga verk och myndigheter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60856-2022</t>
        </is>
      </c>
      <c r="B1889" s="1" t="n">
        <v>44907</v>
      </c>
      <c r="C1889" s="1" t="n">
        <v>45964</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2536-2022</t>
        </is>
      </c>
      <c r="B1890" s="1" t="n">
        <v>44579</v>
      </c>
      <c r="C1890" s="1" t="n">
        <v>45964</v>
      </c>
      <c r="D1890" t="inlineStr">
        <is>
          <t>VÄSTERNORRLANDS LÄN</t>
        </is>
      </c>
      <c r="E1890" t="inlineStr">
        <is>
          <t>SOLLEFTEÅ</t>
        </is>
      </c>
      <c r="F1890" t="inlineStr">
        <is>
          <t>Övriga Aktiebolag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18951-2025</t>
        </is>
      </c>
      <c r="B1891" s="1" t="n">
        <v>45764.51086805556</v>
      </c>
      <c r="C1891" s="1" t="n">
        <v>45964</v>
      </c>
      <c r="D1891" t="inlineStr">
        <is>
          <t>VÄSTERNORRLANDS LÄN</t>
        </is>
      </c>
      <c r="E1891" t="inlineStr">
        <is>
          <t>SOLLEFTEÅ</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35703-2025</t>
        </is>
      </c>
      <c r="B1892" s="1" t="n">
        <v>45860.36497685185</v>
      </c>
      <c r="C1892" s="1" t="n">
        <v>45964</v>
      </c>
      <c r="D1892" t="inlineStr">
        <is>
          <t>VÄSTERNORRLANDS LÄN</t>
        </is>
      </c>
      <c r="E1892" t="inlineStr">
        <is>
          <t>SOLLEFTEÅ</t>
        </is>
      </c>
      <c r="F1892" t="inlineStr">
        <is>
          <t>SCA</t>
        </is>
      </c>
      <c r="G1892" t="n">
        <v>16.5</v>
      </c>
      <c r="H1892" t="n">
        <v>0</v>
      </c>
      <c r="I1892" t="n">
        <v>0</v>
      </c>
      <c r="J1892" t="n">
        <v>0</v>
      </c>
      <c r="K1892" t="n">
        <v>0</v>
      </c>
      <c r="L1892" t="n">
        <v>0</v>
      </c>
      <c r="M1892" t="n">
        <v>0</v>
      </c>
      <c r="N1892" t="n">
        <v>0</v>
      </c>
      <c r="O1892" t="n">
        <v>0</v>
      </c>
      <c r="P1892" t="n">
        <v>0</v>
      </c>
      <c r="Q1892" t="n">
        <v>0</v>
      </c>
      <c r="R1892" s="2" t="inlineStr"/>
    </row>
    <row r="1893" ht="15" customHeight="1">
      <c r="A1893" t="inlineStr">
        <is>
          <t>A 35704-2025</t>
        </is>
      </c>
      <c r="B1893" s="1" t="n">
        <v>45860.36518518518</v>
      </c>
      <c r="C1893" s="1" t="n">
        <v>45964</v>
      </c>
      <c r="D1893" t="inlineStr">
        <is>
          <t>VÄSTERNORRLANDS LÄN</t>
        </is>
      </c>
      <c r="E1893" t="inlineStr">
        <is>
          <t>SOLLEFTEÅ</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49160-2021</t>
        </is>
      </c>
      <c r="B1894" s="1" t="n">
        <v>44453.94021990741</v>
      </c>
      <c r="C1894" s="1" t="n">
        <v>45964</v>
      </c>
      <c r="D1894" t="inlineStr">
        <is>
          <t>VÄSTERNORRLANDS LÄN</t>
        </is>
      </c>
      <c r="E1894" t="inlineStr">
        <is>
          <t>SOLLEFTEÅ</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43585-2024</t>
        </is>
      </c>
      <c r="B1895" s="1" t="n">
        <v>45569.42770833334</v>
      </c>
      <c r="C1895" s="1" t="n">
        <v>45964</v>
      </c>
      <c r="D1895" t="inlineStr">
        <is>
          <t>VÄSTERNORRLANDS LÄN</t>
        </is>
      </c>
      <c r="E1895" t="inlineStr">
        <is>
          <t>SOLLEFTEÅ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31451-2025</t>
        </is>
      </c>
      <c r="B1896" s="1" t="n">
        <v>45833.53167824074</v>
      </c>
      <c r="C1896" s="1" t="n">
        <v>45964</v>
      </c>
      <c r="D1896" t="inlineStr">
        <is>
          <t>VÄSTERNORRLANDS LÄN</t>
        </is>
      </c>
      <c r="E1896" t="inlineStr">
        <is>
          <t>SOLLEFTEÅ</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54238-2024</t>
        </is>
      </c>
      <c r="B1897" s="1" t="n">
        <v>45616.67844907408</v>
      </c>
      <c r="C1897" s="1" t="n">
        <v>45964</v>
      </c>
      <c r="D1897" t="inlineStr">
        <is>
          <t>VÄSTERNORRLANDS LÄN</t>
        </is>
      </c>
      <c r="E1897" t="inlineStr">
        <is>
          <t>SOLLEFTEÅ</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35618-2025</t>
        </is>
      </c>
      <c r="B1898" s="1" t="n">
        <v>45859.41335648148</v>
      </c>
      <c r="C1898" s="1" t="n">
        <v>45964</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22446-2025</t>
        </is>
      </c>
      <c r="B1899" s="1" t="n">
        <v>45786.59439814815</v>
      </c>
      <c r="C1899" s="1" t="n">
        <v>45964</v>
      </c>
      <c r="D1899" t="inlineStr">
        <is>
          <t>VÄSTERNORRLANDS LÄN</t>
        </is>
      </c>
      <c r="E1899" t="inlineStr">
        <is>
          <t>SOLLEFTEÅ</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8105-2025</t>
        </is>
      </c>
      <c r="B1900" s="1" t="n">
        <v>45707.6990625</v>
      </c>
      <c r="C1900" s="1" t="n">
        <v>45964</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35807-2025</t>
        </is>
      </c>
      <c r="B1901" s="1" t="n">
        <v>45861.40663194445</v>
      </c>
      <c r="C1901" s="1" t="n">
        <v>45964</v>
      </c>
      <c r="D1901" t="inlineStr">
        <is>
          <t>VÄSTERNORRLANDS LÄN</t>
        </is>
      </c>
      <c r="E1901" t="inlineStr">
        <is>
          <t>SOLLEFTEÅ</t>
        </is>
      </c>
      <c r="F1901" t="inlineStr">
        <is>
          <t>SCA</t>
        </is>
      </c>
      <c r="G1901" t="n">
        <v>16.7</v>
      </c>
      <c r="H1901" t="n">
        <v>0</v>
      </c>
      <c r="I1901" t="n">
        <v>0</v>
      </c>
      <c r="J1901" t="n">
        <v>0</v>
      </c>
      <c r="K1901" t="n">
        <v>0</v>
      </c>
      <c r="L1901" t="n">
        <v>0</v>
      </c>
      <c r="M1901" t="n">
        <v>0</v>
      </c>
      <c r="N1901" t="n">
        <v>0</v>
      </c>
      <c r="O1901" t="n">
        <v>0</v>
      </c>
      <c r="P1901" t="n">
        <v>0</v>
      </c>
      <c r="Q1901" t="n">
        <v>0</v>
      </c>
      <c r="R1901" s="2" t="inlineStr"/>
    </row>
    <row r="1902" ht="15" customHeight="1">
      <c r="A1902" t="inlineStr">
        <is>
          <t>A 6376-2025</t>
        </is>
      </c>
      <c r="B1902" s="1" t="n">
        <v>45699</v>
      </c>
      <c r="C1902" s="1" t="n">
        <v>45964</v>
      </c>
      <c r="D1902" t="inlineStr">
        <is>
          <t>VÄSTERNORRLANDS LÄN</t>
        </is>
      </c>
      <c r="E1902" t="inlineStr">
        <is>
          <t>SOLLEFTEÅ</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23160-2025</t>
        </is>
      </c>
      <c r="B1903" s="1" t="n">
        <v>45791.40760416666</v>
      </c>
      <c r="C1903" s="1" t="n">
        <v>45964</v>
      </c>
      <c r="D1903" t="inlineStr">
        <is>
          <t>VÄSTERNORRLANDS LÄN</t>
        </is>
      </c>
      <c r="E1903" t="inlineStr">
        <is>
          <t>SOLLEFTEÅ</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1880-2024</t>
        </is>
      </c>
      <c r="B1904" s="1" t="n">
        <v>45307</v>
      </c>
      <c r="C1904" s="1" t="n">
        <v>45964</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7234-2024</t>
        </is>
      </c>
      <c r="B1905" s="1" t="n">
        <v>45344.65627314815</v>
      </c>
      <c r="C1905" s="1" t="n">
        <v>45964</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53452-2023</t>
        </is>
      </c>
      <c r="B1906" s="1" t="n">
        <v>45229</v>
      </c>
      <c r="C1906" s="1" t="n">
        <v>45964</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53453-2023</t>
        </is>
      </c>
      <c r="B1907" s="1" t="n">
        <v>45229.96586805556</v>
      </c>
      <c r="C1907" s="1" t="n">
        <v>45964</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4129-2025</t>
        </is>
      </c>
      <c r="B1908" s="1" t="n">
        <v>45685.34425925926</v>
      </c>
      <c r="C1908" s="1" t="n">
        <v>45964</v>
      </c>
      <c r="D1908" t="inlineStr">
        <is>
          <t>VÄSTERNORRLANDS LÄN</t>
        </is>
      </c>
      <c r="E1908" t="inlineStr">
        <is>
          <t>SOLLEFTEÅ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4133-2025</t>
        </is>
      </c>
      <c r="B1909" s="1" t="n">
        <v>45685.34559027778</v>
      </c>
      <c r="C1909" s="1" t="n">
        <v>45964</v>
      </c>
      <c r="D1909" t="inlineStr">
        <is>
          <t>VÄSTERNORRLANDS LÄN</t>
        </is>
      </c>
      <c r="E1909" t="inlineStr">
        <is>
          <t>SOLLEFTEÅ</t>
        </is>
      </c>
      <c r="F1909" t="inlineStr">
        <is>
          <t>SCA</t>
        </is>
      </c>
      <c r="G1909" t="n">
        <v>37.2</v>
      </c>
      <c r="H1909" t="n">
        <v>0</v>
      </c>
      <c r="I1909" t="n">
        <v>0</v>
      </c>
      <c r="J1909" t="n">
        <v>0</v>
      </c>
      <c r="K1909" t="n">
        <v>0</v>
      </c>
      <c r="L1909" t="n">
        <v>0</v>
      </c>
      <c r="M1909" t="n">
        <v>0</v>
      </c>
      <c r="N1909" t="n">
        <v>0</v>
      </c>
      <c r="O1909" t="n">
        <v>0</v>
      </c>
      <c r="P1909" t="n">
        <v>0</v>
      </c>
      <c r="Q1909" t="n">
        <v>0</v>
      </c>
      <c r="R1909" s="2" t="inlineStr"/>
    </row>
    <row r="1910" ht="15" customHeight="1">
      <c r="A1910" t="inlineStr">
        <is>
          <t>A 25131-2024</t>
        </is>
      </c>
      <c r="B1910" s="1" t="n">
        <v>45462.46725694444</v>
      </c>
      <c r="C1910" s="1" t="n">
        <v>45964</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35924-2025</t>
        </is>
      </c>
      <c r="B1911" s="1" t="n">
        <v>45862.57326388889</v>
      </c>
      <c r="C1911" s="1" t="n">
        <v>45964</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17034-2025</t>
        </is>
      </c>
      <c r="B1912" s="1" t="n">
        <v>45755.57385416667</v>
      </c>
      <c r="C1912" s="1" t="n">
        <v>45964</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46905-2025</t>
        </is>
      </c>
      <c r="B1913" s="1" t="n">
        <v>45929.40055555556</v>
      </c>
      <c r="C1913" s="1" t="n">
        <v>45964</v>
      </c>
      <c r="D1913" t="inlineStr">
        <is>
          <t>VÄSTERNORRLANDS LÄN</t>
        </is>
      </c>
      <c r="E1913" t="inlineStr">
        <is>
          <t>SOLLEFTEÅ</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46920-2025</t>
        </is>
      </c>
      <c r="B1914" s="1" t="n">
        <v>45929.43368055556</v>
      </c>
      <c r="C1914" s="1" t="n">
        <v>45964</v>
      </c>
      <c r="D1914" t="inlineStr">
        <is>
          <t>VÄSTERNORRLANDS LÄN</t>
        </is>
      </c>
      <c r="E1914" t="inlineStr">
        <is>
          <t>SOLLEFTEÅ</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41532-2024</t>
        </is>
      </c>
      <c r="B1915" s="1" t="n">
        <v>45560.49050925926</v>
      </c>
      <c r="C1915" s="1" t="n">
        <v>45964</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54617-2023</t>
        </is>
      </c>
      <c r="B1916" s="1" t="n">
        <v>45233.95835648148</v>
      </c>
      <c r="C1916" s="1" t="n">
        <v>45964</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29125-2025</t>
        </is>
      </c>
      <c r="B1917" s="1" t="n">
        <v>45821.59459490741</v>
      </c>
      <c r="C1917" s="1" t="n">
        <v>45964</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36135-2025</t>
        </is>
      </c>
      <c r="B1918" s="1" t="n">
        <v>45866.63594907407</v>
      </c>
      <c r="C1918" s="1" t="n">
        <v>45964</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2408-2023</t>
        </is>
      </c>
      <c r="B1919" s="1" t="n">
        <v>44942</v>
      </c>
      <c r="C1919" s="1" t="n">
        <v>45964</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36068-2025</t>
        </is>
      </c>
      <c r="B1920" s="1" t="n">
        <v>45866.42752314815</v>
      </c>
      <c r="C1920" s="1" t="n">
        <v>45964</v>
      </c>
      <c r="D1920" t="inlineStr">
        <is>
          <t>VÄSTERNORRLANDS LÄN</t>
        </is>
      </c>
      <c r="E1920" t="inlineStr">
        <is>
          <t>SOLLEFTEÅ</t>
        </is>
      </c>
      <c r="F1920" t="inlineStr">
        <is>
          <t>SCA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36095-2025</t>
        </is>
      </c>
      <c r="B1921" s="1" t="n">
        <v>45866.49006944444</v>
      </c>
      <c r="C1921" s="1" t="n">
        <v>45964</v>
      </c>
      <c r="D1921" t="inlineStr">
        <is>
          <t>VÄSTERNORRLANDS LÄN</t>
        </is>
      </c>
      <c r="E1921" t="inlineStr">
        <is>
          <t>SOLLEFTEÅ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35469-2024</t>
        </is>
      </c>
      <c r="B1922" s="1" t="n">
        <v>45531</v>
      </c>
      <c r="C1922" s="1" t="n">
        <v>45964</v>
      </c>
      <c r="D1922" t="inlineStr">
        <is>
          <t>VÄSTERNORRLANDS LÄN</t>
        </is>
      </c>
      <c r="E1922" t="inlineStr">
        <is>
          <t>SOLLEFTEÅ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33496-2025</t>
        </is>
      </c>
      <c r="B1923" s="1" t="n">
        <v>45841</v>
      </c>
      <c r="C1923" s="1" t="n">
        <v>45964</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36064-2025</t>
        </is>
      </c>
      <c r="B1924" s="1" t="n">
        <v>45866</v>
      </c>
      <c r="C1924" s="1" t="n">
        <v>45964</v>
      </c>
      <c r="D1924" t="inlineStr">
        <is>
          <t>VÄSTERNORRLANDS LÄN</t>
        </is>
      </c>
      <c r="E1924" t="inlineStr">
        <is>
          <t>SOLLEFTEÅ</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38958-2025</t>
        </is>
      </c>
      <c r="B1925" s="1" t="n">
        <v>45887.67751157407</v>
      </c>
      <c r="C1925" s="1" t="n">
        <v>45964</v>
      </c>
      <c r="D1925" t="inlineStr">
        <is>
          <t>VÄSTERNORRLANDS LÄN</t>
        </is>
      </c>
      <c r="E1925" t="inlineStr">
        <is>
          <t>SOLLEFTEÅ</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14730-2025</t>
        </is>
      </c>
      <c r="B1926" s="1" t="n">
        <v>45742.63587962963</v>
      </c>
      <c r="C1926" s="1" t="n">
        <v>45964</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38560-2025</t>
        </is>
      </c>
      <c r="B1927" s="1" t="n">
        <v>45884.44844907407</v>
      </c>
      <c r="C1927" s="1" t="n">
        <v>45964</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38561-2025</t>
        </is>
      </c>
      <c r="B1928" s="1" t="n">
        <v>45884.44849537037</v>
      </c>
      <c r="C1928" s="1" t="n">
        <v>45964</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6067-2024</t>
        </is>
      </c>
      <c r="B1929" s="1" t="n">
        <v>45336.89018518518</v>
      </c>
      <c r="C1929" s="1" t="n">
        <v>45964</v>
      </c>
      <c r="D1929" t="inlineStr">
        <is>
          <t>VÄSTERNORRLANDS LÄN</t>
        </is>
      </c>
      <c r="E1929" t="inlineStr">
        <is>
          <t>SOLLEFTEÅ</t>
        </is>
      </c>
      <c r="F1929" t="inlineStr">
        <is>
          <t>Övriga Aktiebolag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19416-2022</t>
        </is>
      </c>
      <c r="B1930" s="1" t="n">
        <v>44693</v>
      </c>
      <c r="C1930" s="1" t="n">
        <v>45964</v>
      </c>
      <c r="D1930" t="inlineStr">
        <is>
          <t>VÄSTERNORRLANDS LÄN</t>
        </is>
      </c>
      <c r="E1930" t="inlineStr">
        <is>
          <t>SOLLEFTEÅ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38931-2025</t>
        </is>
      </c>
      <c r="B1931" s="1" t="n">
        <v>45887.63664351852</v>
      </c>
      <c r="C1931" s="1" t="n">
        <v>45964</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36274-2025</t>
        </is>
      </c>
      <c r="B1932" s="1" t="n">
        <v>45867.63579861111</v>
      </c>
      <c r="C1932" s="1" t="n">
        <v>45964</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33495-2025</t>
        </is>
      </c>
      <c r="B1933" s="1" t="n">
        <v>45841</v>
      </c>
      <c r="C1933" s="1" t="n">
        <v>45964</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38492-2025</t>
        </is>
      </c>
      <c r="B1934" s="1" t="n">
        <v>45884.36496527777</v>
      </c>
      <c r="C1934" s="1" t="n">
        <v>45964</v>
      </c>
      <c r="D1934" t="inlineStr">
        <is>
          <t>VÄSTERNORRLANDS LÄN</t>
        </is>
      </c>
      <c r="E1934" t="inlineStr">
        <is>
          <t>SOLLEFTEÅ</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36224-2025</t>
        </is>
      </c>
      <c r="B1935" s="1" t="n">
        <v>45867.51116898148</v>
      </c>
      <c r="C1935" s="1" t="n">
        <v>45964</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46750-2025</t>
        </is>
      </c>
      <c r="B1936" s="1" t="n">
        <v>45926.61511574074</v>
      </c>
      <c r="C1936" s="1" t="n">
        <v>45964</v>
      </c>
      <c r="D1936" t="inlineStr">
        <is>
          <t>VÄSTERNORRLANDS LÄN</t>
        </is>
      </c>
      <c r="E1936" t="inlineStr">
        <is>
          <t>SOLLEFTEÅ</t>
        </is>
      </c>
      <c r="F1936" t="inlineStr">
        <is>
          <t>SCA</t>
        </is>
      </c>
      <c r="G1936" t="n">
        <v>59.9</v>
      </c>
      <c r="H1936" t="n">
        <v>0</v>
      </c>
      <c r="I1936" t="n">
        <v>0</v>
      </c>
      <c r="J1936" t="n">
        <v>0</v>
      </c>
      <c r="K1936" t="n">
        <v>0</v>
      </c>
      <c r="L1936" t="n">
        <v>0</v>
      </c>
      <c r="M1936" t="n">
        <v>0</v>
      </c>
      <c r="N1936" t="n">
        <v>0</v>
      </c>
      <c r="O1936" t="n">
        <v>0</v>
      </c>
      <c r="P1936" t="n">
        <v>0</v>
      </c>
      <c r="Q1936" t="n">
        <v>0</v>
      </c>
      <c r="R1936" s="2" t="inlineStr"/>
    </row>
    <row r="1937" ht="15" customHeight="1">
      <c r="A1937" t="inlineStr">
        <is>
          <t>A 63144-2023</t>
        </is>
      </c>
      <c r="B1937" s="1" t="n">
        <v>45272</v>
      </c>
      <c r="C1937" s="1" t="n">
        <v>45964</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29860-2025</t>
        </is>
      </c>
      <c r="B1938" s="1" t="n">
        <v>45826.34638888889</v>
      </c>
      <c r="C1938" s="1" t="n">
        <v>45964</v>
      </c>
      <c r="D1938" t="inlineStr">
        <is>
          <t>VÄSTERNORRLANDS LÄN</t>
        </is>
      </c>
      <c r="E1938" t="inlineStr">
        <is>
          <t>SOLLEFTEÅ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36300-2025</t>
        </is>
      </c>
      <c r="B1939" s="1" t="n">
        <v>45867.6984375</v>
      </c>
      <c r="C1939" s="1" t="n">
        <v>45964</v>
      </c>
      <c r="D1939" t="inlineStr">
        <is>
          <t>VÄSTERNORRLANDS LÄN</t>
        </is>
      </c>
      <c r="E1939" t="inlineStr">
        <is>
          <t>SOLLEFTEÅ</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36063-2025</t>
        </is>
      </c>
      <c r="B1940" s="1" t="n">
        <v>45866</v>
      </c>
      <c r="C1940" s="1" t="n">
        <v>45964</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62260-2022</t>
        </is>
      </c>
      <c r="B1941" s="1" t="n">
        <v>44922.94366898148</v>
      </c>
      <c r="C1941" s="1" t="n">
        <v>45964</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47069-2025</t>
        </is>
      </c>
      <c r="B1942" s="1" t="n">
        <v>45929.63596064815</v>
      </c>
      <c r="C1942" s="1" t="n">
        <v>45964</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36373-2025</t>
        </is>
      </c>
      <c r="B1943" s="1" t="n">
        <v>45868.55256944444</v>
      </c>
      <c r="C1943" s="1" t="n">
        <v>45964</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25989-2021</t>
        </is>
      </c>
      <c r="B1944" s="1" t="n">
        <v>44344</v>
      </c>
      <c r="C1944" s="1" t="n">
        <v>45964</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36432-2025</t>
        </is>
      </c>
      <c r="B1945" s="1" t="n">
        <v>45869.36505787037</v>
      </c>
      <c r="C1945" s="1" t="n">
        <v>45964</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36545-2025</t>
        </is>
      </c>
      <c r="B1946" s="1" t="n">
        <v>45869.67761574074</v>
      </c>
      <c r="C1946" s="1" t="n">
        <v>45964</v>
      </c>
      <c r="D1946" t="inlineStr">
        <is>
          <t>VÄSTERNORRLANDS LÄN</t>
        </is>
      </c>
      <c r="E1946" t="inlineStr">
        <is>
          <t>SOLLEFTEÅ</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36324-2025</t>
        </is>
      </c>
      <c r="B1947" s="1" t="n">
        <v>45868.40707175926</v>
      </c>
      <c r="C1947" s="1" t="n">
        <v>45964</v>
      </c>
      <c r="D1947" t="inlineStr">
        <is>
          <t>VÄSTERNORRLANDS LÄN</t>
        </is>
      </c>
      <c r="E1947" t="inlineStr">
        <is>
          <t>SOLLEFTEÅ</t>
        </is>
      </c>
      <c r="F1947" t="inlineStr">
        <is>
          <t>SCA</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36312-2025</t>
        </is>
      </c>
      <c r="B1948" s="1" t="n">
        <v>45868.34444444445</v>
      </c>
      <c r="C1948" s="1" t="n">
        <v>45964</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11026-2025</t>
        </is>
      </c>
      <c r="B1949" s="1" t="n">
        <v>45723.46961805555</v>
      </c>
      <c r="C1949" s="1" t="n">
        <v>45964</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34804-2022</t>
        </is>
      </c>
      <c r="B1950" s="1" t="n">
        <v>44795.94761574074</v>
      </c>
      <c r="C1950" s="1" t="n">
        <v>45964</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3556-2022</t>
        </is>
      </c>
      <c r="B1951" s="1" t="n">
        <v>44585</v>
      </c>
      <c r="C1951" s="1" t="n">
        <v>45964</v>
      </c>
      <c r="D1951" t="inlineStr">
        <is>
          <t>VÄSTERNORRLANDS LÄN</t>
        </is>
      </c>
      <c r="E1951" t="inlineStr">
        <is>
          <t>SOLLEFTEÅ</t>
        </is>
      </c>
      <c r="F1951" t="inlineStr">
        <is>
          <t>SCA</t>
        </is>
      </c>
      <c r="G1951" t="n">
        <v>18.2</v>
      </c>
      <c r="H1951" t="n">
        <v>0</v>
      </c>
      <c r="I1951" t="n">
        <v>0</v>
      </c>
      <c r="J1951" t="n">
        <v>0</v>
      </c>
      <c r="K1951" t="n">
        <v>0</v>
      </c>
      <c r="L1951" t="n">
        <v>0</v>
      </c>
      <c r="M1951" t="n">
        <v>0</v>
      </c>
      <c r="N1951" t="n">
        <v>0</v>
      </c>
      <c r="O1951" t="n">
        <v>0</v>
      </c>
      <c r="P1951" t="n">
        <v>0</v>
      </c>
      <c r="Q1951" t="n">
        <v>0</v>
      </c>
      <c r="R1951" s="2" t="inlineStr"/>
    </row>
    <row r="1952" ht="15" customHeight="1">
      <c r="A1952" t="inlineStr">
        <is>
          <t>A 5258-2025</t>
        </is>
      </c>
      <c r="B1952" s="1" t="n">
        <v>45692</v>
      </c>
      <c r="C1952" s="1" t="n">
        <v>45964</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36313-2025</t>
        </is>
      </c>
      <c r="B1953" s="1" t="n">
        <v>45868.34456018519</v>
      </c>
      <c r="C1953" s="1" t="n">
        <v>45964</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29869-2024</t>
        </is>
      </c>
      <c r="B1954" s="1" t="n">
        <v>45485.94493055555</v>
      </c>
      <c r="C1954" s="1" t="n">
        <v>45964</v>
      </c>
      <c r="D1954" t="inlineStr">
        <is>
          <t>VÄSTERNORRLANDS LÄN</t>
        </is>
      </c>
      <c r="E1954" t="inlineStr">
        <is>
          <t>SOLLEFTEÅ</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27943-2022</t>
        </is>
      </c>
      <c r="B1955" s="1" t="n">
        <v>44743</v>
      </c>
      <c r="C1955" s="1" t="n">
        <v>45964</v>
      </c>
      <c r="D1955" t="inlineStr">
        <is>
          <t>VÄSTERNORRLANDS LÄN</t>
        </is>
      </c>
      <c r="E1955" t="inlineStr">
        <is>
          <t>SOLLEFTEÅ</t>
        </is>
      </c>
      <c r="F1955" t="inlineStr">
        <is>
          <t>SCA</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36558-2025</t>
        </is>
      </c>
      <c r="B1956" s="1" t="n">
        <v>45870.35769675926</v>
      </c>
      <c r="C1956" s="1" t="n">
        <v>45964</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36561-2025</t>
        </is>
      </c>
      <c r="B1957" s="1" t="n">
        <v>45870.36722222222</v>
      </c>
      <c r="C1957" s="1" t="n">
        <v>45964</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36571-2025</t>
        </is>
      </c>
      <c r="B1958" s="1" t="n">
        <v>45870.38778935185</v>
      </c>
      <c r="C1958" s="1" t="n">
        <v>45964</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29957-2023</t>
        </is>
      </c>
      <c r="B1959" s="1" t="n">
        <v>45107</v>
      </c>
      <c r="C1959" s="1" t="n">
        <v>45964</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36065-2025</t>
        </is>
      </c>
      <c r="B1960" s="1" t="n">
        <v>45866</v>
      </c>
      <c r="C1960" s="1" t="n">
        <v>45964</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42771-2022</t>
        </is>
      </c>
      <c r="B1961" s="1" t="n">
        <v>44832</v>
      </c>
      <c r="C1961" s="1" t="n">
        <v>45964</v>
      </c>
      <c r="D1961" t="inlineStr">
        <is>
          <t>VÄSTERNORRLANDS LÄN</t>
        </is>
      </c>
      <c r="E1961" t="inlineStr">
        <is>
          <t>SOLLEFTEÅ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59593-2023</t>
        </is>
      </c>
      <c r="B1962" s="1" t="n">
        <v>45254.61885416666</v>
      </c>
      <c r="C1962" s="1" t="n">
        <v>45964</v>
      </c>
      <c r="D1962" t="inlineStr">
        <is>
          <t>VÄSTERNORRLANDS LÄN</t>
        </is>
      </c>
      <c r="E1962" t="inlineStr">
        <is>
          <t>SOLLEFTEÅ</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47641-2025</t>
        </is>
      </c>
      <c r="B1963" s="1" t="n">
        <v>45931.51086805556</v>
      </c>
      <c r="C1963" s="1" t="n">
        <v>45964</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47642-2025</t>
        </is>
      </c>
      <c r="B1964" s="1" t="n">
        <v>45931.51105324074</v>
      </c>
      <c r="C1964" s="1" t="n">
        <v>45964</v>
      </c>
      <c r="D1964" t="inlineStr">
        <is>
          <t>VÄSTERNORRLANDS LÄN</t>
        </is>
      </c>
      <c r="E1964" t="inlineStr">
        <is>
          <t>SOLLEFTEÅ</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36567-2025</t>
        </is>
      </c>
      <c r="B1965" s="1" t="n">
        <v>45870.38320601852</v>
      </c>
      <c r="C1965" s="1" t="n">
        <v>45964</v>
      </c>
      <c r="D1965" t="inlineStr">
        <is>
          <t>VÄSTERNORRLANDS LÄN</t>
        </is>
      </c>
      <c r="E1965" t="inlineStr">
        <is>
          <t>SOLLEFTEÅ</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39433-2025</t>
        </is>
      </c>
      <c r="B1966" s="1" t="n">
        <v>45889.67799768518</v>
      </c>
      <c r="C1966" s="1" t="n">
        <v>45964</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47732-2025</t>
        </is>
      </c>
      <c r="B1967" s="1" t="n">
        <v>45931.63561342593</v>
      </c>
      <c r="C1967" s="1" t="n">
        <v>45964</v>
      </c>
      <c r="D1967" t="inlineStr">
        <is>
          <t>VÄSTERNORRLANDS LÄN</t>
        </is>
      </c>
      <c r="E1967" t="inlineStr">
        <is>
          <t>SOLLEFTEÅ</t>
        </is>
      </c>
      <c r="F1967" t="inlineStr">
        <is>
          <t>Holmen skog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39195-2025</t>
        </is>
      </c>
      <c r="B1968" s="1" t="n">
        <v>45888</v>
      </c>
      <c r="C1968" s="1" t="n">
        <v>45964</v>
      </c>
      <c r="D1968" t="inlineStr">
        <is>
          <t>VÄSTERNORRLANDS LÄN</t>
        </is>
      </c>
      <c r="E1968" t="inlineStr">
        <is>
          <t>SOLLEFTEÅ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31395-2025</t>
        </is>
      </c>
      <c r="B1969" s="1" t="n">
        <v>45833.46438657407</v>
      </c>
      <c r="C1969" s="1" t="n">
        <v>45964</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25243-2025</t>
        </is>
      </c>
      <c r="B1970" s="1" t="n">
        <v>45800.49063657408</v>
      </c>
      <c r="C1970" s="1" t="n">
        <v>45964</v>
      </c>
      <c r="D1970" t="inlineStr">
        <is>
          <t>VÄSTERNORRLANDS LÄN</t>
        </is>
      </c>
      <c r="E1970" t="inlineStr">
        <is>
          <t>SOLLEFTEÅ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38234-2024</t>
        </is>
      </c>
      <c r="B1971" s="1" t="n">
        <v>45545.56025462963</v>
      </c>
      <c r="C1971" s="1" t="n">
        <v>45964</v>
      </c>
      <c r="D1971" t="inlineStr">
        <is>
          <t>VÄSTERNORRLANDS LÄN</t>
        </is>
      </c>
      <c r="E1971" t="inlineStr">
        <is>
          <t>SOLLEFTEÅ</t>
        </is>
      </c>
      <c r="F1971" t="inlineStr">
        <is>
          <t>Holmen skog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47292-2025</t>
        </is>
      </c>
      <c r="B1972" s="1" t="n">
        <v>45930.4903125</v>
      </c>
      <c r="C1972" s="1" t="n">
        <v>45964</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56408-2024</t>
        </is>
      </c>
      <c r="B1973" s="1" t="n">
        <v>45625</v>
      </c>
      <c r="C1973" s="1" t="n">
        <v>45964</v>
      </c>
      <c r="D1973" t="inlineStr">
        <is>
          <t>VÄSTERNORRLANDS LÄN</t>
        </is>
      </c>
      <c r="E1973" t="inlineStr">
        <is>
          <t>SOLLEFTEÅ</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72244-2021</t>
        </is>
      </c>
      <c r="B1974" s="1" t="n">
        <v>44544.9390162037</v>
      </c>
      <c r="C1974" s="1" t="n">
        <v>45964</v>
      </c>
      <c r="D1974" t="inlineStr">
        <is>
          <t>VÄSTERNORRLANDS LÄN</t>
        </is>
      </c>
      <c r="E1974" t="inlineStr">
        <is>
          <t>SOLLEFTEÅ</t>
        </is>
      </c>
      <c r="F1974" t="inlineStr">
        <is>
          <t>SCA</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18304-2022</t>
        </is>
      </c>
      <c r="B1975" s="1" t="n">
        <v>44685</v>
      </c>
      <c r="C1975" s="1" t="n">
        <v>45964</v>
      </c>
      <c r="D1975" t="inlineStr">
        <is>
          <t>VÄSTERNORRLANDS LÄN</t>
        </is>
      </c>
      <c r="E1975" t="inlineStr">
        <is>
          <t>SOLLEFTEÅ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47217-2025</t>
        </is>
      </c>
      <c r="B1976" s="1" t="n">
        <v>45930.38625</v>
      </c>
      <c r="C1976" s="1" t="n">
        <v>45964</v>
      </c>
      <c r="D1976" t="inlineStr">
        <is>
          <t>VÄSTERNORRLANDS LÄN</t>
        </is>
      </c>
      <c r="E1976" t="inlineStr">
        <is>
          <t>SOLLEFTEÅ</t>
        </is>
      </c>
      <c r="F1976" t="inlineStr">
        <is>
          <t>SCA</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47218-2025</t>
        </is>
      </c>
      <c r="B1977" s="1" t="n">
        <v>45930.38640046296</v>
      </c>
      <c r="C1977" s="1" t="n">
        <v>45964</v>
      </c>
      <c r="D1977" t="inlineStr">
        <is>
          <t>VÄSTERNORRLANDS LÄN</t>
        </is>
      </c>
      <c r="E1977" t="inlineStr">
        <is>
          <t>SOLLEFTEÅ</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47219-2025</t>
        </is>
      </c>
      <c r="B1978" s="1" t="n">
        <v>45930.38649305556</v>
      </c>
      <c r="C1978" s="1" t="n">
        <v>45964</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47448-2025</t>
        </is>
      </c>
      <c r="B1979" s="1" t="n">
        <v>45930.64592592593</v>
      </c>
      <c r="C1979" s="1" t="n">
        <v>45964</v>
      </c>
      <c r="D1979" t="inlineStr">
        <is>
          <t>VÄSTERNORRLANDS LÄN</t>
        </is>
      </c>
      <c r="E1979" t="inlineStr">
        <is>
          <t>SOLLEFTEÅ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47291-2025</t>
        </is>
      </c>
      <c r="B1980" s="1" t="n">
        <v>45930.49019675926</v>
      </c>
      <c r="C1980" s="1" t="n">
        <v>45964</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47490-2025</t>
        </is>
      </c>
      <c r="B1981" s="1" t="n">
        <v>45930.69918981481</v>
      </c>
      <c r="C1981" s="1" t="n">
        <v>45964</v>
      </c>
      <c r="D1981" t="inlineStr">
        <is>
          <t>VÄSTERNORRLANDS LÄN</t>
        </is>
      </c>
      <c r="E1981" t="inlineStr">
        <is>
          <t>SOLLEFTEÅ</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22205-2025</t>
        </is>
      </c>
      <c r="B1982" s="1" t="n">
        <v>45785.65686342592</v>
      </c>
      <c r="C1982" s="1" t="n">
        <v>45964</v>
      </c>
      <c r="D1982" t="inlineStr">
        <is>
          <t>VÄSTERNORRLANDS LÄN</t>
        </is>
      </c>
      <c r="E1982" t="inlineStr">
        <is>
          <t>SOLLEFTEÅ</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40819-2024</t>
        </is>
      </c>
      <c r="B1983" s="1" t="n">
        <v>45558.55271990741</v>
      </c>
      <c r="C1983" s="1" t="n">
        <v>45964</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22390-2025</t>
        </is>
      </c>
      <c r="B1984" s="1" t="n">
        <v>45786.51107638889</v>
      </c>
      <c r="C1984" s="1" t="n">
        <v>45964</v>
      </c>
      <c r="D1984" t="inlineStr">
        <is>
          <t>VÄSTERNORRLANDS LÄN</t>
        </is>
      </c>
      <c r="E1984" t="inlineStr">
        <is>
          <t>SOLLEFTEÅ</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11727-2025</t>
        </is>
      </c>
      <c r="B1985" s="1" t="n">
        <v>45727.61512731481</v>
      </c>
      <c r="C1985" s="1" t="n">
        <v>45964</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62363-2023</t>
        </is>
      </c>
      <c r="B1986" s="1" t="n">
        <v>45267</v>
      </c>
      <c r="C1986" s="1" t="n">
        <v>45964</v>
      </c>
      <c r="D1986" t="inlineStr">
        <is>
          <t>VÄSTERNORRLANDS LÄN</t>
        </is>
      </c>
      <c r="E1986" t="inlineStr">
        <is>
          <t>SOLLEFTEÅ</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25242-2025</t>
        </is>
      </c>
      <c r="B1987" s="1" t="n">
        <v>45800.49059027778</v>
      </c>
      <c r="C1987" s="1" t="n">
        <v>45964</v>
      </c>
      <c r="D1987" t="inlineStr">
        <is>
          <t>VÄSTERNORRLANDS LÄN</t>
        </is>
      </c>
      <c r="E1987" t="inlineStr">
        <is>
          <t>SOLLEFTEÅ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38749-2024</t>
        </is>
      </c>
      <c r="B1988" s="1" t="n">
        <v>45547</v>
      </c>
      <c r="C1988" s="1" t="n">
        <v>45964</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60583-2024</t>
        </is>
      </c>
      <c r="B1989" s="1" t="n">
        <v>45644</v>
      </c>
      <c r="C1989" s="1" t="n">
        <v>45964</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47771-2025</t>
        </is>
      </c>
      <c r="B1990" s="1" t="n">
        <v>45931.719375</v>
      </c>
      <c r="C1990" s="1" t="n">
        <v>45964</v>
      </c>
      <c r="D1990" t="inlineStr">
        <is>
          <t>VÄSTERNORRLANDS LÄN</t>
        </is>
      </c>
      <c r="E1990" t="inlineStr">
        <is>
          <t>SOLLEFTEÅ</t>
        </is>
      </c>
      <c r="F1990" t="inlineStr">
        <is>
          <t>SCA</t>
        </is>
      </c>
      <c r="G1990" t="n">
        <v>23.8</v>
      </c>
      <c r="H1990" t="n">
        <v>0</v>
      </c>
      <c r="I1990" t="n">
        <v>0</v>
      </c>
      <c r="J1990" t="n">
        <v>0</v>
      </c>
      <c r="K1990" t="n">
        <v>0</v>
      </c>
      <c r="L1990" t="n">
        <v>0</v>
      </c>
      <c r="M1990" t="n">
        <v>0</v>
      </c>
      <c r="N1990" t="n">
        <v>0</v>
      </c>
      <c r="O1990" t="n">
        <v>0</v>
      </c>
      <c r="P1990" t="n">
        <v>0</v>
      </c>
      <c r="Q1990" t="n">
        <v>0</v>
      </c>
      <c r="R1990" s="2" t="inlineStr"/>
    </row>
    <row r="1991" ht="15" customHeight="1">
      <c r="A1991" t="inlineStr">
        <is>
          <t>A 36967-2025</t>
        </is>
      </c>
      <c r="B1991" s="1" t="n">
        <v>45874.63642361111</v>
      </c>
      <c r="C1991" s="1" t="n">
        <v>45964</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37018-2025</t>
        </is>
      </c>
      <c r="B1992" s="1" t="n">
        <v>45874</v>
      </c>
      <c r="C1992" s="1" t="n">
        <v>45964</v>
      </c>
      <c r="D1992" t="inlineStr">
        <is>
          <t>VÄSTERNORRLANDS LÄN</t>
        </is>
      </c>
      <c r="E1992" t="inlineStr">
        <is>
          <t>SOLLEFTEÅ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37053-2025</t>
        </is>
      </c>
      <c r="B1993" s="1" t="n">
        <v>45875.36493055556</v>
      </c>
      <c r="C1993" s="1" t="n">
        <v>45964</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47647-2025</t>
        </is>
      </c>
      <c r="B1994" s="1" t="n">
        <v>45931.51834490741</v>
      </c>
      <c r="C1994" s="1" t="n">
        <v>45964</v>
      </c>
      <c r="D1994" t="inlineStr">
        <is>
          <t>VÄSTERNORRLANDS LÄN</t>
        </is>
      </c>
      <c r="E1994" t="inlineStr">
        <is>
          <t>SOLLEFTEÅ</t>
        </is>
      </c>
      <c r="F1994" t="inlineStr">
        <is>
          <t>Holmen skog AB</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36850-2025</t>
        </is>
      </c>
      <c r="B1995" s="1" t="n">
        <v>45874.39098379629</v>
      </c>
      <c r="C1995" s="1" t="n">
        <v>45964</v>
      </c>
      <c r="D1995" t="inlineStr">
        <is>
          <t>VÄSTERNORRLANDS LÄN</t>
        </is>
      </c>
      <c r="E1995" t="inlineStr">
        <is>
          <t>SOLLEFTEÅ</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64115-2023</t>
        </is>
      </c>
      <c r="B1996" s="1" t="n">
        <v>45279</v>
      </c>
      <c r="C1996" s="1" t="n">
        <v>45964</v>
      </c>
      <c r="D1996" t="inlineStr">
        <is>
          <t>VÄSTERNORRLANDS LÄN</t>
        </is>
      </c>
      <c r="E1996" t="inlineStr">
        <is>
          <t>SOLLEFTEÅ</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7721-2023</t>
        </is>
      </c>
      <c r="B1997" s="1" t="n">
        <v>44972.94123842593</v>
      </c>
      <c r="C1997" s="1" t="n">
        <v>45964</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37065-2025</t>
        </is>
      </c>
      <c r="B1998" s="1" t="n">
        <v>45875.38619212963</v>
      </c>
      <c r="C1998" s="1" t="n">
        <v>45964</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47675-2025</t>
        </is>
      </c>
      <c r="B1999" s="1" t="n">
        <v>45931.5742824074</v>
      </c>
      <c r="C1999" s="1" t="n">
        <v>45964</v>
      </c>
      <c r="D1999" t="inlineStr">
        <is>
          <t>VÄSTERNORRLANDS LÄN</t>
        </is>
      </c>
      <c r="E1999" t="inlineStr">
        <is>
          <t>SOLLEFTEÅ</t>
        </is>
      </c>
      <c r="F1999" t="inlineStr">
        <is>
          <t>SCA</t>
        </is>
      </c>
      <c r="G1999" t="n">
        <v>27.8</v>
      </c>
      <c r="H1999" t="n">
        <v>0</v>
      </c>
      <c r="I1999" t="n">
        <v>0</v>
      </c>
      <c r="J1999" t="n">
        <v>0</v>
      </c>
      <c r="K1999" t="n">
        <v>0</v>
      </c>
      <c r="L1999" t="n">
        <v>0</v>
      </c>
      <c r="M1999" t="n">
        <v>0</v>
      </c>
      <c r="N1999" t="n">
        <v>0</v>
      </c>
      <c r="O1999" t="n">
        <v>0</v>
      </c>
      <c r="P1999" t="n">
        <v>0</v>
      </c>
      <c r="Q1999" t="n">
        <v>0</v>
      </c>
      <c r="R1999" s="2" t="inlineStr"/>
    </row>
    <row r="2000" ht="15" customHeight="1">
      <c r="A2000" t="inlineStr">
        <is>
          <t>A 47702-2025</t>
        </is>
      </c>
      <c r="B2000" s="1" t="n">
        <v>45931.60685185185</v>
      </c>
      <c r="C2000" s="1" t="n">
        <v>45964</v>
      </c>
      <c r="D2000" t="inlineStr">
        <is>
          <t>VÄSTERNORRLANDS LÄN</t>
        </is>
      </c>
      <c r="E2000" t="inlineStr">
        <is>
          <t>SOLLEFTEÅ</t>
        </is>
      </c>
      <c r="F2000" t="inlineStr">
        <is>
          <t>Holmen skog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36968-2025</t>
        </is>
      </c>
      <c r="B2001" s="1" t="n">
        <v>45874.63667824074</v>
      </c>
      <c r="C2001" s="1" t="n">
        <v>45964</v>
      </c>
      <c r="D2001" t="inlineStr">
        <is>
          <t>VÄSTERNORRLANDS LÄN</t>
        </is>
      </c>
      <c r="E2001" t="inlineStr">
        <is>
          <t>SOLLEFTEÅ</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37084-2025</t>
        </is>
      </c>
      <c r="B2002" s="1" t="n">
        <v>45875.44826388889</v>
      </c>
      <c r="C2002" s="1" t="n">
        <v>45964</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45964</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21230-2023</t>
        </is>
      </c>
      <c r="B2004" s="1" t="n">
        <v>45057</v>
      </c>
      <c r="C2004" s="1" t="n">
        <v>45964</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10925-2022</t>
        </is>
      </c>
      <c r="B2005" s="1" t="n">
        <v>44627.9444212963</v>
      </c>
      <c r="C2005" s="1" t="n">
        <v>45964</v>
      </c>
      <c r="D2005" t="inlineStr">
        <is>
          <t>VÄSTERNORRLANDS LÄN</t>
        </is>
      </c>
      <c r="E2005" t="inlineStr">
        <is>
          <t>SOLLEFTEÅ</t>
        </is>
      </c>
      <c r="F2005" t="inlineStr">
        <is>
          <t>SCA</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47293-2025</t>
        </is>
      </c>
      <c r="B2006" s="1" t="n">
        <v>45930.49034722222</v>
      </c>
      <c r="C2006" s="1" t="n">
        <v>45964</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47636-2025</t>
        </is>
      </c>
      <c r="B2007" s="1" t="n">
        <v>45931.49577546296</v>
      </c>
      <c r="C2007" s="1" t="n">
        <v>45964</v>
      </c>
      <c r="D2007" t="inlineStr">
        <is>
          <t>VÄSTERNORRLANDS LÄN</t>
        </is>
      </c>
      <c r="E2007" t="inlineStr">
        <is>
          <t>SOLLEFTEÅ</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47234-2025</t>
        </is>
      </c>
      <c r="B2008" s="1" t="n">
        <v>45930.40663194445</v>
      </c>
      <c r="C2008" s="1" t="n">
        <v>45964</v>
      </c>
      <c r="D2008" t="inlineStr">
        <is>
          <t>VÄSTERNORRLANDS LÄN</t>
        </is>
      </c>
      <c r="E2008" t="inlineStr">
        <is>
          <t>SOLLEFTEÅ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31916-2023</t>
        </is>
      </c>
      <c r="B2009" s="1" t="n">
        <v>45118.93978009259</v>
      </c>
      <c r="C2009" s="1" t="n">
        <v>45964</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31919-2023</t>
        </is>
      </c>
      <c r="B2010" s="1" t="n">
        <v>45118</v>
      </c>
      <c r="C2010" s="1" t="n">
        <v>45964</v>
      </c>
      <c r="D2010" t="inlineStr">
        <is>
          <t>VÄSTERNORRLANDS LÄN</t>
        </is>
      </c>
      <c r="E2010" t="inlineStr">
        <is>
          <t>SOLLEFTEÅ</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64133-2023</t>
        </is>
      </c>
      <c r="B2011" s="1" t="n">
        <v>45279</v>
      </c>
      <c r="C2011" s="1" t="n">
        <v>45964</v>
      </c>
      <c r="D2011" t="inlineStr">
        <is>
          <t>VÄSTERNORRLANDS LÄN</t>
        </is>
      </c>
      <c r="E2011" t="inlineStr">
        <is>
          <t>SOLLEFTEÅ</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36928-2025</t>
        </is>
      </c>
      <c r="B2012" s="1" t="n">
        <v>45874.55299768518</v>
      </c>
      <c r="C2012" s="1" t="n">
        <v>45964</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36966-2025</t>
        </is>
      </c>
      <c r="B2013" s="1" t="n">
        <v>45874.63614583333</v>
      </c>
      <c r="C2013" s="1" t="n">
        <v>45964</v>
      </c>
      <c r="D2013" t="inlineStr">
        <is>
          <t>VÄSTERNORRLANDS LÄN</t>
        </is>
      </c>
      <c r="E2013" t="inlineStr">
        <is>
          <t>SOLLEFTEÅ</t>
        </is>
      </c>
      <c r="F2013" t="inlineStr">
        <is>
          <t>SCA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58085-2023</t>
        </is>
      </c>
      <c r="B2014" s="1" t="n">
        <v>45247</v>
      </c>
      <c r="C2014" s="1" t="n">
        <v>45964</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47532-2025</t>
        </is>
      </c>
      <c r="B2015" s="1" t="n">
        <v>45931.34635416666</v>
      </c>
      <c r="C2015" s="1" t="n">
        <v>45964</v>
      </c>
      <c r="D2015" t="inlineStr">
        <is>
          <t>VÄSTERNORRLANDS LÄN</t>
        </is>
      </c>
      <c r="E2015" t="inlineStr">
        <is>
          <t>SOLLEFTEÅ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39287-2025</t>
        </is>
      </c>
      <c r="B2016" s="1" t="n">
        <v>45889.40693287037</v>
      </c>
      <c r="C2016" s="1" t="n">
        <v>45964</v>
      </c>
      <c r="D2016" t="inlineStr">
        <is>
          <t>VÄSTERNORRLANDS LÄN</t>
        </is>
      </c>
      <c r="E2016" t="inlineStr">
        <is>
          <t>SOLLEFTEÅ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39319-2025</t>
        </is>
      </c>
      <c r="B2017" s="1" t="n">
        <v>45889.46916666667</v>
      </c>
      <c r="C2017" s="1" t="n">
        <v>45964</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7569-2025</t>
        </is>
      </c>
      <c r="B2018" s="1" t="n">
        <v>45705.59442129629</v>
      </c>
      <c r="C2018" s="1" t="n">
        <v>45964</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37019-2025</t>
        </is>
      </c>
      <c r="B2019" s="1" t="n">
        <v>45874</v>
      </c>
      <c r="C2019" s="1" t="n">
        <v>45964</v>
      </c>
      <c r="D2019" t="inlineStr">
        <is>
          <t>VÄSTERNORRLANDS LÄN</t>
        </is>
      </c>
      <c r="E2019" t="inlineStr">
        <is>
          <t>SOLLEFTEÅ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37073-2025</t>
        </is>
      </c>
      <c r="B2020" s="1" t="n">
        <v>45875.40703703704</v>
      </c>
      <c r="C2020" s="1" t="n">
        <v>45964</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19145-2025</t>
        </is>
      </c>
      <c r="B2021" s="1" t="n">
        <v>45769.34452546296</v>
      </c>
      <c r="C2021" s="1" t="n">
        <v>45964</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36927-2025</t>
        </is>
      </c>
      <c r="B2022" s="1" t="n">
        <v>45874.55273148148</v>
      </c>
      <c r="C2022" s="1" t="n">
        <v>45964</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47965-2024</t>
        </is>
      </c>
      <c r="B2023" s="1" t="n">
        <v>45589.38638888889</v>
      </c>
      <c r="C2023" s="1" t="n">
        <v>45964</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54255-2022</t>
        </is>
      </c>
      <c r="B2024" s="1" t="n">
        <v>44881.95225694445</v>
      </c>
      <c r="C2024" s="1" t="n">
        <v>45964</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4061-2024</t>
        </is>
      </c>
      <c r="B2025" s="1" t="n">
        <v>45323</v>
      </c>
      <c r="C2025" s="1" t="n">
        <v>45964</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14274-2025</t>
        </is>
      </c>
      <c r="B2026" s="1" t="n">
        <v>45740.64412037037</v>
      </c>
      <c r="C2026" s="1" t="n">
        <v>45964</v>
      </c>
      <c r="D2026" t="inlineStr">
        <is>
          <t>VÄSTERNORRLANDS LÄN</t>
        </is>
      </c>
      <c r="E2026" t="inlineStr">
        <is>
          <t>SOLLEFTEÅ</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37278-2025</t>
        </is>
      </c>
      <c r="B2027" s="1" t="n">
        <v>45876.490625</v>
      </c>
      <c r="C2027" s="1" t="n">
        <v>45964</v>
      </c>
      <c r="D2027" t="inlineStr">
        <is>
          <t>VÄSTERNORRLANDS LÄN</t>
        </is>
      </c>
      <c r="E2027" t="inlineStr">
        <is>
          <t>SOLLEFTEÅ</t>
        </is>
      </c>
      <c r="F2027" t="inlineStr">
        <is>
          <t>SCA</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5034-2024</t>
        </is>
      </c>
      <c r="B2028" s="1" t="n">
        <v>45329.86893518519</v>
      </c>
      <c r="C2028" s="1" t="n">
        <v>45964</v>
      </c>
      <c r="D2028" t="inlineStr">
        <is>
          <t>VÄSTERNORRLANDS LÄN</t>
        </is>
      </c>
      <c r="E2028" t="inlineStr">
        <is>
          <t>SOLLEFTEÅ</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17096-2025</t>
        </is>
      </c>
      <c r="B2029" s="1" t="n">
        <v>45755.65662037037</v>
      </c>
      <c r="C2029" s="1" t="n">
        <v>45964</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33743-2025</t>
        </is>
      </c>
      <c r="B2030" s="1" t="n">
        <v>45842.34496527778</v>
      </c>
      <c r="C2030" s="1" t="n">
        <v>45964</v>
      </c>
      <c r="D2030" t="inlineStr">
        <is>
          <t>VÄSTERNORRLANDS LÄN</t>
        </is>
      </c>
      <c r="E2030" t="inlineStr">
        <is>
          <t>SOLLEFTEÅ</t>
        </is>
      </c>
      <c r="F2030" t="inlineStr">
        <is>
          <t>SCA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47376-2025</t>
        </is>
      </c>
      <c r="B2031" s="1" t="n">
        <v>45930.59454861111</v>
      </c>
      <c r="C2031" s="1" t="n">
        <v>45964</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35417-2024</t>
        </is>
      </c>
      <c r="B2032" s="1" t="n">
        <v>45531.40851851852</v>
      </c>
      <c r="C2032" s="1" t="n">
        <v>45964</v>
      </c>
      <c r="D2032" t="inlineStr">
        <is>
          <t>VÄSTERNORRLANDS LÄN</t>
        </is>
      </c>
      <c r="E2032" t="inlineStr">
        <is>
          <t>SOLLEFTEÅ</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47536-2025</t>
        </is>
      </c>
      <c r="B2033" s="1" t="n">
        <v>45931.34695601852</v>
      </c>
      <c r="C2033" s="1" t="n">
        <v>45964</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39270-2025</t>
        </is>
      </c>
      <c r="B2034" s="1" t="n">
        <v>45889.38609953703</v>
      </c>
      <c r="C2034" s="1" t="n">
        <v>45964</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39286-2025</t>
        </is>
      </c>
      <c r="B2035" s="1" t="n">
        <v>45889.40690972222</v>
      </c>
      <c r="C2035" s="1" t="n">
        <v>45964</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37304-2025</t>
        </is>
      </c>
      <c r="B2036" s="1" t="n">
        <v>45876.59458333333</v>
      </c>
      <c r="C2036" s="1" t="n">
        <v>45964</v>
      </c>
      <c r="D2036" t="inlineStr">
        <is>
          <t>VÄSTERNORRLANDS LÄN</t>
        </is>
      </c>
      <c r="E2036" t="inlineStr">
        <is>
          <t>SOLLEFTEÅ</t>
        </is>
      </c>
      <c r="F2036" t="inlineStr">
        <is>
          <t>SCA</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48999-2023</t>
        </is>
      </c>
      <c r="B2037" s="1" t="n">
        <v>45209.66075231481</v>
      </c>
      <c r="C2037" s="1" t="n">
        <v>45964</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39656-2025</t>
        </is>
      </c>
      <c r="B2038" s="1" t="n">
        <v>45890</v>
      </c>
      <c r="C2038" s="1" t="n">
        <v>45964</v>
      </c>
      <c r="D2038" t="inlineStr">
        <is>
          <t>VÄSTERNORRLANDS LÄN</t>
        </is>
      </c>
      <c r="E2038" t="inlineStr">
        <is>
          <t>SOLLEFTEÅ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61384-2022</t>
        </is>
      </c>
      <c r="B2039" s="1" t="n">
        <v>44915</v>
      </c>
      <c r="C2039" s="1" t="n">
        <v>45964</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37242-2025</t>
        </is>
      </c>
      <c r="B2040" s="1" t="n">
        <v>45876.38614583333</v>
      </c>
      <c r="C2040" s="1" t="n">
        <v>45964</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37325-2025</t>
        </is>
      </c>
      <c r="B2041" s="1" t="n">
        <v>45876.63581018519</v>
      </c>
      <c r="C2041" s="1" t="n">
        <v>45964</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14448-2022</t>
        </is>
      </c>
      <c r="B2042" s="1" t="n">
        <v>44652</v>
      </c>
      <c r="C2042" s="1" t="n">
        <v>45964</v>
      </c>
      <c r="D2042" t="inlineStr">
        <is>
          <t>VÄSTERNORRLANDS LÄN</t>
        </is>
      </c>
      <c r="E2042" t="inlineStr">
        <is>
          <t>SOLLEFTEÅ</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39515-2025</t>
        </is>
      </c>
      <c r="B2043" s="1" t="n">
        <v>45890.42078703704</v>
      </c>
      <c r="C2043" s="1" t="n">
        <v>45964</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37581-2025</t>
        </is>
      </c>
      <c r="B2044" s="1" t="n">
        <v>45880.38623842593</v>
      </c>
      <c r="C2044" s="1" t="n">
        <v>45964</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26500-2024</t>
        </is>
      </c>
      <c r="B2045" s="1" t="n">
        <v>45469.57174768519</v>
      </c>
      <c r="C2045" s="1" t="n">
        <v>45964</v>
      </c>
      <c r="D2045" t="inlineStr">
        <is>
          <t>VÄSTERNORRLANDS LÄN</t>
        </is>
      </c>
      <c r="E2045" t="inlineStr">
        <is>
          <t>SOLLEFTEÅ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48035-2025</t>
        </is>
      </c>
      <c r="B2046" s="1" t="n">
        <v>45932</v>
      </c>
      <c r="C2046" s="1" t="n">
        <v>45964</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37607-2025</t>
        </is>
      </c>
      <c r="B2047" s="1" t="n">
        <v>45880</v>
      </c>
      <c r="C2047" s="1" t="n">
        <v>45964</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39568-2025</t>
        </is>
      </c>
      <c r="B2048" s="1" t="n">
        <v>45890.48993055556</v>
      </c>
      <c r="C2048" s="1" t="n">
        <v>45964</v>
      </c>
      <c r="D2048" t="inlineStr">
        <is>
          <t>VÄSTERNORRLANDS LÄN</t>
        </is>
      </c>
      <c r="E2048" t="inlineStr">
        <is>
          <t>SOLLEFTEÅ</t>
        </is>
      </c>
      <c r="F2048" t="inlineStr">
        <is>
          <t>SCA</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39935-2025</t>
        </is>
      </c>
      <c r="B2049" s="1" t="n">
        <v>45891</v>
      </c>
      <c r="C2049" s="1" t="n">
        <v>45964</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39475-2025</t>
        </is>
      </c>
      <c r="B2050" s="1" t="n">
        <v>45890.34447916667</v>
      </c>
      <c r="C2050" s="1" t="n">
        <v>45964</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38432-2022</t>
        </is>
      </c>
      <c r="B2051" s="1" t="n">
        <v>44812</v>
      </c>
      <c r="C2051" s="1" t="n">
        <v>45964</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45964</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48308-2025</t>
        </is>
      </c>
      <c r="B2053" s="1" t="n">
        <v>45933</v>
      </c>
      <c r="C2053" s="1" t="n">
        <v>45964</v>
      </c>
      <c r="D2053" t="inlineStr">
        <is>
          <t>VÄSTERNORRLANDS LÄN</t>
        </is>
      </c>
      <c r="E2053" t="inlineStr">
        <is>
          <t>SOLLEFTEÅ</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47962-2025</t>
        </is>
      </c>
      <c r="B2054" s="1" t="n">
        <v>45932.59434027778</v>
      </c>
      <c r="C2054" s="1" t="n">
        <v>45964</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48306-2025</t>
        </is>
      </c>
      <c r="B2055" s="1" t="n">
        <v>45933.615</v>
      </c>
      <c r="C2055" s="1" t="n">
        <v>45964</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48311-2025</t>
        </is>
      </c>
      <c r="B2056" s="1" t="n">
        <v>45933.61584490741</v>
      </c>
      <c r="C2056" s="1" t="n">
        <v>45964</v>
      </c>
      <c r="D2056" t="inlineStr">
        <is>
          <t>VÄSTERNORRLANDS LÄN</t>
        </is>
      </c>
      <c r="E2056" t="inlineStr">
        <is>
          <t>SOLLEFTEÅ</t>
        </is>
      </c>
      <c r="F2056" t="inlineStr">
        <is>
          <t>SCA</t>
        </is>
      </c>
      <c r="G2056" t="n">
        <v>61.2</v>
      </c>
      <c r="H2056" t="n">
        <v>0</v>
      </c>
      <c r="I2056" t="n">
        <v>0</v>
      </c>
      <c r="J2056" t="n">
        <v>0</v>
      </c>
      <c r="K2056" t="n">
        <v>0</v>
      </c>
      <c r="L2056" t="n">
        <v>0</v>
      </c>
      <c r="M2056" t="n">
        <v>0</v>
      </c>
      <c r="N2056" t="n">
        <v>0</v>
      </c>
      <c r="O2056" t="n">
        <v>0</v>
      </c>
      <c r="P2056" t="n">
        <v>0</v>
      </c>
      <c r="Q2056" t="n">
        <v>0</v>
      </c>
      <c r="R2056" s="2" t="inlineStr"/>
    </row>
    <row r="2057" ht="15" customHeight="1">
      <c r="A2057" t="inlineStr">
        <is>
          <t>A 14169-2024</t>
        </is>
      </c>
      <c r="B2057" s="1" t="n">
        <v>45392.95831018518</v>
      </c>
      <c r="C2057" s="1" t="n">
        <v>45964</v>
      </c>
      <c r="D2057" t="inlineStr">
        <is>
          <t>VÄSTERNORRLANDS LÄN</t>
        </is>
      </c>
      <c r="E2057" t="inlineStr">
        <is>
          <t>SOLLEFTEÅ</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48767-2023</t>
        </is>
      </c>
      <c r="B2058" s="1" t="n">
        <v>45208</v>
      </c>
      <c r="C2058" s="1" t="n">
        <v>45964</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39602-2025</t>
        </is>
      </c>
      <c r="B2059" s="1" t="n">
        <v>45890.55296296296</v>
      </c>
      <c r="C2059" s="1" t="n">
        <v>45964</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38562-2025</t>
        </is>
      </c>
      <c r="B2060" s="1" t="n">
        <v>45884.44865740741</v>
      </c>
      <c r="C2060" s="1" t="n">
        <v>45964</v>
      </c>
      <c r="D2060" t="inlineStr">
        <is>
          <t>VÄSTERNORRLANDS LÄN</t>
        </is>
      </c>
      <c r="E2060" t="inlineStr">
        <is>
          <t>SOLLEFTEÅ</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5035-2024</t>
        </is>
      </c>
      <c r="B2061" s="1" t="n">
        <v>45329.86893518519</v>
      </c>
      <c r="C2061" s="1" t="n">
        <v>45964</v>
      </c>
      <c r="D2061" t="inlineStr">
        <is>
          <t>VÄSTERNORRLANDS LÄN</t>
        </is>
      </c>
      <c r="E2061" t="inlineStr">
        <is>
          <t>SOLLEFTEÅ</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5040-2024</t>
        </is>
      </c>
      <c r="B2062" s="1" t="n">
        <v>45329.88962962963</v>
      </c>
      <c r="C2062" s="1" t="n">
        <v>45964</v>
      </c>
      <c r="D2062" t="inlineStr">
        <is>
          <t>VÄSTERNORRLANDS LÄN</t>
        </is>
      </c>
      <c r="E2062" t="inlineStr">
        <is>
          <t>SOLLEFTEÅ</t>
        </is>
      </c>
      <c r="F2062" t="inlineStr">
        <is>
          <t>Övriga Aktiebolag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39619-2025</t>
        </is>
      </c>
      <c r="B2063" s="1" t="n">
        <v>45890.57347222222</v>
      </c>
      <c r="C2063" s="1" t="n">
        <v>45964</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3537-2025</t>
        </is>
      </c>
      <c r="B2064" s="1" t="n">
        <v>45680</v>
      </c>
      <c r="C2064" s="1" t="n">
        <v>45964</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48053-2025</t>
        </is>
      </c>
      <c r="B2065" s="1" t="n">
        <v>45932.67856481481</v>
      </c>
      <c r="C2065" s="1" t="n">
        <v>45964</v>
      </c>
      <c r="D2065" t="inlineStr">
        <is>
          <t>VÄSTERNORRLANDS LÄN</t>
        </is>
      </c>
      <c r="E2065" t="inlineStr">
        <is>
          <t>SOLLEFTEÅ</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16237-2024</t>
        </is>
      </c>
      <c r="B2066" s="1" t="n">
        <v>45407.05681712963</v>
      </c>
      <c r="C2066" s="1" t="n">
        <v>45964</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44662-2024</t>
        </is>
      </c>
      <c r="B2067" s="1" t="n">
        <v>45574.53189814815</v>
      </c>
      <c r="C2067" s="1" t="n">
        <v>45964</v>
      </c>
      <c r="D2067" t="inlineStr">
        <is>
          <t>VÄSTERNORRLANDS LÄN</t>
        </is>
      </c>
      <c r="E2067" t="inlineStr">
        <is>
          <t>SOLLEFTEÅ</t>
        </is>
      </c>
      <c r="F2067" t="inlineStr">
        <is>
          <t>SCA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45593-2025</t>
        </is>
      </c>
      <c r="B2068" s="1" t="n">
        <v>45922.67783564814</v>
      </c>
      <c r="C2068" s="1" t="n">
        <v>45964</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45340-2025</t>
        </is>
      </c>
      <c r="B2069" s="1" t="n">
        <v>45922.34421296296</v>
      </c>
      <c r="C2069" s="1" t="n">
        <v>45964</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45843-2025</t>
        </is>
      </c>
      <c r="B2070" s="1" t="n">
        <v>45923.61541666667</v>
      </c>
      <c r="C2070" s="1" t="n">
        <v>45964</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46898-2025</t>
        </is>
      </c>
      <c r="B2071" s="1" t="n">
        <v>45929.38613425926</v>
      </c>
      <c r="C2071" s="1" t="n">
        <v>45964</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38768-2024</t>
        </is>
      </c>
      <c r="B2072" s="1" t="n">
        <v>45547.44892361111</v>
      </c>
      <c r="C2072" s="1" t="n">
        <v>45964</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48070-2025</t>
        </is>
      </c>
      <c r="B2073" s="1" t="n">
        <v>45932.69886574074</v>
      </c>
      <c r="C2073" s="1" t="n">
        <v>45964</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48340-2025</t>
        </is>
      </c>
      <c r="B2074" s="1" t="n">
        <v>45933.64240740741</v>
      </c>
      <c r="C2074" s="1" t="n">
        <v>45964</v>
      </c>
      <c r="D2074" t="inlineStr">
        <is>
          <t>VÄSTERNORRLANDS LÄN</t>
        </is>
      </c>
      <c r="E2074" t="inlineStr">
        <is>
          <t>SOLLEFTEÅ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48349-2025</t>
        </is>
      </c>
      <c r="B2075" s="1" t="n">
        <v>45933.65673611111</v>
      </c>
      <c r="C2075" s="1" t="n">
        <v>45964</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52034-2022</t>
        </is>
      </c>
      <c r="B2076" s="1" t="n">
        <v>44872</v>
      </c>
      <c r="C2076" s="1" t="n">
        <v>45964</v>
      </c>
      <c r="D2076" t="inlineStr">
        <is>
          <t>VÄSTERNORRLANDS LÄN</t>
        </is>
      </c>
      <c r="E2076" t="inlineStr">
        <is>
          <t>SOLLEFTEÅ</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35673-2024</t>
        </is>
      </c>
      <c r="B2077" s="1" t="n">
        <v>45532.39119212963</v>
      </c>
      <c r="C2077" s="1" t="n">
        <v>45964</v>
      </c>
      <c r="D2077" t="inlineStr">
        <is>
          <t>VÄSTERNORRLANDS LÄN</t>
        </is>
      </c>
      <c r="E2077" t="inlineStr">
        <is>
          <t>SOLLEFTEÅ</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48052-2025</t>
        </is>
      </c>
      <c r="B2078" s="1" t="n">
        <v>45932.67831018518</v>
      </c>
      <c r="C2078" s="1" t="n">
        <v>45964</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45794-2025</t>
        </is>
      </c>
      <c r="B2079" s="1" t="n">
        <v>45923.57380787037</v>
      </c>
      <c r="C2079" s="1" t="n">
        <v>45964</v>
      </c>
      <c r="D2079" t="inlineStr">
        <is>
          <t>VÄSTERNORRLANDS LÄN</t>
        </is>
      </c>
      <c r="E2079" t="inlineStr">
        <is>
          <t>SOLLEFTEÅ</t>
        </is>
      </c>
      <c r="F2079" t="inlineStr">
        <is>
          <t>SCA</t>
        </is>
      </c>
      <c r="G2079" t="n">
        <v>34.9</v>
      </c>
      <c r="H2079" t="n">
        <v>0</v>
      </c>
      <c r="I2079" t="n">
        <v>0</v>
      </c>
      <c r="J2079" t="n">
        <v>0</v>
      </c>
      <c r="K2079" t="n">
        <v>0</v>
      </c>
      <c r="L2079" t="n">
        <v>0</v>
      </c>
      <c r="M2079" t="n">
        <v>0</v>
      </c>
      <c r="N2079" t="n">
        <v>0</v>
      </c>
      <c r="O2079" t="n">
        <v>0</v>
      </c>
      <c r="P2079" t="n">
        <v>0</v>
      </c>
      <c r="Q2079" t="n">
        <v>0</v>
      </c>
      <c r="R2079" s="2" t="inlineStr"/>
    </row>
    <row r="2080" ht="15" customHeight="1">
      <c r="A2080" t="inlineStr">
        <is>
          <t>A 48290-2025</t>
        </is>
      </c>
      <c r="B2080" s="1" t="n">
        <v>45933.59497685185</v>
      </c>
      <c r="C2080" s="1" t="n">
        <v>45964</v>
      </c>
      <c r="D2080" t="inlineStr">
        <is>
          <t>VÄSTERNORRLANDS LÄN</t>
        </is>
      </c>
      <c r="E2080" t="inlineStr">
        <is>
          <t>SOLLEFTEÅ</t>
        </is>
      </c>
      <c r="F2080" t="inlineStr">
        <is>
          <t>SCA</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48307-2025</t>
        </is>
      </c>
      <c r="B2081" s="1" t="n">
        <v>45933.61519675926</v>
      </c>
      <c r="C2081" s="1" t="n">
        <v>45964</v>
      </c>
      <c r="D2081" t="inlineStr">
        <is>
          <t>VÄSTERNORRLANDS LÄN</t>
        </is>
      </c>
      <c r="E2081" t="inlineStr">
        <is>
          <t>SOLLEFTEÅ</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48310-2025</t>
        </is>
      </c>
      <c r="B2082" s="1" t="n">
        <v>45933.61559027778</v>
      </c>
      <c r="C2082" s="1" t="n">
        <v>45964</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47851-2025</t>
        </is>
      </c>
      <c r="B2083" s="1" t="n">
        <v>45932.38645833333</v>
      </c>
      <c r="C2083" s="1" t="n">
        <v>45964</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48125-2025</t>
        </is>
      </c>
      <c r="B2084" s="1" t="n">
        <v>45933.36511574074</v>
      </c>
      <c r="C2084" s="1" t="n">
        <v>45964</v>
      </c>
      <c r="D2084" t="inlineStr">
        <is>
          <t>VÄSTERNORRLANDS LÄN</t>
        </is>
      </c>
      <c r="E2084" t="inlineStr">
        <is>
          <t>SOLLEFTEÅ</t>
        </is>
      </c>
      <c r="F2084" t="inlineStr">
        <is>
          <t>SCA</t>
        </is>
      </c>
      <c r="G2084" t="n">
        <v>13.3</v>
      </c>
      <c r="H2084" t="n">
        <v>0</v>
      </c>
      <c r="I2084" t="n">
        <v>0</v>
      </c>
      <c r="J2084" t="n">
        <v>0</v>
      </c>
      <c r="K2084" t="n">
        <v>0</v>
      </c>
      <c r="L2084" t="n">
        <v>0</v>
      </c>
      <c r="M2084" t="n">
        <v>0</v>
      </c>
      <c r="N2084" t="n">
        <v>0</v>
      </c>
      <c r="O2084" t="n">
        <v>0</v>
      </c>
      <c r="P2084" t="n">
        <v>0</v>
      </c>
      <c r="Q2084" t="n">
        <v>0</v>
      </c>
      <c r="R2084" s="2" t="inlineStr"/>
    </row>
    <row r="2085" ht="15" customHeight="1">
      <c r="A2085" t="inlineStr">
        <is>
          <t>A 48126-2025</t>
        </is>
      </c>
      <c r="B2085" s="1" t="n">
        <v>45933.36530092593</v>
      </c>
      <c r="C2085" s="1" t="n">
        <v>45964</v>
      </c>
      <c r="D2085" t="inlineStr">
        <is>
          <t>VÄSTERNORRLANDS LÄN</t>
        </is>
      </c>
      <c r="E2085" t="inlineStr">
        <is>
          <t>SOLLEFTEÅ</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48351-2025</t>
        </is>
      </c>
      <c r="B2086" s="1" t="n">
        <v>45933.65725694445</v>
      </c>
      <c r="C2086" s="1" t="n">
        <v>45964</v>
      </c>
      <c r="D2086" t="inlineStr">
        <is>
          <t>VÄSTERNORRLANDS LÄN</t>
        </is>
      </c>
      <c r="E2086" t="inlineStr">
        <is>
          <t>SOLLEFTEÅ</t>
        </is>
      </c>
      <c r="F2086" t="inlineStr">
        <is>
          <t>SCA</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39664-2025</t>
        </is>
      </c>
      <c r="B2087" s="1" t="n">
        <v>45890.63596064815</v>
      </c>
      <c r="C2087" s="1" t="n">
        <v>45964</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39671-2025</t>
        </is>
      </c>
      <c r="B2088" s="1" t="n">
        <v>45890</v>
      </c>
      <c r="C2088" s="1" t="n">
        <v>45964</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13942-2024</t>
        </is>
      </c>
      <c r="B2089" s="1" t="n">
        <v>45391.9540162037</v>
      </c>
      <c r="C2089" s="1" t="n">
        <v>45964</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47947-2025</t>
        </is>
      </c>
      <c r="B2090" s="1" t="n">
        <v>45932.5740625</v>
      </c>
      <c r="C2090" s="1" t="n">
        <v>45964</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37921-2025</t>
        </is>
      </c>
      <c r="B2091" s="1" t="n">
        <v>45881.57491898148</v>
      </c>
      <c r="C2091" s="1" t="n">
        <v>45964</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27972-2021</t>
        </is>
      </c>
      <c r="B2092" s="1" t="n">
        <v>44354.93622685185</v>
      </c>
      <c r="C2092" s="1" t="n">
        <v>45964</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37880-2025</t>
        </is>
      </c>
      <c r="B2093" s="1" t="n">
        <v>45881.48998842593</v>
      </c>
      <c r="C2093" s="1" t="n">
        <v>45964</v>
      </c>
      <c r="D2093" t="inlineStr">
        <is>
          <t>VÄSTERNORRLANDS LÄN</t>
        </is>
      </c>
      <c r="E2093" t="inlineStr">
        <is>
          <t>SOLLEFTEÅ</t>
        </is>
      </c>
      <c r="F2093" t="inlineStr">
        <is>
          <t>SCA</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48313-2025</t>
        </is>
      </c>
      <c r="B2094" s="1" t="n">
        <v>45933.61605324074</v>
      </c>
      <c r="C2094" s="1" t="n">
        <v>45964</v>
      </c>
      <c r="D2094" t="inlineStr">
        <is>
          <t>VÄSTERNORRLANDS LÄN</t>
        </is>
      </c>
      <c r="E2094" t="inlineStr">
        <is>
          <t>SOLLEFTEÅ</t>
        </is>
      </c>
      <c r="F2094" t="inlineStr">
        <is>
          <t>SCA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45952-2025</t>
        </is>
      </c>
      <c r="B2095" s="1" t="n">
        <v>45924.34430555555</v>
      </c>
      <c r="C2095" s="1" t="n">
        <v>45964</v>
      </c>
      <c r="D2095" t="inlineStr">
        <is>
          <t>VÄSTERNORRLANDS LÄN</t>
        </is>
      </c>
      <c r="E2095" t="inlineStr">
        <is>
          <t>SOLLEFTEÅ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38271-2025</t>
        </is>
      </c>
      <c r="B2096" s="1" t="n">
        <v>45883.4071412037</v>
      </c>
      <c r="C2096" s="1" t="n">
        <v>45964</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9121-2024</t>
        </is>
      </c>
      <c r="B2097" s="1" t="n">
        <v>45358.04099537037</v>
      </c>
      <c r="C2097" s="1" t="n">
        <v>45964</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48743-2025</t>
        </is>
      </c>
      <c r="B2098" s="1" t="n">
        <v>45936.67827546296</v>
      </c>
      <c r="C2098" s="1" t="n">
        <v>45964</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46037-2025</t>
        </is>
      </c>
      <c r="B2099" s="1" t="n">
        <v>45924.44836805556</v>
      </c>
      <c r="C2099" s="1" t="n">
        <v>45964</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57892-2024</t>
        </is>
      </c>
      <c r="B2100" s="1" t="n">
        <v>45631.46910879629</v>
      </c>
      <c r="C2100" s="1" t="n">
        <v>45964</v>
      </c>
      <c r="D2100" t="inlineStr">
        <is>
          <t>VÄSTERNORRLANDS LÄN</t>
        </is>
      </c>
      <c r="E2100" t="inlineStr">
        <is>
          <t>SOLLEFTEÅ</t>
        </is>
      </c>
      <c r="F2100" t="inlineStr">
        <is>
          <t>SCA</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48422-2025</t>
        </is>
      </c>
      <c r="B2101" s="1" t="n">
        <v>45934.67761574074</v>
      </c>
      <c r="C2101" s="1" t="n">
        <v>45964</v>
      </c>
      <c r="D2101" t="inlineStr">
        <is>
          <t>VÄSTERNORRLANDS LÄN</t>
        </is>
      </c>
      <c r="E2101" t="inlineStr">
        <is>
          <t>SOLLEFTEÅ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22207-2025</t>
        </is>
      </c>
      <c r="B2102" s="1" t="n">
        <v>45785.65710648148</v>
      </c>
      <c r="C2102" s="1" t="n">
        <v>45964</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48817-2025</t>
        </is>
      </c>
      <c r="B2103" s="1" t="n">
        <v>45937.36546296296</v>
      </c>
      <c r="C2103" s="1" t="n">
        <v>45964</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62406-2022</t>
        </is>
      </c>
      <c r="B2104" s="1" t="n">
        <v>44923</v>
      </c>
      <c r="C2104" s="1" t="n">
        <v>45964</v>
      </c>
      <c r="D2104" t="inlineStr">
        <is>
          <t>VÄSTERNORRLANDS LÄN</t>
        </is>
      </c>
      <c r="E2104" t="inlineStr">
        <is>
          <t>SOLLEFTEÅ</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60757-2021</t>
        </is>
      </c>
      <c r="B2105" s="1" t="n">
        <v>44496.92101851852</v>
      </c>
      <c r="C2105" s="1" t="n">
        <v>45964</v>
      </c>
      <c r="D2105" t="inlineStr">
        <is>
          <t>VÄSTERNORRLANDS LÄN</t>
        </is>
      </c>
      <c r="E2105" t="inlineStr">
        <is>
          <t>SOLLEFTEÅ</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40174-2025</t>
        </is>
      </c>
      <c r="B2106" s="1" t="n">
        <v>45894.63587962963</v>
      </c>
      <c r="C2106" s="1" t="n">
        <v>45964</v>
      </c>
      <c r="D2106" t="inlineStr">
        <is>
          <t>VÄSTERNORRLANDS LÄN</t>
        </is>
      </c>
      <c r="E2106" t="inlineStr">
        <is>
          <t>SOLLEFTEÅ</t>
        </is>
      </c>
      <c r="F2106" t="inlineStr">
        <is>
          <t>SCA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40450-2025</t>
        </is>
      </c>
      <c r="B2107" s="1" t="n">
        <v>45895.63584490741</v>
      </c>
      <c r="C2107" s="1" t="n">
        <v>45964</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14982-2024</t>
        </is>
      </c>
      <c r="B2108" s="1" t="n">
        <v>45398.94193287037</v>
      </c>
      <c r="C2108" s="1" t="n">
        <v>45964</v>
      </c>
      <c r="D2108" t="inlineStr">
        <is>
          <t>VÄSTERNORRLANDS LÄN</t>
        </is>
      </c>
      <c r="E2108" t="inlineStr">
        <is>
          <t>SOLLEFTEÅ</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40048-2025</t>
        </is>
      </c>
      <c r="B2109" s="1" t="n">
        <v>45894.40679398148</v>
      </c>
      <c r="C2109" s="1" t="n">
        <v>45964</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40050-2025</t>
        </is>
      </c>
      <c r="B2110" s="1" t="n">
        <v>45894.40717592592</v>
      </c>
      <c r="C2110" s="1" t="n">
        <v>45964</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45978-2025</t>
        </is>
      </c>
      <c r="B2111" s="1" t="n">
        <v>45924.37491898148</v>
      </c>
      <c r="C2111" s="1" t="n">
        <v>45964</v>
      </c>
      <c r="D2111" t="inlineStr">
        <is>
          <t>VÄSTERNORRLANDS LÄN</t>
        </is>
      </c>
      <c r="E2111" t="inlineStr">
        <is>
          <t>SOLLEFTEÅ</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40008-2025</t>
        </is>
      </c>
      <c r="B2112" s="1" t="n">
        <v>45894.34431712963</v>
      </c>
      <c r="C2112" s="1" t="n">
        <v>45964</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40302-2025</t>
        </is>
      </c>
      <c r="B2113" s="1" t="n">
        <v>45895.40662037037</v>
      </c>
      <c r="C2113" s="1" t="n">
        <v>45964</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36144-2024</t>
        </is>
      </c>
      <c r="B2114" s="1" t="n">
        <v>45534.36309027778</v>
      </c>
      <c r="C2114" s="1" t="n">
        <v>45964</v>
      </c>
      <c r="D2114" t="inlineStr">
        <is>
          <t>VÄSTERNORRLANDS LÄN</t>
        </is>
      </c>
      <c r="E2114" t="inlineStr">
        <is>
          <t>SOLLEFTEÅ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23288-2023</t>
        </is>
      </c>
      <c r="B2115" s="1" t="n">
        <v>45075</v>
      </c>
      <c r="C2115" s="1" t="n">
        <v>45964</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40190-2025</t>
        </is>
      </c>
      <c r="B2116" s="1" t="n">
        <v>45894.65664351852</v>
      </c>
      <c r="C2116" s="1" t="n">
        <v>45964</v>
      </c>
      <c r="D2116" t="inlineStr">
        <is>
          <t>VÄSTERNORRLANDS LÄN</t>
        </is>
      </c>
      <c r="E2116" t="inlineStr">
        <is>
          <t>SOLLEFTEÅ</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23289-2023</t>
        </is>
      </c>
      <c r="B2117" s="1" t="n">
        <v>45075</v>
      </c>
      <c r="C2117" s="1" t="n">
        <v>45964</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38330-2025</t>
        </is>
      </c>
      <c r="B2118" s="1" t="n">
        <v>45883.49123842592</v>
      </c>
      <c r="C2118" s="1" t="n">
        <v>45964</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59563-2024</t>
        </is>
      </c>
      <c r="B2119" s="1" t="n">
        <v>45638.63733796297</v>
      </c>
      <c r="C2119" s="1" t="n">
        <v>45964</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38156-2025</t>
        </is>
      </c>
      <c r="B2120" s="1" t="n">
        <v>45882.61491898148</v>
      </c>
      <c r="C2120" s="1" t="n">
        <v>45964</v>
      </c>
      <c r="D2120" t="inlineStr">
        <is>
          <t>VÄSTERNORRLANDS LÄN</t>
        </is>
      </c>
      <c r="E2120" t="inlineStr">
        <is>
          <t>SOLLEFTEÅ</t>
        </is>
      </c>
      <c r="F2120" t="inlineStr">
        <is>
          <t>SCA</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48467-2025</t>
        </is>
      </c>
      <c r="B2121" s="1" t="n">
        <v>45936.34452546296</v>
      </c>
      <c r="C2121" s="1" t="n">
        <v>45964</v>
      </c>
      <c r="D2121" t="inlineStr">
        <is>
          <t>VÄSTERNORRLANDS LÄN</t>
        </is>
      </c>
      <c r="E2121" t="inlineStr">
        <is>
          <t>SOLLEFTEÅ</t>
        </is>
      </c>
      <c r="F2121" t="inlineStr">
        <is>
          <t>SCA</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48603-2025</t>
        </is>
      </c>
      <c r="B2122" s="1" t="n">
        <v>45936.46928240741</v>
      </c>
      <c r="C2122" s="1" t="n">
        <v>45964</v>
      </c>
      <c r="D2122" t="inlineStr">
        <is>
          <t>VÄSTERNORRLANDS LÄN</t>
        </is>
      </c>
      <c r="E2122" t="inlineStr">
        <is>
          <t>SOLLEFTEÅ</t>
        </is>
      </c>
      <c r="F2122" t="inlineStr">
        <is>
          <t>SCA</t>
        </is>
      </c>
      <c r="G2122" t="n">
        <v>25.6</v>
      </c>
      <c r="H2122" t="n">
        <v>0</v>
      </c>
      <c r="I2122" t="n">
        <v>0</v>
      </c>
      <c r="J2122" t="n">
        <v>0</v>
      </c>
      <c r="K2122" t="n">
        <v>0</v>
      </c>
      <c r="L2122" t="n">
        <v>0</v>
      </c>
      <c r="M2122" t="n">
        <v>0</v>
      </c>
      <c r="N2122" t="n">
        <v>0</v>
      </c>
      <c r="O2122" t="n">
        <v>0</v>
      </c>
      <c r="P2122" t="n">
        <v>0</v>
      </c>
      <c r="Q2122" t="n">
        <v>0</v>
      </c>
      <c r="R2122" s="2" t="inlineStr"/>
    </row>
    <row r="2123" ht="15" customHeight="1">
      <c r="A2123" t="inlineStr">
        <is>
          <t>A 45977-2025</t>
        </is>
      </c>
      <c r="B2123" s="1" t="n">
        <v>45924.37170138889</v>
      </c>
      <c r="C2123" s="1" t="n">
        <v>45964</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40468-2025</t>
        </is>
      </c>
      <c r="B2124" s="1" t="n">
        <v>45895.66416666667</v>
      </c>
      <c r="C2124" s="1" t="n">
        <v>45964</v>
      </c>
      <c r="D2124" t="inlineStr">
        <is>
          <t>VÄSTERNORRLANDS LÄN</t>
        </is>
      </c>
      <c r="E2124" t="inlineStr">
        <is>
          <t>SOLLEFTEÅ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37801-2025</t>
        </is>
      </c>
      <c r="B2125" s="1" t="n">
        <v>45881.34436342592</v>
      </c>
      <c r="C2125" s="1" t="n">
        <v>45964</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40049-2025</t>
        </is>
      </c>
      <c r="B2126" s="1" t="n">
        <v>45894</v>
      </c>
      <c r="C2126" s="1" t="n">
        <v>45964</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48713-2025</t>
        </is>
      </c>
      <c r="B2127" s="1" t="n">
        <v>45936.63592592593</v>
      </c>
      <c r="C2127" s="1" t="n">
        <v>45964</v>
      </c>
      <c r="D2127" t="inlineStr">
        <is>
          <t>VÄSTERNORRLANDS LÄN</t>
        </is>
      </c>
      <c r="E2127" t="inlineStr">
        <is>
          <t>SOLLEFTEÅ</t>
        </is>
      </c>
      <c r="F2127" t="inlineStr">
        <is>
          <t>SCA</t>
        </is>
      </c>
      <c r="G2127" t="n">
        <v>24.2</v>
      </c>
      <c r="H2127" t="n">
        <v>0</v>
      </c>
      <c r="I2127" t="n">
        <v>0</v>
      </c>
      <c r="J2127" t="n">
        <v>0</v>
      </c>
      <c r="K2127" t="n">
        <v>0</v>
      </c>
      <c r="L2127" t="n">
        <v>0</v>
      </c>
      <c r="M2127" t="n">
        <v>0</v>
      </c>
      <c r="N2127" t="n">
        <v>0</v>
      </c>
      <c r="O2127" t="n">
        <v>0</v>
      </c>
      <c r="P2127" t="n">
        <v>0</v>
      </c>
      <c r="Q2127" t="n">
        <v>0</v>
      </c>
      <c r="R2127" s="2" t="inlineStr"/>
    </row>
    <row r="2128" ht="15" customHeight="1">
      <c r="A2128" t="inlineStr">
        <is>
          <t>A 48425-2025</t>
        </is>
      </c>
      <c r="B2128" s="1" t="n">
        <v>45934.6984837963</v>
      </c>
      <c r="C2128" s="1" t="n">
        <v>45964</v>
      </c>
      <c r="D2128" t="inlineStr">
        <is>
          <t>VÄSTERNORRLANDS LÄN</t>
        </is>
      </c>
      <c r="E2128" t="inlineStr">
        <is>
          <t>SOLLEFTEÅ</t>
        </is>
      </c>
      <c r="F2128" t="inlineStr">
        <is>
          <t>SCA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21031-2024</t>
        </is>
      </c>
      <c r="B2129" s="1" t="n">
        <v>45439</v>
      </c>
      <c r="C2129" s="1" t="n">
        <v>45964</v>
      </c>
      <c r="D2129" t="inlineStr">
        <is>
          <t>VÄSTERNORRLANDS LÄN</t>
        </is>
      </c>
      <c r="E2129" t="inlineStr">
        <is>
          <t>SOLLEFTEÅ</t>
        </is>
      </c>
      <c r="F2129" t="inlineStr">
        <is>
          <t>Holmen skog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2883-2025</t>
        </is>
      </c>
      <c r="B2130" s="1" t="n">
        <v>45677</v>
      </c>
      <c r="C2130" s="1" t="n">
        <v>45964</v>
      </c>
      <c r="D2130" t="inlineStr">
        <is>
          <t>VÄSTERNORRLANDS LÄN</t>
        </is>
      </c>
      <c r="E2130" t="inlineStr">
        <is>
          <t>SOLLEFTEÅ</t>
        </is>
      </c>
      <c r="F2130" t="inlineStr">
        <is>
          <t>SCA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40358-2025</t>
        </is>
      </c>
      <c r="B2131" s="1" t="n">
        <v>45895.48995370371</v>
      </c>
      <c r="C2131" s="1" t="n">
        <v>45964</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30329-2024</t>
        </is>
      </c>
      <c r="B2132" s="1" t="n">
        <v>45490.95304398148</v>
      </c>
      <c r="C2132" s="1" t="n">
        <v>45964</v>
      </c>
      <c r="D2132" t="inlineStr">
        <is>
          <t>VÄSTERNORRLANDS LÄN</t>
        </is>
      </c>
      <c r="E2132" t="inlineStr">
        <is>
          <t>SOLLEFTEÅ</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38972-2025</t>
        </is>
      </c>
      <c r="B2133" s="1" t="n">
        <v>45887</v>
      </c>
      <c r="C2133" s="1" t="n">
        <v>45964</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42963-2024</t>
        </is>
      </c>
      <c r="B2134" s="1" t="n">
        <v>45567.37240740741</v>
      </c>
      <c r="C2134" s="1" t="n">
        <v>45964</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42979-2024</t>
        </is>
      </c>
      <c r="B2135" s="1" t="n">
        <v>45567.37438657408</v>
      </c>
      <c r="C2135" s="1" t="n">
        <v>45964</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38092-2025</t>
        </is>
      </c>
      <c r="B2136" s="1" t="n">
        <v>45882.49005787037</v>
      </c>
      <c r="C2136" s="1" t="n">
        <v>45964</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31559-2024</t>
        </is>
      </c>
      <c r="B2137" s="1" t="n">
        <v>45505.96555555556</v>
      </c>
      <c r="C2137" s="1" t="n">
        <v>45964</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38973-2025</t>
        </is>
      </c>
      <c r="B2138" s="1" t="n">
        <v>45887</v>
      </c>
      <c r="C2138" s="1" t="n">
        <v>45964</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40175-2025</t>
        </is>
      </c>
      <c r="B2139" s="1" t="n">
        <v>45894.63609953703</v>
      </c>
      <c r="C2139" s="1" t="n">
        <v>45964</v>
      </c>
      <c r="D2139" t="inlineStr">
        <is>
          <t>VÄSTERNORRLANDS LÄN</t>
        </is>
      </c>
      <c r="E2139" t="inlineStr">
        <is>
          <t>SOLLEFTEÅ</t>
        </is>
      </c>
      <c r="F2139" t="inlineStr">
        <is>
          <t>SCA</t>
        </is>
      </c>
      <c r="G2139" t="n">
        <v>21.2</v>
      </c>
      <c r="H2139" t="n">
        <v>0</v>
      </c>
      <c r="I2139" t="n">
        <v>0</v>
      </c>
      <c r="J2139" t="n">
        <v>0</v>
      </c>
      <c r="K2139" t="n">
        <v>0</v>
      </c>
      <c r="L2139" t="n">
        <v>0</v>
      </c>
      <c r="M2139" t="n">
        <v>0</v>
      </c>
      <c r="N2139" t="n">
        <v>0</v>
      </c>
      <c r="O2139" t="n">
        <v>0</v>
      </c>
      <c r="P2139" t="n">
        <v>0</v>
      </c>
      <c r="Q2139" t="n">
        <v>0</v>
      </c>
      <c r="R2139" s="2" t="inlineStr"/>
    </row>
    <row r="2140" ht="15" customHeight="1">
      <c r="A2140" t="inlineStr">
        <is>
          <t>A 38190-2025</t>
        </is>
      </c>
      <c r="B2140" s="1" t="n">
        <v>45882.65680555555</v>
      </c>
      <c r="C2140" s="1" t="n">
        <v>45964</v>
      </c>
      <c r="D2140" t="inlineStr">
        <is>
          <t>VÄSTERNORRLANDS LÄN</t>
        </is>
      </c>
      <c r="E2140" t="inlineStr">
        <is>
          <t>SOLLEFTEÅ</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45958-2023</t>
        </is>
      </c>
      <c r="B2141" s="1" t="n">
        <v>45195</v>
      </c>
      <c r="C2141" s="1" t="n">
        <v>45964</v>
      </c>
      <c r="D2141" t="inlineStr">
        <is>
          <t>VÄSTERNORRLANDS LÄN</t>
        </is>
      </c>
      <c r="E2141" t="inlineStr">
        <is>
          <t>SOLLEFTEÅ</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38220-2025</t>
        </is>
      </c>
      <c r="B2142" s="1" t="n">
        <v>45883.34418981482</v>
      </c>
      <c r="C2142" s="1" t="n">
        <v>45964</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38240-2025</t>
        </is>
      </c>
      <c r="B2143" s="1" t="n">
        <v>45883.36532407408</v>
      </c>
      <c r="C2143" s="1" t="n">
        <v>45964</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40304-2025</t>
        </is>
      </c>
      <c r="B2144" s="1" t="n">
        <v>45895.40690972222</v>
      </c>
      <c r="C2144" s="1" t="n">
        <v>45964</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9831-2024</t>
        </is>
      </c>
      <c r="B2145" s="1" t="n">
        <v>45363.04699074074</v>
      </c>
      <c r="C2145" s="1" t="n">
        <v>45964</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40014-2025</t>
        </is>
      </c>
      <c r="B2146" s="1" t="n">
        <v>45894</v>
      </c>
      <c r="C2146" s="1" t="n">
        <v>45964</v>
      </c>
      <c r="D2146" t="inlineStr">
        <is>
          <t>VÄSTERNORRLANDS LÄN</t>
        </is>
      </c>
      <c r="E2146" t="inlineStr">
        <is>
          <t>SOLLEFTEÅ</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48981-2025</t>
        </is>
      </c>
      <c r="B2147" s="1" t="n">
        <v>45937.57354166666</v>
      </c>
      <c r="C2147" s="1" t="n">
        <v>45964</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49052-2025</t>
        </is>
      </c>
      <c r="B2148" s="1" t="n">
        <v>45937.63813657407</v>
      </c>
      <c r="C2148" s="1" t="n">
        <v>45964</v>
      </c>
      <c r="D2148" t="inlineStr">
        <is>
          <t>VÄSTERNORRLANDS LÄN</t>
        </is>
      </c>
      <c r="E2148" t="inlineStr">
        <is>
          <t>SOLLEFTEÅ</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40136-2025</t>
        </is>
      </c>
      <c r="B2149" s="1" t="n">
        <v>45894.5588425926</v>
      </c>
      <c r="C2149" s="1" t="n">
        <v>45964</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583-2025</t>
        </is>
      </c>
      <c r="B2150" s="1" t="n">
        <v>45664</v>
      </c>
      <c r="C2150" s="1" t="n">
        <v>45964</v>
      </c>
      <c r="D2150" t="inlineStr">
        <is>
          <t>VÄSTERNORRLANDS LÄN</t>
        </is>
      </c>
      <c r="E2150" t="inlineStr">
        <is>
          <t>SOLLEFTEÅ</t>
        </is>
      </c>
      <c r="G2150" t="n">
        <v>47.2</v>
      </c>
      <c r="H2150" t="n">
        <v>0</v>
      </c>
      <c r="I2150" t="n">
        <v>0</v>
      </c>
      <c r="J2150" t="n">
        <v>0</v>
      </c>
      <c r="K2150" t="n">
        <v>0</v>
      </c>
      <c r="L2150" t="n">
        <v>0</v>
      </c>
      <c r="M2150" t="n">
        <v>0</v>
      </c>
      <c r="N2150" t="n">
        <v>0</v>
      </c>
      <c r="O2150" t="n">
        <v>0</v>
      </c>
      <c r="P2150" t="n">
        <v>0</v>
      </c>
      <c r="Q2150" t="n">
        <v>0</v>
      </c>
      <c r="R2150" s="2" t="inlineStr"/>
    </row>
    <row r="2151" ht="15" customHeight="1">
      <c r="A2151" t="inlineStr">
        <is>
          <t>A 48815-2025</t>
        </is>
      </c>
      <c r="B2151" s="1" t="n">
        <v>45937.36503472222</v>
      </c>
      <c r="C2151" s="1" t="n">
        <v>45964</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35513-2024</t>
        </is>
      </c>
      <c r="B2152" s="1" t="n">
        <v>45531</v>
      </c>
      <c r="C2152" s="1" t="n">
        <v>45964</v>
      </c>
      <c r="D2152" t="inlineStr">
        <is>
          <t>VÄSTERNORRLANDS LÄN</t>
        </is>
      </c>
      <c r="E2152" t="inlineStr">
        <is>
          <t>SOLLEFTEÅ</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46174-2025</t>
        </is>
      </c>
      <c r="B2153" s="1" t="n">
        <v>45924.64704861111</v>
      </c>
      <c r="C2153" s="1" t="n">
        <v>45964</v>
      </c>
      <c r="D2153" t="inlineStr">
        <is>
          <t>VÄSTERNORRLANDS LÄN</t>
        </is>
      </c>
      <c r="E2153" t="inlineStr">
        <is>
          <t>SOLLEFTEÅ</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48838-2025</t>
        </is>
      </c>
      <c r="B2154" s="1" t="n">
        <v>45937.41309027778</v>
      </c>
      <c r="C2154" s="1" t="n">
        <v>45964</v>
      </c>
      <c r="D2154" t="inlineStr">
        <is>
          <t>VÄSTERNORRLANDS LÄN</t>
        </is>
      </c>
      <c r="E2154" t="inlineStr">
        <is>
          <t>SOLLEFTEÅ</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12764-2022</t>
        </is>
      </c>
      <c r="B2155" s="1" t="n">
        <v>44641.93445601852</v>
      </c>
      <c r="C2155" s="1" t="n">
        <v>45964</v>
      </c>
      <c r="D2155" t="inlineStr">
        <is>
          <t>VÄSTERNORRLANDS LÄN</t>
        </is>
      </c>
      <c r="E2155" t="inlineStr">
        <is>
          <t>SOLLEFTEÅ</t>
        </is>
      </c>
      <c r="F2155" t="inlineStr">
        <is>
          <t>SCA</t>
        </is>
      </c>
      <c r="G2155" t="n">
        <v>13.7</v>
      </c>
      <c r="H2155" t="n">
        <v>0</v>
      </c>
      <c r="I2155" t="n">
        <v>0</v>
      </c>
      <c r="J2155" t="n">
        <v>0</v>
      </c>
      <c r="K2155" t="n">
        <v>0</v>
      </c>
      <c r="L2155" t="n">
        <v>0</v>
      </c>
      <c r="M2155" t="n">
        <v>0</v>
      </c>
      <c r="N2155" t="n">
        <v>0</v>
      </c>
      <c r="O2155" t="n">
        <v>0</v>
      </c>
      <c r="P2155" t="n">
        <v>0</v>
      </c>
      <c r="Q2155" t="n">
        <v>0</v>
      </c>
      <c r="R2155" s="2" t="inlineStr"/>
    </row>
    <row r="2156" ht="15" customHeight="1">
      <c r="A2156" t="inlineStr">
        <is>
          <t>A 8195-2025</t>
        </is>
      </c>
      <c r="B2156" s="1" t="n">
        <v>45708</v>
      </c>
      <c r="C2156" s="1" t="n">
        <v>45964</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40009-2025</t>
        </is>
      </c>
      <c r="B2157" s="1" t="n">
        <v>45894.34446759259</v>
      </c>
      <c r="C2157" s="1" t="n">
        <v>45964</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6271-2023</t>
        </is>
      </c>
      <c r="B2158" s="1" t="n">
        <v>44959</v>
      </c>
      <c r="C2158" s="1" t="n">
        <v>45964</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38275-2024</t>
        </is>
      </c>
      <c r="B2159" s="1" t="n">
        <v>45545</v>
      </c>
      <c r="C2159" s="1" t="n">
        <v>45964</v>
      </c>
      <c r="D2159" t="inlineStr">
        <is>
          <t>VÄSTERNORRLANDS LÄN</t>
        </is>
      </c>
      <c r="E2159" t="inlineStr">
        <is>
          <t>SOLLEFTEÅ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40962-2025</t>
        </is>
      </c>
      <c r="B2160" s="1" t="n">
        <v>45897.6983912037</v>
      </c>
      <c r="C2160" s="1" t="n">
        <v>45964</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49289-2025</t>
        </is>
      </c>
      <c r="B2161" s="1" t="n">
        <v>45938.52868055556</v>
      </c>
      <c r="C2161" s="1" t="n">
        <v>45964</v>
      </c>
      <c r="D2161" t="inlineStr">
        <is>
          <t>VÄSTERNORRLANDS LÄN</t>
        </is>
      </c>
      <c r="E2161" t="inlineStr">
        <is>
          <t>SOLLEFTEÅ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48265-2024</t>
        </is>
      </c>
      <c r="B2162" s="1" t="n">
        <v>45590.42751157407</v>
      </c>
      <c r="C2162" s="1" t="n">
        <v>45964</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48848-2025</t>
        </is>
      </c>
      <c r="B2163" s="1" t="n">
        <v>45937.42892361111</v>
      </c>
      <c r="C2163" s="1" t="n">
        <v>45964</v>
      </c>
      <c r="D2163" t="inlineStr">
        <is>
          <t>VÄSTERNORRLANDS LÄN</t>
        </is>
      </c>
      <c r="E2163" t="inlineStr">
        <is>
          <t>SOLLEFTEÅ</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50226-2023</t>
        </is>
      </c>
      <c r="B2164" s="1" t="n">
        <v>45215.94767361111</v>
      </c>
      <c r="C2164" s="1" t="n">
        <v>45964</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49378-2025</t>
        </is>
      </c>
      <c r="B2165" s="1" t="n">
        <v>45938.6364699074</v>
      </c>
      <c r="C2165" s="1" t="n">
        <v>45964</v>
      </c>
      <c r="D2165" t="inlineStr">
        <is>
          <t>VÄSTERNORRLANDS LÄN</t>
        </is>
      </c>
      <c r="E2165" t="inlineStr">
        <is>
          <t>SOLLEFTEÅ</t>
        </is>
      </c>
      <c r="F2165" t="inlineStr">
        <is>
          <t>SCA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40492-2025</t>
        </is>
      </c>
      <c r="B2166" s="1" t="n">
        <v>45896</v>
      </c>
      <c r="C2166" s="1" t="n">
        <v>45964</v>
      </c>
      <c r="D2166" t="inlineStr">
        <is>
          <t>VÄSTERNORRLANDS LÄN</t>
        </is>
      </c>
      <c r="E2166" t="inlineStr">
        <is>
          <t>SOLLEFTEÅ</t>
        </is>
      </c>
      <c r="F2166" t="inlineStr">
        <is>
          <t>Holmen skog AB</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49701-2025</t>
        </is>
      </c>
      <c r="B2167" s="1" t="n">
        <v>45939.67840277778</v>
      </c>
      <c r="C2167" s="1" t="n">
        <v>45964</v>
      </c>
      <c r="D2167" t="inlineStr">
        <is>
          <t>VÄSTERNORRLANDS LÄN</t>
        </is>
      </c>
      <c r="E2167" t="inlineStr">
        <is>
          <t>SOLLEFTEÅ</t>
        </is>
      </c>
      <c r="F2167" t="inlineStr">
        <is>
          <t>SCA</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49703-2025</t>
        </is>
      </c>
      <c r="B2168" s="1" t="n">
        <v>45939.67894675926</v>
      </c>
      <c r="C2168" s="1" t="n">
        <v>45964</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1459-2024</t>
        </is>
      </c>
      <c r="B2169" s="1" t="n">
        <v>45303.9331712963</v>
      </c>
      <c r="C2169" s="1" t="n">
        <v>45964</v>
      </c>
      <c r="D2169" t="inlineStr">
        <is>
          <t>VÄSTERNORRLANDS LÄN</t>
        </is>
      </c>
      <c r="E2169" t="inlineStr">
        <is>
          <t>SOLLEFTEÅ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48914-2025</t>
        </is>
      </c>
      <c r="B2170" s="1" t="n">
        <v>45937</v>
      </c>
      <c r="C2170" s="1" t="n">
        <v>45964</v>
      </c>
      <c r="D2170" t="inlineStr">
        <is>
          <t>VÄSTERNORRLANDS LÄN</t>
        </is>
      </c>
      <c r="E2170" t="inlineStr">
        <is>
          <t>SOLLEFTEÅ</t>
        </is>
      </c>
      <c r="F2170" t="inlineStr">
        <is>
          <t>SCA</t>
        </is>
      </c>
      <c r="G2170" t="n">
        <v>24.1</v>
      </c>
      <c r="H2170" t="n">
        <v>0</v>
      </c>
      <c r="I2170" t="n">
        <v>0</v>
      </c>
      <c r="J2170" t="n">
        <v>0</v>
      </c>
      <c r="K2170" t="n">
        <v>0</v>
      </c>
      <c r="L2170" t="n">
        <v>0</v>
      </c>
      <c r="M2170" t="n">
        <v>0</v>
      </c>
      <c r="N2170" t="n">
        <v>0</v>
      </c>
      <c r="O2170" t="n">
        <v>0</v>
      </c>
      <c r="P2170" t="n">
        <v>0</v>
      </c>
      <c r="Q2170" t="n">
        <v>0</v>
      </c>
      <c r="R2170" s="2" t="inlineStr"/>
    </row>
    <row r="2171" ht="15" customHeight="1">
      <c r="A2171" t="inlineStr">
        <is>
          <t>A 49667-2025</t>
        </is>
      </c>
      <c r="B2171" s="1" t="n">
        <v>45939.63671296297</v>
      </c>
      <c r="C2171" s="1" t="n">
        <v>45964</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49380-2025</t>
        </is>
      </c>
      <c r="B2172" s="1" t="n">
        <v>45938.63677083333</v>
      </c>
      <c r="C2172" s="1" t="n">
        <v>45964</v>
      </c>
      <c r="D2172" t="inlineStr">
        <is>
          <t>VÄSTERNORRLANDS LÄN</t>
        </is>
      </c>
      <c r="E2172" t="inlineStr">
        <is>
          <t>SOLLEFTEÅ</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49254-2025</t>
        </is>
      </c>
      <c r="B2173" s="1" t="n">
        <v>45938.49143518518</v>
      </c>
      <c r="C2173" s="1" t="n">
        <v>45964</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44393-2023</t>
        </is>
      </c>
      <c r="B2174" s="1" t="n">
        <v>45188.94534722222</v>
      </c>
      <c r="C2174" s="1" t="n">
        <v>45964</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49406-2025</t>
        </is>
      </c>
      <c r="B2175" s="1" t="n">
        <v>45938.67761574074</v>
      </c>
      <c r="C2175" s="1" t="n">
        <v>45964</v>
      </c>
      <c r="D2175" t="inlineStr">
        <is>
          <t>VÄSTERNORRLANDS LÄN</t>
        </is>
      </c>
      <c r="E2175" t="inlineStr">
        <is>
          <t>SOLLEFTEÅ</t>
        </is>
      </c>
      <c r="F2175" t="inlineStr">
        <is>
          <t>SCA</t>
        </is>
      </c>
      <c r="G2175" t="n">
        <v>28.6</v>
      </c>
      <c r="H2175" t="n">
        <v>0</v>
      </c>
      <c r="I2175" t="n">
        <v>0</v>
      </c>
      <c r="J2175" t="n">
        <v>0</v>
      </c>
      <c r="K2175" t="n">
        <v>0</v>
      </c>
      <c r="L2175" t="n">
        <v>0</v>
      </c>
      <c r="M2175" t="n">
        <v>0</v>
      </c>
      <c r="N2175" t="n">
        <v>0</v>
      </c>
      <c r="O2175" t="n">
        <v>0</v>
      </c>
      <c r="P2175" t="n">
        <v>0</v>
      </c>
      <c r="Q2175" t="n">
        <v>0</v>
      </c>
      <c r="R2175" s="2" t="inlineStr"/>
    </row>
    <row r="2176" ht="15" customHeight="1">
      <c r="A2176" t="inlineStr">
        <is>
          <t>A 41025-2025</t>
        </is>
      </c>
      <c r="B2176" s="1" t="n">
        <v>45897</v>
      </c>
      <c r="C2176" s="1" t="n">
        <v>45964</v>
      </c>
      <c r="D2176" t="inlineStr">
        <is>
          <t>VÄSTERNORRLANDS LÄN</t>
        </is>
      </c>
      <c r="E2176" t="inlineStr">
        <is>
          <t>SOLLEFTEÅ</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49468-2025</t>
        </is>
      </c>
      <c r="B2177" s="1" t="n">
        <v>45939.33886574074</v>
      </c>
      <c r="C2177" s="1" t="n">
        <v>45964</v>
      </c>
      <c r="D2177" t="inlineStr">
        <is>
          <t>VÄSTERNORRLANDS LÄN</t>
        </is>
      </c>
      <c r="E2177" t="inlineStr">
        <is>
          <t>SOLLEFTEÅ</t>
        </is>
      </c>
      <c r="F2177" t="inlineStr">
        <is>
          <t>Holmen skog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56176-2022</t>
        </is>
      </c>
      <c r="B2178" s="1" t="n">
        <v>44889.94862268519</v>
      </c>
      <c r="C2178" s="1" t="n">
        <v>45964</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49474-2025</t>
        </is>
      </c>
      <c r="B2179" s="1" t="n">
        <v>45939.34472222222</v>
      </c>
      <c r="C2179" s="1" t="n">
        <v>45964</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49491-2025</t>
        </is>
      </c>
      <c r="B2180" s="1" t="n">
        <v>45939.36596064815</v>
      </c>
      <c r="C2180" s="1" t="n">
        <v>45964</v>
      </c>
      <c r="D2180" t="inlineStr">
        <is>
          <t>VÄSTERNORRLANDS LÄN</t>
        </is>
      </c>
      <c r="E2180" t="inlineStr">
        <is>
          <t>SOLLEFTEÅ</t>
        </is>
      </c>
      <c r="F2180" t="inlineStr">
        <is>
          <t>SCA</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49565-2025</t>
        </is>
      </c>
      <c r="B2181" s="1" t="n">
        <v>45939.46921296296</v>
      </c>
      <c r="C2181" s="1" t="n">
        <v>45964</v>
      </c>
      <c r="D2181" t="inlineStr">
        <is>
          <t>VÄSTERNORRLANDS LÄN</t>
        </is>
      </c>
      <c r="E2181" t="inlineStr">
        <is>
          <t>SOLLEFTEÅ</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20101-2025</t>
        </is>
      </c>
      <c r="B2182" s="1" t="n">
        <v>45772</v>
      </c>
      <c r="C2182" s="1" t="n">
        <v>45964</v>
      </c>
      <c r="D2182" t="inlineStr">
        <is>
          <t>VÄSTERNORRLANDS LÄN</t>
        </is>
      </c>
      <c r="E2182" t="inlineStr">
        <is>
          <t>SOLLEFTEÅ</t>
        </is>
      </c>
      <c r="F2182" t="inlineStr">
        <is>
          <t>SCA</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13584-2025</t>
        </is>
      </c>
      <c r="B2183" s="1" t="n">
        <v>45736.59193287037</v>
      </c>
      <c r="C2183" s="1" t="n">
        <v>45964</v>
      </c>
      <c r="D2183" t="inlineStr">
        <is>
          <t>VÄSTERNORRLANDS LÄN</t>
        </is>
      </c>
      <c r="E2183" t="inlineStr">
        <is>
          <t>SOLLEFTEÅ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40752-2025</t>
        </is>
      </c>
      <c r="B2184" s="1" t="n">
        <v>45897.38592592593</v>
      </c>
      <c r="C2184" s="1" t="n">
        <v>45964</v>
      </c>
      <c r="D2184" t="inlineStr">
        <is>
          <t>VÄSTERNORRLANDS LÄN</t>
        </is>
      </c>
      <c r="E2184" t="inlineStr">
        <is>
          <t>SOLLEFTEÅ</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49221-2025</t>
        </is>
      </c>
      <c r="B2185" s="1" t="n">
        <v>45938.46335648148</v>
      </c>
      <c r="C2185" s="1" t="n">
        <v>45964</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49696-2025</t>
        </is>
      </c>
      <c r="B2186" s="1" t="n">
        <v>45939.6775462963</v>
      </c>
      <c r="C2186" s="1" t="n">
        <v>45964</v>
      </c>
      <c r="D2186" t="inlineStr">
        <is>
          <t>VÄSTERNORRLANDS LÄN</t>
        </is>
      </c>
      <c r="E2186" t="inlineStr">
        <is>
          <t>SOLLEFTEÅ</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49698-2025</t>
        </is>
      </c>
      <c r="B2187" s="1" t="n">
        <v>45939.67790509259</v>
      </c>
      <c r="C2187" s="1" t="n">
        <v>45964</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49702-2025</t>
        </is>
      </c>
      <c r="B2188" s="1" t="n">
        <v>45939.67875</v>
      </c>
      <c r="C2188" s="1" t="n">
        <v>45964</v>
      </c>
      <c r="D2188" t="inlineStr">
        <is>
          <t>VÄSTERNORRLANDS LÄN</t>
        </is>
      </c>
      <c r="E2188" t="inlineStr">
        <is>
          <t>SOLLEFTEÅ</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40701-2025</t>
        </is>
      </c>
      <c r="B2189" s="1" t="n">
        <v>45897.32884259259</v>
      </c>
      <c r="C2189" s="1" t="n">
        <v>45964</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6816-2024</t>
        </is>
      </c>
      <c r="B2190" s="1" t="n">
        <v>45342</v>
      </c>
      <c r="C2190" s="1" t="n">
        <v>45964</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40515-2025</t>
        </is>
      </c>
      <c r="B2191" s="1" t="n">
        <v>45896</v>
      </c>
      <c r="C2191" s="1" t="n">
        <v>45964</v>
      </c>
      <c r="D2191" t="inlineStr">
        <is>
          <t>VÄSTERNORRLANDS LÄN</t>
        </is>
      </c>
      <c r="E2191" t="inlineStr">
        <is>
          <t>SOLLEFTEÅ</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49627-2025</t>
        </is>
      </c>
      <c r="B2192" s="1" t="n">
        <v>45939.59503472222</v>
      </c>
      <c r="C2192" s="1" t="n">
        <v>45964</v>
      </c>
      <c r="D2192" t="inlineStr">
        <is>
          <t>VÄSTERNORRLANDS LÄN</t>
        </is>
      </c>
      <c r="E2192" t="inlineStr">
        <is>
          <t>SOLLEFTEÅ</t>
        </is>
      </c>
      <c r="F2192" t="inlineStr">
        <is>
          <t>SCA</t>
        </is>
      </c>
      <c r="G2192" t="n">
        <v>29.4</v>
      </c>
      <c r="H2192" t="n">
        <v>0</v>
      </c>
      <c r="I2192" t="n">
        <v>0</v>
      </c>
      <c r="J2192" t="n">
        <v>0</v>
      </c>
      <c r="K2192" t="n">
        <v>0</v>
      </c>
      <c r="L2192" t="n">
        <v>0</v>
      </c>
      <c r="M2192" t="n">
        <v>0</v>
      </c>
      <c r="N2192" t="n">
        <v>0</v>
      </c>
      <c r="O2192" t="n">
        <v>0</v>
      </c>
      <c r="P2192" t="n">
        <v>0</v>
      </c>
      <c r="Q2192" t="n">
        <v>0</v>
      </c>
      <c r="R2192" s="2" t="inlineStr"/>
    </row>
    <row r="2193" ht="15" customHeight="1">
      <c r="A2193" t="inlineStr">
        <is>
          <t>A 16693-2024</t>
        </is>
      </c>
      <c r="B2193" s="1" t="n">
        <v>45408</v>
      </c>
      <c r="C2193" s="1" t="n">
        <v>45964</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49699-2025</t>
        </is>
      </c>
      <c r="B2194" s="1" t="n">
        <v>45939.67807870371</v>
      </c>
      <c r="C2194" s="1" t="n">
        <v>45964</v>
      </c>
      <c r="D2194" t="inlineStr">
        <is>
          <t>VÄSTERNORRLANDS LÄN</t>
        </is>
      </c>
      <c r="E2194" t="inlineStr">
        <is>
          <t>SOLLEFTEÅ</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49700-2025</t>
        </is>
      </c>
      <c r="B2195" s="1" t="n">
        <v>45939.67822916667</v>
      </c>
      <c r="C2195" s="1" t="n">
        <v>45964</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49705-2025</t>
        </is>
      </c>
      <c r="B2196" s="1" t="n">
        <v>45939.67929398148</v>
      </c>
      <c r="C2196" s="1" t="n">
        <v>45964</v>
      </c>
      <c r="D2196" t="inlineStr">
        <is>
          <t>VÄSTERNORRLANDS LÄN</t>
        </is>
      </c>
      <c r="E2196" t="inlineStr">
        <is>
          <t>SOLLEFTEÅ</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49706-2025</t>
        </is>
      </c>
      <c r="B2197" s="1" t="n">
        <v>45939.67949074074</v>
      </c>
      <c r="C2197" s="1" t="n">
        <v>45964</v>
      </c>
      <c r="D2197" t="inlineStr">
        <is>
          <t>VÄSTERNORRLANDS LÄN</t>
        </is>
      </c>
      <c r="E2197" t="inlineStr">
        <is>
          <t>SOLLEFTEÅ</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40754-2025</t>
        </is>
      </c>
      <c r="B2198" s="1" t="n">
        <v>45897.38653935185</v>
      </c>
      <c r="C2198" s="1" t="n">
        <v>45964</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18623-2024</t>
        </is>
      </c>
      <c r="B2199" s="1" t="n">
        <v>45425.96378472223</v>
      </c>
      <c r="C2199" s="1" t="n">
        <v>45964</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49488-2025</t>
        </is>
      </c>
      <c r="B2200" s="1" t="n">
        <v>45939.36506944444</v>
      </c>
      <c r="C2200" s="1" t="n">
        <v>45964</v>
      </c>
      <c r="D2200" t="inlineStr">
        <is>
          <t>VÄSTERNORRLANDS LÄN</t>
        </is>
      </c>
      <c r="E2200" t="inlineStr">
        <is>
          <t>SOLLEFTEÅ</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40651-2025</t>
        </is>
      </c>
      <c r="B2201" s="1" t="n">
        <v>45896.63585648148</v>
      </c>
      <c r="C2201" s="1" t="n">
        <v>45964</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41434-2024</t>
        </is>
      </c>
      <c r="B2202" s="1" t="n">
        <v>45560</v>
      </c>
      <c r="C2202" s="1" t="n">
        <v>45964</v>
      </c>
      <c r="D2202" t="inlineStr">
        <is>
          <t>VÄSTERNORRLANDS LÄN</t>
        </is>
      </c>
      <c r="E2202" t="inlineStr">
        <is>
          <t>SOLLEFTEÅ</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45334-2024</t>
        </is>
      </c>
      <c r="B2203" s="1" t="n">
        <v>45576</v>
      </c>
      <c r="C2203" s="1" t="n">
        <v>45964</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49154-2025</t>
        </is>
      </c>
      <c r="B2204" s="1" t="n">
        <v>45938.34567129629</v>
      </c>
      <c r="C2204" s="1" t="n">
        <v>45964</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49155-2025</t>
        </is>
      </c>
      <c r="B2205" s="1" t="n">
        <v>45938.34578703704</v>
      </c>
      <c r="C2205" s="1" t="n">
        <v>45964</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40662-2025</t>
        </is>
      </c>
      <c r="B2206" s="1" t="n">
        <v>45896.6487037037</v>
      </c>
      <c r="C2206" s="1" t="n">
        <v>45964</v>
      </c>
      <c r="D2206" t="inlineStr">
        <is>
          <t>VÄSTERNORRLANDS LÄN</t>
        </is>
      </c>
      <c r="E2206" t="inlineStr">
        <is>
          <t>SOLLEFTEÅ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41502-2025</t>
        </is>
      </c>
      <c r="B2207" s="1" t="n">
        <v>45901</v>
      </c>
      <c r="C2207" s="1" t="n">
        <v>45964</v>
      </c>
      <c r="D2207" t="inlineStr">
        <is>
          <t>VÄSTERNORRLANDS LÄN</t>
        </is>
      </c>
      <c r="E2207" t="inlineStr">
        <is>
          <t>SOLLEFTEÅ</t>
        </is>
      </c>
      <c r="F2207" t="inlineStr">
        <is>
          <t>Holmen skog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49904-2025</t>
        </is>
      </c>
      <c r="B2208" s="1" t="n">
        <v>45940.59594907407</v>
      </c>
      <c r="C2208" s="1" t="n">
        <v>45964</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49920-2025</t>
        </is>
      </c>
      <c r="B2209" s="1" t="n">
        <v>45940.63611111111</v>
      </c>
      <c r="C2209" s="1" t="n">
        <v>45964</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49933-2025</t>
        </is>
      </c>
      <c r="B2210" s="1" t="n">
        <v>45940.65717592592</v>
      </c>
      <c r="C2210" s="1" t="n">
        <v>45964</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41305-2025</t>
        </is>
      </c>
      <c r="B2211" s="1" t="n">
        <v>45898.69850694444</v>
      </c>
      <c r="C2211" s="1" t="n">
        <v>45964</v>
      </c>
      <c r="D2211" t="inlineStr">
        <is>
          <t>VÄSTERNORRLANDS LÄN</t>
        </is>
      </c>
      <c r="E2211" t="inlineStr">
        <is>
          <t>SOLLEFTEÅ</t>
        </is>
      </c>
      <c r="F2211" t="inlineStr">
        <is>
          <t>SCA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42229-2021</t>
        </is>
      </c>
      <c r="B2212" s="1" t="n">
        <v>44426.93474537037</v>
      </c>
      <c r="C2212" s="1" t="n">
        <v>45964</v>
      </c>
      <c r="D2212" t="inlineStr">
        <is>
          <t>VÄSTERNORRLANDS LÄN</t>
        </is>
      </c>
      <c r="E2212" t="inlineStr">
        <is>
          <t>SOLLEFTEÅ</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29246-2025</t>
        </is>
      </c>
      <c r="B2213" s="1" t="n">
        <v>45824</v>
      </c>
      <c r="C2213" s="1" t="n">
        <v>45964</v>
      </c>
      <c r="D2213" t="inlineStr">
        <is>
          <t>VÄSTERNORRLANDS LÄN</t>
        </is>
      </c>
      <c r="E2213" t="inlineStr">
        <is>
          <t>SOLLEFTEÅ</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49748-2025</t>
        </is>
      </c>
      <c r="B2214" s="1" t="n">
        <v>45940.34472222222</v>
      </c>
      <c r="C2214" s="1" t="n">
        <v>45964</v>
      </c>
      <c r="D2214" t="inlineStr">
        <is>
          <t>VÄSTERNORRLANDS LÄN</t>
        </is>
      </c>
      <c r="E2214" t="inlineStr">
        <is>
          <t>SOLLEFTEÅ</t>
        </is>
      </c>
      <c r="F2214" t="inlineStr">
        <is>
          <t>SCA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41513-2025</t>
        </is>
      </c>
      <c r="B2215" s="1" t="n">
        <v>45901.54069444445</v>
      </c>
      <c r="C2215" s="1" t="n">
        <v>45964</v>
      </c>
      <c r="D2215" t="inlineStr">
        <is>
          <t>VÄSTERNORRLANDS LÄN</t>
        </is>
      </c>
      <c r="E2215" t="inlineStr">
        <is>
          <t>SOLLEFTEÅ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41543-2025</t>
        </is>
      </c>
      <c r="B2216" s="1" t="n">
        <v>45901.57386574074</v>
      </c>
      <c r="C2216" s="1" t="n">
        <v>45964</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35019-2022</t>
        </is>
      </c>
      <c r="B2217" s="1" t="n">
        <v>44796.94684027778</v>
      </c>
      <c r="C2217" s="1" t="n">
        <v>45964</v>
      </c>
      <c r="D2217" t="inlineStr">
        <is>
          <t>VÄSTERNORRLANDS LÄN</t>
        </is>
      </c>
      <c r="E2217" t="inlineStr">
        <is>
          <t>SOLLEFTEÅ</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56137-2023</t>
        </is>
      </c>
      <c r="B2218" s="1" t="n">
        <v>45240.59096064815</v>
      </c>
      <c r="C2218" s="1" t="n">
        <v>45964</v>
      </c>
      <c r="D2218" t="inlineStr">
        <is>
          <t>VÄSTERNORRLANDS LÄN</t>
        </is>
      </c>
      <c r="E2218" t="inlineStr">
        <is>
          <t>SOLLEFTEÅ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49932-2025</t>
        </is>
      </c>
      <c r="B2219" s="1" t="n">
        <v>45940.65695601852</v>
      </c>
      <c r="C2219" s="1" t="n">
        <v>45964</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62262-2022</t>
        </is>
      </c>
      <c r="B2220" s="1" t="n">
        <v>44922.94387731481</v>
      </c>
      <c r="C2220" s="1" t="n">
        <v>45964</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10738-2025</t>
        </is>
      </c>
      <c r="B2221" s="1" t="n">
        <v>45722.40704861111</v>
      </c>
      <c r="C2221" s="1" t="n">
        <v>45964</v>
      </c>
      <c r="D2221" t="inlineStr">
        <is>
          <t>VÄSTERNORRLANDS LÄN</t>
        </is>
      </c>
      <c r="E2221" t="inlineStr">
        <is>
          <t>SOLLEFTEÅ</t>
        </is>
      </c>
      <c r="F2221" t="inlineStr">
        <is>
          <t>SCA</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1858-2021</t>
        </is>
      </c>
      <c r="B2222" s="1" t="n">
        <v>44210</v>
      </c>
      <c r="C2222" s="1" t="n">
        <v>45964</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47489-2025</t>
        </is>
      </c>
      <c r="B2223" s="1" t="n">
        <v>45930.69912037037</v>
      </c>
      <c r="C2223" s="1" t="n">
        <v>45964</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49919-2025</t>
        </is>
      </c>
      <c r="B2224" s="1" t="n">
        <v>45940.63591435185</v>
      </c>
      <c r="C2224" s="1" t="n">
        <v>45964</v>
      </c>
      <c r="D2224" t="inlineStr">
        <is>
          <t>VÄSTERNORRLANDS LÄN</t>
        </is>
      </c>
      <c r="E2224" t="inlineStr">
        <is>
          <t>SOLLEFTEÅ</t>
        </is>
      </c>
      <c r="F2224" t="inlineStr">
        <is>
          <t>SCA</t>
        </is>
      </c>
      <c r="G2224" t="n">
        <v>41.5</v>
      </c>
      <c r="H2224" t="n">
        <v>0</v>
      </c>
      <c r="I2224" t="n">
        <v>0</v>
      </c>
      <c r="J2224" t="n">
        <v>0</v>
      </c>
      <c r="K2224" t="n">
        <v>0</v>
      </c>
      <c r="L2224" t="n">
        <v>0</v>
      </c>
      <c r="M2224" t="n">
        <v>0</v>
      </c>
      <c r="N2224" t="n">
        <v>0</v>
      </c>
      <c r="O2224" t="n">
        <v>0</v>
      </c>
      <c r="P2224" t="n">
        <v>0</v>
      </c>
      <c r="Q2224" t="n">
        <v>0</v>
      </c>
      <c r="R2224" s="2" t="inlineStr"/>
    </row>
    <row r="2225" ht="15" customHeight="1">
      <c r="A2225" t="inlineStr">
        <is>
          <t>A 49750-2025</t>
        </is>
      </c>
      <c r="B2225" s="1" t="n">
        <v>45940.34497685185</v>
      </c>
      <c r="C2225" s="1" t="n">
        <v>45964</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41001-2025</t>
        </is>
      </c>
      <c r="B2226" s="1" t="n">
        <v>45898</v>
      </c>
      <c r="C2226" s="1" t="n">
        <v>45964</v>
      </c>
      <c r="D2226" t="inlineStr">
        <is>
          <t>VÄSTERNORRLANDS LÄN</t>
        </is>
      </c>
      <c r="E2226" t="inlineStr">
        <is>
          <t>SOLLEFTEÅ</t>
        </is>
      </c>
      <c r="F2226" t="inlineStr">
        <is>
          <t>SCA</t>
        </is>
      </c>
      <c r="G2226" t="n">
        <v>18.3</v>
      </c>
      <c r="H2226" t="n">
        <v>0</v>
      </c>
      <c r="I2226" t="n">
        <v>0</v>
      </c>
      <c r="J2226" t="n">
        <v>0</v>
      </c>
      <c r="K2226" t="n">
        <v>0</v>
      </c>
      <c r="L2226" t="n">
        <v>0</v>
      </c>
      <c r="M2226" t="n">
        <v>0</v>
      </c>
      <c r="N2226" t="n">
        <v>0</v>
      </c>
      <c r="O2226" t="n">
        <v>0</v>
      </c>
      <c r="P2226" t="n">
        <v>0</v>
      </c>
      <c r="Q2226" t="n">
        <v>0</v>
      </c>
      <c r="R2226" s="2" t="inlineStr"/>
    </row>
    <row r="2227" ht="15" customHeight="1">
      <c r="A2227" t="inlineStr">
        <is>
          <t>A 49789-2025</t>
        </is>
      </c>
      <c r="B2227" s="1" t="n">
        <v>45940.40668981482</v>
      </c>
      <c r="C2227" s="1" t="n">
        <v>45964</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41617-2025</t>
        </is>
      </c>
      <c r="B2228" s="1" t="n">
        <v>45901.69834490741</v>
      </c>
      <c r="C2228" s="1" t="n">
        <v>45964</v>
      </c>
      <c r="D2228" t="inlineStr">
        <is>
          <t>VÄSTERNORRLANDS LÄN</t>
        </is>
      </c>
      <c r="E2228" t="inlineStr">
        <is>
          <t>SOLLEFTEÅ</t>
        </is>
      </c>
      <c r="F2228" t="inlineStr">
        <is>
          <t>SCA</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51193-2024</t>
        </is>
      </c>
      <c r="B2229" s="1" t="n">
        <v>45603.61511574074</v>
      </c>
      <c r="C2229" s="1" t="n">
        <v>45964</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40997-2025</t>
        </is>
      </c>
      <c r="B2230" s="1" t="n">
        <v>45898.34453703704</v>
      </c>
      <c r="C2230" s="1" t="n">
        <v>45964</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41449-2025</t>
        </is>
      </c>
      <c r="B2231" s="1" t="n">
        <v>45901.42787037037</v>
      </c>
      <c r="C2231" s="1" t="n">
        <v>45964</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41472-2025</t>
        </is>
      </c>
      <c r="B2232" s="1" t="n">
        <v>45901.4693287037</v>
      </c>
      <c r="C2232" s="1" t="n">
        <v>45964</v>
      </c>
      <c r="D2232" t="inlineStr">
        <is>
          <t>VÄSTERNORRLANDS LÄN</t>
        </is>
      </c>
      <c r="E2232" t="inlineStr">
        <is>
          <t>SOLLEFTEÅ</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3689-2023</t>
        </is>
      </c>
      <c r="B2233" s="1" t="n">
        <v>44950</v>
      </c>
      <c r="C2233" s="1" t="n">
        <v>45964</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41494-2025</t>
        </is>
      </c>
      <c r="B2234" s="1" t="n">
        <v>45901</v>
      </c>
      <c r="C2234" s="1" t="n">
        <v>45964</v>
      </c>
      <c r="D2234" t="inlineStr">
        <is>
          <t>VÄSTERNORRLANDS LÄN</t>
        </is>
      </c>
      <c r="E2234" t="inlineStr">
        <is>
          <t>SOLLEFTEÅ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23753-2021</t>
        </is>
      </c>
      <c r="B2235" s="1" t="n">
        <v>44334</v>
      </c>
      <c r="C2235" s="1" t="n">
        <v>45964</v>
      </c>
      <c r="D2235" t="inlineStr">
        <is>
          <t>VÄSTERNORRLANDS LÄN</t>
        </is>
      </c>
      <c r="E2235" t="inlineStr">
        <is>
          <t>SOLLEFTEÅ</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57395-2023</t>
        </is>
      </c>
      <c r="B2236" s="1" t="n">
        <v>45245.9678125</v>
      </c>
      <c r="C2236" s="1" t="n">
        <v>45964</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42631-2024</t>
        </is>
      </c>
      <c r="B2237" s="1" t="n">
        <v>45565</v>
      </c>
      <c r="C2237" s="1" t="n">
        <v>45964</v>
      </c>
      <c r="D2237" t="inlineStr">
        <is>
          <t>VÄSTERNORRLANDS LÄN</t>
        </is>
      </c>
      <c r="E2237" t="inlineStr">
        <is>
          <t>SOLLEFTEÅ</t>
        </is>
      </c>
      <c r="F2237" t="inlineStr">
        <is>
          <t>Holmen skog AB</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49115-2025</t>
        </is>
      </c>
      <c r="B2238" s="1" t="n">
        <v>45937</v>
      </c>
      <c r="C2238" s="1" t="n">
        <v>45964</v>
      </c>
      <c r="D2238" t="inlineStr">
        <is>
          <t>VÄSTERNORRLANDS LÄN</t>
        </is>
      </c>
      <c r="E2238" t="inlineStr">
        <is>
          <t>SOLLEFTEÅ</t>
        </is>
      </c>
      <c r="F2238" t="inlineStr">
        <is>
          <t>Övriga Aktiebolag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50229-2025</t>
        </is>
      </c>
      <c r="B2239" s="1" t="n">
        <v>45943.69855324074</v>
      </c>
      <c r="C2239" s="1" t="n">
        <v>45964</v>
      </c>
      <c r="D2239" t="inlineStr">
        <is>
          <t>VÄSTERNORRLANDS LÄN</t>
        </is>
      </c>
      <c r="E2239" t="inlineStr">
        <is>
          <t>SOLLEFTEÅ</t>
        </is>
      </c>
      <c r="F2239" t="inlineStr">
        <is>
          <t>SCA</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41540-2025</t>
        </is>
      </c>
      <c r="B2240" s="1" t="n">
        <v>45901.56833333334</v>
      </c>
      <c r="C2240" s="1" t="n">
        <v>45964</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49794-2025</t>
        </is>
      </c>
      <c r="B2241" s="1" t="n">
        <v>45940.40777777778</v>
      </c>
      <c r="C2241" s="1" t="n">
        <v>45964</v>
      </c>
      <c r="D2241" t="inlineStr">
        <is>
          <t>VÄSTERNORRLANDS LÄN</t>
        </is>
      </c>
      <c r="E2241" t="inlineStr">
        <is>
          <t>SOLLEFTEÅ</t>
        </is>
      </c>
      <c r="F2241" t="inlineStr">
        <is>
          <t>SCA</t>
        </is>
      </c>
      <c r="G2241" t="n">
        <v>12.8</v>
      </c>
      <c r="H2241" t="n">
        <v>0</v>
      </c>
      <c r="I2241" t="n">
        <v>0</v>
      </c>
      <c r="J2241" t="n">
        <v>0</v>
      </c>
      <c r="K2241" t="n">
        <v>0</v>
      </c>
      <c r="L2241" t="n">
        <v>0</v>
      </c>
      <c r="M2241" t="n">
        <v>0</v>
      </c>
      <c r="N2241" t="n">
        <v>0</v>
      </c>
      <c r="O2241" t="n">
        <v>0</v>
      </c>
      <c r="P2241" t="n">
        <v>0</v>
      </c>
      <c r="Q2241" t="n">
        <v>0</v>
      </c>
      <c r="R2241" s="2" t="inlineStr"/>
    </row>
    <row r="2242" ht="15" customHeight="1">
      <c r="A2242" t="inlineStr">
        <is>
          <t>A 41473-2025</t>
        </is>
      </c>
      <c r="B2242" s="1" t="n">
        <v>45901.46952546296</v>
      </c>
      <c r="C2242" s="1" t="n">
        <v>45964</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50402-2025</t>
        </is>
      </c>
      <c r="B2243" s="1" t="n">
        <v>45944.63606481482</v>
      </c>
      <c r="C2243" s="1" t="n">
        <v>45964</v>
      </c>
      <c r="D2243" t="inlineStr">
        <is>
          <t>VÄSTERNORRLANDS LÄN</t>
        </is>
      </c>
      <c r="E2243" t="inlineStr">
        <is>
          <t>SOLLEFTEÅ</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50388-2025</t>
        </is>
      </c>
      <c r="B2244" s="1" t="n">
        <v>45944.61509259259</v>
      </c>
      <c r="C2244" s="1" t="n">
        <v>45964</v>
      </c>
      <c r="D2244" t="inlineStr">
        <is>
          <t>VÄSTERNORRLANDS LÄN</t>
        </is>
      </c>
      <c r="E2244" t="inlineStr">
        <is>
          <t>SOLLEFTEÅ</t>
        </is>
      </c>
      <c r="F2244" t="inlineStr">
        <is>
          <t>SCA</t>
        </is>
      </c>
      <c r="G2244" t="n">
        <v>22.8</v>
      </c>
      <c r="H2244" t="n">
        <v>0</v>
      </c>
      <c r="I2244" t="n">
        <v>0</v>
      </c>
      <c r="J2244" t="n">
        <v>0</v>
      </c>
      <c r="K2244" t="n">
        <v>0</v>
      </c>
      <c r="L2244" t="n">
        <v>0</v>
      </c>
      <c r="M2244" t="n">
        <v>0</v>
      </c>
      <c r="N2244" t="n">
        <v>0</v>
      </c>
      <c r="O2244" t="n">
        <v>0</v>
      </c>
      <c r="P2244" t="n">
        <v>0</v>
      </c>
      <c r="Q2244" t="n">
        <v>0</v>
      </c>
      <c r="R2244" s="2" t="inlineStr"/>
    </row>
    <row r="2245" ht="15" customHeight="1">
      <c r="A2245" t="inlineStr">
        <is>
          <t>A 42064-2025</t>
        </is>
      </c>
      <c r="B2245" s="1" t="n">
        <v>45903.6527199074</v>
      </c>
      <c r="C2245" s="1" t="n">
        <v>45964</v>
      </c>
      <c r="D2245" t="inlineStr">
        <is>
          <t>VÄSTERNORRLANDS LÄN</t>
        </is>
      </c>
      <c r="E2245" t="inlineStr">
        <is>
          <t>SOLLEFTEÅ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41925-2025</t>
        </is>
      </c>
      <c r="B2246" s="1" t="n">
        <v>45903.4275</v>
      </c>
      <c r="C2246" s="1" t="n">
        <v>45964</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50505-2025</t>
        </is>
      </c>
      <c r="B2247" s="1" t="n">
        <v>45945.42863425926</v>
      </c>
      <c r="C2247" s="1" t="n">
        <v>45964</v>
      </c>
      <c r="D2247" t="inlineStr">
        <is>
          <t>VÄSTERNORRLANDS LÄN</t>
        </is>
      </c>
      <c r="E2247" t="inlineStr">
        <is>
          <t>SOLLEFTEÅ</t>
        </is>
      </c>
      <c r="F2247" t="inlineStr">
        <is>
          <t>SCA</t>
        </is>
      </c>
      <c r="G2247" t="n">
        <v>14.6</v>
      </c>
      <c r="H2247" t="n">
        <v>0</v>
      </c>
      <c r="I2247" t="n">
        <v>0</v>
      </c>
      <c r="J2247" t="n">
        <v>0</v>
      </c>
      <c r="K2247" t="n">
        <v>0</v>
      </c>
      <c r="L2247" t="n">
        <v>0</v>
      </c>
      <c r="M2247" t="n">
        <v>0</v>
      </c>
      <c r="N2247" t="n">
        <v>0</v>
      </c>
      <c r="O2247" t="n">
        <v>0</v>
      </c>
      <c r="P2247" t="n">
        <v>0</v>
      </c>
      <c r="Q2247" t="n">
        <v>0</v>
      </c>
      <c r="R2247" s="2" t="inlineStr"/>
    </row>
    <row r="2248" ht="15" customHeight="1">
      <c r="A2248" t="inlineStr">
        <is>
          <t>A 50522-2025</t>
        </is>
      </c>
      <c r="B2248" s="1" t="n">
        <v>45945</v>
      </c>
      <c r="C2248" s="1" t="n">
        <v>45964</v>
      </c>
      <c r="D2248" t="inlineStr">
        <is>
          <t>VÄSTERNORRLANDS LÄN</t>
        </is>
      </c>
      <c r="E2248" t="inlineStr">
        <is>
          <t>SOLLEFTEÅ</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42081-2025</t>
        </is>
      </c>
      <c r="B2249" s="1" t="n">
        <v>45902</v>
      </c>
      <c r="C2249" s="1" t="n">
        <v>45964</v>
      </c>
      <c r="D2249" t="inlineStr">
        <is>
          <t>VÄSTERNORRLANDS LÄN</t>
        </is>
      </c>
      <c r="E2249" t="inlineStr">
        <is>
          <t>SOLLEFTEÅ</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50645-2025</t>
        </is>
      </c>
      <c r="B2250" s="1" t="n">
        <v>45945.65685185185</v>
      </c>
      <c r="C2250" s="1" t="n">
        <v>45964</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41948-2025</t>
        </is>
      </c>
      <c r="B2251" s="1" t="n">
        <v>45903.45092592593</v>
      </c>
      <c r="C2251" s="1" t="n">
        <v>45964</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50493-2025</t>
        </is>
      </c>
      <c r="B2252" s="1" t="n">
        <v>45945.40685185185</v>
      </c>
      <c r="C2252" s="1" t="n">
        <v>45964</v>
      </c>
      <c r="D2252" t="inlineStr">
        <is>
          <t>VÄSTERNORRLANDS LÄN</t>
        </is>
      </c>
      <c r="E2252" t="inlineStr">
        <is>
          <t>SOLLEFTEÅ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41829-2025</t>
        </is>
      </c>
      <c r="B2253" s="1" t="n">
        <v>45902</v>
      </c>
      <c r="C2253" s="1" t="n">
        <v>45964</v>
      </c>
      <c r="D2253" t="inlineStr">
        <is>
          <t>VÄSTERNORRLANDS LÄN</t>
        </is>
      </c>
      <c r="E2253" t="inlineStr">
        <is>
          <t>SOLLEFTEÅ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50245-2025</t>
        </is>
      </c>
      <c r="B2254" s="1" t="n">
        <v>45944.30101851852</v>
      </c>
      <c r="C2254" s="1" t="n">
        <v>45964</v>
      </c>
      <c r="D2254" t="inlineStr">
        <is>
          <t>VÄSTERNORRLANDS LÄN</t>
        </is>
      </c>
      <c r="E2254" t="inlineStr">
        <is>
          <t>SOLLEFTEÅ</t>
        </is>
      </c>
      <c r="F2254" t="inlineStr">
        <is>
          <t>Holmen skog AB</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50283-2025</t>
        </is>
      </c>
      <c r="B2255" s="1" t="n">
        <v>45944.38641203703</v>
      </c>
      <c r="C2255" s="1" t="n">
        <v>45964</v>
      </c>
      <c r="D2255" t="inlineStr">
        <is>
          <t>VÄSTERNORRLANDS LÄN</t>
        </is>
      </c>
      <c r="E2255" t="inlineStr">
        <is>
          <t>SOLLEFTEÅ</t>
        </is>
      </c>
      <c r="F2255" t="inlineStr">
        <is>
          <t>SCA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50555-2025</t>
        </is>
      </c>
      <c r="B2256" s="1" t="n">
        <v>45945.53164351852</v>
      </c>
      <c r="C2256" s="1" t="n">
        <v>45964</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42041-2025</t>
        </is>
      </c>
      <c r="B2257" s="1" t="n">
        <v>45903.61568287037</v>
      </c>
      <c r="C2257" s="1" t="n">
        <v>45964</v>
      </c>
      <c r="D2257" t="inlineStr">
        <is>
          <t>VÄSTERNORRLANDS LÄN</t>
        </is>
      </c>
      <c r="E2257" t="inlineStr">
        <is>
          <t>SOLLEFTEÅ</t>
        </is>
      </c>
      <c r="F2257" t="inlineStr">
        <is>
          <t>SCA</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51088-2025</t>
        </is>
      </c>
      <c r="B2258" s="1" t="n">
        <v>45947.46975694445</v>
      </c>
      <c r="C2258" s="1" t="n">
        <v>45964</v>
      </c>
      <c r="D2258" t="inlineStr">
        <is>
          <t>VÄSTERNORRLANDS LÄN</t>
        </is>
      </c>
      <c r="E2258" t="inlineStr">
        <is>
          <t>SOLLEFTEÅ</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50627-2025</t>
        </is>
      </c>
      <c r="B2259" s="1" t="n">
        <v>45945</v>
      </c>
      <c r="C2259" s="1" t="n">
        <v>45964</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42199-2025</t>
        </is>
      </c>
      <c r="B2260" s="1" t="n">
        <v>45904.48640046296</v>
      </c>
      <c r="C2260" s="1" t="n">
        <v>45964</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31428-2025</t>
        </is>
      </c>
      <c r="B2261" s="1" t="n">
        <v>45833.4930787037</v>
      </c>
      <c r="C2261" s="1" t="n">
        <v>45964</v>
      </c>
      <c r="D2261" t="inlineStr">
        <is>
          <t>VÄSTERNORRLANDS LÄN</t>
        </is>
      </c>
      <c r="E2261" t="inlineStr">
        <is>
          <t>SOLLEFTEÅ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42396-2025</t>
        </is>
      </c>
      <c r="B2262" s="1" t="n">
        <v>45905.36559027778</v>
      </c>
      <c r="C2262" s="1" t="n">
        <v>45964</v>
      </c>
      <c r="D2262" t="inlineStr">
        <is>
          <t>VÄSTERNORRLANDS LÄN</t>
        </is>
      </c>
      <c r="E2262" t="inlineStr">
        <is>
          <t>SOLLEFTEÅ</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51226-2025</t>
        </is>
      </c>
      <c r="B2263" s="1" t="n">
        <v>45947.65663194445</v>
      </c>
      <c r="C2263" s="1" t="n">
        <v>45964</v>
      </c>
      <c r="D2263" t="inlineStr">
        <is>
          <t>VÄSTERNORRLANDS LÄN</t>
        </is>
      </c>
      <c r="E2263" t="inlineStr">
        <is>
          <t>SOLLEFTEÅ</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50733-2025</t>
        </is>
      </c>
      <c r="B2264" s="1" t="n">
        <v>45946.36538194444</v>
      </c>
      <c r="C2264" s="1" t="n">
        <v>45964</v>
      </c>
      <c r="D2264" t="inlineStr">
        <is>
          <t>VÄSTERNORRLANDS LÄN</t>
        </is>
      </c>
      <c r="E2264" t="inlineStr">
        <is>
          <t>SOLLEFTEÅ</t>
        </is>
      </c>
      <c r="F2264" t="inlineStr">
        <is>
          <t>SCA</t>
        </is>
      </c>
      <c r="G2264" t="n">
        <v>15.3</v>
      </c>
      <c r="H2264" t="n">
        <v>0</v>
      </c>
      <c r="I2264" t="n">
        <v>0</v>
      </c>
      <c r="J2264" t="n">
        <v>0</v>
      </c>
      <c r="K2264" t="n">
        <v>0</v>
      </c>
      <c r="L2264" t="n">
        <v>0</v>
      </c>
      <c r="M2264" t="n">
        <v>0</v>
      </c>
      <c r="N2264" t="n">
        <v>0</v>
      </c>
      <c r="O2264" t="n">
        <v>0</v>
      </c>
      <c r="P2264" t="n">
        <v>0</v>
      </c>
      <c r="Q2264" t="n">
        <v>0</v>
      </c>
      <c r="R2264" s="2" t="inlineStr"/>
    </row>
    <row r="2265" ht="15" customHeight="1">
      <c r="A2265" t="inlineStr">
        <is>
          <t>A 51102-2025</t>
        </is>
      </c>
      <c r="B2265" s="1" t="n">
        <v>45947.49001157407</v>
      </c>
      <c r="C2265" s="1" t="n">
        <v>45964</v>
      </c>
      <c r="D2265" t="inlineStr">
        <is>
          <t>VÄSTERNORRLANDS LÄN</t>
        </is>
      </c>
      <c r="E2265" t="inlineStr">
        <is>
          <t>SOLLEFTEÅ</t>
        </is>
      </c>
      <c r="F2265" t="inlineStr">
        <is>
          <t>SCA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46784-2025</t>
        </is>
      </c>
      <c r="B2266" s="1" t="n">
        <v>45926</v>
      </c>
      <c r="C2266" s="1" t="n">
        <v>45964</v>
      </c>
      <c r="D2266" t="inlineStr">
        <is>
          <t>VÄSTERNORRLANDS LÄN</t>
        </is>
      </c>
      <c r="E2266" t="inlineStr">
        <is>
          <t>SOLLEFTEÅ</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50860-2025</t>
        </is>
      </c>
      <c r="B2267" s="1" t="n">
        <v>45946.59475694445</v>
      </c>
      <c r="C2267" s="1" t="n">
        <v>45964</v>
      </c>
      <c r="D2267" t="inlineStr">
        <is>
          <t>VÄSTERNORRLANDS LÄN</t>
        </is>
      </c>
      <c r="E2267" t="inlineStr">
        <is>
          <t>SOLLEFTEÅ</t>
        </is>
      </c>
      <c r="F2267" t="inlineStr">
        <is>
          <t>SCA</t>
        </is>
      </c>
      <c r="G2267" t="n">
        <v>12.5</v>
      </c>
      <c r="H2267" t="n">
        <v>0</v>
      </c>
      <c r="I2267" t="n">
        <v>0</v>
      </c>
      <c r="J2267" t="n">
        <v>0</v>
      </c>
      <c r="K2267" t="n">
        <v>0</v>
      </c>
      <c r="L2267" t="n">
        <v>0</v>
      </c>
      <c r="M2267" t="n">
        <v>0</v>
      </c>
      <c r="N2267" t="n">
        <v>0</v>
      </c>
      <c r="O2267" t="n">
        <v>0</v>
      </c>
      <c r="P2267" t="n">
        <v>0</v>
      </c>
      <c r="Q2267" t="n">
        <v>0</v>
      </c>
      <c r="R2267" s="2" t="inlineStr"/>
    </row>
    <row r="2268" ht="15" customHeight="1">
      <c r="A2268" t="inlineStr">
        <is>
          <t>A 50843-2025</t>
        </is>
      </c>
      <c r="B2268" s="1" t="n">
        <v>45946.57344907407</v>
      </c>
      <c r="C2268" s="1" t="n">
        <v>45964</v>
      </c>
      <c r="D2268" t="inlineStr">
        <is>
          <t>VÄSTERNORRLANDS LÄN</t>
        </is>
      </c>
      <c r="E2268" t="inlineStr">
        <is>
          <t>SOLLEFTEÅ</t>
        </is>
      </c>
      <c r="F2268" t="inlineStr">
        <is>
          <t>SCA</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42127-2025</t>
        </is>
      </c>
      <c r="B2269" s="1" t="n">
        <v>45904.34502314815</v>
      </c>
      <c r="C2269" s="1" t="n">
        <v>45964</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51036-2025</t>
        </is>
      </c>
      <c r="B2270" s="1" t="n">
        <v>45947.40709490741</v>
      </c>
      <c r="C2270" s="1" t="n">
        <v>45964</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50929-2025</t>
        </is>
      </c>
      <c r="B2271" s="1" t="n">
        <v>45946.67913194445</v>
      </c>
      <c r="C2271" s="1" t="n">
        <v>45964</v>
      </c>
      <c r="D2271" t="inlineStr">
        <is>
          <t>VÄSTERNORRLANDS LÄN</t>
        </is>
      </c>
      <c r="E2271" t="inlineStr">
        <is>
          <t>SOLLEFTEÅ</t>
        </is>
      </c>
      <c r="F2271" t="inlineStr">
        <is>
          <t>SCA</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50930-2025</t>
        </is>
      </c>
      <c r="B2272" s="1" t="n">
        <v>45946.6796875</v>
      </c>
      <c r="C2272" s="1" t="n">
        <v>45964</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42192-2025</t>
        </is>
      </c>
      <c r="B2273" s="1" t="n">
        <v>45904.47975694444</v>
      </c>
      <c r="C2273" s="1" t="n">
        <v>45964</v>
      </c>
      <c r="D2273" t="inlineStr">
        <is>
          <t>VÄSTERNORRLANDS LÄN</t>
        </is>
      </c>
      <c r="E2273" t="inlineStr">
        <is>
          <t>SOLLEFTEÅ</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42191-2025</t>
        </is>
      </c>
      <c r="B2274" s="1" t="n">
        <v>45904.47394675926</v>
      </c>
      <c r="C2274" s="1" t="n">
        <v>45964</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51223-2025</t>
        </is>
      </c>
      <c r="B2275" s="1" t="n">
        <v>45947.65533564815</v>
      </c>
      <c r="C2275" s="1" t="n">
        <v>45964</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51087-2025</t>
        </is>
      </c>
      <c r="B2276" s="1" t="n">
        <v>45947.46954861111</v>
      </c>
      <c r="C2276" s="1" t="n">
        <v>45964</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50859-2025</t>
        </is>
      </c>
      <c r="B2277" s="1" t="n">
        <v>45946.59450231482</v>
      </c>
      <c r="C2277" s="1" t="n">
        <v>45964</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42201-2025</t>
        </is>
      </c>
      <c r="B2278" s="1" t="n">
        <v>45904.48965277777</v>
      </c>
      <c r="C2278" s="1" t="n">
        <v>45964</v>
      </c>
      <c r="D2278" t="inlineStr">
        <is>
          <t>VÄSTERNORRLANDS LÄN</t>
        </is>
      </c>
      <c r="E2278" t="inlineStr">
        <is>
          <t>SOLLEFTEÅ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42733-2025</t>
        </is>
      </c>
      <c r="B2279" s="1" t="n">
        <v>45908.4071875</v>
      </c>
      <c r="C2279" s="1" t="n">
        <v>45964</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51527-2025</t>
        </is>
      </c>
      <c r="B2280" s="1" t="n">
        <v>45950.67748842593</v>
      </c>
      <c r="C2280" s="1" t="n">
        <v>45964</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51603-2025</t>
        </is>
      </c>
      <c r="B2281" s="1" t="n">
        <v>45951.38317129629</v>
      </c>
      <c r="C2281" s="1" t="n">
        <v>45964</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51259-2025</t>
        </is>
      </c>
      <c r="B2282" s="1" t="n">
        <v>45949.44818287037</v>
      </c>
      <c r="C2282" s="1" t="n">
        <v>45964</v>
      </c>
      <c r="D2282" t="inlineStr">
        <is>
          <t>VÄSTERNORRLANDS LÄN</t>
        </is>
      </c>
      <c r="E2282" t="inlineStr">
        <is>
          <t>SOLLEFTEÅ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51321-2025</t>
        </is>
      </c>
      <c r="B2283" s="1" t="n">
        <v>45950.38615740741</v>
      </c>
      <c r="C2283" s="1" t="n">
        <v>45964</v>
      </c>
      <c r="D2283" t="inlineStr">
        <is>
          <t>VÄSTERNORRLANDS LÄN</t>
        </is>
      </c>
      <c r="E2283" t="inlineStr">
        <is>
          <t>SOLLEFTEÅ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42901-2025</t>
        </is>
      </c>
      <c r="B2284" s="1" t="n">
        <v>45908.67736111111</v>
      </c>
      <c r="C2284" s="1" t="n">
        <v>45964</v>
      </c>
      <c r="D2284" t="inlineStr">
        <is>
          <t>VÄSTERNORRLANDS LÄN</t>
        </is>
      </c>
      <c r="E2284" t="inlineStr">
        <is>
          <t>SOLLEFTEÅ</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51372-2025</t>
        </is>
      </c>
      <c r="B2285" s="1" t="n">
        <v>45950.44846064815</v>
      </c>
      <c r="C2285" s="1" t="n">
        <v>45964</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51451-2025</t>
        </is>
      </c>
      <c r="B2286" s="1" t="n">
        <v>45950.59311342592</v>
      </c>
      <c r="C2286" s="1" t="n">
        <v>45964</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51575-2025</t>
        </is>
      </c>
      <c r="B2287" s="1" t="n">
        <v>45951.34452546296</v>
      </c>
      <c r="C2287" s="1" t="n">
        <v>45964</v>
      </c>
      <c r="D2287" t="inlineStr">
        <is>
          <t>VÄSTERNORRLANDS LÄN</t>
        </is>
      </c>
      <c r="E2287" t="inlineStr">
        <is>
          <t>SOLLEFTEÅ</t>
        </is>
      </c>
      <c r="F2287" t="inlineStr">
        <is>
          <t>SCA</t>
        </is>
      </c>
      <c r="G2287" t="n">
        <v>35.4</v>
      </c>
      <c r="H2287" t="n">
        <v>0</v>
      </c>
      <c r="I2287" t="n">
        <v>0</v>
      </c>
      <c r="J2287" t="n">
        <v>0</v>
      </c>
      <c r="K2287" t="n">
        <v>0</v>
      </c>
      <c r="L2287" t="n">
        <v>0</v>
      </c>
      <c r="M2287" t="n">
        <v>0</v>
      </c>
      <c r="N2287" t="n">
        <v>0</v>
      </c>
      <c r="O2287" t="n">
        <v>0</v>
      </c>
      <c r="P2287" t="n">
        <v>0</v>
      </c>
      <c r="Q2287" t="n">
        <v>0</v>
      </c>
      <c r="R2287" s="2" t="inlineStr"/>
    </row>
    <row r="2288" ht="15" customHeight="1">
      <c r="A2288" t="inlineStr">
        <is>
          <t>A 42808-2025</t>
        </is>
      </c>
      <c r="B2288" s="1" t="n">
        <v>45908.55265046296</v>
      </c>
      <c r="C2288" s="1" t="n">
        <v>45964</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22166-2025</t>
        </is>
      </c>
      <c r="B2289" s="1" t="n">
        <v>45785.59480324074</v>
      </c>
      <c r="C2289" s="1" t="n">
        <v>45964</v>
      </c>
      <c r="D2289" t="inlineStr">
        <is>
          <t>VÄSTERNORRLANDS LÄN</t>
        </is>
      </c>
      <c r="E2289" t="inlineStr">
        <is>
          <t>SOLLEFTEÅ</t>
        </is>
      </c>
      <c r="F2289" t="inlineStr">
        <is>
          <t>SCA</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42778-2025</t>
        </is>
      </c>
      <c r="B2290" s="1" t="n">
        <v>45908</v>
      </c>
      <c r="C2290" s="1" t="n">
        <v>45964</v>
      </c>
      <c r="D2290" t="inlineStr">
        <is>
          <t>VÄSTERNORRLANDS LÄN</t>
        </is>
      </c>
      <c r="E2290" t="inlineStr">
        <is>
          <t>SOLLEFTEÅ</t>
        </is>
      </c>
      <c r="F2290" t="inlineStr">
        <is>
          <t>Holmen skog AB</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51591-2025</t>
        </is>
      </c>
      <c r="B2291" s="1" t="n">
        <v>45951.3653587963</v>
      </c>
      <c r="C2291" s="1" t="n">
        <v>45964</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48555-2021</t>
        </is>
      </c>
      <c r="B2292" s="1" t="n">
        <v>44452</v>
      </c>
      <c r="C2292" s="1" t="n">
        <v>45964</v>
      </c>
      <c r="D2292" t="inlineStr">
        <is>
          <t>VÄSTERNORRLANDS LÄN</t>
        </is>
      </c>
      <c r="E2292" t="inlineStr">
        <is>
          <t>SOLLEFTEÅ</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42806-2025</t>
        </is>
      </c>
      <c r="B2293" s="1" t="n">
        <v>45908</v>
      </c>
      <c r="C2293" s="1" t="n">
        <v>45964</v>
      </c>
      <c r="D2293" t="inlineStr">
        <is>
          <t>VÄSTERNORRLANDS LÄN</t>
        </is>
      </c>
      <c r="E2293" t="inlineStr">
        <is>
          <t>SOLLEFTEÅ</t>
        </is>
      </c>
      <c r="F2293" t="inlineStr">
        <is>
          <t>Holmen skog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62038-2024</t>
        </is>
      </c>
      <c r="B2294" s="1" t="n">
        <v>45656.34410879629</v>
      </c>
      <c r="C2294" s="1" t="n">
        <v>45964</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59407-2024</t>
        </is>
      </c>
      <c r="B2295" s="1" t="n">
        <v>45638.38917824074</v>
      </c>
      <c r="C2295" s="1" t="n">
        <v>45964</v>
      </c>
      <c r="D2295" t="inlineStr">
        <is>
          <t>VÄSTERNORRLANDS LÄN</t>
        </is>
      </c>
      <c r="E2295" t="inlineStr">
        <is>
          <t>SOLLEFTEÅ</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9163-2025</t>
        </is>
      </c>
      <c r="B2296" s="1" t="n">
        <v>45714.36503472222</v>
      </c>
      <c r="C2296" s="1" t="n">
        <v>45964</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51617-2025</t>
        </is>
      </c>
      <c r="B2297" s="1" t="n">
        <v>45951.40674768519</v>
      </c>
      <c r="C2297" s="1" t="n">
        <v>45964</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51711-2025</t>
        </is>
      </c>
      <c r="B2298" s="1" t="n">
        <v>45951.57133101852</v>
      </c>
      <c r="C2298" s="1" t="n">
        <v>45964</v>
      </c>
      <c r="D2298" t="inlineStr">
        <is>
          <t>VÄSTERNORRLANDS LÄN</t>
        </is>
      </c>
      <c r="E2298" t="inlineStr">
        <is>
          <t>SOLLEFTEÅ</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48019-2024</t>
        </is>
      </c>
      <c r="B2299" s="1" t="n">
        <v>45589.47023148148</v>
      </c>
      <c r="C2299" s="1" t="n">
        <v>45964</v>
      </c>
      <c r="D2299" t="inlineStr">
        <is>
          <t>VÄSTERNORRLANDS LÄN</t>
        </is>
      </c>
      <c r="E2299" t="inlineStr">
        <is>
          <t>SOLLEFTEÅ</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51118-2025</t>
        </is>
      </c>
      <c r="B2300" s="1" t="n">
        <v>45947.53177083333</v>
      </c>
      <c r="C2300" s="1" t="n">
        <v>45964</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51609-2025</t>
        </is>
      </c>
      <c r="B2301" s="1" t="n">
        <v>45951.39130787037</v>
      </c>
      <c r="C2301" s="1" t="n">
        <v>45964</v>
      </c>
      <c r="D2301" t="inlineStr">
        <is>
          <t>VÄSTERNORRLANDS LÄN</t>
        </is>
      </c>
      <c r="E2301" t="inlineStr">
        <is>
          <t>SOLLEFTEÅ</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50911-2025</t>
        </is>
      </c>
      <c r="B2302" s="1" t="n">
        <v>45946.65690972222</v>
      </c>
      <c r="C2302" s="1" t="n">
        <v>45964</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51770-2025</t>
        </is>
      </c>
      <c r="B2303" s="1" t="n">
        <v>45951.64315972223</v>
      </c>
      <c r="C2303" s="1" t="n">
        <v>45964</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51755-2025</t>
        </is>
      </c>
      <c r="B2304" s="1" t="n">
        <v>45950</v>
      </c>
      <c r="C2304" s="1" t="n">
        <v>45964</v>
      </c>
      <c r="D2304" t="inlineStr">
        <is>
          <t>VÄSTERNORRLANDS LÄN</t>
        </is>
      </c>
      <c r="E2304" t="inlineStr">
        <is>
          <t>SOLLEFTEÅ</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51521-2025</t>
        </is>
      </c>
      <c r="B2305" s="1" t="n">
        <v>45950.65715277778</v>
      </c>
      <c r="C2305" s="1" t="n">
        <v>45964</v>
      </c>
      <c r="D2305" t="inlineStr">
        <is>
          <t>VÄSTERNORRLANDS LÄN</t>
        </is>
      </c>
      <c r="E2305" t="inlineStr">
        <is>
          <t>SOLLEFTEÅ</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51303-2025</t>
        </is>
      </c>
      <c r="B2306" s="1" t="n">
        <v>45950.36518518518</v>
      </c>
      <c r="C2306" s="1" t="n">
        <v>45964</v>
      </c>
      <c r="D2306" t="inlineStr">
        <is>
          <t>VÄSTERNORRLANDS LÄN</t>
        </is>
      </c>
      <c r="E2306" t="inlineStr">
        <is>
          <t>SOLLEFTEÅ</t>
        </is>
      </c>
      <c r="F2306" t="inlineStr">
        <is>
          <t>SCA</t>
        </is>
      </c>
      <c r="G2306" t="n">
        <v>29.2</v>
      </c>
      <c r="H2306" t="n">
        <v>0</v>
      </c>
      <c r="I2306" t="n">
        <v>0</v>
      </c>
      <c r="J2306" t="n">
        <v>0</v>
      </c>
      <c r="K2306" t="n">
        <v>0</v>
      </c>
      <c r="L2306" t="n">
        <v>0</v>
      </c>
      <c r="M2306" t="n">
        <v>0</v>
      </c>
      <c r="N2306" t="n">
        <v>0</v>
      </c>
      <c r="O2306" t="n">
        <v>0</v>
      </c>
      <c r="P2306" t="n">
        <v>0</v>
      </c>
      <c r="Q2306" t="n">
        <v>0</v>
      </c>
      <c r="R2306" s="2" t="inlineStr"/>
    </row>
    <row r="2307" ht="15" customHeight="1">
      <c r="A2307" t="inlineStr">
        <is>
          <t>A 50281-2025</t>
        </is>
      </c>
      <c r="B2307" s="1" t="n">
        <v>45944.38600694444</v>
      </c>
      <c r="C2307" s="1" t="n">
        <v>45964</v>
      </c>
      <c r="D2307" t="inlineStr">
        <is>
          <t>VÄSTERNORRLANDS LÄN</t>
        </is>
      </c>
      <c r="E2307" t="inlineStr">
        <is>
          <t>SOLLEFTEÅ</t>
        </is>
      </c>
      <c r="F2307" t="inlineStr">
        <is>
          <t>SCA</t>
        </is>
      </c>
      <c r="G2307" t="n">
        <v>29.2</v>
      </c>
      <c r="H2307" t="n">
        <v>0</v>
      </c>
      <c r="I2307" t="n">
        <v>0</v>
      </c>
      <c r="J2307" t="n">
        <v>0</v>
      </c>
      <c r="K2307" t="n">
        <v>0</v>
      </c>
      <c r="L2307" t="n">
        <v>0</v>
      </c>
      <c r="M2307" t="n">
        <v>0</v>
      </c>
      <c r="N2307" t="n">
        <v>0</v>
      </c>
      <c r="O2307" t="n">
        <v>0</v>
      </c>
      <c r="P2307" t="n">
        <v>0</v>
      </c>
      <c r="Q2307" t="n">
        <v>0</v>
      </c>
      <c r="R2307" s="2" t="inlineStr"/>
    </row>
    <row r="2308" ht="15" customHeight="1">
      <c r="A2308" t="inlineStr">
        <is>
          <t>A 51261-2025</t>
        </is>
      </c>
      <c r="B2308" s="1" t="n">
        <v>45949.46915509259</v>
      </c>
      <c r="C2308" s="1" t="n">
        <v>45964</v>
      </c>
      <c r="D2308" t="inlineStr">
        <is>
          <t>VÄSTERNORRLANDS LÄN</t>
        </is>
      </c>
      <c r="E2308" t="inlineStr">
        <is>
          <t>SOLLEFTEÅ</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51559-2025</t>
        </is>
      </c>
      <c r="B2309" s="1" t="n">
        <v>45950.93180555556</v>
      </c>
      <c r="C2309" s="1" t="n">
        <v>45964</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42697-2025</t>
        </is>
      </c>
      <c r="B2310" s="1" t="n">
        <v>45908.36498842593</v>
      </c>
      <c r="C2310" s="1" t="n">
        <v>45964</v>
      </c>
      <c r="D2310" t="inlineStr">
        <is>
          <t>VÄSTERNORRLANDS LÄN</t>
        </is>
      </c>
      <c r="E2310" t="inlineStr">
        <is>
          <t>SOLLEFTEÅ</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51792-2025</t>
        </is>
      </c>
      <c r="B2311" s="1" t="n">
        <v>45951.6984837963</v>
      </c>
      <c r="C2311" s="1" t="n">
        <v>45964</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51529-2025</t>
        </is>
      </c>
      <c r="B2312" s="1" t="n">
        <v>45950.67769675926</v>
      </c>
      <c r="C2312" s="1" t="n">
        <v>45964</v>
      </c>
      <c r="D2312" t="inlineStr">
        <is>
          <t>VÄSTERNORRLANDS LÄN</t>
        </is>
      </c>
      <c r="E2312" t="inlineStr">
        <is>
          <t>SOLLEFTEÅ</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42789-2025</t>
        </is>
      </c>
      <c r="B2313" s="1" t="n">
        <v>45908</v>
      </c>
      <c r="C2313" s="1" t="n">
        <v>45964</v>
      </c>
      <c r="D2313" t="inlineStr">
        <is>
          <t>VÄSTERNORRLANDS LÄN</t>
        </is>
      </c>
      <c r="E2313" t="inlineStr">
        <is>
          <t>SOLLEFTEÅ</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46003-2025</t>
        </is>
      </c>
      <c r="B2314" s="1" t="n">
        <v>45924.40726851852</v>
      </c>
      <c r="C2314" s="1" t="n">
        <v>45964</v>
      </c>
      <c r="D2314" t="inlineStr">
        <is>
          <t>VÄSTERNORRLANDS LÄN</t>
        </is>
      </c>
      <c r="E2314" t="inlineStr">
        <is>
          <t>SOLLEFTEÅ</t>
        </is>
      </c>
      <c r="F2314" t="inlineStr">
        <is>
          <t>SCA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52078-2025</t>
        </is>
      </c>
      <c r="B2315" s="1" t="n">
        <v>45952.65828703704</v>
      </c>
      <c r="C2315" s="1" t="n">
        <v>45964</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52023-2025</t>
        </is>
      </c>
      <c r="B2316" s="1" t="n">
        <v>45952.60252314815</v>
      </c>
      <c r="C2316" s="1" t="n">
        <v>45964</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43503-2025</t>
        </is>
      </c>
      <c r="B2317" s="1" t="n">
        <v>45911.55266203704</v>
      </c>
      <c r="C2317" s="1" t="n">
        <v>45964</v>
      </c>
      <c r="D2317" t="inlineStr">
        <is>
          <t>VÄSTERNORRLANDS LÄN</t>
        </is>
      </c>
      <c r="E2317" t="inlineStr">
        <is>
          <t>SOLLEFTEÅ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43462-2025</t>
        </is>
      </c>
      <c r="B2318" s="1" t="n">
        <v>45911.46943287037</v>
      </c>
      <c r="C2318" s="1" t="n">
        <v>45964</v>
      </c>
      <c r="D2318" t="inlineStr">
        <is>
          <t>VÄSTERNORRLANDS LÄN</t>
        </is>
      </c>
      <c r="E2318" t="inlineStr">
        <is>
          <t>SOLLEFTEÅ</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51870-2025</t>
        </is>
      </c>
      <c r="B2319" s="1" t="n">
        <v>45952.38590277778</v>
      </c>
      <c r="C2319" s="1" t="n">
        <v>45964</v>
      </c>
      <c r="D2319" t="inlineStr">
        <is>
          <t>VÄSTERNORRLANDS LÄN</t>
        </is>
      </c>
      <c r="E2319" t="inlineStr">
        <is>
          <t>SOLLEFTEÅ</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43620-2025</t>
        </is>
      </c>
      <c r="B2320" s="1" t="n">
        <v>45911</v>
      </c>
      <c r="C2320" s="1" t="n">
        <v>45964</v>
      </c>
      <c r="D2320" t="inlineStr">
        <is>
          <t>VÄSTERNORRLANDS LÄN</t>
        </is>
      </c>
      <c r="E2320" t="inlineStr">
        <is>
          <t>SOLLEFTEÅ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52305-2025</t>
        </is>
      </c>
      <c r="B2321" s="1" t="n">
        <v>45953.63582175926</v>
      </c>
      <c r="C2321" s="1" t="n">
        <v>45964</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51918-2025</t>
        </is>
      </c>
      <c r="B2322" s="1" t="n">
        <v>45952.48068287037</v>
      </c>
      <c r="C2322" s="1" t="n">
        <v>45964</v>
      </c>
      <c r="D2322" t="inlineStr">
        <is>
          <t>VÄSTERNORRLANDS LÄN</t>
        </is>
      </c>
      <c r="E2322" t="inlineStr">
        <is>
          <t>SOLLEFTEÅ</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43603-2025</t>
        </is>
      </c>
      <c r="B2323" s="1" t="n">
        <v>45911</v>
      </c>
      <c r="C2323" s="1" t="n">
        <v>45964</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51899-2025</t>
        </is>
      </c>
      <c r="B2324" s="1" t="n">
        <v>45952.44201388889</v>
      </c>
      <c r="C2324" s="1" t="n">
        <v>45964</v>
      </c>
      <c r="D2324" t="inlineStr">
        <is>
          <t>VÄSTERNORRLANDS LÄN</t>
        </is>
      </c>
      <c r="E2324" t="inlineStr">
        <is>
          <t>SOLLEFTEÅ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52236-2025</t>
        </is>
      </c>
      <c r="B2325" s="1" t="n">
        <v>45953.45596064815</v>
      </c>
      <c r="C2325" s="1" t="n">
        <v>45964</v>
      </c>
      <c r="D2325" t="inlineStr">
        <is>
          <t>VÄSTERNORRLANDS LÄN</t>
        </is>
      </c>
      <c r="E2325" t="inlineStr">
        <is>
          <t>SOLLEFTEÅ</t>
        </is>
      </c>
      <c r="F2325" t="inlineStr">
        <is>
          <t>Holmen skog AB</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51880-2025</t>
        </is>
      </c>
      <c r="B2326" s="1" t="n">
        <v>45952.40435185185</v>
      </c>
      <c r="C2326" s="1" t="n">
        <v>45964</v>
      </c>
      <c r="D2326" t="inlineStr">
        <is>
          <t>VÄSTERNORRLANDS LÄN</t>
        </is>
      </c>
      <c r="E2326" t="inlineStr">
        <is>
          <t>SOLLEFTEÅ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43510-2025</t>
        </is>
      </c>
      <c r="B2327" s="1" t="n">
        <v>45911</v>
      </c>
      <c r="C2327" s="1" t="n">
        <v>45964</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43490-2025</t>
        </is>
      </c>
      <c r="B2328" s="1" t="n">
        <v>45911</v>
      </c>
      <c r="C2328" s="1" t="n">
        <v>45964</v>
      </c>
      <c r="D2328" t="inlineStr">
        <is>
          <t>VÄSTERNORRLANDS LÄN</t>
        </is>
      </c>
      <c r="E2328" t="inlineStr">
        <is>
          <t>SOLLEFTEÅ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52011-2025</t>
        </is>
      </c>
      <c r="B2329" s="1" t="n">
        <v>45952.59517361111</v>
      </c>
      <c r="C2329" s="1" t="n">
        <v>45964</v>
      </c>
      <c r="D2329" t="inlineStr">
        <is>
          <t>VÄSTERNORRLANDS LÄN</t>
        </is>
      </c>
      <c r="E2329" t="inlineStr">
        <is>
          <t>SOLLEFTEÅ</t>
        </is>
      </c>
      <c r="G2329" t="n">
        <v>12.2</v>
      </c>
      <c r="H2329" t="n">
        <v>0</v>
      </c>
      <c r="I2329" t="n">
        <v>0</v>
      </c>
      <c r="J2329" t="n">
        <v>0</v>
      </c>
      <c r="K2329" t="n">
        <v>0</v>
      </c>
      <c r="L2329" t="n">
        <v>0</v>
      </c>
      <c r="M2329" t="n">
        <v>0</v>
      </c>
      <c r="N2329" t="n">
        <v>0</v>
      </c>
      <c r="O2329" t="n">
        <v>0</v>
      </c>
      <c r="P2329" t="n">
        <v>0</v>
      </c>
      <c r="Q2329" t="n">
        <v>0</v>
      </c>
      <c r="R2329" s="2" t="inlineStr"/>
    </row>
    <row r="2330" ht="15" customHeight="1">
      <c r="A2330" t="inlineStr">
        <is>
          <t>A 22444-2025</t>
        </is>
      </c>
      <c r="B2330" s="1" t="n">
        <v>45786</v>
      </c>
      <c r="C2330" s="1" t="n">
        <v>45964</v>
      </c>
      <c r="D2330" t="inlineStr">
        <is>
          <t>VÄSTERNORRLANDS LÄN</t>
        </is>
      </c>
      <c r="E2330" t="inlineStr">
        <is>
          <t>SOLLEFTEÅ</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52116-2025</t>
        </is>
      </c>
      <c r="B2331" s="1" t="n">
        <v>45952</v>
      </c>
      <c r="C2331" s="1" t="n">
        <v>45964</v>
      </c>
      <c r="D2331" t="inlineStr">
        <is>
          <t>VÄSTERNORRLANDS LÄN</t>
        </is>
      </c>
      <c r="E2331" t="inlineStr">
        <is>
          <t>SOLLEFTEÅ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52092-2025</t>
        </is>
      </c>
      <c r="B2332" s="1" t="n">
        <v>45952.67827546296</v>
      </c>
      <c r="C2332" s="1" t="n">
        <v>45964</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52974-2025</t>
        </is>
      </c>
      <c r="B2333" s="1" t="n">
        <v>45957.67858796296</v>
      </c>
      <c r="C2333" s="1" t="n">
        <v>45964</v>
      </c>
      <c r="D2333" t="inlineStr">
        <is>
          <t>VÄSTERNORRLANDS LÄN</t>
        </is>
      </c>
      <c r="E2333" t="inlineStr">
        <is>
          <t>SOLLEFTEÅ</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43863-2025</t>
        </is>
      </c>
      <c r="B2334" s="1" t="n">
        <v>45912.65672453704</v>
      </c>
      <c r="C2334" s="1" t="n">
        <v>45964</v>
      </c>
      <c r="D2334" t="inlineStr">
        <is>
          <t>VÄSTERNORRLANDS LÄN</t>
        </is>
      </c>
      <c r="E2334" t="inlineStr">
        <is>
          <t>SOLLEFTEÅ</t>
        </is>
      </c>
      <c r="F2334" t="inlineStr">
        <is>
          <t>SCA</t>
        </is>
      </c>
      <c r="G2334" t="n">
        <v>16.8</v>
      </c>
      <c r="H2334" t="n">
        <v>0</v>
      </c>
      <c r="I2334" t="n">
        <v>0</v>
      </c>
      <c r="J2334" t="n">
        <v>0</v>
      </c>
      <c r="K2334" t="n">
        <v>0</v>
      </c>
      <c r="L2334" t="n">
        <v>0</v>
      </c>
      <c r="M2334" t="n">
        <v>0</v>
      </c>
      <c r="N2334" t="n">
        <v>0</v>
      </c>
      <c r="O2334" t="n">
        <v>0</v>
      </c>
      <c r="P2334" t="n">
        <v>0</v>
      </c>
      <c r="Q2334" t="n">
        <v>0</v>
      </c>
      <c r="R2334" s="2" t="inlineStr"/>
    </row>
    <row r="2335" ht="15" customHeight="1">
      <c r="A2335" t="inlineStr">
        <is>
          <t>A 43980-2025</t>
        </is>
      </c>
      <c r="B2335" s="1" t="n">
        <v>45915.4221412037</v>
      </c>
      <c r="C2335" s="1" t="n">
        <v>45964</v>
      </c>
      <c r="D2335" t="inlineStr">
        <is>
          <t>VÄSTERNORRLANDS LÄN</t>
        </is>
      </c>
      <c r="E2335" t="inlineStr">
        <is>
          <t>SOLLEFTEÅ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52499-2025</t>
        </is>
      </c>
      <c r="B2336" s="1" t="n">
        <v>45954.49407407407</v>
      </c>
      <c r="C2336" s="1" t="n">
        <v>45964</v>
      </c>
      <c r="D2336" t="inlineStr">
        <is>
          <t>VÄSTERNORRLANDS LÄN</t>
        </is>
      </c>
      <c r="E2336" t="inlineStr">
        <is>
          <t>SOLLEFTEÅ</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52780-2025</t>
        </is>
      </c>
      <c r="B2337" s="1" t="n">
        <v>45957.42261574074</v>
      </c>
      <c r="C2337" s="1" t="n">
        <v>45964</v>
      </c>
      <c r="D2337" t="inlineStr">
        <is>
          <t>VÄSTERNORRLANDS LÄN</t>
        </is>
      </c>
      <c r="E2337" t="inlineStr">
        <is>
          <t>SOLLEFTEÅ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43879-2025</t>
        </is>
      </c>
      <c r="B2338" s="1" t="n">
        <v>45912.67804398148</v>
      </c>
      <c r="C2338" s="1" t="n">
        <v>45964</v>
      </c>
      <c r="D2338" t="inlineStr">
        <is>
          <t>VÄSTERNORRLANDS LÄN</t>
        </is>
      </c>
      <c r="E2338" t="inlineStr">
        <is>
          <t>SOLLEFTEÅ</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27293-2024</t>
        </is>
      </c>
      <c r="B2339" s="1" t="n">
        <v>45471.94259259259</v>
      </c>
      <c r="C2339" s="1" t="n">
        <v>45964</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44241-2025</t>
        </is>
      </c>
      <c r="B2340" s="1" t="n">
        <v>45915.67747685185</v>
      </c>
      <c r="C2340" s="1" t="n">
        <v>45964</v>
      </c>
      <c r="D2340" t="inlineStr">
        <is>
          <t>VÄSTERNORRLANDS LÄN</t>
        </is>
      </c>
      <c r="E2340" t="inlineStr">
        <is>
          <t>SOLLEFTEÅ</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44243-2025</t>
        </is>
      </c>
      <c r="B2341" s="1" t="n">
        <v>45915</v>
      </c>
      <c r="C2341" s="1" t="n">
        <v>45964</v>
      </c>
      <c r="D2341" t="inlineStr">
        <is>
          <t>VÄSTERNORRLANDS LÄN</t>
        </is>
      </c>
      <c r="E2341" t="inlineStr">
        <is>
          <t>SOLLEFTEÅ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52483-2025</t>
        </is>
      </c>
      <c r="B2342" s="1" t="n">
        <v>45954.47412037037</v>
      </c>
      <c r="C2342" s="1" t="n">
        <v>45964</v>
      </c>
      <c r="D2342" t="inlineStr">
        <is>
          <t>VÄSTERNORRLANDS LÄN</t>
        </is>
      </c>
      <c r="E2342" t="inlineStr">
        <is>
          <t>SOLLEFTEÅ</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52739-2025</t>
        </is>
      </c>
      <c r="B2343" s="1" t="n">
        <v>45957.37555555555</v>
      </c>
      <c r="C2343" s="1" t="n">
        <v>45964</v>
      </c>
      <c r="D2343" t="inlineStr">
        <is>
          <t>VÄSTERNORRLANDS LÄN</t>
        </is>
      </c>
      <c r="E2343" t="inlineStr">
        <is>
          <t>SOLLEFTEÅ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45964</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52393-2025</t>
        </is>
      </c>
      <c r="B2345" s="1" t="n">
        <v>45954.34443287037</v>
      </c>
      <c r="C2345" s="1" t="n">
        <v>45964</v>
      </c>
      <c r="D2345" t="inlineStr">
        <is>
          <t>VÄSTERNORRLANDS LÄN</t>
        </is>
      </c>
      <c r="E2345" t="inlineStr">
        <is>
          <t>SOLLEFTEÅ</t>
        </is>
      </c>
      <c r="F2345" t="inlineStr">
        <is>
          <t>SCA</t>
        </is>
      </c>
      <c r="G2345" t="n">
        <v>29.1</v>
      </c>
      <c r="H2345" t="n">
        <v>0</v>
      </c>
      <c r="I2345" t="n">
        <v>0</v>
      </c>
      <c r="J2345" t="n">
        <v>0</v>
      </c>
      <c r="K2345" t="n">
        <v>0</v>
      </c>
      <c r="L2345" t="n">
        <v>0</v>
      </c>
      <c r="M2345" t="n">
        <v>0</v>
      </c>
      <c r="N2345" t="n">
        <v>0</v>
      </c>
      <c r="O2345" t="n">
        <v>0</v>
      </c>
      <c r="P2345" t="n">
        <v>0</v>
      </c>
      <c r="Q2345" t="n">
        <v>0</v>
      </c>
      <c r="R2345" s="2" t="inlineStr"/>
    </row>
    <row r="2346" ht="15" customHeight="1">
      <c r="A2346" t="inlineStr">
        <is>
          <t>A 52665-2025</t>
        </is>
      </c>
      <c r="B2346" s="1" t="n">
        <v>45955.65716435185</v>
      </c>
      <c r="C2346" s="1" t="n">
        <v>45964</v>
      </c>
      <c r="D2346" t="inlineStr">
        <is>
          <t>VÄSTERNORRLANDS LÄN</t>
        </is>
      </c>
      <c r="E2346" t="inlineStr">
        <is>
          <t>SOLLEFTEÅ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53428-2025</t>
        </is>
      </c>
      <c r="B2347" s="1" t="n">
        <v>45959.61526620371</v>
      </c>
      <c r="C2347" s="1" t="n">
        <v>45964</v>
      </c>
      <c r="D2347" t="inlineStr">
        <is>
          <t>VÄSTERNORRLANDS LÄN</t>
        </is>
      </c>
      <c r="E2347" t="inlineStr">
        <is>
          <t>SOLLEFTEÅ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53269-2025</t>
        </is>
      </c>
      <c r="B2348" s="1" t="n">
        <v>45958.6985300926</v>
      </c>
      <c r="C2348" s="1" t="n">
        <v>45964</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44387-2025</t>
        </is>
      </c>
      <c r="B2349" s="1" t="n">
        <v>45916.48994212963</v>
      </c>
      <c r="C2349" s="1" t="n">
        <v>45964</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44746-2025</t>
        </is>
      </c>
      <c r="B2350" s="1" t="n">
        <v>45917.67760416667</v>
      </c>
      <c r="C2350" s="1" t="n">
        <v>45964</v>
      </c>
      <c r="D2350" t="inlineStr">
        <is>
          <t>VÄSTERNORRLANDS LÄN</t>
        </is>
      </c>
      <c r="E2350" t="inlineStr">
        <is>
          <t>SOLLEFTEÅ</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44747-2025</t>
        </is>
      </c>
      <c r="B2351" s="1" t="n">
        <v>45917.67769675926</v>
      </c>
      <c r="C2351" s="1" t="n">
        <v>45964</v>
      </c>
      <c r="D2351" t="inlineStr">
        <is>
          <t>VÄSTERNORRLANDS LÄN</t>
        </is>
      </c>
      <c r="E2351" t="inlineStr">
        <is>
          <t>SOLLEFTEÅ</t>
        </is>
      </c>
      <c r="F2351" t="inlineStr">
        <is>
          <t>SCA</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44335-2025</t>
        </is>
      </c>
      <c r="B2352" s="1" t="n">
        <v>45916.423125</v>
      </c>
      <c r="C2352" s="1" t="n">
        <v>45964</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53468-2025</t>
        </is>
      </c>
      <c r="B2353" s="1" t="n">
        <v>45959.69859953703</v>
      </c>
      <c r="C2353" s="1" t="n">
        <v>45964</v>
      </c>
      <c r="D2353" t="inlineStr">
        <is>
          <t>VÄSTERNORRLANDS LÄN</t>
        </is>
      </c>
      <c r="E2353" t="inlineStr">
        <is>
          <t>SOLLEFTEÅ</t>
        </is>
      </c>
      <c r="F2353" t="inlineStr">
        <is>
          <t>SCA</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53055-2025</t>
        </is>
      </c>
      <c r="B2354" s="1" t="n">
        <v>45958.36517361111</v>
      </c>
      <c r="C2354" s="1" t="n">
        <v>45964</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44736-2025</t>
        </is>
      </c>
      <c r="B2355" s="1" t="n">
        <v>45917.656875</v>
      </c>
      <c r="C2355" s="1" t="n">
        <v>45964</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44295-2025</t>
        </is>
      </c>
      <c r="B2356" s="1" t="n">
        <v>45916.36495370371</v>
      </c>
      <c r="C2356" s="1" t="n">
        <v>45964</v>
      </c>
      <c r="D2356" t="inlineStr">
        <is>
          <t>VÄSTERNORRLANDS LÄN</t>
        </is>
      </c>
      <c r="E2356" t="inlineStr">
        <is>
          <t>SOLLEFTEÅ</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44556-2025</t>
        </is>
      </c>
      <c r="B2357" s="1" t="n">
        <v>45917.34424768519</v>
      </c>
      <c r="C2357" s="1" t="n">
        <v>45964</v>
      </c>
      <c r="D2357" t="inlineStr">
        <is>
          <t>VÄSTERNORRLANDS LÄN</t>
        </is>
      </c>
      <c r="E2357" t="inlineStr">
        <is>
          <t>SOLLEFTEÅ</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44327-2025</t>
        </is>
      </c>
      <c r="B2358" s="1" t="n">
        <v>45916.40755787037</v>
      </c>
      <c r="C2358" s="1" t="n">
        <v>45964</v>
      </c>
      <c r="D2358" t="inlineStr">
        <is>
          <t>VÄSTERNORRLANDS LÄN</t>
        </is>
      </c>
      <c r="E2358" t="inlineStr">
        <is>
          <t>SOLLEFTEÅ</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52765-2025</t>
        </is>
      </c>
      <c r="B2359" s="1" t="n">
        <v>45957.39965277778</v>
      </c>
      <c r="C2359" s="1" t="n">
        <v>45964</v>
      </c>
      <c r="D2359" t="inlineStr">
        <is>
          <t>VÄSTERNORRLANDS LÄN</t>
        </is>
      </c>
      <c r="E2359" t="inlineStr">
        <is>
          <t>SOLLEFTEÅ</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53098-2025</t>
        </is>
      </c>
      <c r="B2360" s="1" t="n">
        <v>45958.42774305555</v>
      </c>
      <c r="C2360" s="1" t="n">
        <v>45964</v>
      </c>
      <c r="D2360" t="inlineStr">
        <is>
          <t>VÄSTERNORRLANDS LÄN</t>
        </is>
      </c>
      <c r="E2360" t="inlineStr">
        <is>
          <t>SOLLEFTEÅ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53240-2025</t>
        </is>
      </c>
      <c r="B2361" s="1" t="n">
        <v>45958.63600694444</v>
      </c>
      <c r="C2361" s="1" t="n">
        <v>45964</v>
      </c>
      <c r="D2361" t="inlineStr">
        <is>
          <t>VÄSTERNORRLANDS LÄN</t>
        </is>
      </c>
      <c r="E2361" t="inlineStr">
        <is>
          <t>SOLLEFTEÅ</t>
        </is>
      </c>
      <c r="F2361" t="inlineStr">
        <is>
          <t>SCA</t>
        </is>
      </c>
      <c r="G2361" t="n">
        <v>36.2</v>
      </c>
      <c r="H2361" t="n">
        <v>0</v>
      </c>
      <c r="I2361" t="n">
        <v>0</v>
      </c>
      <c r="J2361" t="n">
        <v>0</v>
      </c>
      <c r="K2361" t="n">
        <v>0</v>
      </c>
      <c r="L2361" t="n">
        <v>0</v>
      </c>
      <c r="M2361" t="n">
        <v>0</v>
      </c>
      <c r="N2361" t="n">
        <v>0</v>
      </c>
      <c r="O2361" t="n">
        <v>0</v>
      </c>
      <c r="P2361" t="n">
        <v>0</v>
      </c>
      <c r="Q2361" t="n">
        <v>0</v>
      </c>
      <c r="R2361" s="2" t="inlineStr"/>
    </row>
    <row r="2362" ht="15" customHeight="1">
      <c r="A2362" t="inlineStr">
        <is>
          <t>A 53097-2025</t>
        </is>
      </c>
      <c r="B2362" s="1" t="n">
        <v>45958.42767361111</v>
      </c>
      <c r="C2362" s="1" t="n">
        <v>45964</v>
      </c>
      <c r="D2362" t="inlineStr">
        <is>
          <t>VÄSTERNORRLANDS LÄN</t>
        </is>
      </c>
      <c r="E2362" t="inlineStr">
        <is>
          <t>SOLLEFTEÅ</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56252-2024</t>
        </is>
      </c>
      <c r="B2363" s="1" t="n">
        <v>45624</v>
      </c>
      <c r="C2363" s="1" t="n">
        <v>45964</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53030-2025</t>
        </is>
      </c>
      <c r="B2364" s="1" t="n">
        <v>45958.34442129629</v>
      </c>
      <c r="C2364" s="1" t="n">
        <v>45964</v>
      </c>
      <c r="D2364" t="inlineStr">
        <is>
          <t>VÄSTERNORRLANDS LÄN</t>
        </is>
      </c>
      <c r="E2364" t="inlineStr">
        <is>
          <t>SOLLEFTEÅ</t>
        </is>
      </c>
      <c r="F2364" t="inlineStr">
        <is>
          <t>SCA</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44839-2025</t>
        </is>
      </c>
      <c r="B2365" s="1" t="n">
        <v>45918.42751157407</v>
      </c>
      <c r="C2365" s="1" t="n">
        <v>45964</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44907-2025</t>
        </is>
      </c>
      <c r="B2366" s="1" t="n">
        <v>45918.531875</v>
      </c>
      <c r="C2366" s="1" t="n">
        <v>45964</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53896-2025</t>
        </is>
      </c>
      <c r="B2367" s="1" t="n">
        <v>45961.42748842593</v>
      </c>
      <c r="C2367" s="1" t="n">
        <v>45964</v>
      </c>
      <c r="D2367" t="inlineStr">
        <is>
          <t>VÄSTERNORRLANDS LÄN</t>
        </is>
      </c>
      <c r="E2367" t="inlineStr">
        <is>
          <t>SOLLEFTEÅ</t>
        </is>
      </c>
      <c r="F2367" t="inlineStr">
        <is>
          <t>SCA</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49791-2025</t>
        </is>
      </c>
      <c r="B2368" s="1" t="n">
        <v>45940</v>
      </c>
      <c r="C2368" s="1" t="n">
        <v>45964</v>
      </c>
      <c r="D2368" t="inlineStr">
        <is>
          <t>VÄSTERNORRLANDS LÄN</t>
        </is>
      </c>
      <c r="E2368" t="inlineStr">
        <is>
          <t>SOLLEFTEÅ</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44871-2025</t>
        </is>
      </c>
      <c r="B2369" s="1" t="n">
        <v>45918.46938657408</v>
      </c>
      <c r="C2369" s="1" t="n">
        <v>45964</v>
      </c>
      <c r="D2369" t="inlineStr">
        <is>
          <t>VÄSTERNORRLANDS LÄN</t>
        </is>
      </c>
      <c r="E2369" t="inlineStr">
        <is>
          <t>SOLLEFTEÅ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45252-2025</t>
        </is>
      </c>
      <c r="B2370" s="1" t="n">
        <v>45919.61493055556</v>
      </c>
      <c r="C2370" s="1" t="n">
        <v>45964</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53974-2025</t>
        </is>
      </c>
      <c r="B2371" s="1" t="n">
        <v>45961.55261574074</v>
      </c>
      <c r="C2371" s="1" t="n">
        <v>45964</v>
      </c>
      <c r="D2371" t="inlineStr">
        <is>
          <t>VÄSTERNORRLANDS LÄN</t>
        </is>
      </c>
      <c r="E2371" t="inlineStr">
        <is>
          <t>SOLLEFTEÅ</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53550-2025</t>
        </is>
      </c>
      <c r="B2372" s="1" t="n">
        <v>45960.38583333333</v>
      </c>
      <c r="C2372" s="1" t="n">
        <v>45964</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43842-2025</t>
        </is>
      </c>
      <c r="B2373" s="1" t="n">
        <v>45912.63587962963</v>
      </c>
      <c r="C2373" s="1" t="n">
        <v>45964</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49249-2025</t>
        </is>
      </c>
      <c r="B2374" s="1" t="n">
        <v>45938</v>
      </c>
      <c r="C2374" s="1" t="n">
        <v>45964</v>
      </c>
      <c r="D2374" t="inlineStr">
        <is>
          <t>VÄSTERNORRLANDS LÄN</t>
        </is>
      </c>
      <c r="E2374" t="inlineStr">
        <is>
          <t>SOLLEFTEÅ</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53639-2025</t>
        </is>
      </c>
      <c r="B2375" s="1" t="n">
        <v>45960</v>
      </c>
      <c r="C2375" s="1" t="n">
        <v>45964</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45028-2025</t>
        </is>
      </c>
      <c r="B2376" s="1" t="n">
        <v>45918.69828703703</v>
      </c>
      <c r="C2376" s="1" t="n">
        <v>45964</v>
      </c>
      <c r="D2376" t="inlineStr">
        <is>
          <t>VÄSTERNORRLANDS LÄN</t>
        </is>
      </c>
      <c r="E2376" t="inlineStr">
        <is>
          <t>SOLLEFTEÅ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44906-2025</t>
        </is>
      </c>
      <c r="B2377" s="1" t="n">
        <v>45918.53174768519</v>
      </c>
      <c r="C2377" s="1" t="n">
        <v>45964</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40280-2025</t>
        </is>
      </c>
      <c r="B2378" s="1" t="n">
        <v>45895</v>
      </c>
      <c r="C2378" s="1" t="n">
        <v>45964</v>
      </c>
      <c r="D2378" t="inlineStr">
        <is>
          <t>VÄSTERNORRLANDS LÄN</t>
        </is>
      </c>
      <c r="E2378" t="inlineStr">
        <is>
          <t>SOLLEFTEÅ</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42478-2025</t>
        </is>
      </c>
      <c r="B2379" s="1" t="n">
        <v>45905</v>
      </c>
      <c r="C2379" s="1" t="n">
        <v>45964</v>
      </c>
      <c r="D2379" t="inlineStr">
        <is>
          <t>VÄSTERNORRLANDS LÄN</t>
        </is>
      </c>
      <c r="E2379" t="inlineStr">
        <is>
          <t>SOLLEFTEÅ</t>
        </is>
      </c>
      <c r="F2379" t="inlineStr">
        <is>
          <t>SCA</t>
        </is>
      </c>
      <c r="G2379" t="n">
        <v>9.300000000000001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53530-2025</t>
        </is>
      </c>
      <c r="B2380" s="1" t="n">
        <v>45960.36521990741</v>
      </c>
      <c r="C2380" s="1" t="n">
        <v>45964</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44873-2025</t>
        </is>
      </c>
      <c r="B2381" s="1" t="n">
        <v>45918.46966435185</v>
      </c>
      <c r="C2381" s="1" t="n">
        <v>45964</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42879-2025</t>
        </is>
      </c>
      <c r="B2382" s="1" t="n">
        <v>45908</v>
      </c>
      <c r="C2382" s="1" t="n">
        <v>45964</v>
      </c>
      <c r="D2382" t="inlineStr">
        <is>
          <t>VÄSTERNORRLANDS LÄN</t>
        </is>
      </c>
      <c r="E2382" t="inlineStr">
        <is>
          <t>SOLLEFTEÅ</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53833-2025</t>
        </is>
      </c>
      <c r="B2383" s="1" t="n">
        <v>45961.34518518519</v>
      </c>
      <c r="C2383" s="1" t="n">
        <v>45964</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53867-2025</t>
        </is>
      </c>
      <c r="B2384" s="1" t="n">
        <v>45961.38581018519</v>
      </c>
      <c r="C2384" s="1" t="n">
        <v>45964</v>
      </c>
      <c r="D2384" t="inlineStr">
        <is>
          <t>VÄSTERNORRLANDS LÄN</t>
        </is>
      </c>
      <c r="E2384" t="inlineStr">
        <is>
          <t>SOLLEFTEÅ</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45236-2025</t>
        </is>
      </c>
      <c r="B2385" s="1" t="n">
        <v>45919.59450231482</v>
      </c>
      <c r="C2385" s="1" t="n">
        <v>45964</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c r="A2386" t="inlineStr">
        <is>
          <t>A 35261-2025</t>
        </is>
      </c>
      <c r="B2386" s="1" t="n">
        <v>45853</v>
      </c>
      <c r="C2386" s="1" t="n">
        <v>45964</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2025-11-03T09:59:33Z</dcterms:created>
  <dcterms:modified xmlns:dcterms="http://purl.org/dc/terms/" xmlns:xsi="http://www.w3.org/2001/XMLSchema-instance" xsi:type="dcterms:W3CDTF">2025-11-03T09:59:35Z</dcterms:modified>
</cp:coreProperties>
</file>