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45637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45637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45637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45637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45637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45637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45637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45637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45637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45637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45637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45637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45637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45637</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45637</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45637</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45637</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45637</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45637</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45637</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45637</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45637</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45637</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45637</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45637</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45637</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45637</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45637</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45637</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45637</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45637</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45637</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45637</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45637</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45637</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45637</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45637</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45637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45637</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45637</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45637</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45637</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45637</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45637</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45637</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45637</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45637</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45637</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45637</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45637</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45637</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45637</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45637</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45637</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45637</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45637</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45637</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45637</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45637</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45637</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45637</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45637</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45637</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45637</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45637</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45637</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45637</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45637</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45637</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45637</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45637</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45637</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45637</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45637</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45637</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45637</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45637</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45637</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45637</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45637</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45637</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45637</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45637</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45637</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45637</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45637</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45637</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45637</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45637</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45637</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45637</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45637</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45637</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45637</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45637</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45637</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45637</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45637</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45637</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45637</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45637</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45637</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45637</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45637</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45637</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45637</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45637</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45637</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45637</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45637</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45637</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45637</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45637</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45637</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45637</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45637</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45637</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45637</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45637</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45637</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45637</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45637</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45637</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45637</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45637</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45637</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45637</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45637</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45637</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45637</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45637</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45637</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45637</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45637</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45637</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45637</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45637</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45637</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45637</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45637</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45637</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45637</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45637</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45637</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45637</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45637</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45637</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45637</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45637</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45637</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45637</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45637</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45637</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45637</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45637</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45637</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45637</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45637</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45637</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45637</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45637</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45637</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45637</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45637</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45637</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45637</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45637</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45637</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45637</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45637</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45637</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45637</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45637</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45637</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45637</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45637</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45637</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55683-2019</t>
        </is>
      </c>
      <c r="B220" s="1" t="n">
        <v>43760</v>
      </c>
      <c r="C220" s="1" t="n">
        <v>45637</v>
      </c>
      <c r="D220" t="inlineStr">
        <is>
          <t>VÄSTERNORRLANDS LÄN</t>
        </is>
      </c>
      <c r="E220" t="inlineStr">
        <is>
          <t>SOLLEFTEÅ</t>
        </is>
      </c>
      <c r="F220" t="inlineStr">
        <is>
          <t>SCA</t>
        </is>
      </c>
      <c r="G220" t="n">
        <v>2.9</v>
      </c>
      <c r="H220" t="n">
        <v>0</v>
      </c>
      <c r="I220" t="n">
        <v>0</v>
      </c>
      <c r="J220" t="n">
        <v>2</v>
      </c>
      <c r="K220" t="n">
        <v>1</v>
      </c>
      <c r="L220" t="n">
        <v>0</v>
      </c>
      <c r="M220" t="n">
        <v>0</v>
      </c>
      <c r="N220" t="n">
        <v>0</v>
      </c>
      <c r="O220" t="n">
        <v>3</v>
      </c>
      <c r="P220" t="n">
        <v>1</v>
      </c>
      <c r="Q220" t="n">
        <v>3</v>
      </c>
      <c r="R220" s="2" t="inlineStr">
        <is>
          <t>Rynkskinn
Granticka
Rosenticka</t>
        </is>
      </c>
      <c r="S220">
        <f>HYPERLINK("https://klasma.github.io/Logging_2283/artfynd/A 55683-2019 artfynd.xlsx", "A 55683-2019")</f>
        <v/>
      </c>
      <c r="T220">
        <f>HYPERLINK("https://klasma.github.io/Logging_2283/kartor/A 55683-2019 karta.png", "A 55683-2019")</f>
        <v/>
      </c>
      <c r="V220">
        <f>HYPERLINK("https://klasma.github.io/Logging_2283/klagomål/A 55683-2019 FSC-klagomål.docx", "A 55683-2019")</f>
        <v/>
      </c>
      <c r="W220">
        <f>HYPERLINK("https://klasma.github.io/Logging_2283/klagomålsmail/A 55683-2019 FSC-klagomål mail.docx", "A 55683-2019")</f>
        <v/>
      </c>
      <c r="X220">
        <f>HYPERLINK("https://klasma.github.io/Logging_2283/tillsyn/A 55683-2019 tillsynsbegäran.docx", "A 55683-2019")</f>
        <v/>
      </c>
      <c r="Y220">
        <f>HYPERLINK("https://klasma.github.io/Logging_2283/tillsynsmail/A 55683-2019 tillsynsbegäran mail.docx", "A 55683-2019")</f>
        <v/>
      </c>
    </row>
    <row r="221" ht="15" customHeight="1">
      <c r="A221" t="inlineStr">
        <is>
          <t>A 24219-2020</t>
        </is>
      </c>
      <c r="B221" s="1" t="n">
        <v>43973</v>
      </c>
      <c r="C221" s="1" t="n">
        <v>45637</v>
      </c>
      <c r="D221" t="inlineStr">
        <is>
          <t>VÄSTERNORRLANDS LÄN</t>
        </is>
      </c>
      <c r="E221" t="inlineStr">
        <is>
          <t>SOLLEFTEÅ</t>
        </is>
      </c>
      <c r="G221" t="n">
        <v>11.9</v>
      </c>
      <c r="H221" t="n">
        <v>0</v>
      </c>
      <c r="I221" t="n">
        <v>0</v>
      </c>
      <c r="J221" t="n">
        <v>3</v>
      </c>
      <c r="K221" t="n">
        <v>0</v>
      </c>
      <c r="L221" t="n">
        <v>0</v>
      </c>
      <c r="M221" t="n">
        <v>0</v>
      </c>
      <c r="N221" t="n">
        <v>0</v>
      </c>
      <c r="O221" t="n">
        <v>3</v>
      </c>
      <c r="P221" t="n">
        <v>0</v>
      </c>
      <c r="Q221" t="n">
        <v>3</v>
      </c>
      <c r="R221" s="2" t="inlineStr">
        <is>
          <t>Garnlav
Lunglav
Rosenticka</t>
        </is>
      </c>
      <c r="S221">
        <f>HYPERLINK("https://klasma.github.io/Logging_2283/artfynd/A 24219-2020 artfynd.xlsx", "A 24219-2020")</f>
        <v/>
      </c>
      <c r="T221">
        <f>HYPERLINK("https://klasma.github.io/Logging_2283/kartor/A 24219-2020 karta.png", "A 24219-2020")</f>
        <v/>
      </c>
      <c r="V221">
        <f>HYPERLINK("https://klasma.github.io/Logging_2283/klagomål/A 24219-2020 FSC-klagomål.docx", "A 24219-2020")</f>
        <v/>
      </c>
      <c r="W221">
        <f>HYPERLINK("https://klasma.github.io/Logging_2283/klagomålsmail/A 24219-2020 FSC-klagomål mail.docx", "A 24219-2020")</f>
        <v/>
      </c>
      <c r="X221">
        <f>HYPERLINK("https://klasma.github.io/Logging_2283/tillsyn/A 24219-2020 tillsynsbegäran.docx", "A 24219-2020")</f>
        <v/>
      </c>
      <c r="Y221">
        <f>HYPERLINK("https://klasma.github.io/Logging_2283/tillsynsmail/A 24219-2020 tillsynsbegäran mail.docx", "A 24219-2020")</f>
        <v/>
      </c>
    </row>
    <row r="222" ht="15" customHeight="1">
      <c r="A222" t="inlineStr">
        <is>
          <t>A 31640-2020</t>
        </is>
      </c>
      <c r="B222" s="1" t="n">
        <v>44013</v>
      </c>
      <c r="C222" s="1" t="n">
        <v>45637</v>
      </c>
      <c r="D222" t="inlineStr">
        <is>
          <t>VÄSTERNORRLANDS LÄN</t>
        </is>
      </c>
      <c r="E222" t="inlineStr">
        <is>
          <t>SOLLEFTEÅ</t>
        </is>
      </c>
      <c r="F222" t="inlineStr">
        <is>
          <t>SCA</t>
        </is>
      </c>
      <c r="G222" t="n">
        <v>27.4</v>
      </c>
      <c r="H222" t="n">
        <v>1</v>
      </c>
      <c r="I222" t="n">
        <v>0</v>
      </c>
      <c r="J222" t="n">
        <v>2</v>
      </c>
      <c r="K222" t="n">
        <v>1</v>
      </c>
      <c r="L222" t="n">
        <v>0</v>
      </c>
      <c r="M222" t="n">
        <v>0</v>
      </c>
      <c r="N222" t="n">
        <v>0</v>
      </c>
      <c r="O222" t="n">
        <v>3</v>
      </c>
      <c r="P222" t="n">
        <v>1</v>
      </c>
      <c r="Q222" t="n">
        <v>3</v>
      </c>
      <c r="R222" s="2" t="inlineStr">
        <is>
          <t>Doftticka
Lunglav
Skrovellav</t>
        </is>
      </c>
      <c r="S222">
        <f>HYPERLINK("https://klasma.github.io/Logging_2283/artfynd/A 31640-2020 artfynd.xlsx", "A 31640-2020")</f>
        <v/>
      </c>
      <c r="T222">
        <f>HYPERLINK("https://klasma.github.io/Logging_2283/kartor/A 31640-2020 karta.png", "A 31640-2020")</f>
        <v/>
      </c>
      <c r="V222">
        <f>HYPERLINK("https://klasma.github.io/Logging_2283/klagomål/A 31640-2020 FSC-klagomål.docx", "A 31640-2020")</f>
        <v/>
      </c>
      <c r="W222">
        <f>HYPERLINK("https://klasma.github.io/Logging_2283/klagomålsmail/A 31640-2020 FSC-klagomål mail.docx", "A 31640-2020")</f>
        <v/>
      </c>
      <c r="X222">
        <f>HYPERLINK("https://klasma.github.io/Logging_2283/tillsyn/A 31640-2020 tillsynsbegäran.docx", "A 31640-2020")</f>
        <v/>
      </c>
      <c r="Y222">
        <f>HYPERLINK("https://klasma.github.io/Logging_2283/tillsynsmail/A 31640-2020 tillsynsbegäran mail.docx", "A 31640-2020")</f>
        <v/>
      </c>
    </row>
    <row r="223" ht="15" customHeight="1">
      <c r="A223" t="inlineStr">
        <is>
          <t>A 34085-2020</t>
        </is>
      </c>
      <c r="B223" s="1" t="n">
        <v>44028</v>
      </c>
      <c r="C223" s="1" t="n">
        <v>45637</v>
      </c>
      <c r="D223" t="inlineStr">
        <is>
          <t>VÄSTERNORRLANDS LÄN</t>
        </is>
      </c>
      <c r="E223" t="inlineStr">
        <is>
          <t>SOLLEFTEÅ</t>
        </is>
      </c>
      <c r="F223" t="inlineStr">
        <is>
          <t>SCA</t>
        </is>
      </c>
      <c r="G223" t="n">
        <v>3.7</v>
      </c>
      <c r="H223" t="n">
        <v>2</v>
      </c>
      <c r="I223" t="n">
        <v>0</v>
      </c>
      <c r="J223" t="n">
        <v>2</v>
      </c>
      <c r="K223" t="n">
        <v>1</v>
      </c>
      <c r="L223" t="n">
        <v>0</v>
      </c>
      <c r="M223" t="n">
        <v>0</v>
      </c>
      <c r="N223" t="n">
        <v>0</v>
      </c>
      <c r="O223" t="n">
        <v>3</v>
      </c>
      <c r="P223" t="n">
        <v>1</v>
      </c>
      <c r="Q223" t="n">
        <v>3</v>
      </c>
      <c r="R223" s="2" t="inlineStr">
        <is>
          <t>Knärot
Lunglav
Tretåig hackspett</t>
        </is>
      </c>
      <c r="S223">
        <f>HYPERLINK("https://klasma.github.io/Logging_2283/artfynd/A 34085-2020 artfynd.xlsx", "A 34085-2020")</f>
        <v/>
      </c>
      <c r="T223">
        <f>HYPERLINK("https://klasma.github.io/Logging_2283/kartor/A 34085-2020 karta.png", "A 34085-2020")</f>
        <v/>
      </c>
      <c r="U223">
        <f>HYPERLINK("https://klasma.github.io/Logging_2283/knärot/A 34085-2020 karta knärot.png", "A 34085-2020")</f>
        <v/>
      </c>
      <c r="V223">
        <f>HYPERLINK("https://klasma.github.io/Logging_2283/klagomål/A 34085-2020 FSC-klagomål.docx", "A 34085-2020")</f>
        <v/>
      </c>
      <c r="W223">
        <f>HYPERLINK("https://klasma.github.io/Logging_2283/klagomålsmail/A 34085-2020 FSC-klagomål mail.docx", "A 34085-2020")</f>
        <v/>
      </c>
      <c r="X223">
        <f>HYPERLINK("https://klasma.github.io/Logging_2283/tillsyn/A 34085-2020 tillsynsbegäran.docx", "A 34085-2020")</f>
        <v/>
      </c>
      <c r="Y223">
        <f>HYPERLINK("https://klasma.github.io/Logging_2283/tillsynsmail/A 34085-2020 tillsynsbegäran mail.docx", "A 34085-2020")</f>
        <v/>
      </c>
      <c r="Z223">
        <f>HYPERLINK("https://klasma.github.io/Logging_2283/fåglar/A 34085-2020 prioriterade fågelarter.docx", "A 34085-2020")</f>
        <v/>
      </c>
    </row>
    <row r="224" ht="15" customHeight="1">
      <c r="A224" t="inlineStr">
        <is>
          <t>A 15098-2021</t>
        </is>
      </c>
      <c r="B224" s="1" t="n">
        <v>44281</v>
      </c>
      <c r="C224" s="1" t="n">
        <v>45637</v>
      </c>
      <c r="D224" t="inlineStr">
        <is>
          <t>VÄSTERNORRLANDS LÄN</t>
        </is>
      </c>
      <c r="E224" t="inlineStr">
        <is>
          <t>SOLLEFTEÅ</t>
        </is>
      </c>
      <c r="F224" t="inlineStr">
        <is>
          <t>SCA</t>
        </is>
      </c>
      <c r="G224" t="n">
        <v>4</v>
      </c>
      <c r="H224" t="n">
        <v>1</v>
      </c>
      <c r="I224" t="n">
        <v>0</v>
      </c>
      <c r="J224" t="n">
        <v>2</v>
      </c>
      <c r="K224" t="n">
        <v>0</v>
      </c>
      <c r="L224" t="n">
        <v>0</v>
      </c>
      <c r="M224" t="n">
        <v>0</v>
      </c>
      <c r="N224" t="n">
        <v>0</v>
      </c>
      <c r="O224" t="n">
        <v>2</v>
      </c>
      <c r="P224" t="n">
        <v>0</v>
      </c>
      <c r="Q224" t="n">
        <v>3</v>
      </c>
      <c r="R224" s="2" t="inlineStr">
        <is>
          <t>Garnlav
Lunglav
Lavskrika</t>
        </is>
      </c>
      <c r="S224">
        <f>HYPERLINK("https://klasma.github.io/Logging_2283/artfynd/A 15098-2021 artfynd.xlsx", "A 15098-2021")</f>
        <v/>
      </c>
      <c r="T224">
        <f>HYPERLINK("https://klasma.github.io/Logging_2283/kartor/A 15098-2021 karta.png", "A 15098-2021")</f>
        <v/>
      </c>
      <c r="V224">
        <f>HYPERLINK("https://klasma.github.io/Logging_2283/klagomål/A 15098-2021 FSC-klagomål.docx", "A 15098-2021")</f>
        <v/>
      </c>
      <c r="W224">
        <f>HYPERLINK("https://klasma.github.io/Logging_2283/klagomålsmail/A 15098-2021 FSC-klagomål mail.docx", "A 15098-2021")</f>
        <v/>
      </c>
      <c r="X224">
        <f>HYPERLINK("https://klasma.github.io/Logging_2283/tillsyn/A 15098-2021 tillsynsbegäran.docx", "A 15098-2021")</f>
        <v/>
      </c>
      <c r="Y224">
        <f>HYPERLINK("https://klasma.github.io/Logging_2283/tillsynsmail/A 15098-2021 tillsynsbegäran mail.docx", "A 15098-2021")</f>
        <v/>
      </c>
      <c r="Z224">
        <f>HYPERLINK("https://klasma.github.io/Logging_2283/fåglar/A 15098-2021 prioriterade fågelarter.docx", "A 15098-2021")</f>
        <v/>
      </c>
    </row>
    <row r="225" ht="15" customHeight="1">
      <c r="A225" t="inlineStr">
        <is>
          <t>A 31354-2021</t>
        </is>
      </c>
      <c r="B225" s="1" t="n">
        <v>44369</v>
      </c>
      <c r="C225" s="1" t="n">
        <v>45637</v>
      </c>
      <c r="D225" t="inlineStr">
        <is>
          <t>VÄSTERNORRLANDS LÄN</t>
        </is>
      </c>
      <c r="E225" t="inlineStr">
        <is>
          <t>SOLLEFTEÅ</t>
        </is>
      </c>
      <c r="F225" t="inlineStr">
        <is>
          <t>SCA</t>
        </is>
      </c>
      <c r="G225" t="n">
        <v>1.5</v>
      </c>
      <c r="H225" t="n">
        <v>1</v>
      </c>
      <c r="I225" t="n">
        <v>1</v>
      </c>
      <c r="J225" t="n">
        <v>1</v>
      </c>
      <c r="K225" t="n">
        <v>1</v>
      </c>
      <c r="L225" t="n">
        <v>0</v>
      </c>
      <c r="M225" t="n">
        <v>0</v>
      </c>
      <c r="N225" t="n">
        <v>0</v>
      </c>
      <c r="O225" t="n">
        <v>2</v>
      </c>
      <c r="P225" t="n">
        <v>1</v>
      </c>
      <c r="Q225" t="n">
        <v>3</v>
      </c>
      <c r="R225" s="2" t="inlineStr">
        <is>
          <t>Knärot
Garnlav
Norrlandslav</t>
        </is>
      </c>
      <c r="S225">
        <f>HYPERLINK("https://klasma.github.io/Logging_2283/artfynd/A 31354-2021 artfynd.xlsx", "A 31354-2021")</f>
        <v/>
      </c>
      <c r="T225">
        <f>HYPERLINK("https://klasma.github.io/Logging_2283/kartor/A 31354-2021 karta.png", "A 31354-2021")</f>
        <v/>
      </c>
      <c r="U225">
        <f>HYPERLINK("https://klasma.github.io/Logging_2283/knärot/A 31354-2021 karta knärot.png", "A 31354-2021")</f>
        <v/>
      </c>
      <c r="V225">
        <f>HYPERLINK("https://klasma.github.io/Logging_2283/klagomål/A 31354-2021 FSC-klagomål.docx", "A 31354-2021")</f>
        <v/>
      </c>
      <c r="W225">
        <f>HYPERLINK("https://klasma.github.io/Logging_2283/klagomålsmail/A 31354-2021 FSC-klagomål mail.docx", "A 31354-2021")</f>
        <v/>
      </c>
      <c r="X225">
        <f>HYPERLINK("https://klasma.github.io/Logging_2283/tillsyn/A 31354-2021 tillsynsbegäran.docx", "A 31354-2021")</f>
        <v/>
      </c>
      <c r="Y225">
        <f>HYPERLINK("https://klasma.github.io/Logging_2283/tillsynsmail/A 31354-2021 tillsynsbegäran mail.docx", "A 31354-2021")</f>
        <v/>
      </c>
    </row>
    <row r="226" ht="15" customHeight="1">
      <c r="A226" t="inlineStr">
        <is>
          <t>A 44599-2021</t>
        </is>
      </c>
      <c r="B226" s="1" t="n">
        <v>44436</v>
      </c>
      <c r="C226" s="1" t="n">
        <v>45637</v>
      </c>
      <c r="D226" t="inlineStr">
        <is>
          <t>VÄSTERNORRLANDS LÄN</t>
        </is>
      </c>
      <c r="E226" t="inlineStr">
        <is>
          <t>SOLLEFTEÅ</t>
        </is>
      </c>
      <c r="F226" t="inlineStr">
        <is>
          <t>SCA</t>
        </is>
      </c>
      <c r="G226" t="n">
        <v>6.1</v>
      </c>
      <c r="H226" t="n">
        <v>0</v>
      </c>
      <c r="I226" t="n">
        <v>2</v>
      </c>
      <c r="J226" t="n">
        <v>1</v>
      </c>
      <c r="K226" t="n">
        <v>0</v>
      </c>
      <c r="L226" t="n">
        <v>0</v>
      </c>
      <c r="M226" t="n">
        <v>0</v>
      </c>
      <c r="N226" t="n">
        <v>0</v>
      </c>
      <c r="O226" t="n">
        <v>1</v>
      </c>
      <c r="P226" t="n">
        <v>0</v>
      </c>
      <c r="Q226" t="n">
        <v>3</v>
      </c>
      <c r="R226" s="2" t="inlineStr">
        <is>
          <t>Rosenticka
Strutbräken
Stuplav</t>
        </is>
      </c>
      <c r="S226">
        <f>HYPERLINK("https://klasma.github.io/Logging_2283/artfynd/A 44599-2021 artfynd.xlsx", "A 44599-2021")</f>
        <v/>
      </c>
      <c r="T226">
        <f>HYPERLINK("https://klasma.github.io/Logging_2283/kartor/A 44599-2021 karta.png", "A 44599-2021")</f>
        <v/>
      </c>
      <c r="V226">
        <f>HYPERLINK("https://klasma.github.io/Logging_2283/klagomål/A 44599-2021 FSC-klagomål.docx", "A 44599-2021")</f>
        <v/>
      </c>
      <c r="W226">
        <f>HYPERLINK("https://klasma.github.io/Logging_2283/klagomålsmail/A 44599-2021 FSC-klagomål mail.docx", "A 44599-2021")</f>
        <v/>
      </c>
      <c r="X226">
        <f>HYPERLINK("https://klasma.github.io/Logging_2283/tillsyn/A 44599-2021 tillsynsbegäran.docx", "A 44599-2021")</f>
        <v/>
      </c>
      <c r="Y226">
        <f>HYPERLINK("https://klasma.github.io/Logging_2283/tillsynsmail/A 44599-2021 tillsynsbegäran mail.docx", "A 44599-2021")</f>
        <v/>
      </c>
    </row>
    <row r="227" ht="15" customHeight="1">
      <c r="A227" t="inlineStr">
        <is>
          <t>A 61481-2021</t>
        </is>
      </c>
      <c r="B227" s="1" t="n">
        <v>44500</v>
      </c>
      <c r="C227" s="1" t="n">
        <v>45637</v>
      </c>
      <c r="D227" t="inlineStr">
        <is>
          <t>VÄSTERNORRLANDS LÄN</t>
        </is>
      </c>
      <c r="E227" t="inlineStr">
        <is>
          <t>SOLLEFTEÅ</t>
        </is>
      </c>
      <c r="F227" t="inlineStr">
        <is>
          <t>SCA</t>
        </is>
      </c>
      <c r="G227" t="n">
        <v>6.8</v>
      </c>
      <c r="H227" t="n">
        <v>0</v>
      </c>
      <c r="I227" t="n">
        <v>1</v>
      </c>
      <c r="J227" t="n">
        <v>2</v>
      </c>
      <c r="K227" t="n">
        <v>0</v>
      </c>
      <c r="L227" t="n">
        <v>0</v>
      </c>
      <c r="M227" t="n">
        <v>0</v>
      </c>
      <c r="N227" t="n">
        <v>0</v>
      </c>
      <c r="O227" t="n">
        <v>2</v>
      </c>
      <c r="P227" t="n">
        <v>0</v>
      </c>
      <c r="Q227" t="n">
        <v>3</v>
      </c>
      <c r="R227" s="2" t="inlineStr">
        <is>
          <t>Lunglav
Skrovellav
Kambräken</t>
        </is>
      </c>
      <c r="S227">
        <f>HYPERLINK("https://klasma.github.io/Logging_2283/artfynd/A 61481-2021 artfynd.xlsx", "A 61481-2021")</f>
        <v/>
      </c>
      <c r="T227">
        <f>HYPERLINK("https://klasma.github.io/Logging_2283/kartor/A 61481-2021 karta.png", "A 61481-2021")</f>
        <v/>
      </c>
      <c r="V227">
        <f>HYPERLINK("https://klasma.github.io/Logging_2283/klagomål/A 61481-2021 FSC-klagomål.docx", "A 61481-2021")</f>
        <v/>
      </c>
      <c r="W227">
        <f>HYPERLINK("https://klasma.github.io/Logging_2283/klagomålsmail/A 61481-2021 FSC-klagomål mail.docx", "A 61481-2021")</f>
        <v/>
      </c>
      <c r="X227">
        <f>HYPERLINK("https://klasma.github.io/Logging_2283/tillsyn/A 61481-2021 tillsynsbegäran.docx", "A 61481-2021")</f>
        <v/>
      </c>
      <c r="Y227">
        <f>HYPERLINK("https://klasma.github.io/Logging_2283/tillsynsmail/A 61481-2021 tillsynsbegäran mail.docx", "A 61481-2021")</f>
        <v/>
      </c>
    </row>
    <row r="228" ht="15" customHeight="1">
      <c r="A228" t="inlineStr">
        <is>
          <t>A 18012-2022</t>
        </is>
      </c>
      <c r="B228" s="1" t="n">
        <v>44683</v>
      </c>
      <c r="C228" s="1" t="n">
        <v>45637</v>
      </c>
      <c r="D228" t="inlineStr">
        <is>
          <t>VÄSTERNORRLANDS LÄN</t>
        </is>
      </c>
      <c r="E228" t="inlineStr">
        <is>
          <t>SOLLEFTEÅ</t>
        </is>
      </c>
      <c r="F228" t="inlineStr">
        <is>
          <t>SCA</t>
        </is>
      </c>
      <c r="G228" t="n">
        <v>1.7</v>
      </c>
      <c r="H228" t="n">
        <v>2</v>
      </c>
      <c r="I228" t="n">
        <v>0</v>
      </c>
      <c r="J228" t="n">
        <v>2</v>
      </c>
      <c r="K228" t="n">
        <v>1</v>
      </c>
      <c r="L228" t="n">
        <v>0</v>
      </c>
      <c r="M228" t="n">
        <v>0</v>
      </c>
      <c r="N228" t="n">
        <v>0</v>
      </c>
      <c r="O228" t="n">
        <v>3</v>
      </c>
      <c r="P228" t="n">
        <v>1</v>
      </c>
      <c r="Q228" t="n">
        <v>3</v>
      </c>
      <c r="R228" s="2" t="inlineStr">
        <is>
          <t>Knärot
Garnlav
Tretåig hackspett</t>
        </is>
      </c>
      <c r="S228">
        <f>HYPERLINK("https://klasma.github.io/Logging_2283/artfynd/A 18012-2022 artfynd.xlsx", "A 18012-2022")</f>
        <v/>
      </c>
      <c r="T228">
        <f>HYPERLINK("https://klasma.github.io/Logging_2283/kartor/A 18012-2022 karta.png", "A 18012-2022")</f>
        <v/>
      </c>
      <c r="U228">
        <f>HYPERLINK("https://klasma.github.io/Logging_2283/knärot/A 18012-2022 karta knärot.png", "A 18012-2022")</f>
        <v/>
      </c>
      <c r="V228">
        <f>HYPERLINK("https://klasma.github.io/Logging_2283/klagomål/A 18012-2022 FSC-klagomål.docx", "A 18012-2022")</f>
        <v/>
      </c>
      <c r="W228">
        <f>HYPERLINK("https://klasma.github.io/Logging_2283/klagomålsmail/A 18012-2022 FSC-klagomål mail.docx", "A 18012-2022")</f>
        <v/>
      </c>
      <c r="X228">
        <f>HYPERLINK("https://klasma.github.io/Logging_2283/tillsyn/A 18012-2022 tillsynsbegäran.docx", "A 18012-2022")</f>
        <v/>
      </c>
      <c r="Y228">
        <f>HYPERLINK("https://klasma.github.io/Logging_2283/tillsynsmail/A 18012-2022 tillsynsbegäran mail.docx", "A 18012-2022")</f>
        <v/>
      </c>
      <c r="Z228">
        <f>HYPERLINK("https://klasma.github.io/Logging_2283/fåglar/A 18012-2022 prioriterade fågelarter.docx", "A 18012-2022")</f>
        <v/>
      </c>
    </row>
    <row r="229" ht="15" customHeight="1">
      <c r="A229" t="inlineStr">
        <is>
          <t>A 34528-2022</t>
        </is>
      </c>
      <c r="B229" s="1" t="n">
        <v>44792</v>
      </c>
      <c r="C229" s="1" t="n">
        <v>45637</v>
      </c>
      <c r="D229" t="inlineStr">
        <is>
          <t>VÄSTERNORRLANDS LÄN</t>
        </is>
      </c>
      <c r="E229" t="inlineStr">
        <is>
          <t>SOLLEFTEÅ</t>
        </is>
      </c>
      <c r="F229" t="inlineStr">
        <is>
          <t>SCA</t>
        </is>
      </c>
      <c r="G229" t="n">
        <v>1.8</v>
      </c>
      <c r="H229" t="n">
        <v>0</v>
      </c>
      <c r="I229" t="n">
        <v>0</v>
      </c>
      <c r="J229" t="n">
        <v>3</v>
      </c>
      <c r="K229" t="n">
        <v>0</v>
      </c>
      <c r="L229" t="n">
        <v>0</v>
      </c>
      <c r="M229" t="n">
        <v>0</v>
      </c>
      <c r="N229" t="n">
        <v>0</v>
      </c>
      <c r="O229" t="n">
        <v>3</v>
      </c>
      <c r="P229" t="n">
        <v>0</v>
      </c>
      <c r="Q229" t="n">
        <v>3</v>
      </c>
      <c r="R229" s="2" t="inlineStr">
        <is>
          <t>Garnlav
Mörk kolflarnlav
Rosenticka</t>
        </is>
      </c>
      <c r="S229">
        <f>HYPERLINK("https://klasma.github.io/Logging_2283/artfynd/A 34528-2022 artfynd.xlsx", "A 34528-2022")</f>
        <v/>
      </c>
      <c r="T229">
        <f>HYPERLINK("https://klasma.github.io/Logging_2283/kartor/A 34528-2022 karta.png", "A 34528-2022")</f>
        <v/>
      </c>
      <c r="V229">
        <f>HYPERLINK("https://klasma.github.io/Logging_2283/klagomål/A 34528-2022 FSC-klagomål.docx", "A 34528-2022")</f>
        <v/>
      </c>
      <c r="W229">
        <f>HYPERLINK("https://klasma.github.io/Logging_2283/klagomålsmail/A 34528-2022 FSC-klagomål mail.docx", "A 34528-2022")</f>
        <v/>
      </c>
      <c r="X229">
        <f>HYPERLINK("https://klasma.github.io/Logging_2283/tillsyn/A 34528-2022 tillsynsbegäran.docx", "A 34528-2022")</f>
        <v/>
      </c>
      <c r="Y229">
        <f>HYPERLINK("https://klasma.github.io/Logging_2283/tillsynsmail/A 34528-2022 tillsynsbegäran mail.docx", "A 34528-2022")</f>
        <v/>
      </c>
    </row>
    <row r="230" ht="15" customHeight="1">
      <c r="A230" t="inlineStr">
        <is>
          <t>A 42301-2022</t>
        </is>
      </c>
      <c r="B230" s="1" t="n">
        <v>44831</v>
      </c>
      <c r="C230" s="1" t="n">
        <v>45637</v>
      </c>
      <c r="D230" t="inlineStr">
        <is>
          <t>VÄSTERNORRLANDS LÄN</t>
        </is>
      </c>
      <c r="E230" t="inlineStr">
        <is>
          <t>SOLLEFTEÅ</t>
        </is>
      </c>
      <c r="F230" t="inlineStr">
        <is>
          <t>SCA</t>
        </is>
      </c>
      <c r="G230" t="n">
        <v>0.8</v>
      </c>
      <c r="H230" t="n">
        <v>1</v>
      </c>
      <c r="I230" t="n">
        <v>0</v>
      </c>
      <c r="J230" t="n">
        <v>3</v>
      </c>
      <c r="K230" t="n">
        <v>0</v>
      </c>
      <c r="L230" t="n">
        <v>0</v>
      </c>
      <c r="M230" t="n">
        <v>0</v>
      </c>
      <c r="N230" t="n">
        <v>0</v>
      </c>
      <c r="O230" t="n">
        <v>3</v>
      </c>
      <c r="P230" t="n">
        <v>0</v>
      </c>
      <c r="Q230" t="n">
        <v>3</v>
      </c>
      <c r="R230" s="2" t="inlineStr">
        <is>
          <t>Gammelgransskål
Harticka
Tretåig hackspett</t>
        </is>
      </c>
      <c r="S230">
        <f>HYPERLINK("https://klasma.github.io/Logging_2283/artfynd/A 42301-2022 artfynd.xlsx", "A 42301-2022")</f>
        <v/>
      </c>
      <c r="T230">
        <f>HYPERLINK("https://klasma.github.io/Logging_2283/kartor/A 42301-2022 karta.png", "A 42301-2022")</f>
        <v/>
      </c>
      <c r="V230">
        <f>HYPERLINK("https://klasma.github.io/Logging_2283/klagomål/A 42301-2022 FSC-klagomål.docx", "A 42301-2022")</f>
        <v/>
      </c>
      <c r="W230">
        <f>HYPERLINK("https://klasma.github.io/Logging_2283/klagomålsmail/A 42301-2022 FSC-klagomål mail.docx", "A 42301-2022")</f>
        <v/>
      </c>
      <c r="X230">
        <f>HYPERLINK("https://klasma.github.io/Logging_2283/tillsyn/A 42301-2022 tillsynsbegäran.docx", "A 42301-2022")</f>
        <v/>
      </c>
      <c r="Y230">
        <f>HYPERLINK("https://klasma.github.io/Logging_2283/tillsynsmail/A 42301-2022 tillsynsbegäran mail.docx", "A 42301-2022")</f>
        <v/>
      </c>
      <c r="Z230">
        <f>HYPERLINK("https://klasma.github.io/Logging_2283/fåglar/A 42301-2022 prioriterade fågelarter.docx", "A 42301-2022")</f>
        <v/>
      </c>
    </row>
    <row r="231" ht="15" customHeight="1">
      <c r="A231" t="inlineStr">
        <is>
          <t>A 59046-2022</t>
        </is>
      </c>
      <c r="B231" s="1" t="n">
        <v>44903</v>
      </c>
      <c r="C231" s="1" t="n">
        <v>45637</v>
      </c>
      <c r="D231" t="inlineStr">
        <is>
          <t>VÄSTERNORRLANDS LÄN</t>
        </is>
      </c>
      <c r="E231" t="inlineStr">
        <is>
          <t>SOLLEFTEÅ</t>
        </is>
      </c>
      <c r="F231" t="inlineStr">
        <is>
          <t>SCA</t>
        </is>
      </c>
      <c r="G231" t="n">
        <v>10.3</v>
      </c>
      <c r="H231" t="n">
        <v>1</v>
      </c>
      <c r="I231" t="n">
        <v>0</v>
      </c>
      <c r="J231" t="n">
        <v>3</v>
      </c>
      <c r="K231" t="n">
        <v>0</v>
      </c>
      <c r="L231" t="n">
        <v>0</v>
      </c>
      <c r="M231" t="n">
        <v>0</v>
      </c>
      <c r="N231" t="n">
        <v>0</v>
      </c>
      <c r="O231" t="n">
        <v>3</v>
      </c>
      <c r="P231" t="n">
        <v>0</v>
      </c>
      <c r="Q231" t="n">
        <v>3</v>
      </c>
      <c r="R231" s="2" t="inlineStr">
        <is>
          <t>Lunglav
Orange taggsvamp
Tretåig hackspett</t>
        </is>
      </c>
      <c r="S231">
        <f>HYPERLINK("https://klasma.github.io/Logging_2283/artfynd/A 59046-2022 artfynd.xlsx", "A 59046-2022")</f>
        <v/>
      </c>
      <c r="T231">
        <f>HYPERLINK("https://klasma.github.io/Logging_2283/kartor/A 59046-2022 karta.png", "A 59046-2022")</f>
        <v/>
      </c>
      <c r="V231">
        <f>HYPERLINK("https://klasma.github.io/Logging_2283/klagomål/A 59046-2022 FSC-klagomål.docx", "A 59046-2022")</f>
        <v/>
      </c>
      <c r="W231">
        <f>HYPERLINK("https://klasma.github.io/Logging_2283/klagomålsmail/A 59046-2022 FSC-klagomål mail.docx", "A 59046-2022")</f>
        <v/>
      </c>
      <c r="X231">
        <f>HYPERLINK("https://klasma.github.io/Logging_2283/tillsyn/A 59046-2022 tillsynsbegäran.docx", "A 59046-2022")</f>
        <v/>
      </c>
      <c r="Y231">
        <f>HYPERLINK("https://klasma.github.io/Logging_2283/tillsynsmail/A 59046-2022 tillsynsbegäran mail.docx", "A 59046-2022")</f>
        <v/>
      </c>
      <c r="Z231">
        <f>HYPERLINK("https://klasma.github.io/Logging_2283/fåglar/A 59046-2022 prioriterade fågelarter.docx", "A 59046-2022")</f>
        <v/>
      </c>
    </row>
    <row r="232" ht="15" customHeight="1">
      <c r="A232" t="inlineStr">
        <is>
          <t>A 6235-2023</t>
        </is>
      </c>
      <c r="B232" s="1" t="n">
        <v>44964</v>
      </c>
      <c r="C232" s="1" t="n">
        <v>45637</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20781-2023</t>
        </is>
      </c>
      <c r="B233" s="1" t="n">
        <v>45058</v>
      </c>
      <c r="C233" s="1" t="n">
        <v>45637</v>
      </c>
      <c r="D233" t="inlineStr">
        <is>
          <t>VÄSTERNORRLANDS LÄN</t>
        </is>
      </c>
      <c r="E233" t="inlineStr">
        <is>
          <t>SOLLEFTEÅ</t>
        </is>
      </c>
      <c r="F233" t="inlineStr">
        <is>
          <t>Kyrkan</t>
        </is>
      </c>
      <c r="G233" t="n">
        <v>11.1</v>
      </c>
      <c r="H233" t="n">
        <v>1</v>
      </c>
      <c r="I233" t="n">
        <v>0</v>
      </c>
      <c r="J233" t="n">
        <v>2</v>
      </c>
      <c r="K233" t="n">
        <v>1</v>
      </c>
      <c r="L233" t="n">
        <v>0</v>
      </c>
      <c r="M233" t="n">
        <v>0</v>
      </c>
      <c r="N233" t="n">
        <v>0</v>
      </c>
      <c r="O233" t="n">
        <v>3</v>
      </c>
      <c r="P233" t="n">
        <v>1</v>
      </c>
      <c r="Q233" t="n">
        <v>3</v>
      </c>
      <c r="R233" s="2" t="inlineStr">
        <is>
          <t>Knärot
Garnlav
Ullticka</t>
        </is>
      </c>
      <c r="S233">
        <f>HYPERLINK("https://klasma.github.io/Logging_2283/artfynd/A 20781-2023 artfynd.xlsx", "A 20781-2023")</f>
        <v/>
      </c>
      <c r="T233">
        <f>HYPERLINK("https://klasma.github.io/Logging_2283/kartor/A 20781-2023 karta.png", "A 20781-2023")</f>
        <v/>
      </c>
      <c r="U233">
        <f>HYPERLINK("https://klasma.github.io/Logging_2283/knärot/A 20781-2023 karta knärot.png", "A 20781-2023")</f>
        <v/>
      </c>
      <c r="V233">
        <f>HYPERLINK("https://klasma.github.io/Logging_2283/klagomål/A 20781-2023 FSC-klagomål.docx", "A 20781-2023")</f>
        <v/>
      </c>
      <c r="W233">
        <f>HYPERLINK("https://klasma.github.io/Logging_2283/klagomålsmail/A 20781-2023 FSC-klagomål mail.docx", "A 20781-2023")</f>
        <v/>
      </c>
      <c r="X233">
        <f>HYPERLINK("https://klasma.github.io/Logging_2283/tillsyn/A 20781-2023 tillsynsbegäran.docx", "A 20781-2023")</f>
        <v/>
      </c>
      <c r="Y233">
        <f>HYPERLINK("https://klasma.github.io/Logging_2283/tillsynsmail/A 20781-2023 tillsynsbegäran mail.docx", "A 20781-2023")</f>
        <v/>
      </c>
    </row>
    <row r="234" ht="15" customHeight="1">
      <c r="A234" t="inlineStr">
        <is>
          <t>A 21342-2023</t>
        </is>
      </c>
      <c r="B234" s="1" t="n">
        <v>45062</v>
      </c>
      <c r="C234" s="1" t="n">
        <v>45637</v>
      </c>
      <c r="D234" t="inlineStr">
        <is>
          <t>VÄSTERNORRLANDS LÄN</t>
        </is>
      </c>
      <c r="E234" t="inlineStr">
        <is>
          <t>SOLLEFTEÅ</t>
        </is>
      </c>
      <c r="F234" t="inlineStr">
        <is>
          <t>SCA</t>
        </is>
      </c>
      <c r="G234" t="n">
        <v>4.3</v>
      </c>
      <c r="H234" t="n">
        <v>1</v>
      </c>
      <c r="I234" t="n">
        <v>1</v>
      </c>
      <c r="J234" t="n">
        <v>2</v>
      </c>
      <c r="K234" t="n">
        <v>0</v>
      </c>
      <c r="L234" t="n">
        <v>0</v>
      </c>
      <c r="M234" t="n">
        <v>0</v>
      </c>
      <c r="N234" t="n">
        <v>0</v>
      </c>
      <c r="O234" t="n">
        <v>2</v>
      </c>
      <c r="P234" t="n">
        <v>0</v>
      </c>
      <c r="Q234" t="n">
        <v>3</v>
      </c>
      <c r="R234" s="2" t="inlineStr">
        <is>
          <t>Dvärgbägarlav
Kolflarnlav
Plattlummer</t>
        </is>
      </c>
      <c r="S234">
        <f>HYPERLINK("https://klasma.github.io/Logging_2283/artfynd/A 21342-2023 artfynd.xlsx", "A 21342-2023")</f>
        <v/>
      </c>
      <c r="T234">
        <f>HYPERLINK("https://klasma.github.io/Logging_2283/kartor/A 21342-2023 karta.png", "A 21342-2023")</f>
        <v/>
      </c>
      <c r="V234">
        <f>HYPERLINK("https://klasma.github.io/Logging_2283/klagomål/A 21342-2023 FSC-klagomål.docx", "A 21342-2023")</f>
        <v/>
      </c>
      <c r="W234">
        <f>HYPERLINK("https://klasma.github.io/Logging_2283/klagomålsmail/A 21342-2023 FSC-klagomål mail.docx", "A 21342-2023")</f>
        <v/>
      </c>
      <c r="X234">
        <f>HYPERLINK("https://klasma.github.io/Logging_2283/tillsyn/A 21342-2023 tillsynsbegäran.docx", "A 21342-2023")</f>
        <v/>
      </c>
      <c r="Y234">
        <f>HYPERLINK("https://klasma.github.io/Logging_2283/tillsynsmail/A 21342-2023 tillsynsbegäran mail.docx", "A 21342-2023")</f>
        <v/>
      </c>
    </row>
    <row r="235" ht="15" customHeight="1">
      <c r="A235" t="inlineStr">
        <is>
          <t>A 21343-2023</t>
        </is>
      </c>
      <c r="B235" s="1" t="n">
        <v>45062</v>
      </c>
      <c r="C235" s="1" t="n">
        <v>45637</v>
      </c>
      <c r="D235" t="inlineStr">
        <is>
          <t>VÄSTERNORRLANDS LÄN</t>
        </is>
      </c>
      <c r="E235" t="inlineStr">
        <is>
          <t>SOLLEFTEÅ</t>
        </is>
      </c>
      <c r="F235" t="inlineStr">
        <is>
          <t>SCA</t>
        </is>
      </c>
      <c r="G235" t="n">
        <v>4.8</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HYPERLINK("https://klasma.github.io/Logging_2283/artfynd/A 21343-2023 artfynd.xlsx", "A 21343-2023")</f>
        <v/>
      </c>
      <c r="T235">
        <f>HYPERLINK("https://klasma.github.io/Logging_2283/kartor/A 21343-2023 karta.png", "A 21343-2023")</f>
        <v/>
      </c>
      <c r="V235">
        <f>HYPERLINK("https://klasma.github.io/Logging_2283/klagomål/A 21343-2023 FSC-klagomål.docx", "A 21343-2023")</f>
        <v/>
      </c>
      <c r="W235">
        <f>HYPERLINK("https://klasma.github.io/Logging_2283/klagomålsmail/A 21343-2023 FSC-klagomål mail.docx", "A 21343-2023")</f>
        <v/>
      </c>
      <c r="X235">
        <f>HYPERLINK("https://klasma.github.io/Logging_2283/tillsyn/A 21343-2023 tillsynsbegäran.docx", "A 21343-2023")</f>
        <v/>
      </c>
      <c r="Y235">
        <f>HYPERLINK("https://klasma.github.io/Logging_2283/tillsynsmail/A 21343-2023 tillsynsbegäran mail.docx", "A 21343-2023")</f>
        <v/>
      </c>
    </row>
    <row r="236" ht="15" customHeight="1">
      <c r="A236" t="inlineStr">
        <is>
          <t>A 23782-2023</t>
        </is>
      </c>
      <c r="B236" s="1" t="n">
        <v>45077</v>
      </c>
      <c r="C236" s="1" t="n">
        <v>45637</v>
      </c>
      <c r="D236" t="inlineStr">
        <is>
          <t>VÄSTERNORRLANDS LÄN</t>
        </is>
      </c>
      <c r="E236" t="inlineStr">
        <is>
          <t>SOLLEFTEÅ</t>
        </is>
      </c>
      <c r="F236" t="inlineStr">
        <is>
          <t>SCA</t>
        </is>
      </c>
      <c r="G236" t="n">
        <v>6.3</v>
      </c>
      <c r="H236" t="n">
        <v>0</v>
      </c>
      <c r="I236" t="n">
        <v>2</v>
      </c>
      <c r="J236" t="n">
        <v>1</v>
      </c>
      <c r="K236" t="n">
        <v>0</v>
      </c>
      <c r="L236" t="n">
        <v>0</v>
      </c>
      <c r="M236" t="n">
        <v>0</v>
      </c>
      <c r="N236" t="n">
        <v>0</v>
      </c>
      <c r="O236" t="n">
        <v>1</v>
      </c>
      <c r="P236" t="n">
        <v>0</v>
      </c>
      <c r="Q236" t="n">
        <v>3</v>
      </c>
      <c r="R236" s="2" t="inlineStr">
        <is>
          <t>Garnlav
Bollvitmossa
Norrlandslav</t>
        </is>
      </c>
      <c r="S236">
        <f>HYPERLINK("https://klasma.github.io/Logging_2283/artfynd/A 23782-2023 artfynd.xlsx", "A 23782-2023")</f>
        <v/>
      </c>
      <c r="T236">
        <f>HYPERLINK("https://klasma.github.io/Logging_2283/kartor/A 23782-2023 karta.png", "A 23782-2023")</f>
        <v/>
      </c>
      <c r="V236">
        <f>HYPERLINK("https://klasma.github.io/Logging_2283/klagomål/A 23782-2023 FSC-klagomål.docx", "A 23782-2023")</f>
        <v/>
      </c>
      <c r="W236">
        <f>HYPERLINK("https://klasma.github.io/Logging_2283/klagomålsmail/A 23782-2023 FSC-klagomål mail.docx", "A 23782-2023")</f>
        <v/>
      </c>
      <c r="X236">
        <f>HYPERLINK("https://klasma.github.io/Logging_2283/tillsyn/A 23782-2023 tillsynsbegäran.docx", "A 23782-2023")</f>
        <v/>
      </c>
      <c r="Y236">
        <f>HYPERLINK("https://klasma.github.io/Logging_2283/tillsynsmail/A 23782-2023 tillsynsbegäran mail.docx", "A 23782-2023")</f>
        <v/>
      </c>
    </row>
    <row r="237" ht="15" customHeight="1">
      <c r="A237" t="inlineStr">
        <is>
          <t>A 26374-2023</t>
        </is>
      </c>
      <c r="B237" s="1" t="n">
        <v>45092</v>
      </c>
      <c r="C237" s="1" t="n">
        <v>45637</v>
      </c>
      <c r="D237" t="inlineStr">
        <is>
          <t>VÄSTERNORRLANDS LÄN</t>
        </is>
      </c>
      <c r="E237" t="inlineStr">
        <is>
          <t>SOLLEFTEÅ</t>
        </is>
      </c>
      <c r="F237" t="inlineStr">
        <is>
          <t>SCA</t>
        </is>
      </c>
      <c r="G237" t="n">
        <v>0.9</v>
      </c>
      <c r="H237" t="n">
        <v>0</v>
      </c>
      <c r="I237" t="n">
        <v>0</v>
      </c>
      <c r="J237" t="n">
        <v>2</v>
      </c>
      <c r="K237" t="n">
        <v>1</v>
      </c>
      <c r="L237" t="n">
        <v>0</v>
      </c>
      <c r="M237" t="n">
        <v>0</v>
      </c>
      <c r="N237" t="n">
        <v>0</v>
      </c>
      <c r="O237" t="n">
        <v>3</v>
      </c>
      <c r="P237" t="n">
        <v>1</v>
      </c>
      <c r="Q237" t="n">
        <v>3</v>
      </c>
      <c r="R237" s="2" t="inlineStr">
        <is>
          <t>Blackticka
Granticka
Ullticka</t>
        </is>
      </c>
      <c r="S237">
        <f>HYPERLINK("https://klasma.github.io/Logging_2283/artfynd/A 26374-2023 artfynd.xlsx", "A 26374-2023")</f>
        <v/>
      </c>
      <c r="T237">
        <f>HYPERLINK("https://klasma.github.io/Logging_2283/kartor/A 26374-2023 karta.png", "A 26374-2023")</f>
        <v/>
      </c>
      <c r="V237">
        <f>HYPERLINK("https://klasma.github.io/Logging_2283/klagomål/A 26374-2023 FSC-klagomål.docx", "A 26374-2023")</f>
        <v/>
      </c>
      <c r="W237">
        <f>HYPERLINK("https://klasma.github.io/Logging_2283/klagomålsmail/A 26374-2023 FSC-klagomål mail.docx", "A 26374-2023")</f>
        <v/>
      </c>
      <c r="X237">
        <f>HYPERLINK("https://klasma.github.io/Logging_2283/tillsyn/A 26374-2023 tillsynsbegäran.docx", "A 26374-2023")</f>
        <v/>
      </c>
      <c r="Y237">
        <f>HYPERLINK("https://klasma.github.io/Logging_2283/tillsynsmail/A 26374-2023 tillsynsbegäran mail.docx", "A 26374-2023")</f>
        <v/>
      </c>
    </row>
    <row r="238" ht="15" customHeight="1">
      <c r="A238" t="inlineStr">
        <is>
          <t>A 45006-2023</t>
        </is>
      </c>
      <c r="B238" s="1" t="n">
        <v>45190</v>
      </c>
      <c r="C238" s="1" t="n">
        <v>45637</v>
      </c>
      <c r="D238" t="inlineStr">
        <is>
          <t>VÄSTERNORRLANDS LÄN</t>
        </is>
      </c>
      <c r="E238" t="inlineStr">
        <is>
          <t>SOLLEFTEÅ</t>
        </is>
      </c>
      <c r="F238" t="inlineStr">
        <is>
          <t>SCA</t>
        </is>
      </c>
      <c r="G238" t="n">
        <v>5.1</v>
      </c>
      <c r="H238" t="n">
        <v>0</v>
      </c>
      <c r="I238" t="n">
        <v>0</v>
      </c>
      <c r="J238" t="n">
        <v>2</v>
      </c>
      <c r="K238" t="n">
        <v>1</v>
      </c>
      <c r="L238" t="n">
        <v>0</v>
      </c>
      <c r="M238" t="n">
        <v>0</v>
      </c>
      <c r="N238" t="n">
        <v>0</v>
      </c>
      <c r="O238" t="n">
        <v>3</v>
      </c>
      <c r="P238" t="n">
        <v>1</v>
      </c>
      <c r="Q238" t="n">
        <v>3</v>
      </c>
      <c r="R238" s="2" t="inlineStr">
        <is>
          <t>Rynkskinn
Gammelgransskål
Rosenticka</t>
        </is>
      </c>
      <c r="S238">
        <f>HYPERLINK("https://klasma.github.io/Logging_2283/artfynd/A 45006-2023 artfynd.xlsx", "A 45006-2023")</f>
        <v/>
      </c>
      <c r="T238">
        <f>HYPERLINK("https://klasma.github.io/Logging_2283/kartor/A 45006-2023 karta.png", "A 45006-2023")</f>
        <v/>
      </c>
      <c r="V238">
        <f>HYPERLINK("https://klasma.github.io/Logging_2283/klagomål/A 45006-2023 FSC-klagomål.docx", "A 45006-2023")</f>
        <v/>
      </c>
      <c r="W238">
        <f>HYPERLINK("https://klasma.github.io/Logging_2283/klagomålsmail/A 45006-2023 FSC-klagomål mail.docx", "A 45006-2023")</f>
        <v/>
      </c>
      <c r="X238">
        <f>HYPERLINK("https://klasma.github.io/Logging_2283/tillsyn/A 45006-2023 tillsynsbegäran.docx", "A 45006-2023")</f>
        <v/>
      </c>
      <c r="Y238">
        <f>HYPERLINK("https://klasma.github.io/Logging_2283/tillsynsmail/A 45006-2023 tillsynsbegäran mail.docx", "A 45006-2023")</f>
        <v/>
      </c>
    </row>
    <row r="239" ht="15" customHeight="1">
      <c r="A239" t="inlineStr">
        <is>
          <t>A 50838-2023</t>
        </is>
      </c>
      <c r="B239" s="1" t="n">
        <v>45217</v>
      </c>
      <c r="C239" s="1" t="n">
        <v>45637</v>
      </c>
      <c r="D239" t="inlineStr">
        <is>
          <t>VÄSTERNORRLANDS LÄN</t>
        </is>
      </c>
      <c r="E239" t="inlineStr">
        <is>
          <t>SOLLEFTEÅ</t>
        </is>
      </c>
      <c r="F239" t="inlineStr">
        <is>
          <t>SCA</t>
        </is>
      </c>
      <c r="G239" t="n">
        <v>2.1</v>
      </c>
      <c r="H239" t="n">
        <v>2</v>
      </c>
      <c r="I239" t="n">
        <v>0</v>
      </c>
      <c r="J239" t="n">
        <v>1</v>
      </c>
      <c r="K239" t="n">
        <v>2</v>
      </c>
      <c r="L239" t="n">
        <v>0</v>
      </c>
      <c r="M239" t="n">
        <v>0</v>
      </c>
      <c r="N239" t="n">
        <v>0</v>
      </c>
      <c r="O239" t="n">
        <v>3</v>
      </c>
      <c r="P239" t="n">
        <v>2</v>
      </c>
      <c r="Q239" t="n">
        <v>3</v>
      </c>
      <c r="R239" s="2" t="inlineStr">
        <is>
          <t>Doftticka
Knärot
Lunglav</t>
        </is>
      </c>
      <c r="S239">
        <f>HYPERLINK("https://klasma.github.io/Logging_2283/artfynd/A 50838-2023 artfynd.xlsx", "A 50838-2023")</f>
        <v/>
      </c>
      <c r="T239">
        <f>HYPERLINK("https://klasma.github.io/Logging_2283/kartor/A 50838-2023 karta.png", "A 50838-2023")</f>
        <v/>
      </c>
      <c r="U239">
        <f>HYPERLINK("https://klasma.github.io/Logging_2283/knärot/A 50838-2023 karta knärot.png", "A 50838-2023")</f>
        <v/>
      </c>
      <c r="V239">
        <f>HYPERLINK("https://klasma.github.io/Logging_2283/klagomål/A 50838-2023 FSC-klagomål.docx", "A 50838-2023")</f>
        <v/>
      </c>
      <c r="W239">
        <f>HYPERLINK("https://klasma.github.io/Logging_2283/klagomålsmail/A 50838-2023 FSC-klagomål mail.docx", "A 50838-2023")</f>
        <v/>
      </c>
      <c r="X239">
        <f>HYPERLINK("https://klasma.github.io/Logging_2283/tillsyn/A 50838-2023 tillsynsbegäran.docx", "A 50838-2023")</f>
        <v/>
      </c>
      <c r="Y239">
        <f>HYPERLINK("https://klasma.github.io/Logging_2283/tillsynsmail/A 50838-2023 tillsynsbegäran mail.docx", "A 50838-2023")</f>
        <v/>
      </c>
    </row>
    <row r="240" ht="15" customHeight="1">
      <c r="A240" t="inlineStr">
        <is>
          <t>A 52762-2023</t>
        </is>
      </c>
      <c r="B240" s="1" t="n">
        <v>45225</v>
      </c>
      <c r="C240" s="1" t="n">
        <v>45637</v>
      </c>
      <c r="D240" t="inlineStr">
        <is>
          <t>VÄSTERNORRLANDS LÄN</t>
        </is>
      </c>
      <c r="E240" t="inlineStr">
        <is>
          <t>SOLLEFTEÅ</t>
        </is>
      </c>
      <c r="F240" t="inlineStr">
        <is>
          <t>SCA</t>
        </is>
      </c>
      <c r="G240" t="n">
        <v>6.3</v>
      </c>
      <c r="H240" t="n">
        <v>1</v>
      </c>
      <c r="I240" t="n">
        <v>0</v>
      </c>
      <c r="J240" t="n">
        <v>2</v>
      </c>
      <c r="K240" t="n">
        <v>0</v>
      </c>
      <c r="L240" t="n">
        <v>0</v>
      </c>
      <c r="M240" t="n">
        <v>0</v>
      </c>
      <c r="N240" t="n">
        <v>0</v>
      </c>
      <c r="O240" t="n">
        <v>2</v>
      </c>
      <c r="P240" t="n">
        <v>0</v>
      </c>
      <c r="Q240" t="n">
        <v>3</v>
      </c>
      <c r="R240" s="2" t="inlineStr">
        <is>
          <t>Rosenticka
Ullticka
Fläcknycklar</t>
        </is>
      </c>
      <c r="S240">
        <f>HYPERLINK("https://klasma.github.io/Logging_2283/artfynd/A 52762-2023 artfynd.xlsx", "A 52762-2023")</f>
        <v/>
      </c>
      <c r="T240">
        <f>HYPERLINK("https://klasma.github.io/Logging_2283/kartor/A 52762-2023 karta.png", "A 52762-2023")</f>
        <v/>
      </c>
      <c r="V240">
        <f>HYPERLINK("https://klasma.github.io/Logging_2283/klagomål/A 52762-2023 FSC-klagomål.docx", "A 52762-2023")</f>
        <v/>
      </c>
      <c r="W240">
        <f>HYPERLINK("https://klasma.github.io/Logging_2283/klagomålsmail/A 52762-2023 FSC-klagomål mail.docx", "A 52762-2023")</f>
        <v/>
      </c>
      <c r="X240">
        <f>HYPERLINK("https://klasma.github.io/Logging_2283/tillsyn/A 52762-2023 tillsynsbegäran.docx", "A 52762-2023")</f>
        <v/>
      </c>
      <c r="Y240">
        <f>HYPERLINK("https://klasma.github.io/Logging_2283/tillsynsmail/A 52762-2023 tillsynsbegäran mail.docx", "A 52762-2023")</f>
        <v/>
      </c>
    </row>
    <row r="241" ht="15" customHeight="1">
      <c r="A241" t="inlineStr">
        <is>
          <t>A 54030-2023</t>
        </is>
      </c>
      <c r="B241" s="1" t="n">
        <v>45231</v>
      </c>
      <c r="C241" s="1" t="n">
        <v>45637</v>
      </c>
      <c r="D241" t="inlineStr">
        <is>
          <t>VÄSTERNORRLANDS LÄN</t>
        </is>
      </c>
      <c r="E241" t="inlineStr">
        <is>
          <t>SOLLEFTEÅ</t>
        </is>
      </c>
      <c r="G241" t="n">
        <v>4.4</v>
      </c>
      <c r="H241" t="n">
        <v>0</v>
      </c>
      <c r="I241" t="n">
        <v>0</v>
      </c>
      <c r="J241" t="n">
        <v>2</v>
      </c>
      <c r="K241" t="n">
        <v>1</v>
      </c>
      <c r="L241" t="n">
        <v>0</v>
      </c>
      <c r="M241" t="n">
        <v>0</v>
      </c>
      <c r="N241" t="n">
        <v>0</v>
      </c>
      <c r="O241" t="n">
        <v>3</v>
      </c>
      <c r="P241" t="n">
        <v>1</v>
      </c>
      <c r="Q241" t="n">
        <v>3</v>
      </c>
      <c r="R241" s="2" t="inlineStr">
        <is>
          <t>Rynkskinn
Rosenticka
Ullticka</t>
        </is>
      </c>
      <c r="S241">
        <f>HYPERLINK("https://klasma.github.io/Logging_2283/artfynd/A 54030-2023 artfynd.xlsx", "A 54030-2023")</f>
        <v/>
      </c>
      <c r="T241">
        <f>HYPERLINK("https://klasma.github.io/Logging_2283/kartor/A 54030-2023 karta.png", "A 54030-2023")</f>
        <v/>
      </c>
      <c r="V241">
        <f>HYPERLINK("https://klasma.github.io/Logging_2283/klagomål/A 54030-2023 FSC-klagomål.docx", "A 54030-2023")</f>
        <v/>
      </c>
      <c r="W241">
        <f>HYPERLINK("https://klasma.github.io/Logging_2283/klagomålsmail/A 54030-2023 FSC-klagomål mail.docx", "A 54030-2023")</f>
        <v/>
      </c>
      <c r="X241">
        <f>HYPERLINK("https://klasma.github.io/Logging_2283/tillsyn/A 54030-2023 tillsynsbegäran.docx", "A 54030-2023")</f>
        <v/>
      </c>
      <c r="Y241">
        <f>HYPERLINK("https://klasma.github.io/Logging_2283/tillsynsmail/A 54030-2023 tillsynsbegäran mail.docx", "A 54030-2023")</f>
        <v/>
      </c>
    </row>
    <row r="242" ht="15" customHeight="1">
      <c r="A242" t="inlineStr">
        <is>
          <t>A 16702-2024</t>
        </is>
      </c>
      <c r="B242" s="1" t="n">
        <v>45409</v>
      </c>
      <c r="C242" s="1" t="n">
        <v>45637</v>
      </c>
      <c r="D242" t="inlineStr">
        <is>
          <t>VÄSTERNORRLANDS LÄN</t>
        </is>
      </c>
      <c r="E242" t="inlineStr">
        <is>
          <t>SOLLEFTEÅ</t>
        </is>
      </c>
      <c r="F242" t="inlineStr">
        <is>
          <t>SCA</t>
        </is>
      </c>
      <c r="G242" t="n">
        <v>2.4</v>
      </c>
      <c r="H242" t="n">
        <v>0</v>
      </c>
      <c r="I242" t="n">
        <v>0</v>
      </c>
      <c r="J242" t="n">
        <v>3</v>
      </c>
      <c r="K242" t="n">
        <v>0</v>
      </c>
      <c r="L242" t="n">
        <v>0</v>
      </c>
      <c r="M242" t="n">
        <v>0</v>
      </c>
      <c r="N242" t="n">
        <v>0</v>
      </c>
      <c r="O242" t="n">
        <v>3</v>
      </c>
      <c r="P242" t="n">
        <v>0</v>
      </c>
      <c r="Q242" t="n">
        <v>3</v>
      </c>
      <c r="R242" s="2" t="inlineStr">
        <is>
          <t>Gammelgransskål
Rosenticka
Ullticka</t>
        </is>
      </c>
      <c r="S242">
        <f>HYPERLINK("https://klasma.github.io/Logging_2283/artfynd/A 16702-2024 artfynd.xlsx", "A 16702-2024")</f>
        <v/>
      </c>
      <c r="T242">
        <f>HYPERLINK("https://klasma.github.io/Logging_2283/kartor/A 16702-2024 karta.png", "A 16702-2024")</f>
        <v/>
      </c>
      <c r="V242">
        <f>HYPERLINK("https://klasma.github.io/Logging_2283/klagomål/A 16702-2024 FSC-klagomål.docx", "A 16702-2024")</f>
        <v/>
      </c>
      <c r="W242">
        <f>HYPERLINK("https://klasma.github.io/Logging_2283/klagomålsmail/A 16702-2024 FSC-klagomål mail.docx", "A 16702-2024")</f>
        <v/>
      </c>
      <c r="X242">
        <f>HYPERLINK("https://klasma.github.io/Logging_2283/tillsyn/A 16702-2024 tillsynsbegäran.docx", "A 16702-2024")</f>
        <v/>
      </c>
      <c r="Y242">
        <f>HYPERLINK("https://klasma.github.io/Logging_2283/tillsynsmail/A 16702-2024 tillsynsbegäran mail.docx", "A 16702-2024")</f>
        <v/>
      </c>
    </row>
    <row r="243" ht="15" customHeight="1">
      <c r="A243" t="inlineStr">
        <is>
          <t>A 21097-2024</t>
        </is>
      </c>
      <c r="B243" s="1" t="n">
        <v>45440</v>
      </c>
      <c r="C243" s="1" t="n">
        <v>45637</v>
      </c>
      <c r="D243" t="inlineStr">
        <is>
          <t>VÄSTERNORRLANDS LÄN</t>
        </is>
      </c>
      <c r="E243" t="inlineStr">
        <is>
          <t>SOLLEFTEÅ</t>
        </is>
      </c>
      <c r="F243" t="inlineStr">
        <is>
          <t>SCA</t>
        </is>
      </c>
      <c r="G243" t="n">
        <v>7.7</v>
      </c>
      <c r="H243" t="n">
        <v>1</v>
      </c>
      <c r="I243" t="n">
        <v>1</v>
      </c>
      <c r="J243" t="n">
        <v>2</v>
      </c>
      <c r="K243" t="n">
        <v>0</v>
      </c>
      <c r="L243" t="n">
        <v>0</v>
      </c>
      <c r="M243" t="n">
        <v>0</v>
      </c>
      <c r="N243" t="n">
        <v>0</v>
      </c>
      <c r="O243" t="n">
        <v>2</v>
      </c>
      <c r="P243" t="n">
        <v>0</v>
      </c>
      <c r="Q243" t="n">
        <v>3</v>
      </c>
      <c r="R243" s="2" t="inlineStr">
        <is>
          <t>Lunglav
Ullticka
Lappranunkel</t>
        </is>
      </c>
      <c r="S243">
        <f>HYPERLINK("https://klasma.github.io/Logging_2283/artfynd/A 21097-2024 artfynd.xlsx", "A 21097-2024")</f>
        <v/>
      </c>
      <c r="T243">
        <f>HYPERLINK("https://klasma.github.io/Logging_2283/kartor/A 21097-2024 karta.png", "A 21097-2024")</f>
        <v/>
      </c>
      <c r="V243">
        <f>HYPERLINK("https://klasma.github.io/Logging_2283/klagomål/A 21097-2024 FSC-klagomål.docx", "A 21097-2024")</f>
        <v/>
      </c>
      <c r="W243">
        <f>HYPERLINK("https://klasma.github.io/Logging_2283/klagomålsmail/A 21097-2024 FSC-klagomål mail.docx", "A 21097-2024")</f>
        <v/>
      </c>
      <c r="X243">
        <f>HYPERLINK("https://klasma.github.io/Logging_2283/tillsyn/A 21097-2024 tillsynsbegäran.docx", "A 21097-2024")</f>
        <v/>
      </c>
      <c r="Y243">
        <f>HYPERLINK("https://klasma.github.io/Logging_2283/tillsynsmail/A 21097-2024 tillsynsbegäran mail.docx", "A 21097-2024")</f>
        <v/>
      </c>
    </row>
    <row r="244" ht="15" customHeight="1">
      <c r="A244" t="inlineStr">
        <is>
          <t>A 23939-2024</t>
        </is>
      </c>
      <c r="B244" s="1" t="n">
        <v>45456</v>
      </c>
      <c r="C244" s="1" t="n">
        <v>45637</v>
      </c>
      <c r="D244" t="inlineStr">
        <is>
          <t>VÄSTERNORRLANDS LÄN</t>
        </is>
      </c>
      <c r="E244" t="inlineStr">
        <is>
          <t>SOLLEFTEÅ</t>
        </is>
      </c>
      <c r="F244" t="inlineStr">
        <is>
          <t>SCA</t>
        </is>
      </c>
      <c r="G244" t="n">
        <v>3</v>
      </c>
      <c r="H244" t="n">
        <v>1</v>
      </c>
      <c r="I244" t="n">
        <v>1</v>
      </c>
      <c r="J244" t="n">
        <v>2</v>
      </c>
      <c r="K244" t="n">
        <v>0</v>
      </c>
      <c r="L244" t="n">
        <v>0</v>
      </c>
      <c r="M244" t="n">
        <v>0</v>
      </c>
      <c r="N244" t="n">
        <v>0</v>
      </c>
      <c r="O244" t="n">
        <v>2</v>
      </c>
      <c r="P244" t="n">
        <v>0</v>
      </c>
      <c r="Q244" t="n">
        <v>3</v>
      </c>
      <c r="R244" s="2" t="inlineStr">
        <is>
          <t>Lunglav
Talltita
Stuplav</t>
        </is>
      </c>
      <c r="S244">
        <f>HYPERLINK("https://klasma.github.io/Logging_2283/artfynd/A 23939-2024 artfynd.xlsx", "A 23939-2024")</f>
        <v/>
      </c>
      <c r="T244">
        <f>HYPERLINK("https://klasma.github.io/Logging_2283/kartor/A 23939-2024 karta.png", "A 23939-2024")</f>
        <v/>
      </c>
      <c r="V244">
        <f>HYPERLINK("https://klasma.github.io/Logging_2283/klagomål/A 23939-2024 FSC-klagomål.docx", "A 23939-2024")</f>
        <v/>
      </c>
      <c r="W244">
        <f>HYPERLINK("https://klasma.github.io/Logging_2283/klagomålsmail/A 23939-2024 FSC-klagomål mail.docx", "A 23939-2024")</f>
        <v/>
      </c>
      <c r="X244">
        <f>HYPERLINK("https://klasma.github.io/Logging_2283/tillsyn/A 23939-2024 tillsynsbegäran.docx", "A 23939-2024")</f>
        <v/>
      </c>
      <c r="Y244">
        <f>HYPERLINK("https://klasma.github.io/Logging_2283/tillsynsmail/A 23939-2024 tillsynsbegäran mail.docx", "A 23939-2024")</f>
        <v/>
      </c>
      <c r="Z244">
        <f>HYPERLINK("https://klasma.github.io/Logging_2283/fåglar/A 23939-2024 prioriterade fågelarter.docx", "A 23939-2024")</f>
        <v/>
      </c>
    </row>
    <row r="245" ht="15" customHeight="1">
      <c r="A245" t="inlineStr">
        <is>
          <t>A 24757-2024</t>
        </is>
      </c>
      <c r="B245" s="1" t="n">
        <v>45460</v>
      </c>
      <c r="C245" s="1" t="n">
        <v>45637</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32256-2024</t>
        </is>
      </c>
      <c r="B246" s="1" t="n">
        <v>45511</v>
      </c>
      <c r="C246" s="1" t="n">
        <v>45637</v>
      </c>
      <c r="D246" t="inlineStr">
        <is>
          <t>VÄSTERNORRLANDS LÄN</t>
        </is>
      </c>
      <c r="E246" t="inlineStr">
        <is>
          <t>SOLLEFTEÅ</t>
        </is>
      </c>
      <c r="F246" t="inlineStr">
        <is>
          <t>SCA</t>
        </is>
      </c>
      <c r="G246" t="n">
        <v>3.9</v>
      </c>
      <c r="H246" t="n">
        <v>1</v>
      </c>
      <c r="I246" t="n">
        <v>1</v>
      </c>
      <c r="J246" t="n">
        <v>2</v>
      </c>
      <c r="K246" t="n">
        <v>0</v>
      </c>
      <c r="L246" t="n">
        <v>0</v>
      </c>
      <c r="M246" t="n">
        <v>0</v>
      </c>
      <c r="N246" t="n">
        <v>0</v>
      </c>
      <c r="O246" t="n">
        <v>2</v>
      </c>
      <c r="P246" t="n">
        <v>0</v>
      </c>
      <c r="Q246" t="n">
        <v>3</v>
      </c>
      <c r="R246" s="2" t="inlineStr">
        <is>
          <t>Tretåig hackspett
Vedtrappmossa
Fjällig taggsvamp s.str.</t>
        </is>
      </c>
      <c r="S246">
        <f>HYPERLINK("https://klasma.github.io/Logging_2283/artfynd/A 32256-2024 artfynd.xlsx", "A 32256-2024")</f>
        <v/>
      </c>
      <c r="T246">
        <f>HYPERLINK("https://klasma.github.io/Logging_2283/kartor/A 32256-2024 karta.png", "A 32256-2024")</f>
        <v/>
      </c>
      <c r="V246">
        <f>HYPERLINK("https://klasma.github.io/Logging_2283/klagomål/A 32256-2024 FSC-klagomål.docx", "A 32256-2024")</f>
        <v/>
      </c>
      <c r="W246">
        <f>HYPERLINK("https://klasma.github.io/Logging_2283/klagomålsmail/A 32256-2024 FSC-klagomål mail.docx", "A 32256-2024")</f>
        <v/>
      </c>
      <c r="X246">
        <f>HYPERLINK("https://klasma.github.io/Logging_2283/tillsyn/A 32256-2024 tillsynsbegäran.docx", "A 32256-2024")</f>
        <v/>
      </c>
      <c r="Y246">
        <f>HYPERLINK("https://klasma.github.io/Logging_2283/tillsynsmail/A 32256-2024 tillsynsbegäran mail.docx", "A 32256-2024")</f>
        <v/>
      </c>
      <c r="Z246">
        <f>HYPERLINK("https://klasma.github.io/Logging_2283/fåglar/A 32256-2024 prioriterade fågelarter.docx", "A 32256-2024")</f>
        <v/>
      </c>
    </row>
    <row r="247" ht="15" customHeight="1">
      <c r="A247" t="inlineStr">
        <is>
          <t>A 38096-2024</t>
        </is>
      </c>
      <c r="B247" s="1" t="n">
        <v>45545</v>
      </c>
      <c r="C247" s="1" t="n">
        <v>45637</v>
      </c>
      <c r="D247" t="inlineStr">
        <is>
          <t>VÄSTERNORRLANDS LÄN</t>
        </is>
      </c>
      <c r="E247" t="inlineStr">
        <is>
          <t>SOLLEFTEÅ</t>
        </is>
      </c>
      <c r="F247" t="inlineStr">
        <is>
          <t>SCA</t>
        </is>
      </c>
      <c r="G247" t="n">
        <v>5.2</v>
      </c>
      <c r="H247" t="n">
        <v>1</v>
      </c>
      <c r="I247" t="n">
        <v>2</v>
      </c>
      <c r="J247" t="n">
        <v>1</v>
      </c>
      <c r="K247" t="n">
        <v>0</v>
      </c>
      <c r="L247" t="n">
        <v>0</v>
      </c>
      <c r="M247" t="n">
        <v>0</v>
      </c>
      <c r="N247" t="n">
        <v>0</v>
      </c>
      <c r="O247" t="n">
        <v>1</v>
      </c>
      <c r="P247" t="n">
        <v>0</v>
      </c>
      <c r="Q247" t="n">
        <v>3</v>
      </c>
      <c r="R247" s="2" t="inlineStr">
        <is>
          <t>Lunglav
Bollvitmossa
Lappranunkel</t>
        </is>
      </c>
      <c r="S247">
        <f>HYPERLINK("https://klasma.github.io/Logging_2283/artfynd/A 38096-2024 artfynd.xlsx", "A 38096-2024")</f>
        <v/>
      </c>
      <c r="T247">
        <f>HYPERLINK("https://klasma.github.io/Logging_2283/kartor/A 38096-2024 karta.png", "A 38096-2024")</f>
        <v/>
      </c>
      <c r="V247">
        <f>HYPERLINK("https://klasma.github.io/Logging_2283/klagomål/A 38096-2024 FSC-klagomål.docx", "A 38096-2024")</f>
        <v/>
      </c>
      <c r="W247">
        <f>HYPERLINK("https://klasma.github.io/Logging_2283/klagomålsmail/A 38096-2024 FSC-klagomål mail.docx", "A 38096-2024")</f>
        <v/>
      </c>
      <c r="X247">
        <f>HYPERLINK("https://klasma.github.io/Logging_2283/tillsyn/A 38096-2024 tillsynsbegäran.docx", "A 38096-2024")</f>
        <v/>
      </c>
      <c r="Y247">
        <f>HYPERLINK("https://klasma.github.io/Logging_2283/tillsynsmail/A 38096-2024 tillsynsbegäran mail.docx", "A 38096-2024")</f>
        <v/>
      </c>
    </row>
    <row r="248" ht="15" customHeight="1">
      <c r="A248" t="inlineStr">
        <is>
          <t>A 42951-2024</t>
        </is>
      </c>
      <c r="B248" s="1" t="n">
        <v>45567</v>
      </c>
      <c r="C248" s="1" t="n">
        <v>45637</v>
      </c>
      <c r="D248" t="inlineStr">
        <is>
          <t>VÄSTERNORRLANDS LÄN</t>
        </is>
      </c>
      <c r="E248" t="inlineStr">
        <is>
          <t>SOLLEFTEÅ</t>
        </is>
      </c>
      <c r="F248" t="inlineStr">
        <is>
          <t>SCA</t>
        </is>
      </c>
      <c r="G248" t="n">
        <v>8</v>
      </c>
      <c r="H248" t="n">
        <v>2</v>
      </c>
      <c r="I248" t="n">
        <v>0</v>
      </c>
      <c r="J248" t="n">
        <v>1</v>
      </c>
      <c r="K248" t="n">
        <v>1</v>
      </c>
      <c r="L248" t="n">
        <v>0</v>
      </c>
      <c r="M248" t="n">
        <v>0</v>
      </c>
      <c r="N248" t="n">
        <v>0</v>
      </c>
      <c r="O248" t="n">
        <v>2</v>
      </c>
      <c r="P248" t="n">
        <v>1</v>
      </c>
      <c r="Q248" t="n">
        <v>3</v>
      </c>
      <c r="R248" s="2" t="inlineStr">
        <is>
          <t>Knärot
Rosenticka
Revlummer</t>
        </is>
      </c>
      <c r="S248">
        <f>HYPERLINK("https://klasma.github.io/Logging_2283/artfynd/A 42951-2024 artfynd.xlsx", "A 42951-2024")</f>
        <v/>
      </c>
      <c r="T248">
        <f>HYPERLINK("https://klasma.github.io/Logging_2283/kartor/A 42951-2024 karta.png", "A 42951-2024")</f>
        <v/>
      </c>
      <c r="U248">
        <f>HYPERLINK("https://klasma.github.io/Logging_2283/knärot/A 42951-2024 karta knärot.png", "A 42951-2024")</f>
        <v/>
      </c>
      <c r="V248">
        <f>HYPERLINK("https://klasma.github.io/Logging_2283/klagomål/A 42951-2024 FSC-klagomål.docx", "A 42951-2024")</f>
        <v/>
      </c>
      <c r="W248">
        <f>HYPERLINK("https://klasma.github.io/Logging_2283/klagomålsmail/A 42951-2024 FSC-klagomål mail.docx", "A 42951-2024")</f>
        <v/>
      </c>
      <c r="X248">
        <f>HYPERLINK("https://klasma.github.io/Logging_2283/tillsyn/A 42951-2024 tillsynsbegäran.docx", "A 42951-2024")</f>
        <v/>
      </c>
      <c r="Y248">
        <f>HYPERLINK("https://klasma.github.io/Logging_2283/tillsynsmail/A 42951-2024 tillsynsbegäran mail.docx", "A 42951-2024")</f>
        <v/>
      </c>
    </row>
    <row r="249" ht="15" customHeight="1">
      <c r="A249" t="inlineStr">
        <is>
          <t>A 51064-2024</t>
        </is>
      </c>
      <c r="B249" s="1" t="n">
        <v>45603</v>
      </c>
      <c r="C249" s="1" t="n">
        <v>45637</v>
      </c>
      <c r="D249" t="inlineStr">
        <is>
          <t>VÄSTERNORRLANDS LÄN</t>
        </is>
      </c>
      <c r="E249" t="inlineStr">
        <is>
          <t>SOLLEFTEÅ</t>
        </is>
      </c>
      <c r="F249" t="inlineStr">
        <is>
          <t>SCA</t>
        </is>
      </c>
      <c r="G249" t="n">
        <v>1.6</v>
      </c>
      <c r="H249" t="n">
        <v>1</v>
      </c>
      <c r="I249" t="n">
        <v>0</v>
      </c>
      <c r="J249" t="n">
        <v>2</v>
      </c>
      <c r="K249" t="n">
        <v>1</v>
      </c>
      <c r="L249" t="n">
        <v>0</v>
      </c>
      <c r="M249" t="n">
        <v>0</v>
      </c>
      <c r="N249" t="n">
        <v>0</v>
      </c>
      <c r="O249" t="n">
        <v>3</v>
      </c>
      <c r="P249" t="n">
        <v>1</v>
      </c>
      <c r="Q249" t="n">
        <v>3</v>
      </c>
      <c r="R249" s="2" t="inlineStr">
        <is>
          <t>Knärot
Lunglav
Rosenticka</t>
        </is>
      </c>
      <c r="S249">
        <f>HYPERLINK("https://klasma.github.io/Logging_2283/artfynd/A 51064-2024 artfynd.xlsx", "A 51064-2024")</f>
        <v/>
      </c>
      <c r="T249">
        <f>HYPERLINK("https://klasma.github.io/Logging_2283/kartor/A 51064-2024 karta.png", "A 51064-2024")</f>
        <v/>
      </c>
      <c r="U249">
        <f>HYPERLINK("https://klasma.github.io/Logging_2283/knärot/A 51064-2024 karta knärot.png", "A 51064-2024")</f>
        <v/>
      </c>
      <c r="V249">
        <f>HYPERLINK("https://klasma.github.io/Logging_2283/klagomål/A 51064-2024 FSC-klagomål.docx", "A 51064-2024")</f>
        <v/>
      </c>
      <c r="W249">
        <f>HYPERLINK("https://klasma.github.io/Logging_2283/klagomålsmail/A 51064-2024 FSC-klagomål mail.docx", "A 51064-2024")</f>
        <v/>
      </c>
      <c r="X249">
        <f>HYPERLINK("https://klasma.github.io/Logging_2283/tillsyn/A 51064-2024 tillsynsbegäran.docx", "A 51064-2024")</f>
        <v/>
      </c>
      <c r="Y249">
        <f>HYPERLINK("https://klasma.github.io/Logging_2283/tillsynsmail/A 51064-2024 tillsynsbegäran mail.docx", "A 51064-2024")</f>
        <v/>
      </c>
    </row>
    <row r="250" ht="15" customHeight="1">
      <c r="A250" t="inlineStr">
        <is>
          <t>A 53852-2024</t>
        </is>
      </c>
      <c r="B250" s="1" t="n">
        <v>45615</v>
      </c>
      <c r="C250" s="1" t="n">
        <v>45637</v>
      </c>
      <c r="D250" t="inlineStr">
        <is>
          <t>VÄSTERNORRLANDS LÄN</t>
        </is>
      </c>
      <c r="E250" t="inlineStr">
        <is>
          <t>SOLLEFTEÅ</t>
        </is>
      </c>
      <c r="F250" t="inlineStr">
        <is>
          <t>SCA</t>
        </is>
      </c>
      <c r="G250" t="n">
        <v>0.7</v>
      </c>
      <c r="H250" t="n">
        <v>1</v>
      </c>
      <c r="I250" t="n">
        <v>2</v>
      </c>
      <c r="J250" t="n">
        <v>1</v>
      </c>
      <c r="K250" t="n">
        <v>0</v>
      </c>
      <c r="L250" t="n">
        <v>0</v>
      </c>
      <c r="M250" t="n">
        <v>0</v>
      </c>
      <c r="N250" t="n">
        <v>0</v>
      </c>
      <c r="O250" t="n">
        <v>1</v>
      </c>
      <c r="P250" t="n">
        <v>0</v>
      </c>
      <c r="Q250" t="n">
        <v>3</v>
      </c>
      <c r="R250" s="2" t="inlineStr">
        <is>
          <t>Garnlav
Korallrot
Ögonpyrola</t>
        </is>
      </c>
      <c r="S250">
        <f>HYPERLINK("https://klasma.github.io/Logging_2283/artfynd/A 53852-2024 artfynd.xlsx", "A 53852-2024")</f>
        <v/>
      </c>
      <c r="T250">
        <f>HYPERLINK("https://klasma.github.io/Logging_2283/kartor/A 53852-2024 karta.png", "A 53852-2024")</f>
        <v/>
      </c>
      <c r="V250">
        <f>HYPERLINK("https://klasma.github.io/Logging_2283/klagomål/A 53852-2024 FSC-klagomål.docx", "A 53852-2024")</f>
        <v/>
      </c>
      <c r="W250">
        <f>HYPERLINK("https://klasma.github.io/Logging_2283/klagomålsmail/A 53852-2024 FSC-klagomål mail.docx", "A 53852-2024")</f>
        <v/>
      </c>
      <c r="X250">
        <f>HYPERLINK("https://klasma.github.io/Logging_2283/tillsyn/A 53852-2024 tillsynsbegäran.docx", "A 53852-2024")</f>
        <v/>
      </c>
      <c r="Y250">
        <f>HYPERLINK("https://klasma.github.io/Logging_2283/tillsynsmail/A 53852-2024 tillsynsbegäran mail.docx", "A 53852-2024")</f>
        <v/>
      </c>
    </row>
    <row r="251" ht="15" customHeight="1">
      <c r="A251" t="inlineStr">
        <is>
          <t>A 53682-2024</t>
        </is>
      </c>
      <c r="B251" s="1" t="n">
        <v>45615</v>
      </c>
      <c r="C251" s="1" t="n">
        <v>45637</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54624-2024</t>
        </is>
      </c>
      <c r="B252" s="1" t="n">
        <v>45617</v>
      </c>
      <c r="C252" s="1" t="n">
        <v>45637</v>
      </c>
      <c r="D252" t="inlineStr">
        <is>
          <t>VÄSTERNORRLANDS LÄN</t>
        </is>
      </c>
      <c r="E252" t="inlineStr">
        <is>
          <t>SOLLEFTEÅ</t>
        </is>
      </c>
      <c r="G252" t="n">
        <v>11.5</v>
      </c>
      <c r="H252" t="n">
        <v>0</v>
      </c>
      <c r="I252" t="n">
        <v>2</v>
      </c>
      <c r="J252" t="n">
        <v>1</v>
      </c>
      <c r="K252" t="n">
        <v>0</v>
      </c>
      <c r="L252" t="n">
        <v>0</v>
      </c>
      <c r="M252" t="n">
        <v>0</v>
      </c>
      <c r="N252" t="n">
        <v>0</v>
      </c>
      <c r="O252" t="n">
        <v>1</v>
      </c>
      <c r="P252" t="n">
        <v>0</v>
      </c>
      <c r="Q252" t="n">
        <v>3</v>
      </c>
      <c r="R252" s="2" t="inlineStr">
        <is>
          <t>Ullticka
Stuplav
Vedticka</t>
        </is>
      </c>
      <c r="S252">
        <f>HYPERLINK("https://klasma.github.io/Logging_2283/artfynd/A 54624-2024 artfynd.xlsx", "A 54624-2024")</f>
        <v/>
      </c>
      <c r="T252">
        <f>HYPERLINK("https://klasma.github.io/Logging_2283/kartor/A 54624-2024 karta.png", "A 54624-2024")</f>
        <v/>
      </c>
      <c r="V252">
        <f>HYPERLINK("https://klasma.github.io/Logging_2283/klagomål/A 54624-2024 FSC-klagomål.docx", "A 54624-2024")</f>
        <v/>
      </c>
      <c r="W252">
        <f>HYPERLINK("https://klasma.github.io/Logging_2283/klagomålsmail/A 54624-2024 FSC-klagomål mail.docx", "A 54624-2024")</f>
        <v/>
      </c>
      <c r="X252">
        <f>HYPERLINK("https://klasma.github.io/Logging_2283/tillsyn/A 54624-2024 tillsynsbegäran.docx", "A 54624-2024")</f>
        <v/>
      </c>
      <c r="Y252">
        <f>HYPERLINK("https://klasma.github.io/Logging_2283/tillsynsmail/A 54624-2024 tillsynsbegäran mail.docx", "A 54624-2024")</f>
        <v/>
      </c>
    </row>
    <row r="253" ht="15" customHeight="1">
      <c r="A253" t="inlineStr">
        <is>
          <t>A 18452-2019</t>
        </is>
      </c>
      <c r="B253" s="1" t="n">
        <v>43559</v>
      </c>
      <c r="C253" s="1" t="n">
        <v>45637</v>
      </c>
      <c r="D253" t="inlineStr">
        <is>
          <t>VÄSTERNORRLANDS LÄN</t>
        </is>
      </c>
      <c r="E253" t="inlineStr">
        <is>
          <t>SOLLEFTEÅ</t>
        </is>
      </c>
      <c r="G253" t="n">
        <v>2.2</v>
      </c>
      <c r="H253" t="n">
        <v>0</v>
      </c>
      <c r="I253" t="n">
        <v>1</v>
      </c>
      <c r="J253" t="n">
        <v>1</v>
      </c>
      <c r="K253" t="n">
        <v>0</v>
      </c>
      <c r="L253" t="n">
        <v>0</v>
      </c>
      <c r="M253" t="n">
        <v>0</v>
      </c>
      <c r="N253" t="n">
        <v>0</v>
      </c>
      <c r="O253" t="n">
        <v>1</v>
      </c>
      <c r="P253" t="n">
        <v>0</v>
      </c>
      <c r="Q253" t="n">
        <v>2</v>
      </c>
      <c r="R253" s="2" t="inlineStr">
        <is>
          <t>Lunglav
Bollvitmossa</t>
        </is>
      </c>
      <c r="S253">
        <f>HYPERLINK("https://klasma.github.io/Logging_2283/artfynd/A 18452-2019 artfynd.xlsx", "A 18452-2019")</f>
        <v/>
      </c>
      <c r="T253">
        <f>HYPERLINK("https://klasma.github.io/Logging_2283/kartor/A 18452-2019 karta.png", "A 18452-2019")</f>
        <v/>
      </c>
      <c r="V253">
        <f>HYPERLINK("https://klasma.github.io/Logging_2283/klagomål/A 18452-2019 FSC-klagomål.docx", "A 18452-2019")</f>
        <v/>
      </c>
      <c r="W253">
        <f>HYPERLINK("https://klasma.github.io/Logging_2283/klagomålsmail/A 18452-2019 FSC-klagomål mail.docx", "A 18452-2019")</f>
        <v/>
      </c>
      <c r="X253">
        <f>HYPERLINK("https://klasma.github.io/Logging_2283/tillsyn/A 18452-2019 tillsynsbegäran.docx", "A 18452-2019")</f>
        <v/>
      </c>
      <c r="Y253">
        <f>HYPERLINK("https://klasma.github.io/Logging_2283/tillsynsmail/A 18452-2019 tillsynsbegäran mail.docx", "A 18452-2019")</f>
        <v/>
      </c>
    </row>
    <row r="254" ht="15" customHeight="1">
      <c r="A254" t="inlineStr">
        <is>
          <t>A 21120-2019</t>
        </is>
      </c>
      <c r="B254" s="1" t="n">
        <v>43578</v>
      </c>
      <c r="C254" s="1" t="n">
        <v>45637</v>
      </c>
      <c r="D254" t="inlineStr">
        <is>
          <t>VÄSTERNORRLANDS LÄN</t>
        </is>
      </c>
      <c r="E254" t="inlineStr">
        <is>
          <t>SOLLEFTEÅ</t>
        </is>
      </c>
      <c r="F254" t="inlineStr">
        <is>
          <t>SCA</t>
        </is>
      </c>
      <c r="G254" t="n">
        <v>54.4</v>
      </c>
      <c r="H254" t="n">
        <v>2</v>
      </c>
      <c r="I254" t="n">
        <v>0</v>
      </c>
      <c r="J254" t="n">
        <v>1</v>
      </c>
      <c r="K254" t="n">
        <v>0</v>
      </c>
      <c r="L254" t="n">
        <v>0</v>
      </c>
      <c r="M254" t="n">
        <v>0</v>
      </c>
      <c r="N254" t="n">
        <v>0</v>
      </c>
      <c r="O254" t="n">
        <v>1</v>
      </c>
      <c r="P254" t="n">
        <v>0</v>
      </c>
      <c r="Q254" t="n">
        <v>2</v>
      </c>
      <c r="R254" s="2" t="inlineStr">
        <is>
          <t>Buskskvätta
Revlummer</t>
        </is>
      </c>
      <c r="S254">
        <f>HYPERLINK("https://klasma.github.io/Logging_2283/artfynd/A 21120-2019 artfynd.xlsx", "A 21120-2019")</f>
        <v/>
      </c>
      <c r="T254">
        <f>HYPERLINK("https://klasma.github.io/Logging_2283/kartor/A 21120-2019 karta.png", "A 21120-2019")</f>
        <v/>
      </c>
      <c r="V254">
        <f>HYPERLINK("https://klasma.github.io/Logging_2283/klagomål/A 21120-2019 FSC-klagomål.docx", "A 21120-2019")</f>
        <v/>
      </c>
      <c r="W254">
        <f>HYPERLINK("https://klasma.github.io/Logging_2283/klagomålsmail/A 21120-2019 FSC-klagomål mail.docx", "A 21120-2019")</f>
        <v/>
      </c>
      <c r="X254">
        <f>HYPERLINK("https://klasma.github.io/Logging_2283/tillsyn/A 21120-2019 tillsynsbegäran.docx", "A 21120-2019")</f>
        <v/>
      </c>
      <c r="Y254">
        <f>HYPERLINK("https://klasma.github.io/Logging_2283/tillsynsmail/A 21120-2019 tillsynsbegäran mail.docx", "A 21120-2019")</f>
        <v/>
      </c>
      <c r="Z254">
        <f>HYPERLINK("https://klasma.github.io/Logging_2283/fåglar/A 21120-2019 prioriterade fågelarter.docx", "A 21120-2019")</f>
        <v/>
      </c>
    </row>
    <row r="255" ht="15" customHeight="1">
      <c r="A255" t="inlineStr">
        <is>
          <t>A 34918-2019</t>
        </is>
      </c>
      <c r="B255" s="1" t="n">
        <v>43658</v>
      </c>
      <c r="C255" s="1" t="n">
        <v>45637</v>
      </c>
      <c r="D255" t="inlineStr">
        <is>
          <t>VÄSTERNORRLANDS LÄN</t>
        </is>
      </c>
      <c r="E255" t="inlineStr">
        <is>
          <t>SOLLEFTEÅ</t>
        </is>
      </c>
      <c r="G255" t="n">
        <v>2.7</v>
      </c>
      <c r="H255" t="n">
        <v>0</v>
      </c>
      <c r="I255" t="n">
        <v>0</v>
      </c>
      <c r="J255" t="n">
        <v>2</v>
      </c>
      <c r="K255" t="n">
        <v>0</v>
      </c>
      <c r="L255" t="n">
        <v>0</v>
      </c>
      <c r="M255" t="n">
        <v>0</v>
      </c>
      <c r="N255" t="n">
        <v>0</v>
      </c>
      <c r="O255" t="n">
        <v>2</v>
      </c>
      <c r="P255" t="n">
        <v>0</v>
      </c>
      <c r="Q255" t="n">
        <v>2</v>
      </c>
      <c r="R255" s="2" t="inlineStr">
        <is>
          <t>Granticka
Ullticka</t>
        </is>
      </c>
      <c r="S255">
        <f>HYPERLINK("https://klasma.github.io/Logging_2283/artfynd/A 34918-2019 artfynd.xlsx", "A 34918-2019")</f>
        <v/>
      </c>
      <c r="T255">
        <f>HYPERLINK("https://klasma.github.io/Logging_2283/kartor/A 34918-2019 karta.png", "A 34918-2019")</f>
        <v/>
      </c>
      <c r="V255">
        <f>HYPERLINK("https://klasma.github.io/Logging_2283/klagomål/A 34918-2019 FSC-klagomål.docx", "A 34918-2019")</f>
        <v/>
      </c>
      <c r="W255">
        <f>HYPERLINK("https://klasma.github.io/Logging_2283/klagomålsmail/A 34918-2019 FSC-klagomål mail.docx", "A 34918-2019")</f>
        <v/>
      </c>
      <c r="X255">
        <f>HYPERLINK("https://klasma.github.io/Logging_2283/tillsyn/A 34918-2019 tillsynsbegäran.docx", "A 34918-2019")</f>
        <v/>
      </c>
      <c r="Y255">
        <f>HYPERLINK("https://klasma.github.io/Logging_2283/tillsynsmail/A 34918-2019 tillsynsbegäran mail.docx", "A 34918-2019")</f>
        <v/>
      </c>
    </row>
    <row r="256" ht="15" customHeight="1">
      <c r="A256" t="inlineStr">
        <is>
          <t>A 66366-2019</t>
        </is>
      </c>
      <c r="B256" s="1" t="n">
        <v>43808</v>
      </c>
      <c r="C256" s="1" t="n">
        <v>45637</v>
      </c>
      <c r="D256" t="inlineStr">
        <is>
          <t>VÄSTERNORRLANDS LÄN</t>
        </is>
      </c>
      <c r="E256" t="inlineStr">
        <is>
          <t>SOLLEFTEÅ</t>
        </is>
      </c>
      <c r="G256" t="n">
        <v>2.9</v>
      </c>
      <c r="H256" t="n">
        <v>0</v>
      </c>
      <c r="I256" t="n">
        <v>1</v>
      </c>
      <c r="J256" t="n">
        <v>1</v>
      </c>
      <c r="K256" t="n">
        <v>0</v>
      </c>
      <c r="L256" t="n">
        <v>0</v>
      </c>
      <c r="M256" t="n">
        <v>0</v>
      </c>
      <c r="N256" t="n">
        <v>0</v>
      </c>
      <c r="O256" t="n">
        <v>1</v>
      </c>
      <c r="P256" t="n">
        <v>0</v>
      </c>
      <c r="Q256" t="n">
        <v>2</v>
      </c>
      <c r="R256" s="2" t="inlineStr">
        <is>
          <t>Lunglav
Stor aspticka</t>
        </is>
      </c>
      <c r="S256">
        <f>HYPERLINK("https://klasma.github.io/Logging_2283/artfynd/A 66366-2019 artfynd.xlsx", "A 66366-2019")</f>
        <v/>
      </c>
      <c r="T256">
        <f>HYPERLINK("https://klasma.github.io/Logging_2283/kartor/A 66366-2019 karta.png", "A 66366-2019")</f>
        <v/>
      </c>
      <c r="V256">
        <f>HYPERLINK("https://klasma.github.io/Logging_2283/klagomål/A 66366-2019 FSC-klagomål.docx", "A 66366-2019")</f>
        <v/>
      </c>
      <c r="W256">
        <f>HYPERLINK("https://klasma.github.io/Logging_2283/klagomålsmail/A 66366-2019 FSC-klagomål mail.docx", "A 66366-2019")</f>
        <v/>
      </c>
      <c r="X256">
        <f>HYPERLINK("https://klasma.github.io/Logging_2283/tillsyn/A 66366-2019 tillsynsbegäran.docx", "A 66366-2019")</f>
        <v/>
      </c>
      <c r="Y256">
        <f>HYPERLINK("https://klasma.github.io/Logging_2283/tillsynsmail/A 66366-2019 tillsynsbegäran mail.docx", "A 66366-2019")</f>
        <v/>
      </c>
    </row>
    <row r="257" ht="15" customHeight="1">
      <c r="A257" t="inlineStr">
        <is>
          <t>A 5314-2020</t>
        </is>
      </c>
      <c r="B257" s="1" t="n">
        <v>43857</v>
      </c>
      <c r="C257" s="1" t="n">
        <v>45637</v>
      </c>
      <c r="D257" t="inlineStr">
        <is>
          <t>VÄSTERNORRLANDS LÄN</t>
        </is>
      </c>
      <c r="E257" t="inlineStr">
        <is>
          <t>SOLLEFTEÅ</t>
        </is>
      </c>
      <c r="G257" t="n">
        <v>1.1</v>
      </c>
      <c r="H257" t="n">
        <v>0</v>
      </c>
      <c r="I257" t="n">
        <v>0</v>
      </c>
      <c r="J257" t="n">
        <v>2</v>
      </c>
      <c r="K257" t="n">
        <v>0</v>
      </c>
      <c r="L257" t="n">
        <v>0</v>
      </c>
      <c r="M257" t="n">
        <v>0</v>
      </c>
      <c r="N257" t="n">
        <v>0</v>
      </c>
      <c r="O257" t="n">
        <v>2</v>
      </c>
      <c r="P257" t="n">
        <v>0</v>
      </c>
      <c r="Q257" t="n">
        <v>2</v>
      </c>
      <c r="R257" s="2" t="inlineStr">
        <is>
          <t>Kolflarnlav
Vedskivlav</t>
        </is>
      </c>
      <c r="S257">
        <f>HYPERLINK("https://klasma.github.io/Logging_2283/artfynd/A 5314-2020 artfynd.xlsx", "A 5314-2020")</f>
        <v/>
      </c>
      <c r="T257">
        <f>HYPERLINK("https://klasma.github.io/Logging_2283/kartor/A 5314-2020 karta.png", "A 5314-2020")</f>
        <v/>
      </c>
      <c r="V257">
        <f>HYPERLINK("https://klasma.github.io/Logging_2283/klagomål/A 5314-2020 FSC-klagomål.docx", "A 5314-2020")</f>
        <v/>
      </c>
      <c r="W257">
        <f>HYPERLINK("https://klasma.github.io/Logging_2283/klagomålsmail/A 5314-2020 FSC-klagomål mail.docx", "A 5314-2020")</f>
        <v/>
      </c>
      <c r="X257">
        <f>HYPERLINK("https://klasma.github.io/Logging_2283/tillsyn/A 5314-2020 tillsynsbegäran.docx", "A 5314-2020")</f>
        <v/>
      </c>
      <c r="Y257">
        <f>HYPERLINK("https://klasma.github.io/Logging_2283/tillsynsmail/A 5314-2020 tillsynsbegäran mail.docx", "A 5314-2020")</f>
        <v/>
      </c>
    </row>
    <row r="258" ht="15" customHeight="1">
      <c r="A258" t="inlineStr">
        <is>
          <t>A 29505-2020</t>
        </is>
      </c>
      <c r="B258" s="1" t="n">
        <v>44004</v>
      </c>
      <c r="C258" s="1" t="n">
        <v>45637</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Lunglav
Bårdlav</t>
        </is>
      </c>
      <c r="S258">
        <f>HYPERLINK("https://klasma.github.io/Logging_2283/artfynd/A 29505-2020 artfynd.xlsx", "A 29505-2020")</f>
        <v/>
      </c>
      <c r="T258">
        <f>HYPERLINK("https://klasma.github.io/Logging_2283/kartor/A 29505-2020 karta.png", "A 29505-2020")</f>
        <v/>
      </c>
      <c r="V258">
        <f>HYPERLINK("https://klasma.github.io/Logging_2283/klagomål/A 29505-2020 FSC-klagomål.docx", "A 29505-2020")</f>
        <v/>
      </c>
      <c r="W258">
        <f>HYPERLINK("https://klasma.github.io/Logging_2283/klagomålsmail/A 29505-2020 FSC-klagomål mail.docx", "A 29505-2020")</f>
        <v/>
      </c>
      <c r="X258">
        <f>HYPERLINK("https://klasma.github.io/Logging_2283/tillsyn/A 29505-2020 tillsynsbegäran.docx", "A 29505-2020")</f>
        <v/>
      </c>
      <c r="Y258">
        <f>HYPERLINK("https://klasma.github.io/Logging_2283/tillsynsmail/A 29505-2020 tillsynsbegäran mail.docx", "A 29505-2020")</f>
        <v/>
      </c>
    </row>
    <row r="259" ht="15" customHeight="1">
      <c r="A259" t="inlineStr">
        <is>
          <t>A 35220-2020</t>
        </is>
      </c>
      <c r="B259" s="1" t="n">
        <v>44041</v>
      </c>
      <c r="C259" s="1" t="n">
        <v>45637</v>
      </c>
      <c r="D259" t="inlineStr">
        <is>
          <t>VÄSTERNORRLANDS LÄN</t>
        </is>
      </c>
      <c r="E259" t="inlineStr">
        <is>
          <t>SOLLEFTEÅ</t>
        </is>
      </c>
      <c r="F259" t="inlineStr">
        <is>
          <t>SCA</t>
        </is>
      </c>
      <c r="G259" t="n">
        <v>3.4</v>
      </c>
      <c r="H259" t="n">
        <v>2</v>
      </c>
      <c r="I259" t="n">
        <v>0</v>
      </c>
      <c r="J259" t="n">
        <v>1</v>
      </c>
      <c r="K259" t="n">
        <v>0</v>
      </c>
      <c r="L259" t="n">
        <v>0</v>
      </c>
      <c r="M259" t="n">
        <v>0</v>
      </c>
      <c r="N259" t="n">
        <v>0</v>
      </c>
      <c r="O259" t="n">
        <v>1</v>
      </c>
      <c r="P259" t="n">
        <v>0</v>
      </c>
      <c r="Q259" t="n">
        <v>2</v>
      </c>
      <c r="R259" s="2" t="inlineStr">
        <is>
          <t>Järpe
Tjäder</t>
        </is>
      </c>
      <c r="S259">
        <f>HYPERLINK("https://klasma.github.io/Logging_2283/artfynd/A 35220-2020 artfynd.xlsx", "A 35220-2020")</f>
        <v/>
      </c>
      <c r="T259">
        <f>HYPERLINK("https://klasma.github.io/Logging_2283/kartor/A 35220-2020 karta.png", "A 35220-2020")</f>
        <v/>
      </c>
      <c r="V259">
        <f>HYPERLINK("https://klasma.github.io/Logging_2283/klagomål/A 35220-2020 FSC-klagomål.docx", "A 35220-2020")</f>
        <v/>
      </c>
      <c r="W259">
        <f>HYPERLINK("https://klasma.github.io/Logging_2283/klagomålsmail/A 35220-2020 FSC-klagomål mail.docx", "A 35220-2020")</f>
        <v/>
      </c>
      <c r="X259">
        <f>HYPERLINK("https://klasma.github.io/Logging_2283/tillsyn/A 35220-2020 tillsynsbegäran.docx", "A 35220-2020")</f>
        <v/>
      </c>
      <c r="Y259">
        <f>HYPERLINK("https://klasma.github.io/Logging_2283/tillsynsmail/A 35220-2020 tillsynsbegäran mail.docx", "A 35220-2020")</f>
        <v/>
      </c>
      <c r="Z259">
        <f>HYPERLINK("https://klasma.github.io/Logging_2283/fåglar/A 35220-2020 prioriterade fågelarter.docx", "A 35220-2020")</f>
        <v/>
      </c>
    </row>
    <row r="260" ht="15" customHeight="1">
      <c r="A260" t="inlineStr">
        <is>
          <t>A 2309-2021</t>
        </is>
      </c>
      <c r="B260" s="1" t="n">
        <v>44213</v>
      </c>
      <c r="C260" s="1" t="n">
        <v>45637</v>
      </c>
      <c r="D260" t="inlineStr">
        <is>
          <t>VÄSTERNORRLANDS LÄN</t>
        </is>
      </c>
      <c r="E260" t="inlineStr">
        <is>
          <t>SOLLEFTEÅ</t>
        </is>
      </c>
      <c r="G260" t="n">
        <v>2.1</v>
      </c>
      <c r="H260" t="n">
        <v>1</v>
      </c>
      <c r="I260" t="n">
        <v>0</v>
      </c>
      <c r="J260" t="n">
        <v>2</v>
      </c>
      <c r="K260" t="n">
        <v>0</v>
      </c>
      <c r="L260" t="n">
        <v>0</v>
      </c>
      <c r="M260" t="n">
        <v>0</v>
      </c>
      <c r="N260" t="n">
        <v>0</v>
      </c>
      <c r="O260" t="n">
        <v>2</v>
      </c>
      <c r="P260" t="n">
        <v>0</v>
      </c>
      <c r="Q260" t="n">
        <v>2</v>
      </c>
      <c r="R260" s="2" t="inlineStr">
        <is>
          <t>Tretåig hackspett
Ullticka</t>
        </is>
      </c>
      <c r="S260">
        <f>HYPERLINK("https://klasma.github.io/Logging_2283/artfynd/A 2309-2021 artfynd.xlsx", "A 2309-2021")</f>
        <v/>
      </c>
      <c r="T260">
        <f>HYPERLINK("https://klasma.github.io/Logging_2283/kartor/A 2309-2021 karta.png", "A 2309-2021")</f>
        <v/>
      </c>
      <c r="V260">
        <f>HYPERLINK("https://klasma.github.io/Logging_2283/klagomål/A 2309-2021 FSC-klagomål.docx", "A 2309-2021")</f>
        <v/>
      </c>
      <c r="W260">
        <f>HYPERLINK("https://klasma.github.io/Logging_2283/klagomålsmail/A 2309-2021 FSC-klagomål mail.docx", "A 2309-2021")</f>
        <v/>
      </c>
      <c r="X260">
        <f>HYPERLINK("https://klasma.github.io/Logging_2283/tillsyn/A 2309-2021 tillsynsbegäran.docx", "A 2309-2021")</f>
        <v/>
      </c>
      <c r="Y260">
        <f>HYPERLINK("https://klasma.github.io/Logging_2283/tillsynsmail/A 2309-2021 tillsynsbegäran mail.docx", "A 2309-2021")</f>
        <v/>
      </c>
      <c r="Z260">
        <f>HYPERLINK("https://klasma.github.io/Logging_2283/fåglar/A 2309-2021 prioriterade fågelarter.docx", "A 2309-2021")</f>
        <v/>
      </c>
    </row>
    <row r="261" ht="15" customHeight="1">
      <c r="A261" t="inlineStr">
        <is>
          <t>A 20836-2021</t>
        </is>
      </c>
      <c r="B261" s="1" t="n">
        <v>44318</v>
      </c>
      <c r="C261" s="1" t="n">
        <v>45637</v>
      </c>
      <c r="D261" t="inlineStr">
        <is>
          <t>VÄSTERNORRLANDS LÄN</t>
        </is>
      </c>
      <c r="E261" t="inlineStr">
        <is>
          <t>SOLLEFTEÅ</t>
        </is>
      </c>
      <c r="F261" t="inlineStr">
        <is>
          <t>SCA</t>
        </is>
      </c>
      <c r="G261" t="n">
        <v>4.8</v>
      </c>
      <c r="H261" t="n">
        <v>1</v>
      </c>
      <c r="I261" t="n">
        <v>0</v>
      </c>
      <c r="J261" t="n">
        <v>2</v>
      </c>
      <c r="K261" t="n">
        <v>0</v>
      </c>
      <c r="L261" t="n">
        <v>0</v>
      </c>
      <c r="M261" t="n">
        <v>0</v>
      </c>
      <c r="N261" t="n">
        <v>0</v>
      </c>
      <c r="O261" t="n">
        <v>2</v>
      </c>
      <c r="P261" t="n">
        <v>0</v>
      </c>
      <c r="Q261" t="n">
        <v>2</v>
      </c>
      <c r="R261" s="2" t="inlineStr">
        <is>
          <t>Garnlav
Talltita</t>
        </is>
      </c>
      <c r="S261">
        <f>HYPERLINK("https://klasma.github.io/Logging_2283/artfynd/A 20836-2021 artfynd.xlsx", "A 20836-2021")</f>
        <v/>
      </c>
      <c r="T261">
        <f>HYPERLINK("https://klasma.github.io/Logging_2283/kartor/A 20836-2021 karta.png", "A 20836-2021")</f>
        <v/>
      </c>
      <c r="V261">
        <f>HYPERLINK("https://klasma.github.io/Logging_2283/klagomål/A 20836-2021 FSC-klagomål.docx", "A 20836-2021")</f>
        <v/>
      </c>
      <c r="W261">
        <f>HYPERLINK("https://klasma.github.io/Logging_2283/klagomålsmail/A 20836-2021 FSC-klagomål mail.docx", "A 20836-2021")</f>
        <v/>
      </c>
      <c r="X261">
        <f>HYPERLINK("https://klasma.github.io/Logging_2283/tillsyn/A 20836-2021 tillsynsbegäran.docx", "A 20836-2021")</f>
        <v/>
      </c>
      <c r="Y261">
        <f>HYPERLINK("https://klasma.github.io/Logging_2283/tillsynsmail/A 20836-2021 tillsynsbegäran mail.docx", "A 20836-2021")</f>
        <v/>
      </c>
      <c r="Z261">
        <f>HYPERLINK("https://klasma.github.io/Logging_2283/fåglar/A 20836-2021 prioriterade fågelarter.docx", "A 20836-2021")</f>
        <v/>
      </c>
    </row>
    <row r="262" ht="15" customHeight="1">
      <c r="A262" t="inlineStr">
        <is>
          <t>A 27983-2021</t>
        </is>
      </c>
      <c r="B262" s="1" t="n">
        <v>44354</v>
      </c>
      <c r="C262" s="1" t="n">
        <v>45637</v>
      </c>
      <c r="D262" t="inlineStr">
        <is>
          <t>VÄSTERNORRLANDS LÄN</t>
        </is>
      </c>
      <c r="E262" t="inlineStr">
        <is>
          <t>SOLLEFTEÅ</t>
        </is>
      </c>
      <c r="F262" t="inlineStr">
        <is>
          <t>SCA</t>
        </is>
      </c>
      <c r="G262" t="n">
        <v>5.4</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27983-2021 artfynd.xlsx", "A 27983-2021")</f>
        <v/>
      </c>
      <c r="T262">
        <f>HYPERLINK("https://klasma.github.io/Logging_2283/kartor/A 27983-2021 karta.png", "A 27983-2021")</f>
        <v/>
      </c>
      <c r="V262">
        <f>HYPERLINK("https://klasma.github.io/Logging_2283/klagomål/A 27983-2021 FSC-klagomål.docx", "A 27983-2021")</f>
        <v/>
      </c>
      <c r="W262">
        <f>HYPERLINK("https://klasma.github.io/Logging_2283/klagomålsmail/A 27983-2021 FSC-klagomål mail.docx", "A 27983-2021")</f>
        <v/>
      </c>
      <c r="X262">
        <f>HYPERLINK("https://klasma.github.io/Logging_2283/tillsyn/A 27983-2021 tillsynsbegäran.docx", "A 27983-2021")</f>
        <v/>
      </c>
      <c r="Y262">
        <f>HYPERLINK("https://klasma.github.io/Logging_2283/tillsynsmail/A 27983-2021 tillsynsbegäran mail.docx", "A 27983-2021")</f>
        <v/>
      </c>
    </row>
    <row r="263" ht="15" customHeight="1">
      <c r="A263" t="inlineStr">
        <is>
          <t>A 35071-2021</t>
        </is>
      </c>
      <c r="B263" s="1" t="n">
        <v>44383</v>
      </c>
      <c r="C263" s="1" t="n">
        <v>45637</v>
      </c>
      <c r="D263" t="inlineStr">
        <is>
          <t>VÄSTERNORRLANDS LÄN</t>
        </is>
      </c>
      <c r="E263" t="inlineStr">
        <is>
          <t>SOLLEFTEÅ</t>
        </is>
      </c>
      <c r="F263" t="inlineStr">
        <is>
          <t>SCA</t>
        </is>
      </c>
      <c r="G263" t="n">
        <v>1.8</v>
      </c>
      <c r="H263" t="n">
        <v>0</v>
      </c>
      <c r="I263" t="n">
        <v>2</v>
      </c>
      <c r="J263" t="n">
        <v>0</v>
      </c>
      <c r="K263" t="n">
        <v>0</v>
      </c>
      <c r="L263" t="n">
        <v>0</v>
      </c>
      <c r="M263" t="n">
        <v>0</v>
      </c>
      <c r="N263" t="n">
        <v>0</v>
      </c>
      <c r="O263" t="n">
        <v>0</v>
      </c>
      <c r="P263" t="n">
        <v>0</v>
      </c>
      <c r="Q263" t="n">
        <v>2</v>
      </c>
      <c r="R263" s="2" t="inlineStr">
        <is>
          <t>Norrlandslav
Vedticka</t>
        </is>
      </c>
      <c r="S263">
        <f>HYPERLINK("https://klasma.github.io/Logging_2283/artfynd/A 35071-2021 artfynd.xlsx", "A 35071-2021")</f>
        <v/>
      </c>
      <c r="T263">
        <f>HYPERLINK("https://klasma.github.io/Logging_2283/kartor/A 35071-2021 karta.png", "A 35071-2021")</f>
        <v/>
      </c>
      <c r="V263">
        <f>HYPERLINK("https://klasma.github.io/Logging_2283/klagomål/A 35071-2021 FSC-klagomål.docx", "A 35071-2021")</f>
        <v/>
      </c>
      <c r="W263">
        <f>HYPERLINK("https://klasma.github.io/Logging_2283/klagomålsmail/A 35071-2021 FSC-klagomål mail.docx", "A 35071-2021")</f>
        <v/>
      </c>
      <c r="X263">
        <f>HYPERLINK("https://klasma.github.io/Logging_2283/tillsyn/A 35071-2021 tillsynsbegäran.docx", "A 35071-2021")</f>
        <v/>
      </c>
      <c r="Y263">
        <f>HYPERLINK("https://klasma.github.io/Logging_2283/tillsynsmail/A 35071-2021 tillsynsbegäran mail.docx", "A 35071-2021")</f>
        <v/>
      </c>
    </row>
    <row r="264" ht="15" customHeight="1">
      <c r="A264" t="inlineStr">
        <is>
          <t>A 39329-2021</t>
        </is>
      </c>
      <c r="B264" s="1" t="n">
        <v>44414</v>
      </c>
      <c r="C264" s="1" t="n">
        <v>45637</v>
      </c>
      <c r="D264" t="inlineStr">
        <is>
          <t>VÄSTERNORRLANDS LÄN</t>
        </is>
      </c>
      <c r="E264" t="inlineStr">
        <is>
          <t>SOLLEFTEÅ</t>
        </is>
      </c>
      <c r="F264" t="inlineStr">
        <is>
          <t>SCA</t>
        </is>
      </c>
      <c r="G264" t="n">
        <v>2.7</v>
      </c>
      <c r="H264" t="n">
        <v>0</v>
      </c>
      <c r="I264" t="n">
        <v>1</v>
      </c>
      <c r="J264" t="n">
        <v>1</v>
      </c>
      <c r="K264" t="n">
        <v>0</v>
      </c>
      <c r="L264" t="n">
        <v>0</v>
      </c>
      <c r="M264" t="n">
        <v>0</v>
      </c>
      <c r="N264" t="n">
        <v>0</v>
      </c>
      <c r="O264" t="n">
        <v>1</v>
      </c>
      <c r="P264" t="n">
        <v>0</v>
      </c>
      <c r="Q264" t="n">
        <v>2</v>
      </c>
      <c r="R264" s="2" t="inlineStr">
        <is>
          <t>Mörk kolflarnlav
Bollvitmossa</t>
        </is>
      </c>
      <c r="S264">
        <f>HYPERLINK("https://klasma.github.io/Logging_2283/artfynd/A 39329-2021 artfynd.xlsx", "A 39329-2021")</f>
        <v/>
      </c>
      <c r="T264">
        <f>HYPERLINK("https://klasma.github.io/Logging_2283/kartor/A 39329-2021 karta.png", "A 39329-2021")</f>
        <v/>
      </c>
      <c r="V264">
        <f>HYPERLINK("https://klasma.github.io/Logging_2283/klagomål/A 39329-2021 FSC-klagomål.docx", "A 39329-2021")</f>
        <v/>
      </c>
      <c r="W264">
        <f>HYPERLINK("https://klasma.github.io/Logging_2283/klagomålsmail/A 39329-2021 FSC-klagomål mail.docx", "A 39329-2021")</f>
        <v/>
      </c>
      <c r="X264">
        <f>HYPERLINK("https://klasma.github.io/Logging_2283/tillsyn/A 39329-2021 tillsynsbegäran.docx", "A 39329-2021")</f>
        <v/>
      </c>
      <c r="Y264">
        <f>HYPERLINK("https://klasma.github.io/Logging_2283/tillsynsmail/A 39329-2021 tillsynsbegäran mail.docx", "A 39329-2021")</f>
        <v/>
      </c>
    </row>
    <row r="265" ht="15" customHeight="1">
      <c r="A265" t="inlineStr">
        <is>
          <t>A 45213-2021</t>
        </is>
      </c>
      <c r="B265" s="1" t="n">
        <v>44431</v>
      </c>
      <c r="C265" s="1" t="n">
        <v>45637</v>
      </c>
      <c r="D265" t="inlineStr">
        <is>
          <t>VÄSTERNORRLANDS LÄN</t>
        </is>
      </c>
      <c r="E265" t="inlineStr">
        <is>
          <t>SOLLEFTEÅ</t>
        </is>
      </c>
      <c r="F265" t="inlineStr">
        <is>
          <t>SCA</t>
        </is>
      </c>
      <c r="G265" t="n">
        <v>2.3</v>
      </c>
      <c r="H265" t="n">
        <v>0</v>
      </c>
      <c r="I265" t="n">
        <v>0</v>
      </c>
      <c r="J265" t="n">
        <v>2</v>
      </c>
      <c r="K265" t="n">
        <v>0</v>
      </c>
      <c r="L265" t="n">
        <v>0</v>
      </c>
      <c r="M265" t="n">
        <v>0</v>
      </c>
      <c r="N265" t="n">
        <v>0</v>
      </c>
      <c r="O265" t="n">
        <v>2</v>
      </c>
      <c r="P265" t="n">
        <v>0</v>
      </c>
      <c r="Q265" t="n">
        <v>2</v>
      </c>
      <c r="R265" s="2" t="inlineStr">
        <is>
          <t>Garnlav
Granticka</t>
        </is>
      </c>
      <c r="S265">
        <f>HYPERLINK("https://klasma.github.io/Logging_2283/artfynd/A 45213-2021 artfynd.xlsx", "A 45213-2021")</f>
        <v/>
      </c>
      <c r="T265">
        <f>HYPERLINK("https://klasma.github.io/Logging_2283/kartor/A 45213-2021 karta.png", "A 45213-2021")</f>
        <v/>
      </c>
      <c r="V265">
        <f>HYPERLINK("https://klasma.github.io/Logging_2283/klagomål/A 45213-2021 FSC-klagomål.docx", "A 45213-2021")</f>
        <v/>
      </c>
      <c r="W265">
        <f>HYPERLINK("https://klasma.github.io/Logging_2283/klagomålsmail/A 45213-2021 FSC-klagomål mail.docx", "A 45213-2021")</f>
        <v/>
      </c>
      <c r="X265">
        <f>HYPERLINK("https://klasma.github.io/Logging_2283/tillsyn/A 45213-2021 tillsynsbegäran.docx", "A 45213-2021")</f>
        <v/>
      </c>
      <c r="Y265">
        <f>HYPERLINK("https://klasma.github.io/Logging_2283/tillsynsmail/A 45213-2021 tillsynsbegäran mail.docx", "A 45213-2021")</f>
        <v/>
      </c>
    </row>
    <row r="266" ht="15" customHeight="1">
      <c r="A266" t="inlineStr">
        <is>
          <t>A 47858-2021</t>
        </is>
      </c>
      <c r="B266" s="1" t="n">
        <v>44448</v>
      </c>
      <c r="C266" s="1" t="n">
        <v>45637</v>
      </c>
      <c r="D266" t="inlineStr">
        <is>
          <t>VÄSTERNORRLANDS LÄN</t>
        </is>
      </c>
      <c r="E266" t="inlineStr">
        <is>
          <t>SOLLEFTEÅ</t>
        </is>
      </c>
      <c r="G266" t="n">
        <v>7.7</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47858-2021 artfynd.xlsx", "A 47858-2021")</f>
        <v/>
      </c>
      <c r="T266">
        <f>HYPERLINK("https://klasma.github.io/Logging_2283/kartor/A 47858-2021 karta.png", "A 47858-2021")</f>
        <v/>
      </c>
      <c r="V266">
        <f>HYPERLINK("https://klasma.github.io/Logging_2283/klagomål/A 47858-2021 FSC-klagomål.docx", "A 47858-2021")</f>
        <v/>
      </c>
      <c r="W266">
        <f>HYPERLINK("https://klasma.github.io/Logging_2283/klagomålsmail/A 47858-2021 FSC-klagomål mail.docx", "A 47858-2021")</f>
        <v/>
      </c>
      <c r="X266">
        <f>HYPERLINK("https://klasma.github.io/Logging_2283/tillsyn/A 47858-2021 tillsynsbegäran.docx", "A 47858-2021")</f>
        <v/>
      </c>
      <c r="Y266">
        <f>HYPERLINK("https://klasma.github.io/Logging_2283/tillsynsmail/A 47858-2021 tillsynsbegäran mail.docx", "A 47858-2021")</f>
        <v/>
      </c>
    </row>
    <row r="267" ht="15" customHeight="1">
      <c r="A267" t="inlineStr">
        <is>
          <t>A 51024-2021</t>
        </is>
      </c>
      <c r="B267" s="1" t="n">
        <v>44461</v>
      </c>
      <c r="C267" s="1" t="n">
        <v>45637</v>
      </c>
      <c r="D267" t="inlineStr">
        <is>
          <t>VÄSTERNORRLANDS LÄN</t>
        </is>
      </c>
      <c r="E267" t="inlineStr">
        <is>
          <t>SOLLEFTEÅ</t>
        </is>
      </c>
      <c r="F267" t="inlineStr">
        <is>
          <t>SCA</t>
        </is>
      </c>
      <c r="G267" t="n">
        <v>7.1</v>
      </c>
      <c r="H267" t="n">
        <v>0</v>
      </c>
      <c r="I267" t="n">
        <v>0</v>
      </c>
      <c r="J267" t="n">
        <v>2</v>
      </c>
      <c r="K267" t="n">
        <v>0</v>
      </c>
      <c r="L267" t="n">
        <v>0</v>
      </c>
      <c r="M267" t="n">
        <v>0</v>
      </c>
      <c r="N267" t="n">
        <v>0</v>
      </c>
      <c r="O267" t="n">
        <v>2</v>
      </c>
      <c r="P267" t="n">
        <v>0</v>
      </c>
      <c r="Q267" t="n">
        <v>2</v>
      </c>
      <c r="R267" s="2" t="inlineStr">
        <is>
          <t>Tallticka
Ullticka</t>
        </is>
      </c>
      <c r="S267">
        <f>HYPERLINK("https://klasma.github.io/Logging_2283/artfynd/A 51024-2021 artfynd.xlsx", "A 51024-2021")</f>
        <v/>
      </c>
      <c r="T267">
        <f>HYPERLINK("https://klasma.github.io/Logging_2283/kartor/A 51024-2021 karta.png", "A 51024-2021")</f>
        <v/>
      </c>
      <c r="V267">
        <f>HYPERLINK("https://klasma.github.io/Logging_2283/klagomål/A 51024-2021 FSC-klagomål.docx", "A 51024-2021")</f>
        <v/>
      </c>
      <c r="W267">
        <f>HYPERLINK("https://klasma.github.io/Logging_2283/klagomålsmail/A 51024-2021 FSC-klagomål mail.docx", "A 51024-2021")</f>
        <v/>
      </c>
      <c r="X267">
        <f>HYPERLINK("https://klasma.github.io/Logging_2283/tillsyn/A 51024-2021 tillsynsbegäran.docx", "A 51024-2021")</f>
        <v/>
      </c>
      <c r="Y267">
        <f>HYPERLINK("https://klasma.github.io/Logging_2283/tillsynsmail/A 51024-2021 tillsynsbegäran mail.docx", "A 51024-2021")</f>
        <v/>
      </c>
    </row>
    <row r="268" ht="15" customHeight="1">
      <c r="A268" t="inlineStr">
        <is>
          <t>A 54153-2021</t>
        </is>
      </c>
      <c r="B268" s="1" t="n">
        <v>44469</v>
      </c>
      <c r="C268" s="1" t="n">
        <v>45637</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65419-2021</t>
        </is>
      </c>
      <c r="B269" s="1" t="n">
        <v>44515</v>
      </c>
      <c r="C269" s="1" t="n">
        <v>45637</v>
      </c>
      <c r="D269" t="inlineStr">
        <is>
          <t>VÄSTERNORRLANDS LÄN</t>
        </is>
      </c>
      <c r="E269" t="inlineStr">
        <is>
          <t>SOLLEFTEÅ</t>
        </is>
      </c>
      <c r="F269" t="inlineStr">
        <is>
          <t>SCA</t>
        </is>
      </c>
      <c r="G269" t="n">
        <v>2.3</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65419-2021 artfynd.xlsx", "A 65419-2021")</f>
        <v/>
      </c>
      <c r="T269">
        <f>HYPERLINK("https://klasma.github.io/Logging_2283/kartor/A 65419-2021 karta.png", "A 65419-2021")</f>
        <v/>
      </c>
      <c r="V269">
        <f>HYPERLINK("https://klasma.github.io/Logging_2283/klagomål/A 65419-2021 FSC-klagomål.docx", "A 65419-2021")</f>
        <v/>
      </c>
      <c r="W269">
        <f>HYPERLINK("https://klasma.github.io/Logging_2283/klagomålsmail/A 65419-2021 FSC-klagomål mail.docx", "A 65419-2021")</f>
        <v/>
      </c>
      <c r="X269">
        <f>HYPERLINK("https://klasma.github.io/Logging_2283/tillsyn/A 65419-2021 tillsynsbegäran.docx", "A 65419-2021")</f>
        <v/>
      </c>
      <c r="Y269">
        <f>HYPERLINK("https://klasma.github.io/Logging_2283/tillsynsmail/A 65419-2021 tillsynsbegäran mail.docx", "A 65419-2021")</f>
        <v/>
      </c>
    </row>
    <row r="270" ht="15" customHeight="1">
      <c r="A270" t="inlineStr">
        <is>
          <t>A 9583-2022</t>
        </is>
      </c>
      <c r="B270" s="1" t="n">
        <v>44617</v>
      </c>
      <c r="C270" s="1" t="n">
        <v>45637</v>
      </c>
      <c r="D270" t="inlineStr">
        <is>
          <t>VÄSTERNORRLANDS LÄN</t>
        </is>
      </c>
      <c r="E270" t="inlineStr">
        <is>
          <t>SOLLEFTEÅ</t>
        </is>
      </c>
      <c r="F270" t="inlineStr">
        <is>
          <t>Övriga Aktiebolag</t>
        </is>
      </c>
      <c r="G270" t="n">
        <v>2.3</v>
      </c>
      <c r="H270" t="n">
        <v>0</v>
      </c>
      <c r="I270" t="n">
        <v>0</v>
      </c>
      <c r="J270" t="n">
        <v>2</v>
      </c>
      <c r="K270" t="n">
        <v>0</v>
      </c>
      <c r="L270" t="n">
        <v>0</v>
      </c>
      <c r="M270" t="n">
        <v>0</v>
      </c>
      <c r="N270" t="n">
        <v>0</v>
      </c>
      <c r="O270" t="n">
        <v>2</v>
      </c>
      <c r="P270" t="n">
        <v>0</v>
      </c>
      <c r="Q270" t="n">
        <v>2</v>
      </c>
      <c r="R270" s="2" t="inlineStr">
        <is>
          <t>Garnlav
Lunglav</t>
        </is>
      </c>
      <c r="S270">
        <f>HYPERLINK("https://klasma.github.io/Logging_2283/artfynd/A 9583-2022 artfynd.xlsx", "A 9583-2022")</f>
        <v/>
      </c>
      <c r="T270">
        <f>HYPERLINK("https://klasma.github.io/Logging_2283/kartor/A 9583-2022 karta.png", "A 9583-2022")</f>
        <v/>
      </c>
      <c r="V270">
        <f>HYPERLINK("https://klasma.github.io/Logging_2283/klagomål/A 9583-2022 FSC-klagomål.docx", "A 9583-2022")</f>
        <v/>
      </c>
      <c r="W270">
        <f>HYPERLINK("https://klasma.github.io/Logging_2283/klagomålsmail/A 9583-2022 FSC-klagomål mail.docx", "A 9583-2022")</f>
        <v/>
      </c>
      <c r="X270">
        <f>HYPERLINK("https://klasma.github.io/Logging_2283/tillsyn/A 9583-2022 tillsynsbegäran.docx", "A 9583-2022")</f>
        <v/>
      </c>
      <c r="Y270">
        <f>HYPERLINK("https://klasma.github.io/Logging_2283/tillsynsmail/A 9583-2022 tillsynsbegäran mail.docx", "A 9583-2022")</f>
        <v/>
      </c>
    </row>
    <row r="271" ht="15" customHeight="1">
      <c r="A271" t="inlineStr">
        <is>
          <t>A 13059-2022</t>
        </is>
      </c>
      <c r="B271" s="1" t="n">
        <v>44643</v>
      </c>
      <c r="C271" s="1" t="n">
        <v>45637</v>
      </c>
      <c r="D271" t="inlineStr">
        <is>
          <t>VÄSTERNORRLANDS LÄN</t>
        </is>
      </c>
      <c r="E271" t="inlineStr">
        <is>
          <t>SOLLEFTEÅ</t>
        </is>
      </c>
      <c r="G271" t="n">
        <v>9.9</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13059-2022 artfynd.xlsx", "A 13059-2022")</f>
        <v/>
      </c>
      <c r="T271">
        <f>HYPERLINK("https://klasma.github.io/Logging_2283/kartor/A 13059-2022 karta.png", "A 13059-2022")</f>
        <v/>
      </c>
      <c r="V271">
        <f>HYPERLINK("https://klasma.github.io/Logging_2283/klagomål/A 13059-2022 FSC-klagomål.docx", "A 13059-2022")</f>
        <v/>
      </c>
      <c r="W271">
        <f>HYPERLINK("https://klasma.github.io/Logging_2283/klagomålsmail/A 13059-2022 FSC-klagomål mail.docx", "A 13059-2022")</f>
        <v/>
      </c>
      <c r="X271">
        <f>HYPERLINK("https://klasma.github.io/Logging_2283/tillsyn/A 13059-2022 tillsynsbegäran.docx", "A 13059-2022")</f>
        <v/>
      </c>
      <c r="Y271">
        <f>HYPERLINK("https://klasma.github.io/Logging_2283/tillsynsmail/A 13059-2022 tillsynsbegäran mail.docx", "A 13059-2022")</f>
        <v/>
      </c>
    </row>
    <row r="272" ht="15" customHeight="1">
      <c r="A272" t="inlineStr">
        <is>
          <t>A 13658-2022</t>
        </is>
      </c>
      <c r="B272" s="1" t="n">
        <v>44648</v>
      </c>
      <c r="C272" s="1" t="n">
        <v>45637</v>
      </c>
      <c r="D272" t="inlineStr">
        <is>
          <t>VÄSTERNORRLANDS LÄN</t>
        </is>
      </c>
      <c r="E272" t="inlineStr">
        <is>
          <t>SOLLEFTEÅ</t>
        </is>
      </c>
      <c r="G272" t="n">
        <v>7.4</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HYPERLINK("https://klasma.github.io/Logging_2283/artfynd/A 13658-2022 artfynd.xlsx", "A 13658-2022")</f>
        <v/>
      </c>
      <c r="T272">
        <f>HYPERLINK("https://klasma.github.io/Logging_2283/kartor/A 13658-2022 karta.png", "A 13658-2022")</f>
        <v/>
      </c>
      <c r="V272">
        <f>HYPERLINK("https://klasma.github.io/Logging_2283/klagomål/A 13658-2022 FSC-klagomål.docx", "A 13658-2022")</f>
        <v/>
      </c>
      <c r="W272">
        <f>HYPERLINK("https://klasma.github.io/Logging_2283/klagomålsmail/A 13658-2022 FSC-klagomål mail.docx", "A 13658-2022")</f>
        <v/>
      </c>
      <c r="X272">
        <f>HYPERLINK("https://klasma.github.io/Logging_2283/tillsyn/A 13658-2022 tillsynsbegäran.docx", "A 13658-2022")</f>
        <v/>
      </c>
      <c r="Y272">
        <f>HYPERLINK("https://klasma.github.io/Logging_2283/tillsynsmail/A 13658-2022 tillsynsbegäran mail.docx", "A 13658-2022")</f>
        <v/>
      </c>
    </row>
    <row r="273" ht="15" customHeight="1">
      <c r="A273" t="inlineStr">
        <is>
          <t>A 18019-2022</t>
        </is>
      </c>
      <c r="B273" s="1" t="n">
        <v>44684</v>
      </c>
      <c r="C273" s="1" t="n">
        <v>45637</v>
      </c>
      <c r="D273" t="inlineStr">
        <is>
          <t>VÄSTERNORRLANDS LÄN</t>
        </is>
      </c>
      <c r="E273" t="inlineStr">
        <is>
          <t>SOLLEFTEÅ</t>
        </is>
      </c>
      <c r="F273" t="inlineStr">
        <is>
          <t>SCA</t>
        </is>
      </c>
      <c r="G273" t="n">
        <v>2.6</v>
      </c>
      <c r="H273" t="n">
        <v>0</v>
      </c>
      <c r="I273" t="n">
        <v>0</v>
      </c>
      <c r="J273" t="n">
        <v>2</v>
      </c>
      <c r="K273" t="n">
        <v>0</v>
      </c>
      <c r="L273" t="n">
        <v>0</v>
      </c>
      <c r="M273" t="n">
        <v>0</v>
      </c>
      <c r="N273" t="n">
        <v>0</v>
      </c>
      <c r="O273" t="n">
        <v>2</v>
      </c>
      <c r="P273" t="n">
        <v>0</v>
      </c>
      <c r="Q273" t="n">
        <v>2</v>
      </c>
      <c r="R273" s="2" t="inlineStr">
        <is>
          <t>Gammelgransskål
Ullticka</t>
        </is>
      </c>
      <c r="S273">
        <f>HYPERLINK("https://klasma.github.io/Logging_2283/artfynd/A 18019-2022 artfynd.xlsx", "A 18019-2022")</f>
        <v/>
      </c>
      <c r="T273">
        <f>HYPERLINK("https://klasma.github.io/Logging_2283/kartor/A 18019-2022 karta.png", "A 18019-2022")</f>
        <v/>
      </c>
      <c r="V273">
        <f>HYPERLINK("https://klasma.github.io/Logging_2283/klagomål/A 18019-2022 FSC-klagomål.docx", "A 18019-2022")</f>
        <v/>
      </c>
      <c r="W273">
        <f>HYPERLINK("https://klasma.github.io/Logging_2283/klagomålsmail/A 18019-2022 FSC-klagomål mail.docx", "A 18019-2022")</f>
        <v/>
      </c>
      <c r="X273">
        <f>HYPERLINK("https://klasma.github.io/Logging_2283/tillsyn/A 18019-2022 tillsynsbegäran.docx", "A 18019-2022")</f>
        <v/>
      </c>
      <c r="Y273">
        <f>HYPERLINK("https://klasma.github.io/Logging_2283/tillsynsmail/A 18019-2022 tillsynsbegäran mail.docx", "A 18019-2022")</f>
        <v/>
      </c>
    </row>
    <row r="274" ht="15" customHeight="1">
      <c r="A274" t="inlineStr">
        <is>
          <t>A 20956-2022</t>
        </is>
      </c>
      <c r="B274" s="1" t="n">
        <v>44701</v>
      </c>
      <c r="C274" s="1" t="n">
        <v>45637</v>
      </c>
      <c r="D274" t="inlineStr">
        <is>
          <t>VÄSTERNORRLANDS LÄN</t>
        </is>
      </c>
      <c r="E274" t="inlineStr">
        <is>
          <t>SOLLEFTEÅ</t>
        </is>
      </c>
      <c r="F274" t="inlineStr">
        <is>
          <t>SCA</t>
        </is>
      </c>
      <c r="G274" t="n">
        <v>2.5</v>
      </c>
      <c r="H274" t="n">
        <v>0</v>
      </c>
      <c r="I274" t="n">
        <v>0</v>
      </c>
      <c r="J274" t="n">
        <v>2</v>
      </c>
      <c r="K274" t="n">
        <v>0</v>
      </c>
      <c r="L274" t="n">
        <v>0</v>
      </c>
      <c r="M274" t="n">
        <v>0</v>
      </c>
      <c r="N274" t="n">
        <v>0</v>
      </c>
      <c r="O274" t="n">
        <v>2</v>
      </c>
      <c r="P274" t="n">
        <v>0</v>
      </c>
      <c r="Q274" t="n">
        <v>2</v>
      </c>
      <c r="R274" s="2" t="inlineStr">
        <is>
          <t>Kandelabersvamp
Stiftgelélav</t>
        </is>
      </c>
      <c r="S274">
        <f>HYPERLINK("https://klasma.github.io/Logging_2283/artfynd/A 20956-2022 artfynd.xlsx", "A 20956-2022")</f>
        <v/>
      </c>
      <c r="T274">
        <f>HYPERLINK("https://klasma.github.io/Logging_2283/kartor/A 20956-2022 karta.png", "A 20956-2022")</f>
        <v/>
      </c>
      <c r="V274">
        <f>HYPERLINK("https://klasma.github.io/Logging_2283/klagomål/A 20956-2022 FSC-klagomål.docx", "A 20956-2022")</f>
        <v/>
      </c>
      <c r="W274">
        <f>HYPERLINK("https://klasma.github.io/Logging_2283/klagomålsmail/A 20956-2022 FSC-klagomål mail.docx", "A 20956-2022")</f>
        <v/>
      </c>
      <c r="X274">
        <f>HYPERLINK("https://klasma.github.io/Logging_2283/tillsyn/A 20956-2022 tillsynsbegäran.docx", "A 20956-2022")</f>
        <v/>
      </c>
      <c r="Y274">
        <f>HYPERLINK("https://klasma.github.io/Logging_2283/tillsynsmail/A 20956-2022 tillsynsbegäran mail.docx", "A 20956-2022")</f>
        <v/>
      </c>
    </row>
    <row r="275" ht="15" customHeight="1">
      <c r="A275" t="inlineStr">
        <is>
          <t>A 24321-2022</t>
        </is>
      </c>
      <c r="B275" s="1" t="n">
        <v>44725</v>
      </c>
      <c r="C275" s="1" t="n">
        <v>45637</v>
      </c>
      <c r="D275" t="inlineStr">
        <is>
          <t>VÄSTERNORRLANDS LÄN</t>
        </is>
      </c>
      <c r="E275" t="inlineStr">
        <is>
          <t>SOLLEFTEÅ</t>
        </is>
      </c>
      <c r="F275" t="inlineStr">
        <is>
          <t>SCA</t>
        </is>
      </c>
      <c r="G275" t="n">
        <v>1.1</v>
      </c>
      <c r="H275" t="n">
        <v>1</v>
      </c>
      <c r="I275" t="n">
        <v>0</v>
      </c>
      <c r="J275" t="n">
        <v>1</v>
      </c>
      <c r="K275" t="n">
        <v>1</v>
      </c>
      <c r="L275" t="n">
        <v>0</v>
      </c>
      <c r="M275" t="n">
        <v>0</v>
      </c>
      <c r="N275" t="n">
        <v>0</v>
      </c>
      <c r="O275" t="n">
        <v>2</v>
      </c>
      <c r="P275" t="n">
        <v>1</v>
      </c>
      <c r="Q275" t="n">
        <v>2</v>
      </c>
      <c r="R275" s="2" t="inlineStr">
        <is>
          <t>Knärot
Garnlav</t>
        </is>
      </c>
      <c r="S275">
        <f>HYPERLINK("https://klasma.github.io/Logging_2283/artfynd/A 24321-2022 artfynd.xlsx", "A 24321-2022")</f>
        <v/>
      </c>
      <c r="T275">
        <f>HYPERLINK("https://klasma.github.io/Logging_2283/kartor/A 24321-2022 karta.png", "A 24321-2022")</f>
        <v/>
      </c>
      <c r="U275">
        <f>HYPERLINK("https://klasma.github.io/Logging_2283/knärot/A 24321-2022 karta knärot.png", "A 24321-2022")</f>
        <v/>
      </c>
      <c r="V275">
        <f>HYPERLINK("https://klasma.github.io/Logging_2283/klagomål/A 24321-2022 FSC-klagomål.docx", "A 24321-2022")</f>
        <v/>
      </c>
      <c r="W275">
        <f>HYPERLINK("https://klasma.github.io/Logging_2283/klagomålsmail/A 24321-2022 FSC-klagomål mail.docx", "A 24321-2022")</f>
        <v/>
      </c>
      <c r="X275">
        <f>HYPERLINK("https://klasma.github.io/Logging_2283/tillsyn/A 24321-2022 tillsynsbegäran.docx", "A 24321-2022")</f>
        <v/>
      </c>
      <c r="Y275">
        <f>HYPERLINK("https://klasma.github.io/Logging_2283/tillsynsmail/A 24321-2022 tillsynsbegäran mail.docx", "A 24321-2022")</f>
        <v/>
      </c>
    </row>
    <row r="276" ht="15" customHeight="1">
      <c r="A276" t="inlineStr">
        <is>
          <t>A 29549-2022</t>
        </is>
      </c>
      <c r="B276" s="1" t="n">
        <v>44753</v>
      </c>
      <c r="C276" s="1" t="n">
        <v>45637</v>
      </c>
      <c r="D276" t="inlineStr">
        <is>
          <t>VÄSTERNORRLANDS LÄN</t>
        </is>
      </c>
      <c r="E276" t="inlineStr">
        <is>
          <t>SOLLEFTEÅ</t>
        </is>
      </c>
      <c r="F276" t="inlineStr">
        <is>
          <t>SCA</t>
        </is>
      </c>
      <c r="G276" t="n">
        <v>36.7</v>
      </c>
      <c r="H276" t="n">
        <v>0</v>
      </c>
      <c r="I276" t="n">
        <v>0</v>
      </c>
      <c r="J276" t="n">
        <v>2</v>
      </c>
      <c r="K276" t="n">
        <v>0</v>
      </c>
      <c r="L276" t="n">
        <v>0</v>
      </c>
      <c r="M276" t="n">
        <v>0</v>
      </c>
      <c r="N276" t="n">
        <v>0</v>
      </c>
      <c r="O276" t="n">
        <v>2</v>
      </c>
      <c r="P276" t="n">
        <v>0</v>
      </c>
      <c r="Q276" t="n">
        <v>2</v>
      </c>
      <c r="R276" s="2" t="inlineStr">
        <is>
          <t>Kolflarnlav
Skrovlig taggsvamp</t>
        </is>
      </c>
      <c r="S276">
        <f>HYPERLINK("https://klasma.github.io/Logging_2283/artfynd/A 29549-2022 artfynd.xlsx", "A 29549-2022")</f>
        <v/>
      </c>
      <c r="T276">
        <f>HYPERLINK("https://klasma.github.io/Logging_2283/kartor/A 29549-2022 karta.png", "A 29549-2022")</f>
        <v/>
      </c>
      <c r="V276">
        <f>HYPERLINK("https://klasma.github.io/Logging_2283/klagomål/A 29549-2022 FSC-klagomål.docx", "A 29549-2022")</f>
        <v/>
      </c>
      <c r="W276">
        <f>HYPERLINK("https://klasma.github.io/Logging_2283/klagomålsmail/A 29549-2022 FSC-klagomål mail.docx", "A 29549-2022")</f>
        <v/>
      </c>
      <c r="X276">
        <f>HYPERLINK("https://klasma.github.io/Logging_2283/tillsyn/A 29549-2022 tillsynsbegäran.docx", "A 29549-2022")</f>
        <v/>
      </c>
      <c r="Y276">
        <f>HYPERLINK("https://klasma.github.io/Logging_2283/tillsynsmail/A 29549-2022 tillsynsbegäran mail.docx", "A 29549-2022")</f>
        <v/>
      </c>
    </row>
    <row r="277" ht="15" customHeight="1">
      <c r="A277" t="inlineStr">
        <is>
          <t>A 33087-2022</t>
        </is>
      </c>
      <c r="B277" s="1" t="n">
        <v>44785</v>
      </c>
      <c r="C277" s="1" t="n">
        <v>45637</v>
      </c>
      <c r="D277" t="inlineStr">
        <is>
          <t>VÄSTERNORRLANDS LÄN</t>
        </is>
      </c>
      <c r="E277" t="inlineStr">
        <is>
          <t>SOLLEFTEÅ</t>
        </is>
      </c>
      <c r="G277" t="n">
        <v>0.5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33087-2022 artfynd.xlsx", "A 33087-2022")</f>
        <v/>
      </c>
      <c r="T277">
        <f>HYPERLINK("https://klasma.github.io/Logging_2283/kartor/A 33087-2022 karta.png", "A 33087-2022")</f>
        <v/>
      </c>
      <c r="V277">
        <f>HYPERLINK("https://klasma.github.io/Logging_2283/klagomål/A 33087-2022 FSC-klagomål.docx", "A 33087-2022")</f>
        <v/>
      </c>
      <c r="W277">
        <f>HYPERLINK("https://klasma.github.io/Logging_2283/klagomålsmail/A 33087-2022 FSC-klagomål mail.docx", "A 33087-2022")</f>
        <v/>
      </c>
      <c r="X277">
        <f>HYPERLINK("https://klasma.github.io/Logging_2283/tillsyn/A 33087-2022 tillsynsbegäran.docx", "A 33087-2022")</f>
        <v/>
      </c>
      <c r="Y277">
        <f>HYPERLINK("https://klasma.github.io/Logging_2283/tillsynsmail/A 33087-2022 tillsynsbegäran mail.docx", "A 33087-2022")</f>
        <v/>
      </c>
    </row>
    <row r="278" ht="15" customHeight="1">
      <c r="A278" t="inlineStr">
        <is>
          <t>A 34526-2022</t>
        </is>
      </c>
      <c r="B278" s="1" t="n">
        <v>44792</v>
      </c>
      <c r="C278" s="1" t="n">
        <v>45637</v>
      </c>
      <c r="D278" t="inlineStr">
        <is>
          <t>VÄSTERNORRLANDS LÄN</t>
        </is>
      </c>
      <c r="E278" t="inlineStr">
        <is>
          <t>SOLLEFTEÅ</t>
        </is>
      </c>
      <c r="F278" t="inlineStr">
        <is>
          <t>SCA</t>
        </is>
      </c>
      <c r="G278" t="n">
        <v>1.4</v>
      </c>
      <c r="H278" t="n">
        <v>0</v>
      </c>
      <c r="I278" t="n">
        <v>0</v>
      </c>
      <c r="J278" t="n">
        <v>2</v>
      </c>
      <c r="K278" t="n">
        <v>0</v>
      </c>
      <c r="L278" t="n">
        <v>0</v>
      </c>
      <c r="M278" t="n">
        <v>0</v>
      </c>
      <c r="N278" t="n">
        <v>0</v>
      </c>
      <c r="O278" t="n">
        <v>2</v>
      </c>
      <c r="P278" t="n">
        <v>0</v>
      </c>
      <c r="Q278" t="n">
        <v>2</v>
      </c>
      <c r="R278" s="2" t="inlineStr">
        <is>
          <t>Garnlav
Mörk kolflarnlav</t>
        </is>
      </c>
      <c r="S278">
        <f>HYPERLINK("https://klasma.github.io/Logging_2283/artfynd/A 34526-2022 artfynd.xlsx", "A 34526-2022")</f>
        <v/>
      </c>
      <c r="T278">
        <f>HYPERLINK("https://klasma.github.io/Logging_2283/kartor/A 34526-2022 karta.png", "A 34526-2022")</f>
        <v/>
      </c>
      <c r="V278">
        <f>HYPERLINK("https://klasma.github.io/Logging_2283/klagomål/A 34526-2022 FSC-klagomål.docx", "A 34526-2022")</f>
        <v/>
      </c>
      <c r="W278">
        <f>HYPERLINK("https://klasma.github.io/Logging_2283/klagomålsmail/A 34526-2022 FSC-klagomål mail.docx", "A 34526-2022")</f>
        <v/>
      </c>
      <c r="X278">
        <f>HYPERLINK("https://klasma.github.io/Logging_2283/tillsyn/A 34526-2022 tillsynsbegäran.docx", "A 34526-2022")</f>
        <v/>
      </c>
      <c r="Y278">
        <f>HYPERLINK("https://klasma.github.io/Logging_2283/tillsynsmail/A 34526-2022 tillsynsbegäran mail.docx", "A 34526-2022")</f>
        <v/>
      </c>
    </row>
    <row r="279" ht="15" customHeight="1">
      <c r="A279" t="inlineStr">
        <is>
          <t>A 37243-2022</t>
        </is>
      </c>
      <c r="B279" s="1" t="n">
        <v>44806</v>
      </c>
      <c r="C279" s="1" t="n">
        <v>45637</v>
      </c>
      <c r="D279" t="inlineStr">
        <is>
          <t>VÄSTERNORRLANDS LÄN</t>
        </is>
      </c>
      <c r="E279" t="inlineStr">
        <is>
          <t>SOLLEFTEÅ</t>
        </is>
      </c>
      <c r="F279" t="inlineStr">
        <is>
          <t>SCA</t>
        </is>
      </c>
      <c r="G279" t="n">
        <v>7.1</v>
      </c>
      <c r="H279" t="n">
        <v>0</v>
      </c>
      <c r="I279" t="n">
        <v>1</v>
      </c>
      <c r="J279" t="n">
        <v>1</v>
      </c>
      <c r="K279" t="n">
        <v>0</v>
      </c>
      <c r="L279" t="n">
        <v>0</v>
      </c>
      <c r="M279" t="n">
        <v>0</v>
      </c>
      <c r="N279" t="n">
        <v>0</v>
      </c>
      <c r="O279" t="n">
        <v>1</v>
      </c>
      <c r="P279" t="n">
        <v>0</v>
      </c>
      <c r="Q279" t="n">
        <v>2</v>
      </c>
      <c r="R279" s="2" t="inlineStr">
        <is>
          <t>Violettgrå tagellav
Dropptaggsvamp</t>
        </is>
      </c>
      <c r="S279">
        <f>HYPERLINK("https://klasma.github.io/Logging_2283/artfynd/A 37243-2022 artfynd.xlsx", "A 37243-2022")</f>
        <v/>
      </c>
      <c r="T279">
        <f>HYPERLINK("https://klasma.github.io/Logging_2283/kartor/A 37243-2022 karta.png", "A 37243-2022")</f>
        <v/>
      </c>
      <c r="V279">
        <f>HYPERLINK("https://klasma.github.io/Logging_2283/klagomål/A 37243-2022 FSC-klagomål.docx", "A 37243-2022")</f>
        <v/>
      </c>
      <c r="W279">
        <f>HYPERLINK("https://klasma.github.io/Logging_2283/klagomålsmail/A 37243-2022 FSC-klagomål mail.docx", "A 37243-2022")</f>
        <v/>
      </c>
      <c r="X279">
        <f>HYPERLINK("https://klasma.github.io/Logging_2283/tillsyn/A 37243-2022 tillsynsbegäran.docx", "A 37243-2022")</f>
        <v/>
      </c>
      <c r="Y279">
        <f>HYPERLINK("https://klasma.github.io/Logging_2283/tillsynsmail/A 37243-2022 tillsynsbegäran mail.docx", "A 37243-2022")</f>
        <v/>
      </c>
    </row>
    <row r="280" ht="15" customHeight="1">
      <c r="A280" t="inlineStr">
        <is>
          <t>A 45083-2022</t>
        </is>
      </c>
      <c r="B280" s="1" t="n">
        <v>44841</v>
      </c>
      <c r="C280" s="1" t="n">
        <v>45637</v>
      </c>
      <c r="D280" t="inlineStr">
        <is>
          <t>VÄSTERNORRLANDS LÄN</t>
        </is>
      </c>
      <c r="E280" t="inlineStr">
        <is>
          <t>SOLLEFTEÅ</t>
        </is>
      </c>
      <c r="F280" t="inlineStr">
        <is>
          <t>SCA</t>
        </is>
      </c>
      <c r="G280" t="n">
        <v>4.3</v>
      </c>
      <c r="H280" t="n">
        <v>2</v>
      </c>
      <c r="I280" t="n">
        <v>0</v>
      </c>
      <c r="J280" t="n">
        <v>1</v>
      </c>
      <c r="K280" t="n">
        <v>0</v>
      </c>
      <c r="L280" t="n">
        <v>0</v>
      </c>
      <c r="M280" t="n">
        <v>0</v>
      </c>
      <c r="N280" t="n">
        <v>0</v>
      </c>
      <c r="O280" t="n">
        <v>1</v>
      </c>
      <c r="P280" t="n">
        <v>0</v>
      </c>
      <c r="Q280" t="n">
        <v>2</v>
      </c>
      <c r="R280" s="2" t="inlineStr">
        <is>
          <t>Talltita
Blåsippa</t>
        </is>
      </c>
      <c r="S280">
        <f>HYPERLINK("https://klasma.github.io/Logging_2283/artfynd/A 45083-2022 artfynd.xlsx", "A 45083-2022")</f>
        <v/>
      </c>
      <c r="T280">
        <f>HYPERLINK("https://klasma.github.io/Logging_2283/kartor/A 45083-2022 karta.png", "A 45083-2022")</f>
        <v/>
      </c>
      <c r="V280">
        <f>HYPERLINK("https://klasma.github.io/Logging_2283/klagomål/A 45083-2022 FSC-klagomål.docx", "A 45083-2022")</f>
        <v/>
      </c>
      <c r="W280">
        <f>HYPERLINK("https://klasma.github.io/Logging_2283/klagomålsmail/A 45083-2022 FSC-klagomål mail.docx", "A 45083-2022")</f>
        <v/>
      </c>
      <c r="X280">
        <f>HYPERLINK("https://klasma.github.io/Logging_2283/tillsyn/A 45083-2022 tillsynsbegäran.docx", "A 45083-2022")</f>
        <v/>
      </c>
      <c r="Y280">
        <f>HYPERLINK("https://klasma.github.io/Logging_2283/tillsynsmail/A 45083-2022 tillsynsbegäran mail.docx", "A 45083-2022")</f>
        <v/>
      </c>
      <c r="Z280">
        <f>HYPERLINK("https://klasma.github.io/Logging_2283/fåglar/A 45083-2022 prioriterade fågelarter.docx", "A 45083-2022")</f>
        <v/>
      </c>
    </row>
    <row r="281" ht="15" customHeight="1">
      <c r="A281" t="inlineStr">
        <is>
          <t>A 45084-2022</t>
        </is>
      </c>
      <c r="B281" s="1" t="n">
        <v>44841</v>
      </c>
      <c r="C281" s="1" t="n">
        <v>45637</v>
      </c>
      <c r="D281" t="inlineStr">
        <is>
          <t>VÄSTERNORRLANDS LÄN</t>
        </is>
      </c>
      <c r="E281" t="inlineStr">
        <is>
          <t>SOLLEFTEÅ</t>
        </is>
      </c>
      <c r="F281" t="inlineStr">
        <is>
          <t>SCA</t>
        </is>
      </c>
      <c r="G281" t="n">
        <v>5.5</v>
      </c>
      <c r="H281" t="n">
        <v>0</v>
      </c>
      <c r="I281" t="n">
        <v>0</v>
      </c>
      <c r="J281" t="n">
        <v>2</v>
      </c>
      <c r="K281" t="n">
        <v>0</v>
      </c>
      <c r="L281" t="n">
        <v>0</v>
      </c>
      <c r="M281" t="n">
        <v>0</v>
      </c>
      <c r="N281" t="n">
        <v>0</v>
      </c>
      <c r="O281" t="n">
        <v>2</v>
      </c>
      <c r="P281" t="n">
        <v>0</v>
      </c>
      <c r="Q281" t="n">
        <v>2</v>
      </c>
      <c r="R281" s="2" t="inlineStr">
        <is>
          <t>Garnlav
Lunglav</t>
        </is>
      </c>
      <c r="S281">
        <f>HYPERLINK("https://klasma.github.io/Logging_2283/artfynd/A 45084-2022 artfynd.xlsx", "A 45084-2022")</f>
        <v/>
      </c>
      <c r="T281">
        <f>HYPERLINK("https://klasma.github.io/Logging_2283/kartor/A 45084-2022 karta.png", "A 45084-2022")</f>
        <v/>
      </c>
      <c r="V281">
        <f>HYPERLINK("https://klasma.github.io/Logging_2283/klagomål/A 45084-2022 FSC-klagomål.docx", "A 45084-2022")</f>
        <v/>
      </c>
      <c r="W281">
        <f>HYPERLINK("https://klasma.github.io/Logging_2283/klagomålsmail/A 45084-2022 FSC-klagomål mail.docx", "A 45084-2022")</f>
        <v/>
      </c>
      <c r="X281">
        <f>HYPERLINK("https://klasma.github.io/Logging_2283/tillsyn/A 45084-2022 tillsynsbegäran.docx", "A 45084-2022")</f>
        <v/>
      </c>
      <c r="Y281">
        <f>HYPERLINK("https://klasma.github.io/Logging_2283/tillsynsmail/A 45084-2022 tillsynsbegäran mail.docx", "A 45084-2022")</f>
        <v/>
      </c>
    </row>
    <row r="282" ht="15" customHeight="1">
      <c r="A282" t="inlineStr">
        <is>
          <t>A 48073-2022</t>
        </is>
      </c>
      <c r="B282" s="1" t="n">
        <v>44855</v>
      </c>
      <c r="C282" s="1" t="n">
        <v>45637</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48073-2022 artfynd.xlsx", "A 48073-2022")</f>
        <v/>
      </c>
      <c r="T282">
        <f>HYPERLINK("https://klasma.github.io/Logging_2283/kartor/A 48073-2022 karta.png", "A 48073-2022")</f>
        <v/>
      </c>
      <c r="V282">
        <f>HYPERLINK("https://klasma.github.io/Logging_2283/klagomål/A 48073-2022 FSC-klagomål.docx", "A 48073-2022")</f>
        <v/>
      </c>
      <c r="W282">
        <f>HYPERLINK("https://klasma.github.io/Logging_2283/klagomålsmail/A 48073-2022 FSC-klagomål mail.docx", "A 48073-2022")</f>
        <v/>
      </c>
      <c r="X282">
        <f>HYPERLINK("https://klasma.github.io/Logging_2283/tillsyn/A 48073-2022 tillsynsbegäran.docx", "A 48073-2022")</f>
        <v/>
      </c>
      <c r="Y282">
        <f>HYPERLINK("https://klasma.github.io/Logging_2283/tillsynsmail/A 48073-2022 tillsynsbegäran mail.docx", "A 48073-2022")</f>
        <v/>
      </c>
      <c r="Z282">
        <f>HYPERLINK("https://klasma.github.io/Logging_2283/fåglar/A 48073-2022 prioriterade fågelarter.docx", "A 48073-2022")</f>
        <v/>
      </c>
    </row>
    <row r="283" ht="15" customHeight="1">
      <c r="A283" t="inlineStr">
        <is>
          <t>A 55727-2022</t>
        </is>
      </c>
      <c r="B283" s="1" t="n">
        <v>44883</v>
      </c>
      <c r="C283" s="1" t="n">
        <v>45637</v>
      </c>
      <c r="D283" t="inlineStr">
        <is>
          <t>VÄSTERNORRLANDS LÄN</t>
        </is>
      </c>
      <c r="E283" t="inlineStr">
        <is>
          <t>SOLLEFTEÅ</t>
        </is>
      </c>
      <c r="G283" t="n">
        <v>16.7</v>
      </c>
      <c r="H283" t="n">
        <v>1</v>
      </c>
      <c r="I283" t="n">
        <v>0</v>
      </c>
      <c r="J283" t="n">
        <v>2</v>
      </c>
      <c r="K283" t="n">
        <v>0</v>
      </c>
      <c r="L283" t="n">
        <v>0</v>
      </c>
      <c r="M283" t="n">
        <v>0</v>
      </c>
      <c r="N283" t="n">
        <v>0</v>
      </c>
      <c r="O283" t="n">
        <v>2</v>
      </c>
      <c r="P283" t="n">
        <v>0</v>
      </c>
      <c r="Q283" t="n">
        <v>2</v>
      </c>
      <c r="R283" s="2" t="inlineStr">
        <is>
          <t>Rosenticka
Tretåig hackspett</t>
        </is>
      </c>
      <c r="S283">
        <f>HYPERLINK("https://klasma.github.io/Logging_2283/artfynd/A 55727-2022 artfynd.xlsx", "A 55727-2022")</f>
        <v/>
      </c>
      <c r="T283">
        <f>HYPERLINK("https://klasma.github.io/Logging_2283/kartor/A 55727-2022 karta.png", "A 55727-2022")</f>
        <v/>
      </c>
      <c r="V283">
        <f>HYPERLINK("https://klasma.github.io/Logging_2283/klagomål/A 55727-2022 FSC-klagomål.docx", "A 55727-2022")</f>
        <v/>
      </c>
      <c r="W283">
        <f>HYPERLINK("https://klasma.github.io/Logging_2283/klagomålsmail/A 55727-2022 FSC-klagomål mail.docx", "A 55727-2022")</f>
        <v/>
      </c>
      <c r="X283">
        <f>HYPERLINK("https://klasma.github.io/Logging_2283/tillsyn/A 55727-2022 tillsynsbegäran.docx", "A 55727-2022")</f>
        <v/>
      </c>
      <c r="Y283">
        <f>HYPERLINK("https://klasma.github.io/Logging_2283/tillsynsmail/A 55727-2022 tillsynsbegäran mail.docx", "A 55727-2022")</f>
        <v/>
      </c>
      <c r="Z283">
        <f>HYPERLINK("https://klasma.github.io/Logging_2283/fåglar/A 55727-2022 prioriterade fågelarter.docx", "A 55727-2022")</f>
        <v/>
      </c>
    </row>
    <row r="284" ht="15" customHeight="1">
      <c r="A284" t="inlineStr">
        <is>
          <t>A 3017-2023</t>
        </is>
      </c>
      <c r="B284" s="1" t="n">
        <v>44945</v>
      </c>
      <c r="C284" s="1" t="n">
        <v>45637</v>
      </c>
      <c r="D284" t="inlineStr">
        <is>
          <t>VÄSTERNORRLANDS LÄN</t>
        </is>
      </c>
      <c r="E284" t="inlineStr">
        <is>
          <t>SOLLEFTEÅ</t>
        </is>
      </c>
      <c r="G284" t="n">
        <v>3.6</v>
      </c>
      <c r="H284" t="n">
        <v>0</v>
      </c>
      <c r="I284" t="n">
        <v>0</v>
      </c>
      <c r="J284" t="n">
        <v>2</v>
      </c>
      <c r="K284" t="n">
        <v>0</v>
      </c>
      <c r="L284" t="n">
        <v>0</v>
      </c>
      <c r="M284" t="n">
        <v>0</v>
      </c>
      <c r="N284" t="n">
        <v>0</v>
      </c>
      <c r="O284" t="n">
        <v>2</v>
      </c>
      <c r="P284" t="n">
        <v>0</v>
      </c>
      <c r="Q284" t="n">
        <v>2</v>
      </c>
      <c r="R284" s="2" t="inlineStr">
        <is>
          <t>Harticka
Ullticka</t>
        </is>
      </c>
      <c r="S284">
        <f>HYPERLINK("https://klasma.github.io/Logging_2283/artfynd/A 3017-2023 artfynd.xlsx", "A 3017-2023")</f>
        <v/>
      </c>
      <c r="T284">
        <f>HYPERLINK("https://klasma.github.io/Logging_2283/kartor/A 3017-2023 karta.png", "A 3017-2023")</f>
        <v/>
      </c>
      <c r="V284">
        <f>HYPERLINK("https://klasma.github.io/Logging_2283/klagomål/A 3017-2023 FSC-klagomål.docx", "A 3017-2023")</f>
        <v/>
      </c>
      <c r="W284">
        <f>HYPERLINK("https://klasma.github.io/Logging_2283/klagomålsmail/A 3017-2023 FSC-klagomål mail.docx", "A 3017-2023")</f>
        <v/>
      </c>
      <c r="X284">
        <f>HYPERLINK("https://klasma.github.io/Logging_2283/tillsyn/A 3017-2023 tillsynsbegäran.docx", "A 3017-2023")</f>
        <v/>
      </c>
      <c r="Y284">
        <f>HYPERLINK("https://klasma.github.io/Logging_2283/tillsynsmail/A 3017-2023 tillsynsbegäran mail.docx", "A 3017-2023")</f>
        <v/>
      </c>
    </row>
    <row r="285" ht="15" customHeight="1">
      <c r="A285" t="inlineStr">
        <is>
          <t>A 8669-2023</t>
        </is>
      </c>
      <c r="B285" s="1" t="n">
        <v>44977</v>
      </c>
      <c r="C285" s="1" t="n">
        <v>45637</v>
      </c>
      <c r="D285" t="inlineStr">
        <is>
          <t>VÄSTERNORRLANDS LÄN</t>
        </is>
      </c>
      <c r="E285" t="inlineStr">
        <is>
          <t>SOLLEFTEÅ</t>
        </is>
      </c>
      <c r="F285" t="inlineStr">
        <is>
          <t>SCA</t>
        </is>
      </c>
      <c r="G285" t="n">
        <v>2.3</v>
      </c>
      <c r="H285" t="n">
        <v>1</v>
      </c>
      <c r="I285" t="n">
        <v>1</v>
      </c>
      <c r="J285" t="n">
        <v>1</v>
      </c>
      <c r="K285" t="n">
        <v>0</v>
      </c>
      <c r="L285" t="n">
        <v>0</v>
      </c>
      <c r="M285" t="n">
        <v>0</v>
      </c>
      <c r="N285" t="n">
        <v>0</v>
      </c>
      <c r="O285" t="n">
        <v>1</v>
      </c>
      <c r="P285" t="n">
        <v>0</v>
      </c>
      <c r="Q285" t="n">
        <v>2</v>
      </c>
      <c r="R285" s="2" t="inlineStr">
        <is>
          <t>Garnlav
Lappranunkel</t>
        </is>
      </c>
      <c r="S285">
        <f>HYPERLINK("https://klasma.github.io/Logging_2283/artfynd/A 8669-2023 artfynd.xlsx", "A 8669-2023")</f>
        <v/>
      </c>
      <c r="T285">
        <f>HYPERLINK("https://klasma.github.io/Logging_2283/kartor/A 8669-2023 karta.png", "A 8669-2023")</f>
        <v/>
      </c>
      <c r="V285">
        <f>HYPERLINK("https://klasma.github.io/Logging_2283/klagomål/A 8669-2023 FSC-klagomål.docx", "A 8669-2023")</f>
        <v/>
      </c>
      <c r="W285">
        <f>HYPERLINK("https://klasma.github.io/Logging_2283/klagomålsmail/A 8669-2023 FSC-klagomål mail.docx", "A 8669-2023")</f>
        <v/>
      </c>
      <c r="X285">
        <f>HYPERLINK("https://klasma.github.io/Logging_2283/tillsyn/A 8669-2023 tillsynsbegäran.docx", "A 8669-2023")</f>
        <v/>
      </c>
      <c r="Y285">
        <f>HYPERLINK("https://klasma.github.io/Logging_2283/tillsynsmail/A 8669-2023 tillsynsbegäran mail.docx", "A 8669-2023")</f>
        <v/>
      </c>
    </row>
    <row r="286" ht="15" customHeight="1">
      <c r="A286" t="inlineStr">
        <is>
          <t>A 9363-2023</t>
        </is>
      </c>
      <c r="B286" s="1" t="n">
        <v>44980</v>
      </c>
      <c r="C286" s="1" t="n">
        <v>45637</v>
      </c>
      <c r="D286" t="inlineStr">
        <is>
          <t>VÄSTERNORRLANDS LÄN</t>
        </is>
      </c>
      <c r="E286" t="inlineStr">
        <is>
          <t>SOLLEFTEÅ</t>
        </is>
      </c>
      <c r="F286" t="inlineStr">
        <is>
          <t>SCA</t>
        </is>
      </c>
      <c r="G286" t="n">
        <v>4.7</v>
      </c>
      <c r="H286" t="n">
        <v>0</v>
      </c>
      <c r="I286" t="n">
        <v>0</v>
      </c>
      <c r="J286" t="n">
        <v>2</v>
      </c>
      <c r="K286" t="n">
        <v>0</v>
      </c>
      <c r="L286" t="n">
        <v>0</v>
      </c>
      <c r="M286" t="n">
        <v>0</v>
      </c>
      <c r="N286" t="n">
        <v>0</v>
      </c>
      <c r="O286" t="n">
        <v>2</v>
      </c>
      <c r="P286" t="n">
        <v>0</v>
      </c>
      <c r="Q286" t="n">
        <v>2</v>
      </c>
      <c r="R286" s="2" t="inlineStr">
        <is>
          <t>Garnlav
Vedskivlav</t>
        </is>
      </c>
      <c r="S286">
        <f>HYPERLINK("https://klasma.github.io/Logging_2283/artfynd/A 9363-2023 artfynd.xlsx", "A 9363-2023")</f>
        <v/>
      </c>
      <c r="T286">
        <f>HYPERLINK("https://klasma.github.io/Logging_2283/kartor/A 9363-2023 karta.png", "A 9363-2023")</f>
        <v/>
      </c>
      <c r="V286">
        <f>HYPERLINK("https://klasma.github.io/Logging_2283/klagomål/A 9363-2023 FSC-klagomål.docx", "A 9363-2023")</f>
        <v/>
      </c>
      <c r="W286">
        <f>HYPERLINK("https://klasma.github.io/Logging_2283/klagomålsmail/A 9363-2023 FSC-klagomål mail.docx", "A 9363-2023")</f>
        <v/>
      </c>
      <c r="X286">
        <f>HYPERLINK("https://klasma.github.io/Logging_2283/tillsyn/A 9363-2023 tillsynsbegäran.docx", "A 9363-2023")</f>
        <v/>
      </c>
      <c r="Y286">
        <f>HYPERLINK("https://klasma.github.io/Logging_2283/tillsynsmail/A 9363-2023 tillsynsbegäran mail.docx", "A 9363-2023")</f>
        <v/>
      </c>
    </row>
    <row r="287" ht="15" customHeight="1">
      <c r="A287" t="inlineStr">
        <is>
          <t>A 13000-2023</t>
        </is>
      </c>
      <c r="B287" s="1" t="n">
        <v>45002</v>
      </c>
      <c r="C287" s="1" t="n">
        <v>45637</v>
      </c>
      <c r="D287" t="inlineStr">
        <is>
          <t>VÄSTERNORRLANDS LÄN</t>
        </is>
      </c>
      <c r="E287" t="inlineStr">
        <is>
          <t>SOLLEFTEÅ</t>
        </is>
      </c>
      <c r="F287" t="inlineStr">
        <is>
          <t>SCA</t>
        </is>
      </c>
      <c r="G287" t="n">
        <v>93.5</v>
      </c>
      <c r="H287" t="n">
        <v>1</v>
      </c>
      <c r="I287" t="n">
        <v>0</v>
      </c>
      <c r="J287" t="n">
        <v>1</v>
      </c>
      <c r="K287" t="n">
        <v>0</v>
      </c>
      <c r="L287" t="n">
        <v>0</v>
      </c>
      <c r="M287" t="n">
        <v>0</v>
      </c>
      <c r="N287" t="n">
        <v>0</v>
      </c>
      <c r="O287" t="n">
        <v>1</v>
      </c>
      <c r="P287" t="n">
        <v>0</v>
      </c>
      <c r="Q287" t="n">
        <v>2</v>
      </c>
      <c r="R287" s="2" t="inlineStr">
        <is>
          <t>Månlåsbräken
Fläcknycklar</t>
        </is>
      </c>
      <c r="S287">
        <f>HYPERLINK("https://klasma.github.io/Logging_2283/artfynd/A 13000-2023 artfynd.xlsx", "A 13000-2023")</f>
        <v/>
      </c>
      <c r="T287">
        <f>HYPERLINK("https://klasma.github.io/Logging_2283/kartor/A 13000-2023 karta.png", "A 13000-2023")</f>
        <v/>
      </c>
      <c r="U287">
        <f>HYPERLINK("https://klasma.github.io/Logging_2283/knärot/A 13000-2023 karta knärot.png", "A 13000-2023")</f>
        <v/>
      </c>
      <c r="V287">
        <f>HYPERLINK("https://klasma.github.io/Logging_2283/klagomål/A 13000-2023 FSC-klagomål.docx", "A 13000-2023")</f>
        <v/>
      </c>
      <c r="W287">
        <f>HYPERLINK("https://klasma.github.io/Logging_2283/klagomålsmail/A 13000-2023 FSC-klagomål mail.docx", "A 13000-2023")</f>
        <v/>
      </c>
      <c r="X287">
        <f>HYPERLINK("https://klasma.github.io/Logging_2283/tillsyn/A 13000-2023 tillsynsbegäran.docx", "A 13000-2023")</f>
        <v/>
      </c>
      <c r="Y287">
        <f>HYPERLINK("https://klasma.github.io/Logging_2283/tillsynsmail/A 13000-2023 tillsynsbegäran mail.docx", "A 13000-2023")</f>
        <v/>
      </c>
    </row>
    <row r="288" ht="15" customHeight="1">
      <c r="A288" t="inlineStr">
        <is>
          <t>A 33036-2023</t>
        </is>
      </c>
      <c r="B288" s="1" t="n">
        <v>45125</v>
      </c>
      <c r="C288" s="1" t="n">
        <v>45637</v>
      </c>
      <c r="D288" t="inlineStr">
        <is>
          <t>VÄSTERNORRLANDS LÄN</t>
        </is>
      </c>
      <c r="E288" t="inlineStr">
        <is>
          <t>SOLLEFTEÅ</t>
        </is>
      </c>
      <c r="F288" t="inlineStr">
        <is>
          <t>SCA</t>
        </is>
      </c>
      <c r="G288" t="n">
        <v>12</v>
      </c>
      <c r="H288" t="n">
        <v>0</v>
      </c>
      <c r="I288" t="n">
        <v>1</v>
      </c>
      <c r="J288" t="n">
        <v>1</v>
      </c>
      <c r="K288" t="n">
        <v>0</v>
      </c>
      <c r="L288" t="n">
        <v>0</v>
      </c>
      <c r="M288" t="n">
        <v>0</v>
      </c>
      <c r="N288" t="n">
        <v>0</v>
      </c>
      <c r="O288" t="n">
        <v>1</v>
      </c>
      <c r="P288" t="n">
        <v>0</v>
      </c>
      <c r="Q288" t="n">
        <v>2</v>
      </c>
      <c r="R288" s="2" t="inlineStr">
        <is>
          <t>Småflikig brosklav
Stuplav</t>
        </is>
      </c>
      <c r="S288">
        <f>HYPERLINK("https://klasma.github.io/Logging_2283/artfynd/A 33036-2023 artfynd.xlsx", "A 33036-2023")</f>
        <v/>
      </c>
      <c r="T288">
        <f>HYPERLINK("https://klasma.github.io/Logging_2283/kartor/A 33036-2023 karta.png", "A 33036-2023")</f>
        <v/>
      </c>
      <c r="V288">
        <f>HYPERLINK("https://klasma.github.io/Logging_2283/klagomål/A 33036-2023 FSC-klagomål.docx", "A 33036-2023")</f>
        <v/>
      </c>
      <c r="W288">
        <f>HYPERLINK("https://klasma.github.io/Logging_2283/klagomålsmail/A 33036-2023 FSC-klagomål mail.docx", "A 33036-2023")</f>
        <v/>
      </c>
      <c r="X288">
        <f>HYPERLINK("https://klasma.github.io/Logging_2283/tillsyn/A 33036-2023 tillsynsbegäran.docx", "A 33036-2023")</f>
        <v/>
      </c>
      <c r="Y288">
        <f>HYPERLINK("https://klasma.github.io/Logging_2283/tillsynsmail/A 33036-2023 tillsynsbegäran mail.docx", "A 33036-2023")</f>
        <v/>
      </c>
    </row>
    <row r="289" ht="15" customHeight="1">
      <c r="A289" t="inlineStr">
        <is>
          <t>A 35587-2023</t>
        </is>
      </c>
      <c r="B289" s="1" t="n">
        <v>45147</v>
      </c>
      <c r="C289" s="1" t="n">
        <v>45637</v>
      </c>
      <c r="D289" t="inlineStr">
        <is>
          <t>VÄSTERNORRLANDS LÄN</t>
        </is>
      </c>
      <c r="E289" t="inlineStr">
        <is>
          <t>SOLLEFTEÅ</t>
        </is>
      </c>
      <c r="F289" t="inlineStr">
        <is>
          <t>Holmen skog AB</t>
        </is>
      </c>
      <c r="G289" t="n">
        <v>5.1</v>
      </c>
      <c r="H289" t="n">
        <v>0</v>
      </c>
      <c r="I289" t="n">
        <v>1</v>
      </c>
      <c r="J289" t="n">
        <v>0</v>
      </c>
      <c r="K289" t="n">
        <v>1</v>
      </c>
      <c r="L289" t="n">
        <v>0</v>
      </c>
      <c r="M289" t="n">
        <v>0</v>
      </c>
      <c r="N289" t="n">
        <v>0</v>
      </c>
      <c r="O289" t="n">
        <v>1</v>
      </c>
      <c r="P289" t="n">
        <v>1</v>
      </c>
      <c r="Q289" t="n">
        <v>2</v>
      </c>
      <c r="R289" s="2" t="inlineStr">
        <is>
          <t>Fläckporing
Dropptaggsvamp</t>
        </is>
      </c>
      <c r="S289">
        <f>HYPERLINK("https://klasma.github.io/Logging_2283/artfynd/A 35587-2023 artfynd.xlsx", "A 35587-2023")</f>
        <v/>
      </c>
      <c r="T289">
        <f>HYPERLINK("https://klasma.github.io/Logging_2283/kartor/A 35587-2023 karta.png", "A 35587-2023")</f>
        <v/>
      </c>
      <c r="V289">
        <f>HYPERLINK("https://klasma.github.io/Logging_2283/klagomål/A 35587-2023 FSC-klagomål.docx", "A 35587-2023")</f>
        <v/>
      </c>
      <c r="W289">
        <f>HYPERLINK("https://klasma.github.io/Logging_2283/klagomålsmail/A 35587-2023 FSC-klagomål mail.docx", "A 35587-2023")</f>
        <v/>
      </c>
      <c r="X289">
        <f>HYPERLINK("https://klasma.github.io/Logging_2283/tillsyn/A 35587-2023 tillsynsbegäran.docx", "A 35587-2023")</f>
        <v/>
      </c>
      <c r="Y289">
        <f>HYPERLINK("https://klasma.github.io/Logging_2283/tillsynsmail/A 35587-2023 tillsynsbegäran mail.docx", "A 35587-2023")</f>
        <v/>
      </c>
    </row>
    <row r="290" ht="15" customHeight="1">
      <c r="A290" t="inlineStr">
        <is>
          <t>A 40419-2023</t>
        </is>
      </c>
      <c r="B290" s="1" t="n">
        <v>45169</v>
      </c>
      <c r="C290" s="1" t="n">
        <v>45637</v>
      </c>
      <c r="D290" t="inlineStr">
        <is>
          <t>VÄSTERNORRLANDS LÄN</t>
        </is>
      </c>
      <c r="E290" t="inlineStr">
        <is>
          <t>SOLLEFTEÅ</t>
        </is>
      </c>
      <c r="F290" t="inlineStr">
        <is>
          <t>SCA</t>
        </is>
      </c>
      <c r="G290" t="n">
        <v>7.9</v>
      </c>
      <c r="H290" t="n">
        <v>1</v>
      </c>
      <c r="I290" t="n">
        <v>0</v>
      </c>
      <c r="J290" t="n">
        <v>1</v>
      </c>
      <c r="K290" t="n">
        <v>1</v>
      </c>
      <c r="L290" t="n">
        <v>0</v>
      </c>
      <c r="M290" t="n">
        <v>0</v>
      </c>
      <c r="N290" t="n">
        <v>0</v>
      </c>
      <c r="O290" t="n">
        <v>2</v>
      </c>
      <c r="P290" t="n">
        <v>1</v>
      </c>
      <c r="Q290" t="n">
        <v>2</v>
      </c>
      <c r="R290" s="2" t="inlineStr">
        <is>
          <t>Knärot
Lunglav</t>
        </is>
      </c>
      <c r="S290">
        <f>HYPERLINK("https://klasma.github.io/Logging_2283/artfynd/A 40419-2023 artfynd.xlsx", "A 40419-2023")</f>
        <v/>
      </c>
      <c r="T290">
        <f>HYPERLINK("https://klasma.github.io/Logging_2283/kartor/A 40419-2023 karta.png", "A 40419-2023")</f>
        <v/>
      </c>
      <c r="U290">
        <f>HYPERLINK("https://klasma.github.io/Logging_2283/knärot/A 40419-2023 karta knärot.png", "A 40419-2023")</f>
        <v/>
      </c>
      <c r="V290">
        <f>HYPERLINK("https://klasma.github.io/Logging_2283/klagomål/A 40419-2023 FSC-klagomål.docx", "A 40419-2023")</f>
        <v/>
      </c>
      <c r="W290">
        <f>HYPERLINK("https://klasma.github.io/Logging_2283/klagomålsmail/A 40419-2023 FSC-klagomål mail.docx", "A 40419-2023")</f>
        <v/>
      </c>
      <c r="X290">
        <f>HYPERLINK("https://klasma.github.io/Logging_2283/tillsyn/A 40419-2023 tillsynsbegäran.docx", "A 40419-2023")</f>
        <v/>
      </c>
      <c r="Y290">
        <f>HYPERLINK("https://klasma.github.io/Logging_2283/tillsynsmail/A 40419-2023 tillsynsbegäran mail.docx", "A 40419-2023")</f>
        <v/>
      </c>
    </row>
    <row r="291" ht="15" customHeight="1">
      <c r="A291" t="inlineStr">
        <is>
          <t>A 40866-2023</t>
        </is>
      </c>
      <c r="B291" s="1" t="n">
        <v>45173</v>
      </c>
      <c r="C291" s="1" t="n">
        <v>45637</v>
      </c>
      <c r="D291" t="inlineStr">
        <is>
          <t>VÄSTERNORRLANDS LÄN</t>
        </is>
      </c>
      <c r="E291" t="inlineStr">
        <is>
          <t>SOLLEFTEÅ</t>
        </is>
      </c>
      <c r="G291" t="n">
        <v>1.7</v>
      </c>
      <c r="H291" t="n">
        <v>1</v>
      </c>
      <c r="I291" t="n">
        <v>1</v>
      </c>
      <c r="J291" t="n">
        <v>0</v>
      </c>
      <c r="K291" t="n">
        <v>0</v>
      </c>
      <c r="L291" t="n">
        <v>0</v>
      </c>
      <c r="M291" t="n">
        <v>0</v>
      </c>
      <c r="N291" t="n">
        <v>0</v>
      </c>
      <c r="O291" t="n">
        <v>0</v>
      </c>
      <c r="P291" t="n">
        <v>0</v>
      </c>
      <c r="Q291" t="n">
        <v>2</v>
      </c>
      <c r="R291" s="2" t="inlineStr">
        <is>
          <t>Tibast
Skogsödla</t>
        </is>
      </c>
      <c r="S291">
        <f>HYPERLINK("https://klasma.github.io/Logging_2283/artfynd/A 40866-2023 artfynd.xlsx", "A 40866-2023")</f>
        <v/>
      </c>
      <c r="T291">
        <f>HYPERLINK("https://klasma.github.io/Logging_2283/kartor/A 40866-2023 karta.png", "A 40866-2023")</f>
        <v/>
      </c>
      <c r="V291">
        <f>HYPERLINK("https://klasma.github.io/Logging_2283/klagomål/A 40866-2023 FSC-klagomål.docx", "A 40866-2023")</f>
        <v/>
      </c>
      <c r="W291">
        <f>HYPERLINK("https://klasma.github.io/Logging_2283/klagomålsmail/A 40866-2023 FSC-klagomål mail.docx", "A 40866-2023")</f>
        <v/>
      </c>
      <c r="X291">
        <f>HYPERLINK("https://klasma.github.io/Logging_2283/tillsyn/A 40866-2023 tillsynsbegäran.docx", "A 40866-2023")</f>
        <v/>
      </c>
      <c r="Y291">
        <f>HYPERLINK("https://klasma.github.io/Logging_2283/tillsynsmail/A 40866-2023 tillsynsbegäran mail.docx", "A 40866-2023")</f>
        <v/>
      </c>
    </row>
    <row r="292" ht="15" customHeight="1">
      <c r="A292" t="inlineStr">
        <is>
          <t>A 48489-2023</t>
        </is>
      </c>
      <c r="B292" s="1" t="n">
        <v>45206</v>
      </c>
      <c r="C292" s="1" t="n">
        <v>45637</v>
      </c>
      <c r="D292" t="inlineStr">
        <is>
          <t>VÄSTERNORRLANDS LÄN</t>
        </is>
      </c>
      <c r="E292" t="inlineStr">
        <is>
          <t>SOLLEFTEÅ</t>
        </is>
      </c>
      <c r="F292" t="inlineStr">
        <is>
          <t>SCA</t>
        </is>
      </c>
      <c r="G292" t="n">
        <v>51.8</v>
      </c>
      <c r="H292" t="n">
        <v>2</v>
      </c>
      <c r="I292" t="n">
        <v>0</v>
      </c>
      <c r="J292" t="n">
        <v>2</v>
      </c>
      <c r="K292" t="n">
        <v>0</v>
      </c>
      <c r="L292" t="n">
        <v>0</v>
      </c>
      <c r="M292" t="n">
        <v>0</v>
      </c>
      <c r="N292" t="n">
        <v>0</v>
      </c>
      <c r="O292" t="n">
        <v>2</v>
      </c>
      <c r="P292" t="n">
        <v>0</v>
      </c>
      <c r="Q292" t="n">
        <v>2</v>
      </c>
      <c r="R292" s="2" t="inlineStr">
        <is>
          <t>Spillkråka
Talltita</t>
        </is>
      </c>
      <c r="S292">
        <f>HYPERLINK("https://klasma.github.io/Logging_2283/artfynd/A 48489-2023 artfynd.xlsx", "A 48489-2023")</f>
        <v/>
      </c>
      <c r="T292">
        <f>HYPERLINK("https://klasma.github.io/Logging_2283/kartor/A 48489-2023 karta.png", "A 48489-2023")</f>
        <v/>
      </c>
      <c r="V292">
        <f>HYPERLINK("https://klasma.github.io/Logging_2283/klagomål/A 48489-2023 FSC-klagomål.docx", "A 48489-2023")</f>
        <v/>
      </c>
      <c r="W292">
        <f>HYPERLINK("https://klasma.github.io/Logging_2283/klagomålsmail/A 48489-2023 FSC-klagomål mail.docx", "A 48489-2023")</f>
        <v/>
      </c>
      <c r="X292">
        <f>HYPERLINK("https://klasma.github.io/Logging_2283/tillsyn/A 48489-2023 tillsynsbegäran.docx", "A 48489-2023")</f>
        <v/>
      </c>
      <c r="Y292">
        <f>HYPERLINK("https://klasma.github.io/Logging_2283/tillsynsmail/A 48489-2023 tillsynsbegäran mail.docx", "A 48489-2023")</f>
        <v/>
      </c>
      <c r="Z292">
        <f>HYPERLINK("https://klasma.github.io/Logging_2283/fåglar/A 48489-2023 prioriterade fågelarter.docx", "A 48489-2023")</f>
        <v/>
      </c>
    </row>
    <row r="293" ht="15" customHeight="1">
      <c r="A293" t="inlineStr">
        <is>
          <t>A 53949-2023</t>
        </is>
      </c>
      <c r="B293" s="1" t="n">
        <v>45224</v>
      </c>
      <c r="C293" s="1" t="n">
        <v>45637</v>
      </c>
      <c r="D293" t="inlineStr">
        <is>
          <t>VÄSTERNORRLANDS LÄN</t>
        </is>
      </c>
      <c r="E293" t="inlineStr">
        <is>
          <t>SOLLEFTEÅ</t>
        </is>
      </c>
      <c r="G293" t="n">
        <v>4</v>
      </c>
      <c r="H293" t="n">
        <v>1</v>
      </c>
      <c r="I293" t="n">
        <v>0</v>
      </c>
      <c r="J293" t="n">
        <v>1</v>
      </c>
      <c r="K293" t="n">
        <v>0</v>
      </c>
      <c r="L293" t="n">
        <v>0</v>
      </c>
      <c r="M293" t="n">
        <v>0</v>
      </c>
      <c r="N293" t="n">
        <v>0</v>
      </c>
      <c r="O293" t="n">
        <v>1</v>
      </c>
      <c r="P293" t="n">
        <v>0</v>
      </c>
      <c r="Q293" t="n">
        <v>2</v>
      </c>
      <c r="R293" s="2" t="inlineStr">
        <is>
          <t>Granticka
Fläcknycklar</t>
        </is>
      </c>
      <c r="S293">
        <f>HYPERLINK("https://klasma.github.io/Logging_2283/artfynd/A 53949-2023 artfynd.xlsx", "A 53949-2023")</f>
        <v/>
      </c>
      <c r="T293">
        <f>HYPERLINK("https://klasma.github.io/Logging_2283/kartor/A 53949-2023 karta.png", "A 53949-2023")</f>
        <v/>
      </c>
      <c r="V293">
        <f>HYPERLINK("https://klasma.github.io/Logging_2283/klagomål/A 53949-2023 FSC-klagomål.docx", "A 53949-2023")</f>
        <v/>
      </c>
      <c r="W293">
        <f>HYPERLINK("https://klasma.github.io/Logging_2283/klagomålsmail/A 53949-2023 FSC-klagomål mail.docx", "A 53949-2023")</f>
        <v/>
      </c>
      <c r="X293">
        <f>HYPERLINK("https://klasma.github.io/Logging_2283/tillsyn/A 53949-2023 tillsynsbegäran.docx", "A 53949-2023")</f>
        <v/>
      </c>
      <c r="Y293">
        <f>HYPERLINK("https://klasma.github.io/Logging_2283/tillsynsmail/A 53949-2023 tillsynsbegäran mail.docx", "A 53949-2023")</f>
        <v/>
      </c>
    </row>
    <row r="294" ht="15" customHeight="1">
      <c r="A294" t="inlineStr">
        <is>
          <t>A 58827-2023</t>
        </is>
      </c>
      <c r="B294" s="1" t="n">
        <v>45247</v>
      </c>
      <c r="C294" s="1" t="n">
        <v>45637</v>
      </c>
      <c r="D294" t="inlineStr">
        <is>
          <t>VÄSTERNORRLANDS LÄN</t>
        </is>
      </c>
      <c r="E294" t="inlineStr">
        <is>
          <t>SOLLEFTEÅ</t>
        </is>
      </c>
      <c r="G294" t="n">
        <v>2.2</v>
      </c>
      <c r="H294" t="n">
        <v>1</v>
      </c>
      <c r="I294" t="n">
        <v>0</v>
      </c>
      <c r="J294" t="n">
        <v>1</v>
      </c>
      <c r="K294" t="n">
        <v>0</v>
      </c>
      <c r="L294" t="n">
        <v>0</v>
      </c>
      <c r="M294" t="n">
        <v>0</v>
      </c>
      <c r="N294" t="n">
        <v>0</v>
      </c>
      <c r="O294" t="n">
        <v>1</v>
      </c>
      <c r="P294" t="n">
        <v>0</v>
      </c>
      <c r="Q294" t="n">
        <v>2</v>
      </c>
      <c r="R294" s="2" t="inlineStr">
        <is>
          <t>Garnlav
Mattlummer</t>
        </is>
      </c>
      <c r="S294">
        <f>HYPERLINK("https://klasma.github.io/Logging_2283/artfynd/A 58827-2023 artfynd.xlsx", "A 58827-2023")</f>
        <v/>
      </c>
      <c r="T294">
        <f>HYPERLINK("https://klasma.github.io/Logging_2283/kartor/A 58827-2023 karta.png", "A 58827-2023")</f>
        <v/>
      </c>
      <c r="V294">
        <f>HYPERLINK("https://klasma.github.io/Logging_2283/klagomål/A 58827-2023 FSC-klagomål.docx", "A 58827-2023")</f>
        <v/>
      </c>
      <c r="W294">
        <f>HYPERLINK("https://klasma.github.io/Logging_2283/klagomålsmail/A 58827-2023 FSC-klagomål mail.docx", "A 58827-2023")</f>
        <v/>
      </c>
      <c r="X294">
        <f>HYPERLINK("https://klasma.github.io/Logging_2283/tillsyn/A 58827-2023 tillsynsbegäran.docx", "A 58827-2023")</f>
        <v/>
      </c>
      <c r="Y294">
        <f>HYPERLINK("https://klasma.github.io/Logging_2283/tillsynsmail/A 58827-2023 tillsynsbegäran mail.docx", "A 58827-2023")</f>
        <v/>
      </c>
    </row>
    <row r="295" ht="15" customHeight="1">
      <c r="A295" t="inlineStr">
        <is>
          <t>A 2515-2024</t>
        </is>
      </c>
      <c r="B295" s="1" t="n">
        <v>45313</v>
      </c>
      <c r="C295" s="1" t="n">
        <v>45637</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6698-2024</t>
        </is>
      </c>
      <c r="B296" s="1" t="n">
        <v>45341</v>
      </c>
      <c r="C296" s="1" t="n">
        <v>45637</v>
      </c>
      <c r="D296" t="inlineStr">
        <is>
          <t>VÄSTERNORRLANDS LÄN</t>
        </is>
      </c>
      <c r="E296" t="inlineStr">
        <is>
          <t>SOLLEFTEÅ</t>
        </is>
      </c>
      <c r="F296" t="inlineStr">
        <is>
          <t>SCA</t>
        </is>
      </c>
      <c r="G296" t="n">
        <v>3</v>
      </c>
      <c r="H296" t="n">
        <v>0</v>
      </c>
      <c r="I296" t="n">
        <v>0</v>
      </c>
      <c r="J296" t="n">
        <v>2</v>
      </c>
      <c r="K296" t="n">
        <v>0</v>
      </c>
      <c r="L296" t="n">
        <v>0</v>
      </c>
      <c r="M296" t="n">
        <v>0</v>
      </c>
      <c r="N296" t="n">
        <v>0</v>
      </c>
      <c r="O296" t="n">
        <v>2</v>
      </c>
      <c r="P296" t="n">
        <v>0</v>
      </c>
      <c r="Q296" t="n">
        <v>2</v>
      </c>
      <c r="R296" s="2" t="inlineStr">
        <is>
          <t>Granticka
Harticka</t>
        </is>
      </c>
      <c r="S296">
        <f>HYPERLINK("https://klasma.github.io/Logging_2283/artfynd/A 6698-2024 artfynd.xlsx", "A 6698-2024")</f>
        <v/>
      </c>
      <c r="T296">
        <f>HYPERLINK("https://klasma.github.io/Logging_2283/kartor/A 6698-2024 karta.png", "A 6698-2024")</f>
        <v/>
      </c>
      <c r="V296">
        <f>HYPERLINK("https://klasma.github.io/Logging_2283/klagomål/A 6698-2024 FSC-klagomål.docx", "A 6698-2024")</f>
        <v/>
      </c>
      <c r="W296">
        <f>HYPERLINK("https://klasma.github.io/Logging_2283/klagomålsmail/A 6698-2024 FSC-klagomål mail.docx", "A 6698-2024")</f>
        <v/>
      </c>
      <c r="X296">
        <f>HYPERLINK("https://klasma.github.io/Logging_2283/tillsyn/A 6698-2024 tillsynsbegäran.docx", "A 6698-2024")</f>
        <v/>
      </c>
      <c r="Y296">
        <f>HYPERLINK("https://klasma.github.io/Logging_2283/tillsynsmail/A 6698-2024 tillsynsbegäran mail.docx", "A 6698-2024")</f>
        <v/>
      </c>
    </row>
    <row r="297" ht="15" customHeight="1">
      <c r="A297" t="inlineStr">
        <is>
          <t>A 7108-2024</t>
        </is>
      </c>
      <c r="B297" s="1" t="n">
        <v>45343</v>
      </c>
      <c r="C297" s="1" t="n">
        <v>45637</v>
      </c>
      <c r="D297" t="inlineStr">
        <is>
          <t>VÄSTERNORRLANDS LÄN</t>
        </is>
      </c>
      <c r="E297" t="inlineStr">
        <is>
          <t>SOLLEFTEÅ</t>
        </is>
      </c>
      <c r="F297" t="inlineStr">
        <is>
          <t>SCA</t>
        </is>
      </c>
      <c r="G297" t="n">
        <v>3.8</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HYPERLINK("https://klasma.github.io/Logging_2283/artfynd/A 7108-2024 artfynd.xlsx", "A 7108-2024")</f>
        <v/>
      </c>
      <c r="T297">
        <f>HYPERLINK("https://klasma.github.io/Logging_2283/kartor/A 7108-2024 karta.png", "A 7108-2024")</f>
        <v/>
      </c>
      <c r="V297">
        <f>HYPERLINK("https://klasma.github.io/Logging_2283/klagomål/A 7108-2024 FSC-klagomål.docx", "A 7108-2024")</f>
        <v/>
      </c>
      <c r="W297">
        <f>HYPERLINK("https://klasma.github.io/Logging_2283/klagomålsmail/A 7108-2024 FSC-klagomål mail.docx", "A 7108-2024")</f>
        <v/>
      </c>
      <c r="X297">
        <f>HYPERLINK("https://klasma.github.io/Logging_2283/tillsyn/A 7108-2024 tillsynsbegäran.docx", "A 7108-2024")</f>
        <v/>
      </c>
      <c r="Y297">
        <f>HYPERLINK("https://klasma.github.io/Logging_2283/tillsynsmail/A 7108-2024 tillsynsbegäran mail.docx", "A 7108-2024")</f>
        <v/>
      </c>
    </row>
    <row r="298" ht="15" customHeight="1">
      <c r="A298" t="inlineStr">
        <is>
          <t>A 7109-2024</t>
        </is>
      </c>
      <c r="B298" s="1" t="n">
        <v>45343</v>
      </c>
      <c r="C298" s="1" t="n">
        <v>45637</v>
      </c>
      <c r="D298" t="inlineStr">
        <is>
          <t>VÄSTERNORRLANDS LÄN</t>
        </is>
      </c>
      <c r="E298" t="inlineStr">
        <is>
          <t>SOLLEFTEÅ</t>
        </is>
      </c>
      <c r="F298" t="inlineStr">
        <is>
          <t>SCA</t>
        </is>
      </c>
      <c r="G298" t="n">
        <v>11</v>
      </c>
      <c r="H298" t="n">
        <v>1</v>
      </c>
      <c r="I298" t="n">
        <v>0</v>
      </c>
      <c r="J298" t="n">
        <v>2</v>
      </c>
      <c r="K298" t="n">
        <v>0</v>
      </c>
      <c r="L298" t="n">
        <v>0</v>
      </c>
      <c r="M298" t="n">
        <v>0</v>
      </c>
      <c r="N298" t="n">
        <v>0</v>
      </c>
      <c r="O298" t="n">
        <v>2</v>
      </c>
      <c r="P298" t="n">
        <v>0</v>
      </c>
      <c r="Q298" t="n">
        <v>2</v>
      </c>
      <c r="R298" s="2" t="inlineStr">
        <is>
          <t>Garnlav
Tretåig hackspett</t>
        </is>
      </c>
      <c r="S298">
        <f>HYPERLINK("https://klasma.github.io/Logging_2283/artfynd/A 7109-2024 artfynd.xlsx", "A 7109-2024")</f>
        <v/>
      </c>
      <c r="T298">
        <f>HYPERLINK("https://klasma.github.io/Logging_2283/kartor/A 7109-2024 karta.png", "A 7109-2024")</f>
        <v/>
      </c>
      <c r="V298">
        <f>HYPERLINK("https://klasma.github.io/Logging_2283/klagomål/A 7109-2024 FSC-klagomål.docx", "A 7109-2024")</f>
        <v/>
      </c>
      <c r="W298">
        <f>HYPERLINK("https://klasma.github.io/Logging_2283/klagomålsmail/A 7109-2024 FSC-klagomål mail.docx", "A 7109-2024")</f>
        <v/>
      </c>
      <c r="X298">
        <f>HYPERLINK("https://klasma.github.io/Logging_2283/tillsyn/A 7109-2024 tillsynsbegäran.docx", "A 7109-2024")</f>
        <v/>
      </c>
      <c r="Y298">
        <f>HYPERLINK("https://klasma.github.io/Logging_2283/tillsynsmail/A 7109-2024 tillsynsbegäran mail.docx", "A 7109-2024")</f>
        <v/>
      </c>
      <c r="Z298">
        <f>HYPERLINK("https://klasma.github.io/Logging_2283/fåglar/A 7109-2024 prioriterade fågelarter.docx", "A 7109-2024")</f>
        <v/>
      </c>
    </row>
    <row r="299" ht="15" customHeight="1">
      <c r="A299" t="inlineStr">
        <is>
          <t>A 9554-2024</t>
        </is>
      </c>
      <c r="B299" s="1" t="n">
        <v>45360</v>
      </c>
      <c r="C299" s="1" t="n">
        <v>45637</v>
      </c>
      <c r="D299" t="inlineStr">
        <is>
          <t>VÄSTERNORRLANDS LÄN</t>
        </is>
      </c>
      <c r="E299" t="inlineStr">
        <is>
          <t>SOLLEFTEÅ</t>
        </is>
      </c>
      <c r="F299" t="inlineStr">
        <is>
          <t>SCA</t>
        </is>
      </c>
      <c r="G299" t="n">
        <v>7.3</v>
      </c>
      <c r="H299" t="n">
        <v>2</v>
      </c>
      <c r="I299" t="n">
        <v>0</v>
      </c>
      <c r="J299" t="n">
        <v>0</v>
      </c>
      <c r="K299" t="n">
        <v>1</v>
      </c>
      <c r="L299" t="n">
        <v>0</v>
      </c>
      <c r="M299" t="n">
        <v>0</v>
      </c>
      <c r="N299" t="n">
        <v>0</v>
      </c>
      <c r="O299" t="n">
        <v>1</v>
      </c>
      <c r="P299" t="n">
        <v>1</v>
      </c>
      <c r="Q299" t="n">
        <v>2</v>
      </c>
      <c r="R299" s="2" t="inlineStr">
        <is>
          <t>Knärot
Revlummer</t>
        </is>
      </c>
      <c r="S299">
        <f>HYPERLINK("https://klasma.github.io/Logging_2283/artfynd/A 9554-2024 artfynd.xlsx", "A 9554-2024")</f>
        <v/>
      </c>
      <c r="T299">
        <f>HYPERLINK("https://klasma.github.io/Logging_2283/kartor/A 9554-2024 karta.png", "A 9554-2024")</f>
        <v/>
      </c>
      <c r="U299">
        <f>HYPERLINK("https://klasma.github.io/Logging_2283/knärot/A 9554-2024 karta knärot.png", "A 9554-2024")</f>
        <v/>
      </c>
      <c r="V299">
        <f>HYPERLINK("https://klasma.github.io/Logging_2283/klagomål/A 9554-2024 FSC-klagomål.docx", "A 9554-2024")</f>
        <v/>
      </c>
      <c r="W299">
        <f>HYPERLINK("https://klasma.github.io/Logging_2283/klagomålsmail/A 9554-2024 FSC-klagomål mail.docx", "A 9554-2024")</f>
        <v/>
      </c>
      <c r="X299">
        <f>HYPERLINK("https://klasma.github.io/Logging_2283/tillsyn/A 9554-2024 tillsynsbegäran.docx", "A 9554-2024")</f>
        <v/>
      </c>
      <c r="Y299">
        <f>HYPERLINK("https://klasma.github.io/Logging_2283/tillsynsmail/A 9554-2024 tillsynsbegäran mail.docx", "A 9554-2024")</f>
        <v/>
      </c>
    </row>
    <row r="300" ht="15" customHeight="1">
      <c r="A300" t="inlineStr">
        <is>
          <t>A 19080-2024</t>
        </is>
      </c>
      <c r="B300" s="1" t="n">
        <v>45428</v>
      </c>
      <c r="C300" s="1" t="n">
        <v>45637</v>
      </c>
      <c r="D300" t="inlineStr">
        <is>
          <t>VÄSTERNORRLANDS LÄN</t>
        </is>
      </c>
      <c r="E300" t="inlineStr">
        <is>
          <t>SOLLEFTEÅ</t>
        </is>
      </c>
      <c r="F300" t="inlineStr">
        <is>
          <t>SCA</t>
        </is>
      </c>
      <c r="G300" t="n">
        <v>1.2</v>
      </c>
      <c r="H300" t="n">
        <v>0</v>
      </c>
      <c r="I300" t="n">
        <v>1</v>
      </c>
      <c r="J300" t="n">
        <v>1</v>
      </c>
      <c r="K300" t="n">
        <v>0</v>
      </c>
      <c r="L300" t="n">
        <v>0</v>
      </c>
      <c r="M300" t="n">
        <v>0</v>
      </c>
      <c r="N300" t="n">
        <v>0</v>
      </c>
      <c r="O300" t="n">
        <v>1</v>
      </c>
      <c r="P300" t="n">
        <v>0</v>
      </c>
      <c r="Q300" t="n">
        <v>2</v>
      </c>
      <c r="R300" s="2" t="inlineStr">
        <is>
          <t>Garnlav
Stor aspticka</t>
        </is>
      </c>
      <c r="S300">
        <f>HYPERLINK("https://klasma.github.io/Logging_2283/artfynd/A 19080-2024 artfynd.xlsx", "A 19080-2024")</f>
        <v/>
      </c>
      <c r="T300">
        <f>HYPERLINK("https://klasma.github.io/Logging_2283/kartor/A 19080-2024 karta.png", "A 19080-2024")</f>
        <v/>
      </c>
      <c r="V300">
        <f>HYPERLINK("https://klasma.github.io/Logging_2283/klagomål/A 19080-2024 FSC-klagomål.docx", "A 19080-2024")</f>
        <v/>
      </c>
      <c r="W300">
        <f>HYPERLINK("https://klasma.github.io/Logging_2283/klagomålsmail/A 19080-2024 FSC-klagomål mail.docx", "A 19080-2024")</f>
        <v/>
      </c>
      <c r="X300">
        <f>HYPERLINK("https://klasma.github.io/Logging_2283/tillsyn/A 19080-2024 tillsynsbegäran.docx", "A 19080-2024")</f>
        <v/>
      </c>
      <c r="Y300">
        <f>HYPERLINK("https://klasma.github.io/Logging_2283/tillsynsmail/A 19080-2024 tillsynsbegäran mail.docx", "A 19080-2024")</f>
        <v/>
      </c>
    </row>
    <row r="301" ht="15" customHeight="1">
      <c r="A301" t="inlineStr">
        <is>
          <t>A 27644-2024</t>
        </is>
      </c>
      <c r="B301" s="1" t="n">
        <v>45474</v>
      </c>
      <c r="C301" s="1" t="n">
        <v>45637</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29264-2024</t>
        </is>
      </c>
      <c r="B302" s="1" t="n">
        <v>45482</v>
      </c>
      <c r="C302" s="1" t="n">
        <v>45637</v>
      </c>
      <c r="D302" t="inlineStr">
        <is>
          <t>VÄSTERNORRLANDS LÄN</t>
        </is>
      </c>
      <c r="E302" t="inlineStr">
        <is>
          <t>SOLLEFTEÅ</t>
        </is>
      </c>
      <c r="F302" t="inlineStr">
        <is>
          <t>SCA</t>
        </is>
      </c>
      <c r="G302" t="n">
        <v>3</v>
      </c>
      <c r="H302" t="n">
        <v>2</v>
      </c>
      <c r="I302" t="n">
        <v>0</v>
      </c>
      <c r="J302" t="n">
        <v>1</v>
      </c>
      <c r="K302" t="n">
        <v>0</v>
      </c>
      <c r="L302" t="n">
        <v>0</v>
      </c>
      <c r="M302" t="n">
        <v>0</v>
      </c>
      <c r="N302" t="n">
        <v>0</v>
      </c>
      <c r="O302" t="n">
        <v>1</v>
      </c>
      <c r="P302" t="n">
        <v>0</v>
      </c>
      <c r="Q302" t="n">
        <v>2</v>
      </c>
      <c r="R302" s="2" t="inlineStr">
        <is>
          <t>Tretåig hackspett
Fläcknycklar</t>
        </is>
      </c>
      <c r="S302">
        <f>HYPERLINK("https://klasma.github.io/Logging_2283/artfynd/A 29264-2024 artfynd.xlsx", "A 29264-2024")</f>
        <v/>
      </c>
      <c r="T302">
        <f>HYPERLINK("https://klasma.github.io/Logging_2283/kartor/A 29264-2024 karta.png", "A 29264-2024")</f>
        <v/>
      </c>
      <c r="V302">
        <f>HYPERLINK("https://klasma.github.io/Logging_2283/klagomål/A 29264-2024 FSC-klagomål.docx", "A 29264-2024")</f>
        <v/>
      </c>
      <c r="W302">
        <f>HYPERLINK("https://klasma.github.io/Logging_2283/klagomålsmail/A 29264-2024 FSC-klagomål mail.docx", "A 29264-2024")</f>
        <v/>
      </c>
      <c r="X302">
        <f>HYPERLINK("https://klasma.github.io/Logging_2283/tillsyn/A 29264-2024 tillsynsbegäran.docx", "A 29264-2024")</f>
        <v/>
      </c>
      <c r="Y302">
        <f>HYPERLINK("https://klasma.github.io/Logging_2283/tillsynsmail/A 29264-2024 tillsynsbegäran mail.docx", "A 29264-2024")</f>
        <v/>
      </c>
      <c r="Z302">
        <f>HYPERLINK("https://klasma.github.io/Logging_2283/fåglar/A 29264-2024 prioriterade fågelarter.docx", "A 29264-2024")</f>
        <v/>
      </c>
    </row>
    <row r="303" ht="15" customHeight="1">
      <c r="A303" t="inlineStr">
        <is>
          <t>A 29919-2024</t>
        </is>
      </c>
      <c r="B303" s="1" t="n">
        <v>45488</v>
      </c>
      <c r="C303" s="1" t="n">
        <v>45637</v>
      </c>
      <c r="D303" t="inlineStr">
        <is>
          <t>VÄSTERNORRLANDS LÄN</t>
        </is>
      </c>
      <c r="E303" t="inlineStr">
        <is>
          <t>SOLLEFTEÅ</t>
        </is>
      </c>
      <c r="G303" t="n">
        <v>8.1</v>
      </c>
      <c r="H303" t="n">
        <v>0</v>
      </c>
      <c r="I303" t="n">
        <v>0</v>
      </c>
      <c r="J303" t="n">
        <v>2</v>
      </c>
      <c r="K303" t="n">
        <v>0</v>
      </c>
      <c r="L303" t="n">
        <v>0</v>
      </c>
      <c r="M303" t="n">
        <v>0</v>
      </c>
      <c r="N303" t="n">
        <v>0</v>
      </c>
      <c r="O303" t="n">
        <v>2</v>
      </c>
      <c r="P303" t="n">
        <v>0</v>
      </c>
      <c r="Q303" t="n">
        <v>2</v>
      </c>
      <c r="R303" s="2" t="inlineStr">
        <is>
          <t>Garnlav
Rosenticka</t>
        </is>
      </c>
      <c r="S303">
        <f>HYPERLINK("https://klasma.github.io/Logging_2283/artfynd/A 29919-2024 artfynd.xlsx", "A 29919-2024")</f>
        <v/>
      </c>
      <c r="T303">
        <f>HYPERLINK("https://klasma.github.io/Logging_2283/kartor/A 29919-2024 karta.png", "A 29919-2024")</f>
        <v/>
      </c>
      <c r="V303">
        <f>HYPERLINK("https://klasma.github.io/Logging_2283/klagomål/A 29919-2024 FSC-klagomål.docx", "A 29919-2024")</f>
        <v/>
      </c>
      <c r="W303">
        <f>HYPERLINK("https://klasma.github.io/Logging_2283/klagomålsmail/A 29919-2024 FSC-klagomål mail.docx", "A 29919-2024")</f>
        <v/>
      </c>
      <c r="X303">
        <f>HYPERLINK("https://klasma.github.io/Logging_2283/tillsyn/A 29919-2024 tillsynsbegäran.docx", "A 29919-2024")</f>
        <v/>
      </c>
      <c r="Y303">
        <f>HYPERLINK("https://klasma.github.io/Logging_2283/tillsynsmail/A 29919-2024 tillsynsbegäran mail.docx", "A 29919-2024")</f>
        <v/>
      </c>
    </row>
    <row r="304" ht="15" customHeight="1">
      <c r="A304" t="inlineStr">
        <is>
          <t>A 29917-2024</t>
        </is>
      </c>
      <c r="B304" s="1" t="n">
        <v>45487</v>
      </c>
      <c r="C304" s="1" t="n">
        <v>45637</v>
      </c>
      <c r="D304" t="inlineStr">
        <is>
          <t>VÄSTERNORRLANDS LÄN</t>
        </is>
      </c>
      <c r="E304" t="inlineStr">
        <is>
          <t>SOLLEFTEÅ</t>
        </is>
      </c>
      <c r="G304" t="n">
        <v>1.1</v>
      </c>
      <c r="H304" t="n">
        <v>0</v>
      </c>
      <c r="I304" t="n">
        <v>0</v>
      </c>
      <c r="J304" t="n">
        <v>2</v>
      </c>
      <c r="K304" t="n">
        <v>0</v>
      </c>
      <c r="L304" t="n">
        <v>0</v>
      </c>
      <c r="M304" t="n">
        <v>0</v>
      </c>
      <c r="N304" t="n">
        <v>0</v>
      </c>
      <c r="O304" t="n">
        <v>2</v>
      </c>
      <c r="P304" t="n">
        <v>0</v>
      </c>
      <c r="Q304" t="n">
        <v>2</v>
      </c>
      <c r="R304" s="2" t="inlineStr">
        <is>
          <t>Garnlav
Mörk kolflarnlav</t>
        </is>
      </c>
      <c r="S304">
        <f>HYPERLINK("https://klasma.github.io/Logging_2283/artfynd/A 29917-2024 artfynd.xlsx", "A 29917-2024")</f>
        <v/>
      </c>
      <c r="T304">
        <f>HYPERLINK("https://klasma.github.io/Logging_2283/kartor/A 29917-2024 karta.png", "A 29917-2024")</f>
        <v/>
      </c>
      <c r="V304">
        <f>HYPERLINK("https://klasma.github.io/Logging_2283/klagomål/A 29917-2024 FSC-klagomål.docx", "A 29917-2024")</f>
        <v/>
      </c>
      <c r="W304">
        <f>HYPERLINK("https://klasma.github.io/Logging_2283/klagomålsmail/A 29917-2024 FSC-klagomål mail.docx", "A 29917-2024")</f>
        <v/>
      </c>
      <c r="X304">
        <f>HYPERLINK("https://klasma.github.io/Logging_2283/tillsyn/A 29917-2024 tillsynsbegäran.docx", "A 29917-2024")</f>
        <v/>
      </c>
      <c r="Y304">
        <f>HYPERLINK("https://klasma.github.io/Logging_2283/tillsynsmail/A 29917-2024 tillsynsbegäran mail.docx", "A 29917-2024")</f>
        <v/>
      </c>
    </row>
    <row r="305" ht="15" customHeight="1">
      <c r="A305" t="inlineStr">
        <is>
          <t>A 31491-2024</t>
        </is>
      </c>
      <c r="B305" s="1" t="n">
        <v>45505</v>
      </c>
      <c r="C305" s="1" t="n">
        <v>45637</v>
      </c>
      <c r="D305" t="inlineStr">
        <is>
          <t>VÄSTERNORRLANDS LÄN</t>
        </is>
      </c>
      <c r="E305" t="inlineStr">
        <is>
          <t>SOLLEFTEÅ</t>
        </is>
      </c>
      <c r="F305" t="inlineStr">
        <is>
          <t>SCA</t>
        </is>
      </c>
      <c r="G305" t="n">
        <v>17.2</v>
      </c>
      <c r="H305" t="n">
        <v>1</v>
      </c>
      <c r="I305" t="n">
        <v>0</v>
      </c>
      <c r="J305" t="n">
        <v>2</v>
      </c>
      <c r="K305" t="n">
        <v>0</v>
      </c>
      <c r="L305" t="n">
        <v>0</v>
      </c>
      <c r="M305" t="n">
        <v>0</v>
      </c>
      <c r="N305" t="n">
        <v>0</v>
      </c>
      <c r="O305" t="n">
        <v>2</v>
      </c>
      <c r="P305" t="n">
        <v>0</v>
      </c>
      <c r="Q305" t="n">
        <v>2</v>
      </c>
      <c r="R305" s="2" t="inlineStr">
        <is>
          <t>Lunglav
Tretåig hackspett</t>
        </is>
      </c>
      <c r="S305">
        <f>HYPERLINK("https://klasma.github.io/Logging_2283/artfynd/A 31491-2024 artfynd.xlsx", "A 31491-2024")</f>
        <v/>
      </c>
      <c r="T305">
        <f>HYPERLINK("https://klasma.github.io/Logging_2283/kartor/A 31491-2024 karta.png", "A 31491-2024")</f>
        <v/>
      </c>
      <c r="V305">
        <f>HYPERLINK("https://klasma.github.io/Logging_2283/klagomål/A 31491-2024 FSC-klagomål.docx", "A 31491-2024")</f>
        <v/>
      </c>
      <c r="W305">
        <f>HYPERLINK("https://klasma.github.io/Logging_2283/klagomålsmail/A 31491-2024 FSC-klagomål mail.docx", "A 31491-2024")</f>
        <v/>
      </c>
      <c r="X305">
        <f>HYPERLINK("https://klasma.github.io/Logging_2283/tillsyn/A 31491-2024 tillsynsbegäran.docx", "A 31491-2024")</f>
        <v/>
      </c>
      <c r="Y305">
        <f>HYPERLINK("https://klasma.github.io/Logging_2283/tillsynsmail/A 31491-2024 tillsynsbegäran mail.docx", "A 31491-2024")</f>
        <v/>
      </c>
      <c r="Z305">
        <f>HYPERLINK("https://klasma.github.io/Logging_2283/fåglar/A 31491-2024 prioriterade fågelarter.docx", "A 31491-2024")</f>
        <v/>
      </c>
    </row>
    <row r="306" ht="15" customHeight="1">
      <c r="A306" t="inlineStr">
        <is>
          <t>A 34812-2024</t>
        </is>
      </c>
      <c r="B306" s="1" t="n">
        <v>45526</v>
      </c>
      <c r="C306" s="1" t="n">
        <v>45637</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34814-2024</t>
        </is>
      </c>
      <c r="B307" s="1" t="n">
        <v>45526</v>
      </c>
      <c r="C307" s="1" t="n">
        <v>45637</v>
      </c>
      <c r="D307" t="inlineStr">
        <is>
          <t>VÄSTERNORRLANDS LÄN</t>
        </is>
      </c>
      <c r="E307" t="inlineStr">
        <is>
          <t>SOLLEFTEÅ</t>
        </is>
      </c>
      <c r="F307" t="inlineStr">
        <is>
          <t>SCA</t>
        </is>
      </c>
      <c r="G307" t="n">
        <v>6.9</v>
      </c>
      <c r="H307" t="n">
        <v>0</v>
      </c>
      <c r="I307" t="n">
        <v>0</v>
      </c>
      <c r="J307" t="n">
        <v>2</v>
      </c>
      <c r="K307" t="n">
        <v>0</v>
      </c>
      <c r="L307" t="n">
        <v>0</v>
      </c>
      <c r="M307" t="n">
        <v>0</v>
      </c>
      <c r="N307" t="n">
        <v>0</v>
      </c>
      <c r="O307" t="n">
        <v>2</v>
      </c>
      <c r="P307" t="n">
        <v>0</v>
      </c>
      <c r="Q307" t="n">
        <v>2</v>
      </c>
      <c r="R307" s="2" t="inlineStr">
        <is>
          <t>Kolflarnlav
Lunglav</t>
        </is>
      </c>
      <c r="S307">
        <f>HYPERLINK("https://klasma.github.io/Logging_2283/artfynd/A 34814-2024 artfynd.xlsx", "A 34814-2024")</f>
        <v/>
      </c>
      <c r="T307">
        <f>HYPERLINK("https://klasma.github.io/Logging_2283/kartor/A 34814-2024 karta.png", "A 34814-2024")</f>
        <v/>
      </c>
      <c r="V307">
        <f>HYPERLINK("https://klasma.github.io/Logging_2283/klagomål/A 34814-2024 FSC-klagomål.docx", "A 34814-2024")</f>
        <v/>
      </c>
      <c r="W307">
        <f>HYPERLINK("https://klasma.github.io/Logging_2283/klagomålsmail/A 34814-2024 FSC-klagomål mail.docx", "A 34814-2024")</f>
        <v/>
      </c>
      <c r="X307">
        <f>HYPERLINK("https://klasma.github.io/Logging_2283/tillsyn/A 34814-2024 tillsynsbegäran.docx", "A 34814-2024")</f>
        <v/>
      </c>
      <c r="Y307">
        <f>HYPERLINK("https://klasma.github.io/Logging_2283/tillsynsmail/A 34814-2024 tillsynsbegäran mail.docx", "A 34814-2024")</f>
        <v/>
      </c>
    </row>
    <row r="308" ht="15" customHeight="1">
      <c r="A308" t="inlineStr">
        <is>
          <t>A 36912-2024</t>
        </is>
      </c>
      <c r="B308" s="1" t="n">
        <v>45538</v>
      </c>
      <c r="C308" s="1" t="n">
        <v>45637</v>
      </c>
      <c r="D308" t="inlineStr">
        <is>
          <t>VÄSTERNORRLANDS LÄN</t>
        </is>
      </c>
      <c r="E308" t="inlineStr">
        <is>
          <t>SOLLEFTEÅ</t>
        </is>
      </c>
      <c r="F308" t="inlineStr">
        <is>
          <t>SCA</t>
        </is>
      </c>
      <c r="G308" t="n">
        <v>2</v>
      </c>
      <c r="H308" t="n">
        <v>1</v>
      </c>
      <c r="I308" t="n">
        <v>0</v>
      </c>
      <c r="J308" t="n">
        <v>2</v>
      </c>
      <c r="K308" t="n">
        <v>0</v>
      </c>
      <c r="L308" t="n">
        <v>0</v>
      </c>
      <c r="M308" t="n">
        <v>0</v>
      </c>
      <c r="N308" t="n">
        <v>0</v>
      </c>
      <c r="O308" t="n">
        <v>2</v>
      </c>
      <c r="P308" t="n">
        <v>0</v>
      </c>
      <c r="Q308" t="n">
        <v>2</v>
      </c>
      <c r="R308" s="2" t="inlineStr">
        <is>
          <t>Talltita
Ullticka</t>
        </is>
      </c>
      <c r="S308">
        <f>HYPERLINK("https://klasma.github.io/Logging_2283/artfynd/A 36912-2024 artfynd.xlsx", "A 36912-2024")</f>
        <v/>
      </c>
      <c r="T308">
        <f>HYPERLINK("https://klasma.github.io/Logging_2283/kartor/A 36912-2024 karta.png", "A 36912-2024")</f>
        <v/>
      </c>
      <c r="V308">
        <f>HYPERLINK("https://klasma.github.io/Logging_2283/klagomål/A 36912-2024 FSC-klagomål.docx", "A 36912-2024")</f>
        <v/>
      </c>
      <c r="W308">
        <f>HYPERLINK("https://klasma.github.io/Logging_2283/klagomålsmail/A 36912-2024 FSC-klagomål mail.docx", "A 36912-2024")</f>
        <v/>
      </c>
      <c r="X308">
        <f>HYPERLINK("https://klasma.github.io/Logging_2283/tillsyn/A 36912-2024 tillsynsbegäran.docx", "A 36912-2024")</f>
        <v/>
      </c>
      <c r="Y308">
        <f>HYPERLINK("https://klasma.github.io/Logging_2283/tillsynsmail/A 36912-2024 tillsynsbegäran mail.docx", "A 36912-2024")</f>
        <v/>
      </c>
      <c r="Z308">
        <f>HYPERLINK("https://klasma.github.io/Logging_2283/fåglar/A 36912-2024 prioriterade fågelarter.docx", "A 36912-2024")</f>
        <v/>
      </c>
    </row>
    <row r="309" ht="15" customHeight="1">
      <c r="A309" t="inlineStr">
        <is>
          <t>A 38017-2024</t>
        </is>
      </c>
      <c r="B309" s="1" t="n">
        <v>45544</v>
      </c>
      <c r="C309" s="1" t="n">
        <v>45637</v>
      </c>
      <c r="D309" t="inlineStr">
        <is>
          <t>VÄSTERNORRLANDS LÄN</t>
        </is>
      </c>
      <c r="E309" t="inlineStr">
        <is>
          <t>SOLLEFTEÅ</t>
        </is>
      </c>
      <c r="F309" t="inlineStr">
        <is>
          <t>SCA</t>
        </is>
      </c>
      <c r="G309" t="n">
        <v>1.9</v>
      </c>
      <c r="H309" t="n">
        <v>0</v>
      </c>
      <c r="I309" t="n">
        <v>1</v>
      </c>
      <c r="J309" t="n">
        <v>1</v>
      </c>
      <c r="K309" t="n">
        <v>0</v>
      </c>
      <c r="L309" t="n">
        <v>0</v>
      </c>
      <c r="M309" t="n">
        <v>0</v>
      </c>
      <c r="N309" t="n">
        <v>0</v>
      </c>
      <c r="O309" t="n">
        <v>1</v>
      </c>
      <c r="P309" t="n">
        <v>0</v>
      </c>
      <c r="Q309" t="n">
        <v>2</v>
      </c>
      <c r="R309" s="2" t="inlineStr">
        <is>
          <t>Garnlav
Bårdlav</t>
        </is>
      </c>
      <c r="S309">
        <f>HYPERLINK("https://klasma.github.io/Logging_2283/artfynd/A 38017-2024 artfynd.xlsx", "A 38017-2024")</f>
        <v/>
      </c>
      <c r="T309">
        <f>HYPERLINK("https://klasma.github.io/Logging_2283/kartor/A 38017-2024 karta.png", "A 38017-2024")</f>
        <v/>
      </c>
      <c r="V309">
        <f>HYPERLINK("https://klasma.github.io/Logging_2283/klagomål/A 38017-2024 FSC-klagomål.docx", "A 38017-2024")</f>
        <v/>
      </c>
      <c r="W309">
        <f>HYPERLINK("https://klasma.github.io/Logging_2283/klagomålsmail/A 38017-2024 FSC-klagomål mail.docx", "A 38017-2024")</f>
        <v/>
      </c>
      <c r="X309">
        <f>HYPERLINK("https://klasma.github.io/Logging_2283/tillsyn/A 38017-2024 tillsynsbegäran.docx", "A 38017-2024")</f>
        <v/>
      </c>
      <c r="Y309">
        <f>HYPERLINK("https://klasma.github.io/Logging_2283/tillsynsmail/A 38017-2024 tillsynsbegäran mail.docx", "A 38017-2024")</f>
        <v/>
      </c>
    </row>
    <row r="310" ht="15" customHeight="1">
      <c r="A310" t="inlineStr">
        <is>
          <t>A 40576-2024</t>
        </is>
      </c>
      <c r="B310" s="1" t="n">
        <v>45555</v>
      </c>
      <c r="C310" s="1" t="n">
        <v>45637</v>
      </c>
      <c r="D310" t="inlineStr">
        <is>
          <t>VÄSTERNORRLANDS LÄN</t>
        </is>
      </c>
      <c r="E310" t="inlineStr">
        <is>
          <t>SOLLEFTEÅ</t>
        </is>
      </c>
      <c r="F310" t="inlineStr">
        <is>
          <t>SCA</t>
        </is>
      </c>
      <c r="G310" t="n">
        <v>11.7</v>
      </c>
      <c r="H310" t="n">
        <v>1</v>
      </c>
      <c r="I310" t="n">
        <v>0</v>
      </c>
      <c r="J310" t="n">
        <v>2</v>
      </c>
      <c r="K310" t="n">
        <v>0</v>
      </c>
      <c r="L310" t="n">
        <v>0</v>
      </c>
      <c r="M310" t="n">
        <v>0</v>
      </c>
      <c r="N310" t="n">
        <v>0</v>
      </c>
      <c r="O310" t="n">
        <v>2</v>
      </c>
      <c r="P310" t="n">
        <v>0</v>
      </c>
      <c r="Q310" t="n">
        <v>2</v>
      </c>
      <c r="R310" s="2" t="inlineStr">
        <is>
          <t>Granticka
Tretåig hackspett</t>
        </is>
      </c>
      <c r="S310">
        <f>HYPERLINK("https://klasma.github.io/Logging_2283/artfynd/A 40576-2024 artfynd.xlsx", "A 40576-2024")</f>
        <v/>
      </c>
      <c r="T310">
        <f>HYPERLINK("https://klasma.github.io/Logging_2283/kartor/A 40576-2024 karta.png", "A 40576-2024")</f>
        <v/>
      </c>
      <c r="V310">
        <f>HYPERLINK("https://klasma.github.io/Logging_2283/klagomål/A 40576-2024 FSC-klagomål.docx", "A 40576-2024")</f>
        <v/>
      </c>
      <c r="W310">
        <f>HYPERLINK("https://klasma.github.io/Logging_2283/klagomålsmail/A 40576-2024 FSC-klagomål mail.docx", "A 40576-2024")</f>
        <v/>
      </c>
      <c r="X310">
        <f>HYPERLINK("https://klasma.github.io/Logging_2283/tillsyn/A 40576-2024 tillsynsbegäran.docx", "A 40576-2024")</f>
        <v/>
      </c>
      <c r="Y310">
        <f>HYPERLINK("https://klasma.github.io/Logging_2283/tillsynsmail/A 40576-2024 tillsynsbegäran mail.docx", "A 40576-2024")</f>
        <v/>
      </c>
      <c r="Z310">
        <f>HYPERLINK("https://klasma.github.io/Logging_2283/fåglar/A 40576-2024 prioriterade fågelarter.docx", "A 40576-2024")</f>
        <v/>
      </c>
    </row>
    <row r="311" ht="15" customHeight="1">
      <c r="A311" t="inlineStr">
        <is>
          <t>A 41337-2024</t>
        </is>
      </c>
      <c r="B311" s="1" t="n">
        <v>45559</v>
      </c>
      <c r="C311" s="1" t="n">
        <v>45637</v>
      </c>
      <c r="D311" t="inlineStr">
        <is>
          <t>VÄSTERNORRLANDS LÄN</t>
        </is>
      </c>
      <c r="E311" t="inlineStr">
        <is>
          <t>SOLLEFTEÅ</t>
        </is>
      </c>
      <c r="G311" t="n">
        <v>30.1</v>
      </c>
      <c r="H311" t="n">
        <v>0</v>
      </c>
      <c r="I311" t="n">
        <v>0</v>
      </c>
      <c r="J311" t="n">
        <v>2</v>
      </c>
      <c r="K311" t="n">
        <v>0</v>
      </c>
      <c r="L311" t="n">
        <v>0</v>
      </c>
      <c r="M311" t="n">
        <v>0</v>
      </c>
      <c r="N311" t="n">
        <v>0</v>
      </c>
      <c r="O311" t="n">
        <v>2</v>
      </c>
      <c r="P311" t="n">
        <v>0</v>
      </c>
      <c r="Q311" t="n">
        <v>2</v>
      </c>
      <c r="R311" s="2" t="inlineStr">
        <is>
          <t>Granticka
Rosenticka</t>
        </is>
      </c>
      <c r="S311">
        <f>HYPERLINK("https://klasma.github.io/Logging_2283/artfynd/A 41337-2024 artfynd.xlsx", "A 41337-2024")</f>
        <v/>
      </c>
      <c r="T311">
        <f>HYPERLINK("https://klasma.github.io/Logging_2283/kartor/A 41337-2024 karta.png", "A 41337-2024")</f>
        <v/>
      </c>
      <c r="V311">
        <f>HYPERLINK("https://klasma.github.io/Logging_2283/klagomål/A 41337-2024 FSC-klagomål.docx", "A 41337-2024")</f>
        <v/>
      </c>
      <c r="W311">
        <f>HYPERLINK("https://klasma.github.io/Logging_2283/klagomålsmail/A 41337-2024 FSC-klagomål mail.docx", "A 41337-2024")</f>
        <v/>
      </c>
      <c r="X311">
        <f>HYPERLINK("https://klasma.github.io/Logging_2283/tillsyn/A 41337-2024 tillsynsbegäran.docx", "A 41337-2024")</f>
        <v/>
      </c>
      <c r="Y311">
        <f>HYPERLINK("https://klasma.github.io/Logging_2283/tillsynsmail/A 41337-2024 tillsynsbegäran mail.docx", "A 41337-2024")</f>
        <v/>
      </c>
    </row>
    <row r="312" ht="15" customHeight="1">
      <c r="A312" t="inlineStr">
        <is>
          <t>A 48016-2024</t>
        </is>
      </c>
      <c r="B312" s="1" t="n">
        <v>45589</v>
      </c>
      <c r="C312" s="1" t="n">
        <v>45637</v>
      </c>
      <c r="D312" t="inlineStr">
        <is>
          <t>VÄSTERNORRLANDS LÄN</t>
        </is>
      </c>
      <c r="E312" t="inlineStr">
        <is>
          <t>SOLLEFTEÅ</t>
        </is>
      </c>
      <c r="F312" t="inlineStr">
        <is>
          <t>SCA</t>
        </is>
      </c>
      <c r="G312" t="n">
        <v>2.6</v>
      </c>
      <c r="H312" t="n">
        <v>1</v>
      </c>
      <c r="I312" t="n">
        <v>0</v>
      </c>
      <c r="J312" t="n">
        <v>2</v>
      </c>
      <c r="K312" t="n">
        <v>0</v>
      </c>
      <c r="L312" t="n">
        <v>0</v>
      </c>
      <c r="M312" t="n">
        <v>0</v>
      </c>
      <c r="N312" t="n">
        <v>0</v>
      </c>
      <c r="O312" t="n">
        <v>2</v>
      </c>
      <c r="P312" t="n">
        <v>0</v>
      </c>
      <c r="Q312" t="n">
        <v>2</v>
      </c>
      <c r="R312" s="2" t="inlineStr">
        <is>
          <t>Järpe
Ullticka</t>
        </is>
      </c>
      <c r="S312">
        <f>HYPERLINK("https://klasma.github.io/Logging_2283/artfynd/A 48016-2024 artfynd.xlsx", "A 48016-2024")</f>
        <v/>
      </c>
      <c r="T312">
        <f>HYPERLINK("https://klasma.github.io/Logging_2283/kartor/A 48016-2024 karta.png", "A 48016-2024")</f>
        <v/>
      </c>
      <c r="V312">
        <f>HYPERLINK("https://klasma.github.io/Logging_2283/klagomål/A 48016-2024 FSC-klagomål.docx", "A 48016-2024")</f>
        <v/>
      </c>
      <c r="W312">
        <f>HYPERLINK("https://klasma.github.io/Logging_2283/klagomålsmail/A 48016-2024 FSC-klagomål mail.docx", "A 48016-2024")</f>
        <v/>
      </c>
      <c r="X312">
        <f>HYPERLINK("https://klasma.github.io/Logging_2283/tillsyn/A 48016-2024 tillsynsbegäran.docx", "A 48016-2024")</f>
        <v/>
      </c>
      <c r="Y312">
        <f>HYPERLINK("https://klasma.github.io/Logging_2283/tillsynsmail/A 48016-2024 tillsynsbegäran mail.docx", "A 48016-2024")</f>
        <v/>
      </c>
      <c r="Z312">
        <f>HYPERLINK("https://klasma.github.io/Logging_2283/fåglar/A 48016-2024 prioriterade fågelarter.docx", "A 48016-2024")</f>
        <v/>
      </c>
    </row>
    <row r="313" ht="15" customHeight="1">
      <c r="A313" t="inlineStr">
        <is>
          <t>A 48533-2024</t>
        </is>
      </c>
      <c r="B313" s="1" t="n">
        <v>45593</v>
      </c>
      <c r="C313" s="1" t="n">
        <v>45637</v>
      </c>
      <c r="D313" t="inlineStr">
        <is>
          <t>VÄSTERNORRLANDS LÄN</t>
        </is>
      </c>
      <c r="E313" t="inlineStr">
        <is>
          <t>SOLLEFTEÅ</t>
        </is>
      </c>
      <c r="F313" t="inlineStr">
        <is>
          <t>SCA</t>
        </is>
      </c>
      <c r="G313" t="n">
        <v>3.3</v>
      </c>
      <c r="H313" t="n">
        <v>0</v>
      </c>
      <c r="I313" t="n">
        <v>0</v>
      </c>
      <c r="J313" t="n">
        <v>2</v>
      </c>
      <c r="K313" t="n">
        <v>0</v>
      </c>
      <c r="L313" t="n">
        <v>0</v>
      </c>
      <c r="M313" t="n">
        <v>0</v>
      </c>
      <c r="N313" t="n">
        <v>0</v>
      </c>
      <c r="O313" t="n">
        <v>2</v>
      </c>
      <c r="P313" t="n">
        <v>0</v>
      </c>
      <c r="Q313" t="n">
        <v>2</v>
      </c>
      <c r="R313" s="2" t="inlineStr">
        <is>
          <t>Gammelgransskål
Garnlav</t>
        </is>
      </c>
      <c r="S313">
        <f>HYPERLINK("https://klasma.github.io/Logging_2283/artfynd/A 48533-2024 artfynd.xlsx", "A 48533-2024")</f>
        <v/>
      </c>
      <c r="T313">
        <f>HYPERLINK("https://klasma.github.io/Logging_2283/kartor/A 48533-2024 karta.png", "A 48533-2024")</f>
        <v/>
      </c>
      <c r="V313">
        <f>HYPERLINK("https://klasma.github.io/Logging_2283/klagomål/A 48533-2024 FSC-klagomål.docx", "A 48533-2024")</f>
        <v/>
      </c>
      <c r="W313">
        <f>HYPERLINK("https://klasma.github.io/Logging_2283/klagomålsmail/A 48533-2024 FSC-klagomål mail.docx", "A 48533-2024")</f>
        <v/>
      </c>
      <c r="X313">
        <f>HYPERLINK("https://klasma.github.io/Logging_2283/tillsyn/A 48533-2024 tillsynsbegäran.docx", "A 48533-2024")</f>
        <v/>
      </c>
      <c r="Y313">
        <f>HYPERLINK("https://klasma.github.io/Logging_2283/tillsynsmail/A 48533-2024 tillsynsbegäran mail.docx", "A 48533-2024")</f>
        <v/>
      </c>
    </row>
    <row r="314" ht="15" customHeight="1">
      <c r="A314" t="inlineStr">
        <is>
          <t>A 54486-2024</t>
        </is>
      </c>
      <c r="B314" s="1" t="n">
        <v>45617</v>
      </c>
      <c r="C314" s="1" t="n">
        <v>45637</v>
      </c>
      <c r="D314" t="inlineStr">
        <is>
          <t>VÄSTERNORRLANDS LÄN</t>
        </is>
      </c>
      <c r="E314" t="inlineStr">
        <is>
          <t>SOLLEFTEÅ</t>
        </is>
      </c>
      <c r="G314" t="n">
        <v>18.3</v>
      </c>
      <c r="H314" t="n">
        <v>2</v>
      </c>
      <c r="I314" t="n">
        <v>1</v>
      </c>
      <c r="J314" t="n">
        <v>0</v>
      </c>
      <c r="K314" t="n">
        <v>0</v>
      </c>
      <c r="L314" t="n">
        <v>0</v>
      </c>
      <c r="M314" t="n">
        <v>0</v>
      </c>
      <c r="N314" t="n">
        <v>0</v>
      </c>
      <c r="O314" t="n">
        <v>0</v>
      </c>
      <c r="P314" t="n">
        <v>0</v>
      </c>
      <c r="Q314" t="n">
        <v>2</v>
      </c>
      <c r="R314" s="2" t="inlineStr">
        <is>
          <t>Tvåblad
Ängsnycklar</t>
        </is>
      </c>
      <c r="S314">
        <f>HYPERLINK("https://klasma.github.io/Logging_2283/artfynd/A 54486-2024 artfynd.xlsx", "A 54486-2024")</f>
        <v/>
      </c>
      <c r="T314">
        <f>HYPERLINK("https://klasma.github.io/Logging_2283/kartor/A 54486-2024 karta.png", "A 54486-2024")</f>
        <v/>
      </c>
      <c r="V314">
        <f>HYPERLINK("https://klasma.github.io/Logging_2283/klagomål/A 54486-2024 FSC-klagomål.docx", "A 54486-2024")</f>
        <v/>
      </c>
      <c r="W314">
        <f>HYPERLINK("https://klasma.github.io/Logging_2283/klagomålsmail/A 54486-2024 FSC-klagomål mail.docx", "A 54486-2024")</f>
        <v/>
      </c>
      <c r="X314">
        <f>HYPERLINK("https://klasma.github.io/Logging_2283/tillsyn/A 54486-2024 tillsynsbegäran.docx", "A 54486-2024")</f>
        <v/>
      </c>
      <c r="Y314">
        <f>HYPERLINK("https://klasma.github.io/Logging_2283/tillsynsmail/A 54486-2024 tillsynsbegäran mail.docx", "A 54486-2024")</f>
        <v/>
      </c>
    </row>
    <row r="315" ht="15" customHeight="1">
      <c r="A315" t="inlineStr">
        <is>
          <t>A 58314-2024</t>
        </is>
      </c>
      <c r="B315" s="1" t="n">
        <v>45632</v>
      </c>
      <c r="C315" s="1" t="n">
        <v>45637</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Garnlav
Gränsticka</t>
        </is>
      </c>
      <c r="S315">
        <f>HYPERLINK("https://klasma.github.io/Logging_2283/artfynd/A 58314-2024 artfynd.xlsx", "A 58314-2024")</f>
        <v/>
      </c>
      <c r="T315">
        <f>HYPERLINK("https://klasma.github.io/Logging_2283/kartor/A 58314-2024 karta.png", "A 58314-2024")</f>
        <v/>
      </c>
      <c r="V315">
        <f>HYPERLINK("https://klasma.github.io/Logging_2283/klagomål/A 58314-2024 FSC-klagomål.docx", "A 58314-2024")</f>
        <v/>
      </c>
      <c r="W315">
        <f>HYPERLINK("https://klasma.github.io/Logging_2283/klagomålsmail/A 58314-2024 FSC-klagomål mail.docx", "A 58314-2024")</f>
        <v/>
      </c>
      <c r="X315">
        <f>HYPERLINK("https://klasma.github.io/Logging_2283/tillsyn/A 58314-2024 tillsynsbegäran.docx", "A 58314-2024")</f>
        <v/>
      </c>
      <c r="Y315">
        <f>HYPERLINK("https://klasma.github.io/Logging_2283/tillsynsmail/A 58314-2024 tillsynsbegäran mail.docx", "A 58314-2024")</f>
        <v/>
      </c>
    </row>
    <row r="316" ht="15" customHeight="1">
      <c r="A316" t="inlineStr">
        <is>
          <t>A 58880-2024</t>
        </is>
      </c>
      <c r="B316" s="1" t="n">
        <v>45636</v>
      </c>
      <c r="C316" s="1" t="n">
        <v>45637</v>
      </c>
      <c r="D316" t="inlineStr">
        <is>
          <t>VÄSTERNORRLANDS LÄN</t>
        </is>
      </c>
      <c r="E316" t="inlineStr">
        <is>
          <t>SOLLEFTEÅ</t>
        </is>
      </c>
      <c r="F316" t="inlineStr">
        <is>
          <t>SCA</t>
        </is>
      </c>
      <c r="G316" t="n">
        <v>2</v>
      </c>
      <c r="H316" t="n">
        <v>0</v>
      </c>
      <c r="I316" t="n">
        <v>0</v>
      </c>
      <c r="J316" t="n">
        <v>2</v>
      </c>
      <c r="K316" t="n">
        <v>0</v>
      </c>
      <c r="L316" t="n">
        <v>0</v>
      </c>
      <c r="M316" t="n">
        <v>0</v>
      </c>
      <c r="N316" t="n">
        <v>0</v>
      </c>
      <c r="O316" t="n">
        <v>2</v>
      </c>
      <c r="P316" t="n">
        <v>0</v>
      </c>
      <c r="Q316" t="n">
        <v>2</v>
      </c>
      <c r="R316" s="2" t="inlineStr">
        <is>
          <t>Gammelgransskål
Garnlav</t>
        </is>
      </c>
      <c r="S316">
        <f>HYPERLINK("https://klasma.github.io/Logging_2283/artfynd/A 58880-2024 artfynd.xlsx", "A 58880-2024")</f>
        <v/>
      </c>
      <c r="T316">
        <f>HYPERLINK("https://klasma.github.io/Logging_2283/kartor/A 58880-2024 karta.png", "A 58880-2024")</f>
        <v/>
      </c>
      <c r="V316">
        <f>HYPERLINK("https://klasma.github.io/Logging_2283/klagomål/A 58880-2024 FSC-klagomål.docx", "A 58880-2024")</f>
        <v/>
      </c>
      <c r="W316">
        <f>HYPERLINK("https://klasma.github.io/Logging_2283/klagomålsmail/A 58880-2024 FSC-klagomål mail.docx", "A 58880-2024")</f>
        <v/>
      </c>
      <c r="X316">
        <f>HYPERLINK("https://klasma.github.io/Logging_2283/tillsyn/A 58880-2024 tillsynsbegäran.docx", "A 58880-2024")</f>
        <v/>
      </c>
      <c r="Y316">
        <f>HYPERLINK("https://klasma.github.io/Logging_2283/tillsynsmail/A 58880-2024 tillsynsbegäran mail.docx", "A 58880-2024")</f>
        <v/>
      </c>
    </row>
    <row r="317" ht="15" customHeight="1">
      <c r="A317" t="inlineStr">
        <is>
          <t>A 59020-2024</t>
        </is>
      </c>
      <c r="B317" s="1" t="n">
        <v>45636</v>
      </c>
      <c r="C317" s="1" t="n">
        <v>45637</v>
      </c>
      <c r="D317" t="inlineStr">
        <is>
          <t>VÄSTERNORRLANDS LÄN</t>
        </is>
      </c>
      <c r="E317" t="inlineStr">
        <is>
          <t>SOLLEFTEÅ</t>
        </is>
      </c>
      <c r="F317" t="inlineStr">
        <is>
          <t>SCA</t>
        </is>
      </c>
      <c r="G317" t="n">
        <v>9.300000000000001</v>
      </c>
      <c r="H317" t="n">
        <v>0</v>
      </c>
      <c r="I317" t="n">
        <v>1</v>
      </c>
      <c r="J317" t="n">
        <v>1</v>
      </c>
      <c r="K317" t="n">
        <v>0</v>
      </c>
      <c r="L317" t="n">
        <v>0</v>
      </c>
      <c r="M317" t="n">
        <v>0</v>
      </c>
      <c r="N317" t="n">
        <v>0</v>
      </c>
      <c r="O317" t="n">
        <v>1</v>
      </c>
      <c r="P317" t="n">
        <v>0</v>
      </c>
      <c r="Q317" t="n">
        <v>2</v>
      </c>
      <c r="R317" s="2" t="inlineStr">
        <is>
          <t>Kortskaftad ärgspik
Bronshjon</t>
        </is>
      </c>
      <c r="S317">
        <f>HYPERLINK("https://klasma.github.io/Logging_2283/artfynd/A 59020-2024 artfynd.xlsx", "A 59020-2024")</f>
        <v/>
      </c>
      <c r="T317">
        <f>HYPERLINK("https://klasma.github.io/Logging_2283/kartor/A 59020-2024 karta.png", "A 59020-2024")</f>
        <v/>
      </c>
      <c r="V317">
        <f>HYPERLINK("https://klasma.github.io/Logging_2283/klagomål/A 59020-2024 FSC-klagomål.docx", "A 59020-2024")</f>
        <v/>
      </c>
      <c r="W317">
        <f>HYPERLINK("https://klasma.github.io/Logging_2283/klagomålsmail/A 59020-2024 FSC-klagomål mail.docx", "A 59020-2024")</f>
        <v/>
      </c>
      <c r="X317">
        <f>HYPERLINK("https://klasma.github.io/Logging_2283/tillsyn/A 59020-2024 tillsynsbegäran.docx", "A 59020-2024")</f>
        <v/>
      </c>
      <c r="Y317">
        <f>HYPERLINK("https://klasma.github.io/Logging_2283/tillsynsmail/A 59020-2024 tillsynsbegäran mail.docx", "A 59020-2024")</f>
        <v/>
      </c>
    </row>
    <row r="318" ht="15" customHeight="1">
      <c r="A318" t="inlineStr">
        <is>
          <t>A 26253-2019</t>
        </is>
      </c>
      <c r="B318" s="1" t="n">
        <v>43609</v>
      </c>
      <c r="C318" s="1" t="n">
        <v>45637</v>
      </c>
      <c r="D318" t="inlineStr">
        <is>
          <t>VÄSTERNORRLANDS LÄN</t>
        </is>
      </c>
      <c r="E318" t="inlineStr">
        <is>
          <t>SOLLEFTEÅ</t>
        </is>
      </c>
      <c r="F318" t="inlineStr">
        <is>
          <t>SCA</t>
        </is>
      </c>
      <c r="G318" t="n">
        <v>2.3</v>
      </c>
      <c r="H318" t="n">
        <v>1</v>
      </c>
      <c r="I318" t="n">
        <v>0</v>
      </c>
      <c r="J318" t="n">
        <v>0</v>
      </c>
      <c r="K318" t="n">
        <v>0</v>
      </c>
      <c r="L318" t="n">
        <v>0</v>
      </c>
      <c r="M318" t="n">
        <v>0</v>
      </c>
      <c r="N318" t="n">
        <v>0</v>
      </c>
      <c r="O318" t="n">
        <v>0</v>
      </c>
      <c r="P318" t="n">
        <v>0</v>
      </c>
      <c r="Q318" t="n">
        <v>1</v>
      </c>
      <c r="R318" s="2" t="inlineStr">
        <is>
          <t>Revlummer</t>
        </is>
      </c>
      <c r="S318">
        <f>HYPERLINK("https://klasma.github.io/Logging_2283/artfynd/A 26253-2019 artfynd.xlsx", "A 26253-2019")</f>
        <v/>
      </c>
      <c r="T318">
        <f>HYPERLINK("https://klasma.github.io/Logging_2283/kartor/A 26253-2019 karta.png", "A 26253-2019")</f>
        <v/>
      </c>
      <c r="V318">
        <f>HYPERLINK("https://klasma.github.io/Logging_2283/klagomål/A 26253-2019 FSC-klagomål.docx", "A 26253-2019")</f>
        <v/>
      </c>
      <c r="W318">
        <f>HYPERLINK("https://klasma.github.io/Logging_2283/klagomålsmail/A 26253-2019 FSC-klagomål mail.docx", "A 26253-2019")</f>
        <v/>
      </c>
      <c r="X318">
        <f>HYPERLINK("https://klasma.github.io/Logging_2283/tillsyn/A 26253-2019 tillsynsbegäran.docx", "A 26253-2019")</f>
        <v/>
      </c>
      <c r="Y318">
        <f>HYPERLINK("https://klasma.github.io/Logging_2283/tillsynsmail/A 26253-2019 tillsynsbegäran mail.docx", "A 26253-2019")</f>
        <v/>
      </c>
    </row>
    <row r="319" ht="15" customHeight="1">
      <c r="A319" t="inlineStr">
        <is>
          <t>A 28600-2019</t>
        </is>
      </c>
      <c r="B319" s="1" t="n">
        <v>43626</v>
      </c>
      <c r="C319" s="1" t="n">
        <v>45637</v>
      </c>
      <c r="D319" t="inlineStr">
        <is>
          <t>VÄSTERNORRLANDS LÄN</t>
        </is>
      </c>
      <c r="E319" t="inlineStr">
        <is>
          <t>SOLLEFTEÅ</t>
        </is>
      </c>
      <c r="F319" t="inlineStr">
        <is>
          <t>SCA</t>
        </is>
      </c>
      <c r="G319" t="n">
        <v>5.9</v>
      </c>
      <c r="H319" t="n">
        <v>0</v>
      </c>
      <c r="I319" t="n">
        <v>0</v>
      </c>
      <c r="J319" t="n">
        <v>1</v>
      </c>
      <c r="K319" t="n">
        <v>0</v>
      </c>
      <c r="L319" t="n">
        <v>0</v>
      </c>
      <c r="M319" t="n">
        <v>0</v>
      </c>
      <c r="N319" t="n">
        <v>0</v>
      </c>
      <c r="O319" t="n">
        <v>1</v>
      </c>
      <c r="P319" t="n">
        <v>0</v>
      </c>
      <c r="Q319" t="n">
        <v>1</v>
      </c>
      <c r="R319" s="2" t="inlineStr">
        <is>
          <t>Tallriska</t>
        </is>
      </c>
      <c r="S319">
        <f>HYPERLINK("https://klasma.github.io/Logging_2283/artfynd/A 28600-2019 artfynd.xlsx", "A 28600-2019")</f>
        <v/>
      </c>
      <c r="T319">
        <f>HYPERLINK("https://klasma.github.io/Logging_2283/kartor/A 28600-2019 karta.png", "A 28600-2019")</f>
        <v/>
      </c>
      <c r="V319">
        <f>HYPERLINK("https://klasma.github.io/Logging_2283/klagomål/A 28600-2019 FSC-klagomål.docx", "A 28600-2019")</f>
        <v/>
      </c>
      <c r="W319">
        <f>HYPERLINK("https://klasma.github.io/Logging_2283/klagomålsmail/A 28600-2019 FSC-klagomål mail.docx", "A 28600-2019")</f>
        <v/>
      </c>
      <c r="X319">
        <f>HYPERLINK("https://klasma.github.io/Logging_2283/tillsyn/A 28600-2019 tillsynsbegäran.docx", "A 28600-2019")</f>
        <v/>
      </c>
      <c r="Y319">
        <f>HYPERLINK("https://klasma.github.io/Logging_2283/tillsynsmail/A 28600-2019 tillsynsbegäran mail.docx", "A 28600-2019")</f>
        <v/>
      </c>
    </row>
    <row r="320" ht="15" customHeight="1">
      <c r="A320" t="inlineStr">
        <is>
          <t>A 36982-2019</t>
        </is>
      </c>
      <c r="B320" s="1" t="n">
        <v>43676</v>
      </c>
      <c r="C320" s="1" t="n">
        <v>45637</v>
      </c>
      <c r="D320" t="inlineStr">
        <is>
          <t>VÄSTERNORRLANDS LÄN</t>
        </is>
      </c>
      <c r="E320" t="inlineStr">
        <is>
          <t>SOLLEFTEÅ</t>
        </is>
      </c>
      <c r="G320" t="n">
        <v>1.2</v>
      </c>
      <c r="H320" t="n">
        <v>0</v>
      </c>
      <c r="I320" t="n">
        <v>1</v>
      </c>
      <c r="J320" t="n">
        <v>0</v>
      </c>
      <c r="K320" t="n">
        <v>0</v>
      </c>
      <c r="L320" t="n">
        <v>0</v>
      </c>
      <c r="M320" t="n">
        <v>0</v>
      </c>
      <c r="N320" t="n">
        <v>0</v>
      </c>
      <c r="O320" t="n">
        <v>0</v>
      </c>
      <c r="P320" t="n">
        <v>0</v>
      </c>
      <c r="Q320" t="n">
        <v>1</v>
      </c>
      <c r="R320" s="2" t="inlineStr">
        <is>
          <t>Trådticka</t>
        </is>
      </c>
      <c r="S320">
        <f>HYPERLINK("https://klasma.github.io/Logging_2283/artfynd/A 36982-2019 artfynd.xlsx", "A 36982-2019")</f>
        <v/>
      </c>
      <c r="T320">
        <f>HYPERLINK("https://klasma.github.io/Logging_2283/kartor/A 36982-2019 karta.png", "A 36982-2019")</f>
        <v/>
      </c>
      <c r="V320">
        <f>HYPERLINK("https://klasma.github.io/Logging_2283/klagomål/A 36982-2019 FSC-klagomål.docx", "A 36982-2019")</f>
        <v/>
      </c>
      <c r="W320">
        <f>HYPERLINK("https://klasma.github.io/Logging_2283/klagomålsmail/A 36982-2019 FSC-klagomål mail.docx", "A 36982-2019")</f>
        <v/>
      </c>
      <c r="X320">
        <f>HYPERLINK("https://klasma.github.io/Logging_2283/tillsyn/A 36982-2019 tillsynsbegäran.docx", "A 36982-2019")</f>
        <v/>
      </c>
      <c r="Y320">
        <f>HYPERLINK("https://klasma.github.io/Logging_2283/tillsynsmail/A 36982-2019 tillsynsbegäran mail.docx", "A 36982-2019")</f>
        <v/>
      </c>
    </row>
    <row r="321" ht="15" customHeight="1">
      <c r="A321" t="inlineStr">
        <is>
          <t>A 38091-2019</t>
        </is>
      </c>
      <c r="B321" s="1" t="n">
        <v>43682</v>
      </c>
      <c r="C321" s="1" t="n">
        <v>45637</v>
      </c>
      <c r="D321" t="inlineStr">
        <is>
          <t>VÄSTERNORRLANDS LÄN</t>
        </is>
      </c>
      <c r="E321" t="inlineStr">
        <is>
          <t>SOLLEFTEÅ</t>
        </is>
      </c>
      <c r="F321" t="inlineStr">
        <is>
          <t>Holmen skog AB</t>
        </is>
      </c>
      <c r="G321" t="n">
        <v>4.7</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38091-2019 artfynd.xlsx", "A 38091-2019")</f>
        <v/>
      </c>
      <c r="T321">
        <f>HYPERLINK("https://klasma.github.io/Logging_2283/kartor/A 38091-2019 karta.png", "A 38091-2019")</f>
        <v/>
      </c>
      <c r="V321">
        <f>HYPERLINK("https://klasma.github.io/Logging_2283/klagomål/A 38091-2019 FSC-klagomål.docx", "A 38091-2019")</f>
        <v/>
      </c>
      <c r="W321">
        <f>HYPERLINK("https://klasma.github.io/Logging_2283/klagomålsmail/A 38091-2019 FSC-klagomål mail.docx", "A 38091-2019")</f>
        <v/>
      </c>
      <c r="X321">
        <f>HYPERLINK("https://klasma.github.io/Logging_2283/tillsyn/A 38091-2019 tillsynsbegäran.docx", "A 38091-2019")</f>
        <v/>
      </c>
      <c r="Y321">
        <f>HYPERLINK("https://klasma.github.io/Logging_2283/tillsynsmail/A 38091-2019 tillsynsbegäran mail.docx", "A 38091-2019")</f>
        <v/>
      </c>
      <c r="Z321">
        <f>HYPERLINK("https://klasma.github.io/Logging_2283/fåglar/A 38091-2019 prioriterade fågelarter.docx", "A 38091-2019")</f>
        <v/>
      </c>
    </row>
    <row r="322" ht="15" customHeight="1">
      <c r="A322" t="inlineStr">
        <is>
          <t>A 51669-2019</t>
        </is>
      </c>
      <c r="B322" s="1" t="n">
        <v>43740</v>
      </c>
      <c r="C322" s="1" t="n">
        <v>45637</v>
      </c>
      <c r="D322" t="inlineStr">
        <is>
          <t>VÄSTERNORRLANDS LÄN</t>
        </is>
      </c>
      <c r="E322" t="inlineStr">
        <is>
          <t>SOLLEFTEÅ</t>
        </is>
      </c>
      <c r="F322" t="inlineStr">
        <is>
          <t>SCA</t>
        </is>
      </c>
      <c r="G322" t="n">
        <v>3.6</v>
      </c>
      <c r="H322" t="n">
        <v>0</v>
      </c>
      <c r="I322" t="n">
        <v>0</v>
      </c>
      <c r="J322" t="n">
        <v>1</v>
      </c>
      <c r="K322" t="n">
        <v>0</v>
      </c>
      <c r="L322" t="n">
        <v>0</v>
      </c>
      <c r="M322" t="n">
        <v>0</v>
      </c>
      <c r="N322" t="n">
        <v>0</v>
      </c>
      <c r="O322" t="n">
        <v>1</v>
      </c>
      <c r="P322" t="n">
        <v>0</v>
      </c>
      <c r="Q322" t="n">
        <v>1</v>
      </c>
      <c r="R322" s="2" t="inlineStr">
        <is>
          <t>Rosenticka</t>
        </is>
      </c>
      <c r="S322">
        <f>HYPERLINK("https://klasma.github.io/Logging_2283/artfynd/A 51669-2019 artfynd.xlsx", "A 51669-2019")</f>
        <v/>
      </c>
      <c r="T322">
        <f>HYPERLINK("https://klasma.github.io/Logging_2283/kartor/A 51669-2019 karta.png", "A 51669-2019")</f>
        <v/>
      </c>
      <c r="V322">
        <f>HYPERLINK("https://klasma.github.io/Logging_2283/klagomål/A 51669-2019 FSC-klagomål.docx", "A 51669-2019")</f>
        <v/>
      </c>
      <c r="W322">
        <f>HYPERLINK("https://klasma.github.io/Logging_2283/klagomålsmail/A 51669-2019 FSC-klagomål mail.docx", "A 51669-2019")</f>
        <v/>
      </c>
      <c r="X322">
        <f>HYPERLINK("https://klasma.github.io/Logging_2283/tillsyn/A 51669-2019 tillsynsbegäran.docx", "A 51669-2019")</f>
        <v/>
      </c>
      <c r="Y322">
        <f>HYPERLINK("https://klasma.github.io/Logging_2283/tillsynsmail/A 51669-2019 tillsynsbegäran mail.docx", "A 51669-2019")</f>
        <v/>
      </c>
    </row>
    <row r="323" ht="15" customHeight="1">
      <c r="A323" t="inlineStr">
        <is>
          <t>A 59511-2019</t>
        </is>
      </c>
      <c r="B323" s="1" t="n">
        <v>43773</v>
      </c>
      <c r="C323" s="1" t="n">
        <v>45637</v>
      </c>
      <c r="D323" t="inlineStr">
        <is>
          <t>VÄSTERNORRLANDS LÄN</t>
        </is>
      </c>
      <c r="E323" t="inlineStr">
        <is>
          <t>SOLLEFTEÅ</t>
        </is>
      </c>
      <c r="F323" t="inlineStr">
        <is>
          <t>Holmen skog AB</t>
        </is>
      </c>
      <c r="G323" t="n">
        <v>4.8</v>
      </c>
      <c r="H323" t="n">
        <v>0</v>
      </c>
      <c r="I323" t="n">
        <v>0</v>
      </c>
      <c r="J323" t="n">
        <v>1</v>
      </c>
      <c r="K323" t="n">
        <v>0</v>
      </c>
      <c r="L323" t="n">
        <v>0</v>
      </c>
      <c r="M323" t="n">
        <v>0</v>
      </c>
      <c r="N323" t="n">
        <v>0</v>
      </c>
      <c r="O323" t="n">
        <v>1</v>
      </c>
      <c r="P323" t="n">
        <v>0</v>
      </c>
      <c r="Q323" t="n">
        <v>1</v>
      </c>
      <c r="R323" s="2" t="inlineStr">
        <is>
          <t>Lunglav</t>
        </is>
      </c>
      <c r="S323">
        <f>HYPERLINK("https://klasma.github.io/Logging_2283/artfynd/A 59511-2019 artfynd.xlsx", "A 59511-2019")</f>
        <v/>
      </c>
      <c r="T323">
        <f>HYPERLINK("https://klasma.github.io/Logging_2283/kartor/A 59511-2019 karta.png", "A 59511-2019")</f>
        <v/>
      </c>
      <c r="V323">
        <f>HYPERLINK("https://klasma.github.io/Logging_2283/klagomål/A 59511-2019 FSC-klagomål.docx", "A 59511-2019")</f>
        <v/>
      </c>
      <c r="W323">
        <f>HYPERLINK("https://klasma.github.io/Logging_2283/klagomålsmail/A 59511-2019 FSC-klagomål mail.docx", "A 59511-2019")</f>
        <v/>
      </c>
      <c r="X323">
        <f>HYPERLINK("https://klasma.github.io/Logging_2283/tillsyn/A 59511-2019 tillsynsbegäran.docx", "A 59511-2019")</f>
        <v/>
      </c>
      <c r="Y323">
        <f>HYPERLINK("https://klasma.github.io/Logging_2283/tillsynsmail/A 59511-2019 tillsynsbegäran mail.docx", "A 59511-2019")</f>
        <v/>
      </c>
    </row>
    <row r="324" ht="15" customHeight="1">
      <c r="A324" t="inlineStr">
        <is>
          <t>A 9178-2020</t>
        </is>
      </c>
      <c r="B324" s="1" t="n">
        <v>43879</v>
      </c>
      <c r="C324" s="1" t="n">
        <v>45637</v>
      </c>
      <c r="D324" t="inlineStr">
        <is>
          <t>VÄSTERNORRLANDS LÄN</t>
        </is>
      </c>
      <c r="E324" t="inlineStr">
        <is>
          <t>SOLLEFTEÅ</t>
        </is>
      </c>
      <c r="G324" t="n">
        <v>5.3</v>
      </c>
      <c r="H324" t="n">
        <v>1</v>
      </c>
      <c r="I324" t="n">
        <v>0</v>
      </c>
      <c r="J324" t="n">
        <v>0</v>
      </c>
      <c r="K324" t="n">
        <v>0</v>
      </c>
      <c r="L324" t="n">
        <v>0</v>
      </c>
      <c r="M324" t="n">
        <v>0</v>
      </c>
      <c r="N324" t="n">
        <v>0</v>
      </c>
      <c r="O324" t="n">
        <v>0</v>
      </c>
      <c r="P324" t="n">
        <v>0</v>
      </c>
      <c r="Q324" t="n">
        <v>1</v>
      </c>
      <c r="R324" s="2" t="inlineStr">
        <is>
          <t>Fläcknycklar</t>
        </is>
      </c>
      <c r="S324">
        <f>HYPERLINK("https://klasma.github.io/Logging_2283/artfynd/A 9178-2020 artfynd.xlsx", "A 9178-2020")</f>
        <v/>
      </c>
      <c r="T324">
        <f>HYPERLINK("https://klasma.github.io/Logging_2283/kartor/A 9178-2020 karta.png", "A 9178-2020")</f>
        <v/>
      </c>
      <c r="V324">
        <f>HYPERLINK("https://klasma.github.io/Logging_2283/klagomål/A 9178-2020 FSC-klagomål.docx", "A 9178-2020")</f>
        <v/>
      </c>
      <c r="W324">
        <f>HYPERLINK("https://klasma.github.io/Logging_2283/klagomålsmail/A 9178-2020 FSC-klagomål mail.docx", "A 9178-2020")</f>
        <v/>
      </c>
      <c r="X324">
        <f>HYPERLINK("https://klasma.github.io/Logging_2283/tillsyn/A 9178-2020 tillsynsbegäran.docx", "A 9178-2020")</f>
        <v/>
      </c>
      <c r="Y324">
        <f>HYPERLINK("https://klasma.github.io/Logging_2283/tillsynsmail/A 9178-2020 tillsynsbegäran mail.docx", "A 9178-2020")</f>
        <v/>
      </c>
    </row>
    <row r="325" ht="15" customHeight="1">
      <c r="A325" t="inlineStr">
        <is>
          <t>A 12526-2020</t>
        </is>
      </c>
      <c r="B325" s="1" t="n">
        <v>43896</v>
      </c>
      <c r="C325" s="1" t="n">
        <v>45637</v>
      </c>
      <c r="D325" t="inlineStr">
        <is>
          <t>VÄSTERNORRLANDS LÄN</t>
        </is>
      </c>
      <c r="E325" t="inlineStr">
        <is>
          <t>SOLLEFTEÅ</t>
        </is>
      </c>
      <c r="F325" t="inlineStr">
        <is>
          <t>SCA</t>
        </is>
      </c>
      <c r="G325" t="n">
        <v>14.7</v>
      </c>
      <c r="H325" t="n">
        <v>1</v>
      </c>
      <c r="I325" t="n">
        <v>0</v>
      </c>
      <c r="J325" t="n">
        <v>1</v>
      </c>
      <c r="K325" t="n">
        <v>0</v>
      </c>
      <c r="L325" t="n">
        <v>0</v>
      </c>
      <c r="M325" t="n">
        <v>0</v>
      </c>
      <c r="N325" t="n">
        <v>0</v>
      </c>
      <c r="O325" t="n">
        <v>1</v>
      </c>
      <c r="P325" t="n">
        <v>0</v>
      </c>
      <c r="Q325" t="n">
        <v>1</v>
      </c>
      <c r="R325" s="2" t="inlineStr">
        <is>
          <t>Talltita</t>
        </is>
      </c>
      <c r="S325">
        <f>HYPERLINK("https://klasma.github.io/Logging_2283/artfynd/A 12526-2020 artfynd.xlsx", "A 12526-2020")</f>
        <v/>
      </c>
      <c r="T325">
        <f>HYPERLINK("https://klasma.github.io/Logging_2283/kartor/A 12526-2020 karta.png", "A 12526-2020")</f>
        <v/>
      </c>
      <c r="V325">
        <f>HYPERLINK("https://klasma.github.io/Logging_2283/klagomål/A 12526-2020 FSC-klagomål.docx", "A 12526-2020")</f>
        <v/>
      </c>
      <c r="W325">
        <f>HYPERLINK("https://klasma.github.io/Logging_2283/klagomålsmail/A 12526-2020 FSC-klagomål mail.docx", "A 12526-2020")</f>
        <v/>
      </c>
      <c r="X325">
        <f>HYPERLINK("https://klasma.github.io/Logging_2283/tillsyn/A 12526-2020 tillsynsbegäran.docx", "A 12526-2020")</f>
        <v/>
      </c>
      <c r="Y325">
        <f>HYPERLINK("https://klasma.github.io/Logging_2283/tillsynsmail/A 12526-2020 tillsynsbegäran mail.docx", "A 12526-2020")</f>
        <v/>
      </c>
      <c r="Z325">
        <f>HYPERLINK("https://klasma.github.io/Logging_2283/fåglar/A 12526-2020 prioriterade fågelarter.docx", "A 12526-2020")</f>
        <v/>
      </c>
    </row>
    <row r="326" ht="15" customHeight="1">
      <c r="A326" t="inlineStr">
        <is>
          <t>A 19166-2020</t>
        </is>
      </c>
      <c r="B326" s="1" t="n">
        <v>43936</v>
      </c>
      <c r="C326" s="1" t="n">
        <v>45637</v>
      </c>
      <c r="D326" t="inlineStr">
        <is>
          <t>VÄSTERNORRLANDS LÄN</t>
        </is>
      </c>
      <c r="E326" t="inlineStr">
        <is>
          <t>SOLLEFTEÅ</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HYPERLINK("https://klasma.github.io/Logging_2283/artfynd/A 19166-2020 artfynd.xlsx", "A 19166-2020")</f>
        <v/>
      </c>
      <c r="T326">
        <f>HYPERLINK("https://klasma.github.io/Logging_2283/kartor/A 19166-2020 karta.png", "A 19166-2020")</f>
        <v/>
      </c>
      <c r="V326">
        <f>HYPERLINK("https://klasma.github.io/Logging_2283/klagomål/A 19166-2020 FSC-klagomål.docx", "A 19166-2020")</f>
        <v/>
      </c>
      <c r="W326">
        <f>HYPERLINK("https://klasma.github.io/Logging_2283/klagomålsmail/A 19166-2020 FSC-klagomål mail.docx", "A 19166-2020")</f>
        <v/>
      </c>
      <c r="X326">
        <f>HYPERLINK("https://klasma.github.io/Logging_2283/tillsyn/A 19166-2020 tillsynsbegäran.docx", "A 19166-2020")</f>
        <v/>
      </c>
      <c r="Y326">
        <f>HYPERLINK("https://klasma.github.io/Logging_2283/tillsynsmail/A 19166-2020 tillsynsbegäran mail.docx", "A 19166-2020")</f>
        <v/>
      </c>
    </row>
    <row r="327" ht="15" customHeight="1">
      <c r="A327" t="inlineStr">
        <is>
          <t>A 24641-2020</t>
        </is>
      </c>
      <c r="B327" s="1" t="n">
        <v>43977</v>
      </c>
      <c r="C327" s="1" t="n">
        <v>45637</v>
      </c>
      <c r="D327" t="inlineStr">
        <is>
          <t>VÄSTERNORRLANDS LÄN</t>
        </is>
      </c>
      <c r="E327" t="inlineStr">
        <is>
          <t>SOLLEFTEÅ</t>
        </is>
      </c>
      <c r="F327" t="inlineStr">
        <is>
          <t>SCA</t>
        </is>
      </c>
      <c r="G327" t="n">
        <v>3.9</v>
      </c>
      <c r="H327" t="n">
        <v>1</v>
      </c>
      <c r="I327" t="n">
        <v>0</v>
      </c>
      <c r="J327" t="n">
        <v>0</v>
      </c>
      <c r="K327" t="n">
        <v>1</v>
      </c>
      <c r="L327" t="n">
        <v>0</v>
      </c>
      <c r="M327" t="n">
        <v>0</v>
      </c>
      <c r="N327" t="n">
        <v>0</v>
      </c>
      <c r="O327" t="n">
        <v>1</v>
      </c>
      <c r="P327" t="n">
        <v>1</v>
      </c>
      <c r="Q327" t="n">
        <v>1</v>
      </c>
      <c r="R327" s="2" t="inlineStr">
        <is>
          <t>Knärot</t>
        </is>
      </c>
      <c r="S327">
        <f>HYPERLINK("https://klasma.github.io/Logging_2283/artfynd/A 24641-2020 artfynd.xlsx", "A 24641-2020")</f>
        <v/>
      </c>
      <c r="T327">
        <f>HYPERLINK("https://klasma.github.io/Logging_2283/kartor/A 24641-2020 karta.png", "A 24641-2020")</f>
        <v/>
      </c>
      <c r="U327">
        <f>HYPERLINK("https://klasma.github.io/Logging_2283/knärot/A 24641-2020 karta knärot.png", "A 24641-2020")</f>
        <v/>
      </c>
      <c r="V327">
        <f>HYPERLINK("https://klasma.github.io/Logging_2283/klagomål/A 24641-2020 FSC-klagomål.docx", "A 24641-2020")</f>
        <v/>
      </c>
      <c r="W327">
        <f>HYPERLINK("https://klasma.github.io/Logging_2283/klagomålsmail/A 24641-2020 FSC-klagomål mail.docx", "A 24641-2020")</f>
        <v/>
      </c>
      <c r="X327">
        <f>HYPERLINK("https://klasma.github.io/Logging_2283/tillsyn/A 24641-2020 tillsynsbegäran.docx", "A 24641-2020")</f>
        <v/>
      </c>
      <c r="Y327">
        <f>HYPERLINK("https://klasma.github.io/Logging_2283/tillsynsmail/A 24641-2020 tillsynsbegäran mail.docx", "A 24641-2020")</f>
        <v/>
      </c>
    </row>
    <row r="328" ht="15" customHeight="1">
      <c r="A328" t="inlineStr">
        <is>
          <t>A 27177-2020</t>
        </is>
      </c>
      <c r="B328" s="1" t="n">
        <v>43991</v>
      </c>
      <c r="C328" s="1" t="n">
        <v>45637</v>
      </c>
      <c r="D328" t="inlineStr">
        <is>
          <t>VÄSTERNORRLANDS LÄN</t>
        </is>
      </c>
      <c r="E328" t="inlineStr">
        <is>
          <t>SOLLEFTEÅ</t>
        </is>
      </c>
      <c r="F328" t="inlineStr">
        <is>
          <t>Holmen skog AB</t>
        </is>
      </c>
      <c r="G328" t="n">
        <v>0.8</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27177-2020 artfynd.xlsx", "A 27177-2020")</f>
        <v/>
      </c>
      <c r="T328">
        <f>HYPERLINK("https://klasma.github.io/Logging_2283/kartor/A 27177-2020 karta.png", "A 27177-2020")</f>
        <v/>
      </c>
      <c r="U328">
        <f>HYPERLINK("https://klasma.github.io/Logging_2283/knärot/A 27177-2020 karta knärot.png", "A 27177-2020")</f>
        <v/>
      </c>
      <c r="V328">
        <f>HYPERLINK("https://klasma.github.io/Logging_2283/klagomål/A 27177-2020 FSC-klagomål.docx", "A 27177-2020")</f>
        <v/>
      </c>
      <c r="W328">
        <f>HYPERLINK("https://klasma.github.io/Logging_2283/klagomålsmail/A 27177-2020 FSC-klagomål mail.docx", "A 27177-2020")</f>
        <v/>
      </c>
      <c r="X328">
        <f>HYPERLINK("https://klasma.github.io/Logging_2283/tillsyn/A 27177-2020 tillsynsbegäran.docx", "A 27177-2020")</f>
        <v/>
      </c>
      <c r="Y328">
        <f>HYPERLINK("https://klasma.github.io/Logging_2283/tillsynsmail/A 27177-2020 tillsynsbegäran mail.docx", "A 27177-2020")</f>
        <v/>
      </c>
      <c r="Z328">
        <f>HYPERLINK("https://klasma.github.io/Logging_2283/fåglar/A 27177-2020 prioriterade fågelarter.docx", "A 27177-2020")</f>
        <v/>
      </c>
    </row>
    <row r="329" ht="15" customHeight="1">
      <c r="A329" t="inlineStr">
        <is>
          <t>A 47840-2020</t>
        </is>
      </c>
      <c r="B329" s="1" t="n">
        <v>44098</v>
      </c>
      <c r="C329" s="1" t="n">
        <v>45637</v>
      </c>
      <c r="D329" t="inlineStr">
        <is>
          <t>VÄSTERNORRLANDS LÄN</t>
        </is>
      </c>
      <c r="E329" t="inlineStr">
        <is>
          <t>SOLLEFTEÅ</t>
        </is>
      </c>
      <c r="F329" t="inlineStr">
        <is>
          <t>SCA</t>
        </is>
      </c>
      <c r="G329" t="n">
        <v>9.699999999999999</v>
      </c>
      <c r="H329" t="n">
        <v>1</v>
      </c>
      <c r="I329" t="n">
        <v>0</v>
      </c>
      <c r="J329" t="n">
        <v>0</v>
      </c>
      <c r="K329" t="n">
        <v>1</v>
      </c>
      <c r="L329" t="n">
        <v>0</v>
      </c>
      <c r="M329" t="n">
        <v>0</v>
      </c>
      <c r="N329" t="n">
        <v>0</v>
      </c>
      <c r="O329" t="n">
        <v>1</v>
      </c>
      <c r="P329" t="n">
        <v>1</v>
      </c>
      <c r="Q329" t="n">
        <v>1</v>
      </c>
      <c r="R329" s="2" t="inlineStr">
        <is>
          <t>Knärot</t>
        </is>
      </c>
      <c r="S329">
        <f>HYPERLINK("https://klasma.github.io/Logging_2283/artfynd/A 47840-2020 artfynd.xlsx", "A 47840-2020")</f>
        <v/>
      </c>
      <c r="T329">
        <f>HYPERLINK("https://klasma.github.io/Logging_2283/kartor/A 47840-2020 karta.png", "A 47840-2020")</f>
        <v/>
      </c>
      <c r="U329">
        <f>HYPERLINK("https://klasma.github.io/Logging_2283/knärot/A 47840-2020 karta knärot.png", "A 47840-2020")</f>
        <v/>
      </c>
      <c r="V329">
        <f>HYPERLINK("https://klasma.github.io/Logging_2283/klagomål/A 47840-2020 FSC-klagomål.docx", "A 47840-2020")</f>
        <v/>
      </c>
      <c r="W329">
        <f>HYPERLINK("https://klasma.github.io/Logging_2283/klagomålsmail/A 47840-2020 FSC-klagomål mail.docx", "A 47840-2020")</f>
        <v/>
      </c>
      <c r="X329">
        <f>HYPERLINK("https://klasma.github.io/Logging_2283/tillsyn/A 47840-2020 tillsynsbegäran.docx", "A 47840-2020")</f>
        <v/>
      </c>
      <c r="Y329">
        <f>HYPERLINK("https://klasma.github.io/Logging_2283/tillsynsmail/A 47840-2020 tillsynsbegäran mail.docx", "A 47840-2020")</f>
        <v/>
      </c>
    </row>
    <row r="330" ht="15" customHeight="1">
      <c r="A330" t="inlineStr">
        <is>
          <t>A 68651-2020</t>
        </is>
      </c>
      <c r="B330" s="1" t="n">
        <v>44186</v>
      </c>
      <c r="C330" s="1" t="n">
        <v>45637</v>
      </c>
      <c r="D330" t="inlineStr">
        <is>
          <t>VÄSTERNORRLANDS LÄN</t>
        </is>
      </c>
      <c r="E330" t="inlineStr">
        <is>
          <t>SOLLEFTEÅ</t>
        </is>
      </c>
      <c r="F330" t="inlineStr">
        <is>
          <t>SCA</t>
        </is>
      </c>
      <c r="G330" t="n">
        <v>1.5</v>
      </c>
      <c r="H330" t="n">
        <v>0</v>
      </c>
      <c r="I330" t="n">
        <v>0</v>
      </c>
      <c r="J330" t="n">
        <v>1</v>
      </c>
      <c r="K330" t="n">
        <v>0</v>
      </c>
      <c r="L330" t="n">
        <v>0</v>
      </c>
      <c r="M330" t="n">
        <v>0</v>
      </c>
      <c r="N330" t="n">
        <v>0</v>
      </c>
      <c r="O330" t="n">
        <v>1</v>
      </c>
      <c r="P330" t="n">
        <v>0</v>
      </c>
      <c r="Q330" t="n">
        <v>1</v>
      </c>
      <c r="R330" s="2" t="inlineStr">
        <is>
          <t>Harticka</t>
        </is>
      </c>
      <c r="S330">
        <f>HYPERLINK("https://klasma.github.io/Logging_2283/artfynd/A 68651-2020 artfynd.xlsx", "A 68651-2020")</f>
        <v/>
      </c>
      <c r="T330">
        <f>HYPERLINK("https://klasma.github.io/Logging_2283/kartor/A 68651-2020 karta.png", "A 68651-2020")</f>
        <v/>
      </c>
      <c r="V330">
        <f>HYPERLINK("https://klasma.github.io/Logging_2283/klagomål/A 68651-2020 FSC-klagomål.docx", "A 68651-2020")</f>
        <v/>
      </c>
      <c r="W330">
        <f>HYPERLINK("https://klasma.github.io/Logging_2283/klagomålsmail/A 68651-2020 FSC-klagomål mail.docx", "A 68651-2020")</f>
        <v/>
      </c>
      <c r="X330">
        <f>HYPERLINK("https://klasma.github.io/Logging_2283/tillsyn/A 68651-2020 tillsynsbegäran.docx", "A 68651-2020")</f>
        <v/>
      </c>
      <c r="Y330">
        <f>HYPERLINK("https://klasma.github.io/Logging_2283/tillsynsmail/A 68651-2020 tillsynsbegäran mail.docx", "A 68651-2020")</f>
        <v/>
      </c>
    </row>
    <row r="331" ht="15" customHeight="1">
      <c r="A331" t="inlineStr">
        <is>
          <t>A 68789-2020</t>
        </is>
      </c>
      <c r="B331" s="1" t="n">
        <v>44186</v>
      </c>
      <c r="C331" s="1" t="n">
        <v>45637</v>
      </c>
      <c r="D331" t="inlineStr">
        <is>
          <t>VÄSTERNORRLANDS LÄN</t>
        </is>
      </c>
      <c r="E331" t="inlineStr">
        <is>
          <t>SOLLEFTEÅ</t>
        </is>
      </c>
      <c r="G331" t="n">
        <v>2.1</v>
      </c>
      <c r="H331" t="n">
        <v>0</v>
      </c>
      <c r="I331" t="n">
        <v>1</v>
      </c>
      <c r="J331" t="n">
        <v>0</v>
      </c>
      <c r="K331" t="n">
        <v>0</v>
      </c>
      <c r="L331" t="n">
        <v>0</v>
      </c>
      <c r="M331" t="n">
        <v>0</v>
      </c>
      <c r="N331" t="n">
        <v>0</v>
      </c>
      <c r="O331" t="n">
        <v>0</v>
      </c>
      <c r="P331" t="n">
        <v>0</v>
      </c>
      <c r="Q331" t="n">
        <v>1</v>
      </c>
      <c r="R331" s="2" t="inlineStr">
        <is>
          <t>Svart trolldruva</t>
        </is>
      </c>
      <c r="S331">
        <f>HYPERLINK("https://klasma.github.io/Logging_2283/artfynd/A 68789-2020 artfynd.xlsx", "A 68789-2020")</f>
        <v/>
      </c>
      <c r="T331">
        <f>HYPERLINK("https://klasma.github.io/Logging_2283/kartor/A 68789-2020 karta.png", "A 68789-2020")</f>
        <v/>
      </c>
      <c r="U331">
        <f>HYPERLINK("https://klasma.github.io/Logging_2283/knärot/A 68789-2020 karta knärot.png", "A 68789-2020")</f>
        <v/>
      </c>
      <c r="V331">
        <f>HYPERLINK("https://klasma.github.io/Logging_2283/klagomål/A 68789-2020 FSC-klagomål.docx", "A 68789-2020")</f>
        <v/>
      </c>
      <c r="W331">
        <f>HYPERLINK("https://klasma.github.io/Logging_2283/klagomålsmail/A 68789-2020 FSC-klagomål mail.docx", "A 68789-2020")</f>
        <v/>
      </c>
      <c r="X331">
        <f>HYPERLINK("https://klasma.github.io/Logging_2283/tillsyn/A 68789-2020 tillsynsbegäran.docx", "A 68789-2020")</f>
        <v/>
      </c>
      <c r="Y331">
        <f>HYPERLINK("https://klasma.github.io/Logging_2283/tillsynsmail/A 68789-2020 tillsynsbegäran mail.docx", "A 68789-2020")</f>
        <v/>
      </c>
    </row>
    <row r="332" ht="15" customHeight="1">
      <c r="A332" t="inlineStr">
        <is>
          <t>A 15101-2021</t>
        </is>
      </c>
      <c r="B332" s="1" t="n">
        <v>44281</v>
      </c>
      <c r="C332" s="1" t="n">
        <v>45637</v>
      </c>
      <c r="D332" t="inlineStr">
        <is>
          <t>VÄSTERNORRLANDS LÄN</t>
        </is>
      </c>
      <c r="E332" t="inlineStr">
        <is>
          <t>SOLLEFTEÅ</t>
        </is>
      </c>
      <c r="F332" t="inlineStr">
        <is>
          <t>SCA</t>
        </is>
      </c>
      <c r="G332" t="n">
        <v>1.1</v>
      </c>
      <c r="H332" t="n">
        <v>0</v>
      </c>
      <c r="I332" t="n">
        <v>0</v>
      </c>
      <c r="J332" t="n">
        <v>1</v>
      </c>
      <c r="K332" t="n">
        <v>0</v>
      </c>
      <c r="L332" t="n">
        <v>0</v>
      </c>
      <c r="M332" t="n">
        <v>0</v>
      </c>
      <c r="N332" t="n">
        <v>0</v>
      </c>
      <c r="O332" t="n">
        <v>1</v>
      </c>
      <c r="P332" t="n">
        <v>0</v>
      </c>
      <c r="Q332" t="n">
        <v>1</v>
      </c>
      <c r="R332" s="2" t="inlineStr">
        <is>
          <t>Garnlav</t>
        </is>
      </c>
      <c r="S332">
        <f>HYPERLINK("https://klasma.github.io/Logging_2283/artfynd/A 15101-2021 artfynd.xlsx", "A 15101-2021")</f>
        <v/>
      </c>
      <c r="T332">
        <f>HYPERLINK("https://klasma.github.io/Logging_2283/kartor/A 15101-2021 karta.png", "A 15101-2021")</f>
        <v/>
      </c>
      <c r="V332">
        <f>HYPERLINK("https://klasma.github.io/Logging_2283/klagomål/A 15101-2021 FSC-klagomål.docx", "A 15101-2021")</f>
        <v/>
      </c>
      <c r="W332">
        <f>HYPERLINK("https://klasma.github.io/Logging_2283/klagomålsmail/A 15101-2021 FSC-klagomål mail.docx", "A 15101-2021")</f>
        <v/>
      </c>
      <c r="X332">
        <f>HYPERLINK("https://klasma.github.io/Logging_2283/tillsyn/A 15101-2021 tillsynsbegäran.docx", "A 15101-2021")</f>
        <v/>
      </c>
      <c r="Y332">
        <f>HYPERLINK("https://klasma.github.io/Logging_2283/tillsynsmail/A 15101-2021 tillsynsbegäran mail.docx", "A 15101-2021")</f>
        <v/>
      </c>
    </row>
    <row r="333" ht="15" customHeight="1">
      <c r="A333" t="inlineStr">
        <is>
          <t>A 17377-2021</t>
        </is>
      </c>
      <c r="B333" s="1" t="n">
        <v>44298</v>
      </c>
      <c r="C333" s="1" t="n">
        <v>45637</v>
      </c>
      <c r="D333" t="inlineStr">
        <is>
          <t>VÄSTERNORRLANDS LÄN</t>
        </is>
      </c>
      <c r="E333" t="inlineStr">
        <is>
          <t>SOLLEFTEÅ</t>
        </is>
      </c>
      <c r="G333" t="n">
        <v>5.1</v>
      </c>
      <c r="H333" t="n">
        <v>0</v>
      </c>
      <c r="I333" t="n">
        <v>0</v>
      </c>
      <c r="J333" t="n">
        <v>1</v>
      </c>
      <c r="K333" t="n">
        <v>0</v>
      </c>
      <c r="L333" t="n">
        <v>0</v>
      </c>
      <c r="M333" t="n">
        <v>0</v>
      </c>
      <c r="N333" t="n">
        <v>0</v>
      </c>
      <c r="O333" t="n">
        <v>1</v>
      </c>
      <c r="P333" t="n">
        <v>0</v>
      </c>
      <c r="Q333" t="n">
        <v>1</v>
      </c>
      <c r="R333" s="2" t="inlineStr">
        <is>
          <t>Ullticka</t>
        </is>
      </c>
      <c r="S333">
        <f>HYPERLINK("https://klasma.github.io/Logging_2283/artfynd/A 17377-2021 artfynd.xlsx", "A 17377-2021")</f>
        <v/>
      </c>
      <c r="T333">
        <f>HYPERLINK("https://klasma.github.io/Logging_2283/kartor/A 17377-2021 karta.png", "A 17377-2021")</f>
        <v/>
      </c>
      <c r="V333">
        <f>HYPERLINK("https://klasma.github.io/Logging_2283/klagomål/A 17377-2021 FSC-klagomål.docx", "A 17377-2021")</f>
        <v/>
      </c>
      <c r="W333">
        <f>HYPERLINK("https://klasma.github.io/Logging_2283/klagomålsmail/A 17377-2021 FSC-klagomål mail.docx", "A 17377-2021")</f>
        <v/>
      </c>
      <c r="X333">
        <f>HYPERLINK("https://klasma.github.io/Logging_2283/tillsyn/A 17377-2021 tillsynsbegäran.docx", "A 17377-2021")</f>
        <v/>
      </c>
      <c r="Y333">
        <f>HYPERLINK("https://klasma.github.io/Logging_2283/tillsynsmail/A 17377-2021 tillsynsbegäran mail.docx", "A 17377-2021")</f>
        <v/>
      </c>
    </row>
    <row r="334" ht="15" customHeight="1">
      <c r="A334" t="inlineStr">
        <is>
          <t>A 18461-2021</t>
        </is>
      </c>
      <c r="B334" s="1" t="n">
        <v>44305</v>
      </c>
      <c r="C334" s="1" t="n">
        <v>45637</v>
      </c>
      <c r="D334" t="inlineStr">
        <is>
          <t>VÄSTERNORRLANDS LÄN</t>
        </is>
      </c>
      <c r="E334" t="inlineStr">
        <is>
          <t>SOLLEFTEÅ</t>
        </is>
      </c>
      <c r="F334" t="inlineStr">
        <is>
          <t>SCA</t>
        </is>
      </c>
      <c r="G334" t="n">
        <v>1.7</v>
      </c>
      <c r="H334" t="n">
        <v>1</v>
      </c>
      <c r="I334" t="n">
        <v>0</v>
      </c>
      <c r="J334" t="n">
        <v>1</v>
      </c>
      <c r="K334" t="n">
        <v>0</v>
      </c>
      <c r="L334" t="n">
        <v>0</v>
      </c>
      <c r="M334" t="n">
        <v>0</v>
      </c>
      <c r="N334" t="n">
        <v>0</v>
      </c>
      <c r="O334" t="n">
        <v>1</v>
      </c>
      <c r="P334" t="n">
        <v>0</v>
      </c>
      <c r="Q334" t="n">
        <v>1</v>
      </c>
      <c r="R334" s="2" t="inlineStr">
        <is>
          <t>Nordfladdermus</t>
        </is>
      </c>
      <c r="S334">
        <f>HYPERLINK("https://klasma.github.io/Logging_2283/artfynd/A 18461-2021 artfynd.xlsx", "A 18461-2021")</f>
        <v/>
      </c>
      <c r="T334">
        <f>HYPERLINK("https://klasma.github.io/Logging_2283/kartor/A 18461-2021 karta.png", "A 18461-2021")</f>
        <v/>
      </c>
      <c r="V334">
        <f>HYPERLINK("https://klasma.github.io/Logging_2283/klagomål/A 18461-2021 FSC-klagomål.docx", "A 18461-2021")</f>
        <v/>
      </c>
      <c r="W334">
        <f>HYPERLINK("https://klasma.github.io/Logging_2283/klagomålsmail/A 18461-2021 FSC-klagomål mail.docx", "A 18461-2021")</f>
        <v/>
      </c>
      <c r="X334">
        <f>HYPERLINK("https://klasma.github.io/Logging_2283/tillsyn/A 18461-2021 tillsynsbegäran.docx", "A 18461-2021")</f>
        <v/>
      </c>
      <c r="Y334">
        <f>HYPERLINK("https://klasma.github.io/Logging_2283/tillsynsmail/A 18461-2021 tillsynsbegäran mail.docx", "A 18461-2021")</f>
        <v/>
      </c>
    </row>
    <row r="335" ht="15" customHeight="1">
      <c r="A335" t="inlineStr">
        <is>
          <t>A 21360-2021</t>
        </is>
      </c>
      <c r="B335" s="1" t="n">
        <v>44320</v>
      </c>
      <c r="C335" s="1" t="n">
        <v>45637</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22862-2021</t>
        </is>
      </c>
      <c r="B336" s="1" t="n">
        <v>44326</v>
      </c>
      <c r="C336" s="1" t="n">
        <v>45637</v>
      </c>
      <c r="D336" t="inlineStr">
        <is>
          <t>VÄSTERNORRLANDS LÄN</t>
        </is>
      </c>
      <c r="E336" t="inlineStr">
        <is>
          <t>SOLLEFTEÅ</t>
        </is>
      </c>
      <c r="F336" t="inlineStr">
        <is>
          <t>Kommuner</t>
        </is>
      </c>
      <c r="G336" t="n">
        <v>2</v>
      </c>
      <c r="H336" t="n">
        <v>1</v>
      </c>
      <c r="I336" t="n">
        <v>0</v>
      </c>
      <c r="J336" t="n">
        <v>0</v>
      </c>
      <c r="K336" t="n">
        <v>1</v>
      </c>
      <c r="L336" t="n">
        <v>0</v>
      </c>
      <c r="M336" t="n">
        <v>0</v>
      </c>
      <c r="N336" t="n">
        <v>0</v>
      </c>
      <c r="O336" t="n">
        <v>1</v>
      </c>
      <c r="P336" t="n">
        <v>1</v>
      </c>
      <c r="Q336" t="n">
        <v>1</v>
      </c>
      <c r="R336" s="2" t="inlineStr">
        <is>
          <t>Lappuggla</t>
        </is>
      </c>
      <c r="S336">
        <f>HYPERLINK("https://klasma.github.io/Logging_2283/artfynd/A 22862-2021 artfynd.xlsx", "A 22862-2021")</f>
        <v/>
      </c>
      <c r="T336">
        <f>HYPERLINK("https://klasma.github.io/Logging_2283/kartor/A 22862-2021 karta.png", "A 22862-2021")</f>
        <v/>
      </c>
      <c r="V336">
        <f>HYPERLINK("https://klasma.github.io/Logging_2283/klagomål/A 22862-2021 FSC-klagomål.docx", "A 22862-2021")</f>
        <v/>
      </c>
      <c r="W336">
        <f>HYPERLINK("https://klasma.github.io/Logging_2283/klagomålsmail/A 22862-2021 FSC-klagomål mail.docx", "A 22862-2021")</f>
        <v/>
      </c>
      <c r="X336">
        <f>HYPERLINK("https://klasma.github.io/Logging_2283/tillsyn/A 22862-2021 tillsynsbegäran.docx", "A 22862-2021")</f>
        <v/>
      </c>
      <c r="Y336">
        <f>HYPERLINK("https://klasma.github.io/Logging_2283/tillsynsmail/A 22862-2021 tillsynsbegäran mail.docx", "A 22862-2021")</f>
        <v/>
      </c>
      <c r="Z336">
        <f>HYPERLINK("https://klasma.github.io/Logging_2283/fåglar/A 22862-2021 prioriterade fågelarter.docx", "A 22862-2021")</f>
        <v/>
      </c>
    </row>
    <row r="337" ht="15" customHeight="1">
      <c r="A337" t="inlineStr">
        <is>
          <t>A 37043-2021</t>
        </is>
      </c>
      <c r="B337" s="1" t="n">
        <v>44393</v>
      </c>
      <c r="C337" s="1" t="n">
        <v>45637</v>
      </c>
      <c r="D337" t="inlineStr">
        <is>
          <t>VÄSTERNORRLANDS LÄN</t>
        </is>
      </c>
      <c r="E337" t="inlineStr">
        <is>
          <t>SOLLEFTEÅ</t>
        </is>
      </c>
      <c r="F337" t="inlineStr">
        <is>
          <t>SCA</t>
        </is>
      </c>
      <c r="G337" t="n">
        <v>2.9</v>
      </c>
      <c r="H337" t="n">
        <v>0</v>
      </c>
      <c r="I337" t="n">
        <v>0</v>
      </c>
      <c r="J337" t="n">
        <v>1</v>
      </c>
      <c r="K337" t="n">
        <v>0</v>
      </c>
      <c r="L337" t="n">
        <v>0</v>
      </c>
      <c r="M337" t="n">
        <v>0</v>
      </c>
      <c r="N337" t="n">
        <v>0</v>
      </c>
      <c r="O337" t="n">
        <v>1</v>
      </c>
      <c r="P337" t="n">
        <v>0</v>
      </c>
      <c r="Q337" t="n">
        <v>1</v>
      </c>
      <c r="R337" s="2" t="inlineStr">
        <is>
          <t>Garnlav</t>
        </is>
      </c>
      <c r="S337">
        <f>HYPERLINK("https://klasma.github.io/Logging_2283/artfynd/A 37043-2021 artfynd.xlsx", "A 37043-2021")</f>
        <v/>
      </c>
      <c r="T337">
        <f>HYPERLINK("https://klasma.github.io/Logging_2283/kartor/A 37043-2021 karta.png", "A 37043-2021")</f>
        <v/>
      </c>
      <c r="V337">
        <f>HYPERLINK("https://klasma.github.io/Logging_2283/klagomål/A 37043-2021 FSC-klagomål.docx", "A 37043-2021")</f>
        <v/>
      </c>
      <c r="W337">
        <f>HYPERLINK("https://klasma.github.io/Logging_2283/klagomålsmail/A 37043-2021 FSC-klagomål mail.docx", "A 37043-2021")</f>
        <v/>
      </c>
      <c r="X337">
        <f>HYPERLINK("https://klasma.github.io/Logging_2283/tillsyn/A 37043-2021 tillsynsbegäran.docx", "A 37043-2021")</f>
        <v/>
      </c>
      <c r="Y337">
        <f>HYPERLINK("https://klasma.github.io/Logging_2283/tillsynsmail/A 37043-2021 tillsynsbegäran mail.docx", "A 37043-2021")</f>
        <v/>
      </c>
    </row>
    <row r="338" ht="15" customHeight="1">
      <c r="A338" t="inlineStr">
        <is>
          <t>A 42224-2021</t>
        </is>
      </c>
      <c r="B338" s="1" t="n">
        <v>44426</v>
      </c>
      <c r="C338" s="1" t="n">
        <v>45637</v>
      </c>
      <c r="D338" t="inlineStr">
        <is>
          <t>VÄSTERNORRLANDS LÄN</t>
        </is>
      </c>
      <c r="E338" t="inlineStr">
        <is>
          <t>SOLLEFTEÅ</t>
        </is>
      </c>
      <c r="G338" t="n">
        <v>0.6</v>
      </c>
      <c r="H338" t="n">
        <v>0</v>
      </c>
      <c r="I338" t="n">
        <v>1</v>
      </c>
      <c r="J338" t="n">
        <v>0</v>
      </c>
      <c r="K338" t="n">
        <v>0</v>
      </c>
      <c r="L338" t="n">
        <v>0</v>
      </c>
      <c r="M338" t="n">
        <v>0</v>
      </c>
      <c r="N338" t="n">
        <v>0</v>
      </c>
      <c r="O338" t="n">
        <v>0</v>
      </c>
      <c r="P338" t="n">
        <v>0</v>
      </c>
      <c r="Q338" t="n">
        <v>1</v>
      </c>
      <c r="R338" s="2" t="inlineStr">
        <is>
          <t>Svart trolldruva</t>
        </is>
      </c>
      <c r="S338">
        <f>HYPERLINK("https://klasma.github.io/Logging_2283/artfynd/A 42224-2021 artfynd.xlsx", "A 42224-2021")</f>
        <v/>
      </c>
      <c r="T338">
        <f>HYPERLINK("https://klasma.github.io/Logging_2283/kartor/A 42224-2021 karta.png", "A 42224-2021")</f>
        <v/>
      </c>
      <c r="V338">
        <f>HYPERLINK("https://klasma.github.io/Logging_2283/klagomål/A 42224-2021 FSC-klagomål.docx", "A 42224-2021")</f>
        <v/>
      </c>
      <c r="W338">
        <f>HYPERLINK("https://klasma.github.io/Logging_2283/klagomålsmail/A 42224-2021 FSC-klagomål mail.docx", "A 42224-2021")</f>
        <v/>
      </c>
      <c r="X338">
        <f>HYPERLINK("https://klasma.github.io/Logging_2283/tillsyn/A 42224-2021 tillsynsbegäran.docx", "A 42224-2021")</f>
        <v/>
      </c>
      <c r="Y338">
        <f>HYPERLINK("https://klasma.github.io/Logging_2283/tillsynsmail/A 42224-2021 tillsynsbegäran mail.docx", "A 42224-2021")</f>
        <v/>
      </c>
    </row>
    <row r="339" ht="15" customHeight="1">
      <c r="A339" t="inlineStr">
        <is>
          <t>A 51019-2021</t>
        </is>
      </c>
      <c r="B339" s="1" t="n">
        <v>44460</v>
      </c>
      <c r="C339" s="1" t="n">
        <v>45637</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Fläcknycklar</t>
        </is>
      </c>
      <c r="S339">
        <f>HYPERLINK("https://klasma.github.io/Logging_2283/artfynd/A 51019-2021 artfynd.xlsx", "A 51019-2021")</f>
        <v/>
      </c>
      <c r="T339">
        <f>HYPERLINK("https://klasma.github.io/Logging_2283/kartor/A 51019-2021 karta.png", "A 51019-2021")</f>
        <v/>
      </c>
      <c r="V339">
        <f>HYPERLINK("https://klasma.github.io/Logging_2283/klagomål/A 51019-2021 FSC-klagomål.docx", "A 51019-2021")</f>
        <v/>
      </c>
      <c r="W339">
        <f>HYPERLINK("https://klasma.github.io/Logging_2283/klagomålsmail/A 51019-2021 FSC-klagomål mail.docx", "A 51019-2021")</f>
        <v/>
      </c>
      <c r="X339">
        <f>HYPERLINK("https://klasma.github.io/Logging_2283/tillsyn/A 51019-2021 tillsynsbegäran.docx", "A 51019-2021")</f>
        <v/>
      </c>
      <c r="Y339">
        <f>HYPERLINK("https://klasma.github.io/Logging_2283/tillsynsmail/A 51019-2021 tillsynsbegäran mail.docx", "A 51019-2021")</f>
        <v/>
      </c>
    </row>
    <row r="340" ht="15" customHeight="1">
      <c r="A340" t="inlineStr">
        <is>
          <t>A 58572-2021</t>
        </is>
      </c>
      <c r="B340" s="1" t="n">
        <v>44488</v>
      </c>
      <c r="C340" s="1" t="n">
        <v>45637</v>
      </c>
      <c r="D340" t="inlineStr">
        <is>
          <t>VÄSTERNORRLANDS LÄN</t>
        </is>
      </c>
      <c r="E340" t="inlineStr">
        <is>
          <t>SOLLEFTEÅ</t>
        </is>
      </c>
      <c r="G340" t="n">
        <v>0.1</v>
      </c>
      <c r="H340" t="n">
        <v>0</v>
      </c>
      <c r="I340" t="n">
        <v>0</v>
      </c>
      <c r="J340" t="n">
        <v>1</v>
      </c>
      <c r="K340" t="n">
        <v>0</v>
      </c>
      <c r="L340" t="n">
        <v>0</v>
      </c>
      <c r="M340" t="n">
        <v>0</v>
      </c>
      <c r="N340" t="n">
        <v>0</v>
      </c>
      <c r="O340" t="n">
        <v>1</v>
      </c>
      <c r="P340" t="n">
        <v>0</v>
      </c>
      <c r="Q340" t="n">
        <v>1</v>
      </c>
      <c r="R340" s="2" t="inlineStr">
        <is>
          <t>Brunklöver</t>
        </is>
      </c>
      <c r="S340">
        <f>HYPERLINK("https://klasma.github.io/Logging_2283/artfynd/A 58572-2021 artfynd.xlsx", "A 58572-2021")</f>
        <v/>
      </c>
      <c r="T340">
        <f>HYPERLINK("https://klasma.github.io/Logging_2283/kartor/A 58572-2021 karta.png", "A 58572-2021")</f>
        <v/>
      </c>
      <c r="V340">
        <f>HYPERLINK("https://klasma.github.io/Logging_2283/klagomål/A 58572-2021 FSC-klagomål.docx", "A 58572-2021")</f>
        <v/>
      </c>
      <c r="W340">
        <f>HYPERLINK("https://klasma.github.io/Logging_2283/klagomålsmail/A 58572-2021 FSC-klagomål mail.docx", "A 58572-2021")</f>
        <v/>
      </c>
      <c r="X340">
        <f>HYPERLINK("https://klasma.github.io/Logging_2283/tillsyn/A 58572-2021 tillsynsbegäran.docx", "A 58572-2021")</f>
        <v/>
      </c>
      <c r="Y340">
        <f>HYPERLINK("https://klasma.github.io/Logging_2283/tillsynsmail/A 58572-2021 tillsynsbegäran mail.docx", "A 58572-2021")</f>
        <v/>
      </c>
    </row>
    <row r="341" ht="15" customHeight="1">
      <c r="A341" t="inlineStr">
        <is>
          <t>A 67402-2021</t>
        </is>
      </c>
      <c r="B341" s="1" t="n">
        <v>44523</v>
      </c>
      <c r="C341" s="1" t="n">
        <v>45637</v>
      </c>
      <c r="D341" t="inlineStr">
        <is>
          <t>VÄSTERNORRLANDS LÄN</t>
        </is>
      </c>
      <c r="E341" t="inlineStr">
        <is>
          <t>SOLLEFTEÅ</t>
        </is>
      </c>
      <c r="F341" t="inlineStr">
        <is>
          <t>SCA</t>
        </is>
      </c>
      <c r="G341" t="n">
        <v>11</v>
      </c>
      <c r="H341" t="n">
        <v>1</v>
      </c>
      <c r="I341" t="n">
        <v>0</v>
      </c>
      <c r="J341" t="n">
        <v>0</v>
      </c>
      <c r="K341" t="n">
        <v>1</v>
      </c>
      <c r="L341" t="n">
        <v>0</v>
      </c>
      <c r="M341" t="n">
        <v>0</v>
      </c>
      <c r="N341" t="n">
        <v>0</v>
      </c>
      <c r="O341" t="n">
        <v>1</v>
      </c>
      <c r="P341" t="n">
        <v>1</v>
      </c>
      <c r="Q341" t="n">
        <v>1</v>
      </c>
      <c r="R341" s="2" t="inlineStr">
        <is>
          <t>Knärot</t>
        </is>
      </c>
      <c r="S341">
        <f>HYPERLINK("https://klasma.github.io/Logging_2283/artfynd/A 67402-2021 artfynd.xlsx", "A 67402-2021")</f>
        <v/>
      </c>
      <c r="T341">
        <f>HYPERLINK("https://klasma.github.io/Logging_2283/kartor/A 67402-2021 karta.png", "A 67402-2021")</f>
        <v/>
      </c>
      <c r="U341">
        <f>HYPERLINK("https://klasma.github.io/Logging_2283/knärot/A 67402-2021 karta knärot.png", "A 67402-2021")</f>
        <v/>
      </c>
      <c r="V341">
        <f>HYPERLINK("https://klasma.github.io/Logging_2283/klagomål/A 67402-2021 FSC-klagomål.docx", "A 67402-2021")</f>
        <v/>
      </c>
      <c r="W341">
        <f>HYPERLINK("https://klasma.github.io/Logging_2283/klagomålsmail/A 67402-2021 FSC-klagomål mail.docx", "A 67402-2021")</f>
        <v/>
      </c>
      <c r="X341">
        <f>HYPERLINK("https://klasma.github.io/Logging_2283/tillsyn/A 67402-2021 tillsynsbegäran.docx", "A 67402-2021")</f>
        <v/>
      </c>
      <c r="Y341">
        <f>HYPERLINK("https://klasma.github.io/Logging_2283/tillsynsmail/A 67402-2021 tillsynsbegäran mail.docx", "A 67402-2021")</f>
        <v/>
      </c>
    </row>
    <row r="342" ht="15" customHeight="1">
      <c r="A342" t="inlineStr">
        <is>
          <t>A 68781-2021</t>
        </is>
      </c>
      <c r="B342" s="1" t="n">
        <v>44529</v>
      </c>
      <c r="C342" s="1" t="n">
        <v>45637</v>
      </c>
      <c r="D342" t="inlineStr">
        <is>
          <t>VÄSTERNORRLANDS LÄN</t>
        </is>
      </c>
      <c r="E342" t="inlineStr">
        <is>
          <t>SOLLEFTEÅ</t>
        </is>
      </c>
      <c r="F342" t="inlineStr">
        <is>
          <t>SCA</t>
        </is>
      </c>
      <c r="G342" t="n">
        <v>1.9</v>
      </c>
      <c r="H342" t="n">
        <v>1</v>
      </c>
      <c r="I342" t="n">
        <v>0</v>
      </c>
      <c r="J342" t="n">
        <v>0</v>
      </c>
      <c r="K342" t="n">
        <v>1</v>
      </c>
      <c r="L342" t="n">
        <v>0</v>
      </c>
      <c r="M342" t="n">
        <v>0</v>
      </c>
      <c r="N342" t="n">
        <v>0</v>
      </c>
      <c r="O342" t="n">
        <v>1</v>
      </c>
      <c r="P342" t="n">
        <v>1</v>
      </c>
      <c r="Q342" t="n">
        <v>1</v>
      </c>
      <c r="R342" s="2" t="inlineStr">
        <is>
          <t>Doftticka</t>
        </is>
      </c>
      <c r="S342">
        <f>HYPERLINK("https://klasma.github.io/Logging_2283/artfynd/A 68781-2021 artfynd.xlsx", "A 68781-2021")</f>
        <v/>
      </c>
      <c r="T342">
        <f>HYPERLINK("https://klasma.github.io/Logging_2283/kartor/A 68781-2021 karta.png", "A 68781-2021")</f>
        <v/>
      </c>
      <c r="V342">
        <f>HYPERLINK("https://klasma.github.io/Logging_2283/klagomål/A 68781-2021 FSC-klagomål.docx", "A 68781-2021")</f>
        <v/>
      </c>
      <c r="W342">
        <f>HYPERLINK("https://klasma.github.io/Logging_2283/klagomålsmail/A 68781-2021 FSC-klagomål mail.docx", "A 68781-2021")</f>
        <v/>
      </c>
      <c r="X342">
        <f>HYPERLINK("https://klasma.github.io/Logging_2283/tillsyn/A 68781-2021 tillsynsbegäran.docx", "A 68781-2021")</f>
        <v/>
      </c>
      <c r="Y342">
        <f>HYPERLINK("https://klasma.github.io/Logging_2283/tillsynsmail/A 68781-2021 tillsynsbegäran mail.docx", "A 68781-2021")</f>
        <v/>
      </c>
    </row>
    <row r="343" ht="15" customHeight="1">
      <c r="A343" t="inlineStr">
        <is>
          <t>A 71349-2021</t>
        </is>
      </c>
      <c r="B343" s="1" t="n">
        <v>44539</v>
      </c>
      <c r="C343" s="1" t="n">
        <v>45637</v>
      </c>
      <c r="D343" t="inlineStr">
        <is>
          <t>VÄSTERNORRLANDS LÄN</t>
        </is>
      </c>
      <c r="E343" t="inlineStr">
        <is>
          <t>SOLLEFTEÅ</t>
        </is>
      </c>
      <c r="G343" t="n">
        <v>0.5</v>
      </c>
      <c r="H343" t="n">
        <v>1</v>
      </c>
      <c r="I343" t="n">
        <v>0</v>
      </c>
      <c r="J343" t="n">
        <v>1</v>
      </c>
      <c r="K343" t="n">
        <v>0</v>
      </c>
      <c r="L343" t="n">
        <v>0</v>
      </c>
      <c r="M343" t="n">
        <v>0</v>
      </c>
      <c r="N343" t="n">
        <v>0</v>
      </c>
      <c r="O343" t="n">
        <v>1</v>
      </c>
      <c r="P343" t="n">
        <v>0</v>
      </c>
      <c r="Q343" t="n">
        <v>1</v>
      </c>
      <c r="R343" s="2" t="inlineStr">
        <is>
          <t>Björktrast</t>
        </is>
      </c>
      <c r="S343">
        <f>HYPERLINK("https://klasma.github.io/Logging_2283/artfynd/A 71349-2021 artfynd.xlsx", "A 71349-2021")</f>
        <v/>
      </c>
      <c r="T343">
        <f>HYPERLINK("https://klasma.github.io/Logging_2283/kartor/A 71349-2021 karta.png", "A 71349-2021")</f>
        <v/>
      </c>
      <c r="V343">
        <f>HYPERLINK("https://klasma.github.io/Logging_2283/klagomål/A 71349-2021 FSC-klagomål.docx", "A 71349-2021")</f>
        <v/>
      </c>
      <c r="W343">
        <f>HYPERLINK("https://klasma.github.io/Logging_2283/klagomålsmail/A 71349-2021 FSC-klagomål mail.docx", "A 71349-2021")</f>
        <v/>
      </c>
      <c r="X343">
        <f>HYPERLINK("https://klasma.github.io/Logging_2283/tillsyn/A 71349-2021 tillsynsbegäran.docx", "A 71349-2021")</f>
        <v/>
      </c>
      <c r="Y343">
        <f>HYPERLINK("https://klasma.github.io/Logging_2283/tillsynsmail/A 71349-2021 tillsynsbegäran mail.docx", "A 71349-2021")</f>
        <v/>
      </c>
      <c r="Z343">
        <f>HYPERLINK("https://klasma.github.io/Logging_2283/fåglar/A 71349-2021 prioriterade fågelarter.docx", "A 71349-2021")</f>
        <v/>
      </c>
    </row>
    <row r="344" ht="15" customHeight="1">
      <c r="A344" t="inlineStr">
        <is>
          <t>A 15669-2022</t>
        </is>
      </c>
      <c r="B344" s="1" t="n">
        <v>44662</v>
      </c>
      <c r="C344" s="1" t="n">
        <v>45637</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16269-2022</t>
        </is>
      </c>
      <c r="B345" s="1" t="n">
        <v>44670</v>
      </c>
      <c r="C345" s="1" t="n">
        <v>45637</v>
      </c>
      <c r="D345" t="inlineStr">
        <is>
          <t>VÄSTERNORRLANDS LÄN</t>
        </is>
      </c>
      <c r="E345" t="inlineStr">
        <is>
          <t>SOLLEFTEÅ</t>
        </is>
      </c>
      <c r="F345" t="inlineStr">
        <is>
          <t>Holmen skog AB</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16269-2022 artfynd.xlsx", "A 16269-2022")</f>
        <v/>
      </c>
      <c r="T345">
        <f>HYPERLINK("https://klasma.github.io/Logging_2283/kartor/A 16269-2022 karta.png", "A 16269-2022")</f>
        <v/>
      </c>
      <c r="V345">
        <f>HYPERLINK("https://klasma.github.io/Logging_2283/klagomål/A 16269-2022 FSC-klagomål.docx", "A 16269-2022")</f>
        <v/>
      </c>
      <c r="W345">
        <f>HYPERLINK("https://klasma.github.io/Logging_2283/klagomålsmail/A 16269-2022 FSC-klagomål mail.docx", "A 16269-2022")</f>
        <v/>
      </c>
      <c r="X345">
        <f>HYPERLINK("https://klasma.github.io/Logging_2283/tillsyn/A 16269-2022 tillsynsbegäran.docx", "A 16269-2022")</f>
        <v/>
      </c>
      <c r="Y345">
        <f>HYPERLINK("https://klasma.github.io/Logging_2283/tillsynsmail/A 16269-2022 tillsynsbegäran mail.docx", "A 16269-2022")</f>
        <v/>
      </c>
      <c r="Z345">
        <f>HYPERLINK("https://klasma.github.io/Logging_2283/fåglar/A 16269-2022 prioriterade fågelarter.docx", "A 16269-2022")</f>
        <v/>
      </c>
    </row>
    <row r="346" ht="15" customHeight="1">
      <c r="A346" t="inlineStr">
        <is>
          <t>A 21708-2022</t>
        </is>
      </c>
      <c r="B346" s="1" t="n">
        <v>44707</v>
      </c>
      <c r="C346" s="1" t="n">
        <v>45637</v>
      </c>
      <c r="D346" t="inlineStr">
        <is>
          <t>VÄSTERNORRLANDS LÄN</t>
        </is>
      </c>
      <c r="E346" t="inlineStr">
        <is>
          <t>SOLLEFTEÅ</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HYPERLINK("https://klasma.github.io/Logging_2283/artfynd/A 21708-2022 artfynd.xlsx", "A 21708-2022")</f>
        <v/>
      </c>
      <c r="T346">
        <f>HYPERLINK("https://klasma.github.io/Logging_2283/kartor/A 21708-2022 karta.png", "A 21708-2022")</f>
        <v/>
      </c>
      <c r="V346">
        <f>HYPERLINK("https://klasma.github.io/Logging_2283/klagomål/A 21708-2022 FSC-klagomål.docx", "A 21708-2022")</f>
        <v/>
      </c>
      <c r="W346">
        <f>HYPERLINK("https://klasma.github.io/Logging_2283/klagomålsmail/A 21708-2022 FSC-klagomål mail.docx", "A 21708-2022")</f>
        <v/>
      </c>
      <c r="X346">
        <f>HYPERLINK("https://klasma.github.io/Logging_2283/tillsyn/A 21708-2022 tillsynsbegäran.docx", "A 21708-2022")</f>
        <v/>
      </c>
      <c r="Y346">
        <f>HYPERLINK("https://klasma.github.io/Logging_2283/tillsynsmail/A 21708-2022 tillsynsbegäran mail.docx", "A 21708-2022")</f>
        <v/>
      </c>
    </row>
    <row r="347" ht="15" customHeight="1">
      <c r="A347" t="inlineStr">
        <is>
          <t>A 22323-2022</t>
        </is>
      </c>
      <c r="B347" s="1" t="n">
        <v>44713</v>
      </c>
      <c r="C347" s="1" t="n">
        <v>45637</v>
      </c>
      <c r="D347" t="inlineStr">
        <is>
          <t>VÄSTERNORRLANDS LÄN</t>
        </is>
      </c>
      <c r="E347" t="inlineStr">
        <is>
          <t>SOLLEFTEÅ</t>
        </is>
      </c>
      <c r="F347" t="inlineStr">
        <is>
          <t>SCA</t>
        </is>
      </c>
      <c r="G347" t="n">
        <v>1.8</v>
      </c>
      <c r="H347" t="n">
        <v>0</v>
      </c>
      <c r="I347" t="n">
        <v>0</v>
      </c>
      <c r="J347" t="n">
        <v>1</v>
      </c>
      <c r="K347" t="n">
        <v>0</v>
      </c>
      <c r="L347" t="n">
        <v>0</v>
      </c>
      <c r="M347" t="n">
        <v>0</v>
      </c>
      <c r="N347" t="n">
        <v>0</v>
      </c>
      <c r="O347" t="n">
        <v>1</v>
      </c>
      <c r="P347" t="n">
        <v>0</v>
      </c>
      <c r="Q347" t="n">
        <v>1</v>
      </c>
      <c r="R347" s="2" t="inlineStr">
        <is>
          <t>Granticka</t>
        </is>
      </c>
      <c r="S347">
        <f>HYPERLINK("https://klasma.github.io/Logging_2283/artfynd/A 22323-2022 artfynd.xlsx", "A 22323-2022")</f>
        <v/>
      </c>
      <c r="T347">
        <f>HYPERLINK("https://klasma.github.io/Logging_2283/kartor/A 22323-2022 karta.png", "A 22323-2022")</f>
        <v/>
      </c>
      <c r="V347">
        <f>HYPERLINK("https://klasma.github.io/Logging_2283/klagomål/A 22323-2022 FSC-klagomål.docx", "A 22323-2022")</f>
        <v/>
      </c>
      <c r="W347">
        <f>HYPERLINK("https://klasma.github.io/Logging_2283/klagomålsmail/A 22323-2022 FSC-klagomål mail.docx", "A 22323-2022")</f>
        <v/>
      </c>
      <c r="X347">
        <f>HYPERLINK("https://klasma.github.io/Logging_2283/tillsyn/A 22323-2022 tillsynsbegäran.docx", "A 22323-2022")</f>
        <v/>
      </c>
      <c r="Y347">
        <f>HYPERLINK("https://klasma.github.io/Logging_2283/tillsynsmail/A 22323-2022 tillsynsbegäran mail.docx", "A 22323-2022")</f>
        <v/>
      </c>
    </row>
    <row r="348" ht="15" customHeight="1">
      <c r="A348" t="inlineStr">
        <is>
          <t>A 26121-2022</t>
        </is>
      </c>
      <c r="B348" s="1" t="n">
        <v>44734</v>
      </c>
      <c r="C348" s="1" t="n">
        <v>45637</v>
      </c>
      <c r="D348" t="inlineStr">
        <is>
          <t>VÄSTERNORRLANDS LÄN</t>
        </is>
      </c>
      <c r="E348" t="inlineStr">
        <is>
          <t>SOLLEFTEÅ</t>
        </is>
      </c>
      <c r="F348" t="inlineStr">
        <is>
          <t>SCA</t>
        </is>
      </c>
      <c r="G348" t="n">
        <v>6.3</v>
      </c>
      <c r="H348" t="n">
        <v>0</v>
      </c>
      <c r="I348" t="n">
        <v>0</v>
      </c>
      <c r="J348" t="n">
        <v>1</v>
      </c>
      <c r="K348" t="n">
        <v>0</v>
      </c>
      <c r="L348" t="n">
        <v>0</v>
      </c>
      <c r="M348" t="n">
        <v>0</v>
      </c>
      <c r="N348" t="n">
        <v>0</v>
      </c>
      <c r="O348" t="n">
        <v>1</v>
      </c>
      <c r="P348" t="n">
        <v>0</v>
      </c>
      <c r="Q348" t="n">
        <v>1</v>
      </c>
      <c r="R348" s="2" t="inlineStr">
        <is>
          <t>Veckticka</t>
        </is>
      </c>
      <c r="S348">
        <f>HYPERLINK("https://klasma.github.io/Logging_2283/artfynd/A 26121-2022 artfynd.xlsx", "A 26121-2022")</f>
        <v/>
      </c>
      <c r="T348">
        <f>HYPERLINK("https://klasma.github.io/Logging_2283/kartor/A 26121-2022 karta.png", "A 26121-2022")</f>
        <v/>
      </c>
      <c r="V348">
        <f>HYPERLINK("https://klasma.github.io/Logging_2283/klagomål/A 26121-2022 FSC-klagomål.docx", "A 26121-2022")</f>
        <v/>
      </c>
      <c r="W348">
        <f>HYPERLINK("https://klasma.github.io/Logging_2283/klagomålsmail/A 26121-2022 FSC-klagomål mail.docx", "A 26121-2022")</f>
        <v/>
      </c>
      <c r="X348">
        <f>HYPERLINK("https://klasma.github.io/Logging_2283/tillsyn/A 26121-2022 tillsynsbegäran.docx", "A 26121-2022")</f>
        <v/>
      </c>
      <c r="Y348">
        <f>HYPERLINK("https://klasma.github.io/Logging_2283/tillsynsmail/A 26121-2022 tillsynsbegäran mail.docx", "A 26121-2022")</f>
        <v/>
      </c>
    </row>
    <row r="349" ht="15" customHeight="1">
      <c r="A349" t="inlineStr">
        <is>
          <t>A 27106-2022</t>
        </is>
      </c>
      <c r="B349" s="1" t="n">
        <v>44741</v>
      </c>
      <c r="C349" s="1" t="n">
        <v>45637</v>
      </c>
      <c r="D349" t="inlineStr">
        <is>
          <t>VÄSTERNORRLANDS LÄN</t>
        </is>
      </c>
      <c r="E349" t="inlineStr">
        <is>
          <t>SOLLEFTEÅ</t>
        </is>
      </c>
      <c r="G349" t="n">
        <v>1.3</v>
      </c>
      <c r="H349" t="n">
        <v>1</v>
      </c>
      <c r="I349" t="n">
        <v>0</v>
      </c>
      <c r="J349" t="n">
        <v>0</v>
      </c>
      <c r="K349" t="n">
        <v>0</v>
      </c>
      <c r="L349" t="n">
        <v>0</v>
      </c>
      <c r="M349" t="n">
        <v>0</v>
      </c>
      <c r="N349" t="n">
        <v>0</v>
      </c>
      <c r="O349" t="n">
        <v>0</v>
      </c>
      <c r="P349" t="n">
        <v>0</v>
      </c>
      <c r="Q349" t="n">
        <v>1</v>
      </c>
      <c r="R349" s="2" t="inlineStr">
        <is>
          <t>Revlummer</t>
        </is>
      </c>
      <c r="S349">
        <f>HYPERLINK("https://klasma.github.io/Logging_2283/artfynd/A 27106-2022 artfynd.xlsx", "A 27106-2022")</f>
        <v/>
      </c>
      <c r="T349">
        <f>HYPERLINK("https://klasma.github.io/Logging_2283/kartor/A 27106-2022 karta.png", "A 27106-2022")</f>
        <v/>
      </c>
      <c r="V349">
        <f>HYPERLINK("https://klasma.github.io/Logging_2283/klagomål/A 27106-2022 FSC-klagomål.docx", "A 27106-2022")</f>
        <v/>
      </c>
      <c r="W349">
        <f>HYPERLINK("https://klasma.github.io/Logging_2283/klagomålsmail/A 27106-2022 FSC-klagomål mail.docx", "A 27106-2022")</f>
        <v/>
      </c>
      <c r="X349">
        <f>HYPERLINK("https://klasma.github.io/Logging_2283/tillsyn/A 27106-2022 tillsynsbegäran.docx", "A 27106-2022")</f>
        <v/>
      </c>
      <c r="Y349">
        <f>HYPERLINK("https://klasma.github.io/Logging_2283/tillsynsmail/A 27106-2022 tillsynsbegäran mail.docx", "A 27106-2022")</f>
        <v/>
      </c>
    </row>
    <row r="350" ht="15" customHeight="1">
      <c r="A350" t="inlineStr">
        <is>
          <t>A 29037-2022</t>
        </is>
      </c>
      <c r="B350" s="1" t="n">
        <v>44749</v>
      </c>
      <c r="C350" s="1" t="n">
        <v>45637</v>
      </c>
      <c r="D350" t="inlineStr">
        <is>
          <t>VÄSTERNORRLANDS LÄN</t>
        </is>
      </c>
      <c r="E350" t="inlineStr">
        <is>
          <t>SOLLEFTEÅ</t>
        </is>
      </c>
      <c r="F350" t="inlineStr">
        <is>
          <t>SCA</t>
        </is>
      </c>
      <c r="G350" t="n">
        <v>1</v>
      </c>
      <c r="H350" t="n">
        <v>0</v>
      </c>
      <c r="I350" t="n">
        <v>1</v>
      </c>
      <c r="J350" t="n">
        <v>0</v>
      </c>
      <c r="K350" t="n">
        <v>0</v>
      </c>
      <c r="L350" t="n">
        <v>0</v>
      </c>
      <c r="M350" t="n">
        <v>0</v>
      </c>
      <c r="N350" t="n">
        <v>0</v>
      </c>
      <c r="O350" t="n">
        <v>0</v>
      </c>
      <c r="P350" t="n">
        <v>0</v>
      </c>
      <c r="Q350" t="n">
        <v>1</v>
      </c>
      <c r="R350" s="2" t="inlineStr">
        <is>
          <t>Vanlig flatbagge</t>
        </is>
      </c>
      <c r="S350">
        <f>HYPERLINK("https://klasma.github.io/Logging_2283/artfynd/A 29037-2022 artfynd.xlsx", "A 29037-2022")</f>
        <v/>
      </c>
      <c r="T350">
        <f>HYPERLINK("https://klasma.github.io/Logging_2283/kartor/A 29037-2022 karta.png", "A 29037-2022")</f>
        <v/>
      </c>
      <c r="V350">
        <f>HYPERLINK("https://klasma.github.io/Logging_2283/klagomål/A 29037-2022 FSC-klagomål.docx", "A 29037-2022")</f>
        <v/>
      </c>
      <c r="W350">
        <f>HYPERLINK("https://klasma.github.io/Logging_2283/klagomålsmail/A 29037-2022 FSC-klagomål mail.docx", "A 29037-2022")</f>
        <v/>
      </c>
      <c r="X350">
        <f>HYPERLINK("https://klasma.github.io/Logging_2283/tillsyn/A 29037-2022 tillsynsbegäran.docx", "A 29037-2022")</f>
        <v/>
      </c>
      <c r="Y350">
        <f>HYPERLINK("https://klasma.github.io/Logging_2283/tillsynsmail/A 29037-2022 tillsynsbegäran mail.docx", "A 29037-2022")</f>
        <v/>
      </c>
    </row>
    <row r="351" ht="15" customHeight="1">
      <c r="A351" t="inlineStr">
        <is>
          <t>A 30047-2022</t>
        </is>
      </c>
      <c r="B351" s="1" t="n">
        <v>44757</v>
      </c>
      <c r="C351" s="1" t="n">
        <v>45637</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Garnlav</t>
        </is>
      </c>
      <c r="S351">
        <f>HYPERLINK("https://klasma.github.io/Logging_2283/artfynd/A 30047-2022 artfynd.xlsx", "A 30047-2022")</f>
        <v/>
      </c>
      <c r="T351">
        <f>HYPERLINK("https://klasma.github.io/Logging_2283/kartor/A 30047-2022 karta.png", "A 30047-2022")</f>
        <v/>
      </c>
      <c r="V351">
        <f>HYPERLINK("https://klasma.github.io/Logging_2283/klagomål/A 30047-2022 FSC-klagomål.docx", "A 30047-2022")</f>
        <v/>
      </c>
      <c r="W351">
        <f>HYPERLINK("https://klasma.github.io/Logging_2283/klagomålsmail/A 30047-2022 FSC-klagomål mail.docx", "A 30047-2022")</f>
        <v/>
      </c>
      <c r="X351">
        <f>HYPERLINK("https://klasma.github.io/Logging_2283/tillsyn/A 30047-2022 tillsynsbegäran.docx", "A 30047-2022")</f>
        <v/>
      </c>
      <c r="Y351">
        <f>HYPERLINK("https://klasma.github.io/Logging_2283/tillsynsmail/A 30047-2022 tillsynsbegäran mail.docx", "A 30047-2022")</f>
        <v/>
      </c>
    </row>
    <row r="352" ht="15" customHeight="1">
      <c r="A352" t="inlineStr">
        <is>
          <t>A 33216-2022</t>
        </is>
      </c>
      <c r="B352" s="1" t="n">
        <v>44785</v>
      </c>
      <c r="C352" s="1" t="n">
        <v>45637</v>
      </c>
      <c r="D352" t="inlineStr">
        <is>
          <t>VÄSTERNORRLANDS LÄN</t>
        </is>
      </c>
      <c r="E352" t="inlineStr">
        <is>
          <t>SOLLEFTEÅ</t>
        </is>
      </c>
      <c r="F352" t="inlineStr">
        <is>
          <t>SCA</t>
        </is>
      </c>
      <c r="G352" t="n">
        <v>4.4</v>
      </c>
      <c r="H352" t="n">
        <v>0</v>
      </c>
      <c r="I352" t="n">
        <v>0</v>
      </c>
      <c r="J352" t="n">
        <v>0</v>
      </c>
      <c r="K352" t="n">
        <v>1</v>
      </c>
      <c r="L352" t="n">
        <v>0</v>
      </c>
      <c r="M352" t="n">
        <v>0</v>
      </c>
      <c r="N352" t="n">
        <v>0</v>
      </c>
      <c r="O352" t="n">
        <v>1</v>
      </c>
      <c r="P352" t="n">
        <v>1</v>
      </c>
      <c r="Q352" t="n">
        <v>1</v>
      </c>
      <c r="R352" s="2" t="inlineStr">
        <is>
          <t>Rynkskinn</t>
        </is>
      </c>
      <c r="S352">
        <f>HYPERLINK("https://klasma.github.io/Logging_2283/artfynd/A 33216-2022 artfynd.xlsx", "A 33216-2022")</f>
        <v/>
      </c>
      <c r="T352">
        <f>HYPERLINK("https://klasma.github.io/Logging_2283/kartor/A 33216-2022 karta.png", "A 33216-2022")</f>
        <v/>
      </c>
      <c r="V352">
        <f>HYPERLINK("https://klasma.github.io/Logging_2283/klagomål/A 33216-2022 FSC-klagomål.docx", "A 33216-2022")</f>
        <v/>
      </c>
      <c r="W352">
        <f>HYPERLINK("https://klasma.github.io/Logging_2283/klagomålsmail/A 33216-2022 FSC-klagomål mail.docx", "A 33216-2022")</f>
        <v/>
      </c>
      <c r="X352">
        <f>HYPERLINK("https://klasma.github.io/Logging_2283/tillsyn/A 33216-2022 tillsynsbegäran.docx", "A 33216-2022")</f>
        <v/>
      </c>
      <c r="Y352">
        <f>HYPERLINK("https://klasma.github.io/Logging_2283/tillsynsmail/A 33216-2022 tillsynsbegäran mail.docx", "A 33216-2022")</f>
        <v/>
      </c>
    </row>
    <row r="353" ht="15" customHeight="1">
      <c r="A353" t="inlineStr">
        <is>
          <t>A 33504-2022</t>
        </is>
      </c>
      <c r="B353" s="1" t="n">
        <v>44788</v>
      </c>
      <c r="C353" s="1" t="n">
        <v>45637</v>
      </c>
      <c r="D353" t="inlineStr">
        <is>
          <t>VÄSTERNORRLANDS LÄN</t>
        </is>
      </c>
      <c r="E353" t="inlineStr">
        <is>
          <t>SOLLEFTEÅ</t>
        </is>
      </c>
      <c r="F353" t="inlineStr">
        <is>
          <t>SCA</t>
        </is>
      </c>
      <c r="G353" t="n">
        <v>5.2</v>
      </c>
      <c r="H353" t="n">
        <v>1</v>
      </c>
      <c r="I353" t="n">
        <v>0</v>
      </c>
      <c r="J353" t="n">
        <v>0</v>
      </c>
      <c r="K353" t="n">
        <v>1</v>
      </c>
      <c r="L353" t="n">
        <v>0</v>
      </c>
      <c r="M353" t="n">
        <v>0</v>
      </c>
      <c r="N353" t="n">
        <v>0</v>
      </c>
      <c r="O353" t="n">
        <v>1</v>
      </c>
      <c r="P353" t="n">
        <v>1</v>
      </c>
      <c r="Q353" t="n">
        <v>1</v>
      </c>
      <c r="R353" s="2" t="inlineStr">
        <is>
          <t>Knärot</t>
        </is>
      </c>
      <c r="S353">
        <f>HYPERLINK("https://klasma.github.io/Logging_2283/artfynd/A 33504-2022 artfynd.xlsx", "A 33504-2022")</f>
        <v/>
      </c>
      <c r="T353">
        <f>HYPERLINK("https://klasma.github.io/Logging_2283/kartor/A 33504-2022 karta.png", "A 33504-2022")</f>
        <v/>
      </c>
      <c r="U353">
        <f>HYPERLINK("https://klasma.github.io/Logging_2283/knärot/A 33504-2022 karta knärot.png", "A 33504-2022")</f>
        <v/>
      </c>
      <c r="V353">
        <f>HYPERLINK("https://klasma.github.io/Logging_2283/klagomål/A 33504-2022 FSC-klagomål.docx", "A 33504-2022")</f>
        <v/>
      </c>
      <c r="W353">
        <f>HYPERLINK("https://klasma.github.io/Logging_2283/klagomålsmail/A 33504-2022 FSC-klagomål mail.docx", "A 33504-2022")</f>
        <v/>
      </c>
      <c r="X353">
        <f>HYPERLINK("https://klasma.github.io/Logging_2283/tillsyn/A 33504-2022 tillsynsbegäran.docx", "A 33504-2022")</f>
        <v/>
      </c>
      <c r="Y353">
        <f>HYPERLINK("https://klasma.github.io/Logging_2283/tillsynsmail/A 33504-2022 tillsynsbegäran mail.docx", "A 33504-2022")</f>
        <v/>
      </c>
    </row>
    <row r="354" ht="15" customHeight="1">
      <c r="A354" t="inlineStr">
        <is>
          <t>A 35013-2022</t>
        </is>
      </c>
      <c r="B354" s="1" t="n">
        <v>44796</v>
      </c>
      <c r="C354" s="1" t="n">
        <v>45637</v>
      </c>
      <c r="D354" t="inlineStr">
        <is>
          <t>VÄSTERNORRLANDS LÄN</t>
        </is>
      </c>
      <c r="E354" t="inlineStr">
        <is>
          <t>SOLLEFTEÅ</t>
        </is>
      </c>
      <c r="F354" t="inlineStr">
        <is>
          <t>SCA</t>
        </is>
      </c>
      <c r="G354" t="n">
        <v>2.1</v>
      </c>
      <c r="H354" t="n">
        <v>0</v>
      </c>
      <c r="I354" t="n">
        <v>0</v>
      </c>
      <c r="J354" t="n">
        <v>1</v>
      </c>
      <c r="K354" t="n">
        <v>0</v>
      </c>
      <c r="L354" t="n">
        <v>0</v>
      </c>
      <c r="M354" t="n">
        <v>0</v>
      </c>
      <c r="N354" t="n">
        <v>0</v>
      </c>
      <c r="O354" t="n">
        <v>1</v>
      </c>
      <c r="P354" t="n">
        <v>0</v>
      </c>
      <c r="Q354" t="n">
        <v>1</v>
      </c>
      <c r="R354" s="2" t="inlineStr">
        <is>
          <t>Rosenticka</t>
        </is>
      </c>
      <c r="S354">
        <f>HYPERLINK("https://klasma.github.io/Logging_2283/artfynd/A 35013-2022 artfynd.xlsx", "A 35013-2022")</f>
        <v/>
      </c>
      <c r="T354">
        <f>HYPERLINK("https://klasma.github.io/Logging_2283/kartor/A 35013-2022 karta.png", "A 35013-2022")</f>
        <v/>
      </c>
      <c r="V354">
        <f>HYPERLINK("https://klasma.github.io/Logging_2283/klagomål/A 35013-2022 FSC-klagomål.docx", "A 35013-2022")</f>
        <v/>
      </c>
      <c r="W354">
        <f>HYPERLINK("https://klasma.github.io/Logging_2283/klagomålsmail/A 35013-2022 FSC-klagomål mail.docx", "A 35013-2022")</f>
        <v/>
      </c>
      <c r="X354">
        <f>HYPERLINK("https://klasma.github.io/Logging_2283/tillsyn/A 35013-2022 tillsynsbegäran.docx", "A 35013-2022")</f>
        <v/>
      </c>
      <c r="Y354">
        <f>HYPERLINK("https://klasma.github.io/Logging_2283/tillsynsmail/A 35013-2022 tillsynsbegäran mail.docx", "A 35013-2022")</f>
        <v/>
      </c>
    </row>
    <row r="355" ht="15" customHeight="1">
      <c r="A355" t="inlineStr">
        <is>
          <t>A 38367-2022</t>
        </is>
      </c>
      <c r="B355" s="1" t="n">
        <v>44812</v>
      </c>
      <c r="C355" s="1" t="n">
        <v>45637</v>
      </c>
      <c r="D355" t="inlineStr">
        <is>
          <t>VÄSTERNORRLANDS LÄN</t>
        </is>
      </c>
      <c r="E355" t="inlineStr">
        <is>
          <t>SOLLEFTEÅ</t>
        </is>
      </c>
      <c r="F355" t="inlineStr">
        <is>
          <t>Kommuner</t>
        </is>
      </c>
      <c r="G355" t="n">
        <v>19.6</v>
      </c>
      <c r="H355" t="n">
        <v>0</v>
      </c>
      <c r="I355" t="n">
        <v>0</v>
      </c>
      <c r="J355" t="n">
        <v>1</v>
      </c>
      <c r="K355" t="n">
        <v>0</v>
      </c>
      <c r="L355" t="n">
        <v>0</v>
      </c>
      <c r="M355" t="n">
        <v>0</v>
      </c>
      <c r="N355" t="n">
        <v>0</v>
      </c>
      <c r="O355" t="n">
        <v>1</v>
      </c>
      <c r="P355" t="n">
        <v>0</v>
      </c>
      <c r="Q355" t="n">
        <v>1</v>
      </c>
      <c r="R355" s="2" t="inlineStr">
        <is>
          <t>Garnlav</t>
        </is>
      </c>
      <c r="S355">
        <f>HYPERLINK("https://klasma.github.io/Logging_2283/artfynd/A 38367-2022 artfynd.xlsx", "A 38367-2022")</f>
        <v/>
      </c>
      <c r="T355">
        <f>HYPERLINK("https://klasma.github.io/Logging_2283/kartor/A 38367-2022 karta.png", "A 38367-2022")</f>
        <v/>
      </c>
      <c r="V355">
        <f>HYPERLINK("https://klasma.github.io/Logging_2283/klagomål/A 38367-2022 FSC-klagomål.docx", "A 38367-2022")</f>
        <v/>
      </c>
      <c r="W355">
        <f>HYPERLINK("https://klasma.github.io/Logging_2283/klagomålsmail/A 38367-2022 FSC-klagomål mail.docx", "A 38367-2022")</f>
        <v/>
      </c>
      <c r="X355">
        <f>HYPERLINK("https://klasma.github.io/Logging_2283/tillsyn/A 38367-2022 tillsynsbegäran.docx", "A 38367-2022")</f>
        <v/>
      </c>
      <c r="Y355">
        <f>HYPERLINK("https://klasma.github.io/Logging_2283/tillsynsmail/A 38367-2022 tillsynsbegäran mail.docx", "A 38367-2022")</f>
        <v/>
      </c>
    </row>
    <row r="356" ht="15" customHeight="1">
      <c r="A356" t="inlineStr">
        <is>
          <t>A 38363-2022</t>
        </is>
      </c>
      <c r="B356" s="1" t="n">
        <v>44812</v>
      </c>
      <c r="C356" s="1" t="n">
        <v>45637</v>
      </c>
      <c r="D356" t="inlineStr">
        <is>
          <t>VÄSTERNORRLANDS LÄN</t>
        </is>
      </c>
      <c r="E356" t="inlineStr">
        <is>
          <t>SOLLEFTEÅ</t>
        </is>
      </c>
      <c r="F356" t="inlineStr">
        <is>
          <t>Kommuner</t>
        </is>
      </c>
      <c r="G356" t="n">
        <v>16</v>
      </c>
      <c r="H356" t="n">
        <v>0</v>
      </c>
      <c r="I356" t="n">
        <v>0</v>
      </c>
      <c r="J356" t="n">
        <v>1</v>
      </c>
      <c r="K356" t="n">
        <v>0</v>
      </c>
      <c r="L356" t="n">
        <v>0</v>
      </c>
      <c r="M356" t="n">
        <v>0</v>
      </c>
      <c r="N356" t="n">
        <v>0</v>
      </c>
      <c r="O356" t="n">
        <v>1</v>
      </c>
      <c r="P356" t="n">
        <v>0</v>
      </c>
      <c r="Q356" t="n">
        <v>1</v>
      </c>
      <c r="R356" s="2" t="inlineStr">
        <is>
          <t>Garnlav</t>
        </is>
      </c>
      <c r="S356">
        <f>HYPERLINK("https://klasma.github.io/Logging_2283/artfynd/A 38363-2022 artfynd.xlsx", "A 38363-2022")</f>
        <v/>
      </c>
      <c r="T356">
        <f>HYPERLINK("https://klasma.github.io/Logging_2283/kartor/A 38363-2022 karta.png", "A 38363-2022")</f>
        <v/>
      </c>
      <c r="V356">
        <f>HYPERLINK("https://klasma.github.io/Logging_2283/klagomål/A 38363-2022 FSC-klagomål.docx", "A 38363-2022")</f>
        <v/>
      </c>
      <c r="W356">
        <f>HYPERLINK("https://klasma.github.io/Logging_2283/klagomålsmail/A 38363-2022 FSC-klagomål mail.docx", "A 38363-2022")</f>
        <v/>
      </c>
      <c r="X356">
        <f>HYPERLINK("https://klasma.github.io/Logging_2283/tillsyn/A 38363-2022 tillsynsbegäran.docx", "A 38363-2022")</f>
        <v/>
      </c>
      <c r="Y356">
        <f>HYPERLINK("https://klasma.github.io/Logging_2283/tillsynsmail/A 38363-2022 tillsynsbegäran mail.docx", "A 38363-2022")</f>
        <v/>
      </c>
    </row>
    <row r="357" ht="15" customHeight="1">
      <c r="A357" t="inlineStr">
        <is>
          <t>A 40626-2022</t>
        </is>
      </c>
      <c r="B357" s="1" t="n">
        <v>44824</v>
      </c>
      <c r="C357" s="1" t="n">
        <v>45637</v>
      </c>
      <c r="D357" t="inlineStr">
        <is>
          <t>VÄSTERNORRLANDS LÄN</t>
        </is>
      </c>
      <c r="E357" t="inlineStr">
        <is>
          <t>SOLLEFTEÅ</t>
        </is>
      </c>
      <c r="F357" t="inlineStr">
        <is>
          <t>SCA</t>
        </is>
      </c>
      <c r="G357" t="n">
        <v>2.5</v>
      </c>
      <c r="H357" t="n">
        <v>1</v>
      </c>
      <c r="I357" t="n">
        <v>0</v>
      </c>
      <c r="J357" t="n">
        <v>1</v>
      </c>
      <c r="K357" t="n">
        <v>0</v>
      </c>
      <c r="L357" t="n">
        <v>0</v>
      </c>
      <c r="M357" t="n">
        <v>0</v>
      </c>
      <c r="N357" t="n">
        <v>0</v>
      </c>
      <c r="O357" t="n">
        <v>1</v>
      </c>
      <c r="P357" t="n">
        <v>0</v>
      </c>
      <c r="Q357" t="n">
        <v>1</v>
      </c>
      <c r="R357" s="2" t="inlineStr">
        <is>
          <t>Spillkråka</t>
        </is>
      </c>
      <c r="S357">
        <f>HYPERLINK("https://klasma.github.io/Logging_2283/artfynd/A 40626-2022 artfynd.xlsx", "A 40626-2022")</f>
        <v/>
      </c>
      <c r="T357">
        <f>HYPERLINK("https://klasma.github.io/Logging_2283/kartor/A 40626-2022 karta.png", "A 40626-2022")</f>
        <v/>
      </c>
      <c r="V357">
        <f>HYPERLINK("https://klasma.github.io/Logging_2283/klagomål/A 40626-2022 FSC-klagomål.docx", "A 40626-2022")</f>
        <v/>
      </c>
      <c r="W357">
        <f>HYPERLINK("https://klasma.github.io/Logging_2283/klagomålsmail/A 40626-2022 FSC-klagomål mail.docx", "A 40626-2022")</f>
        <v/>
      </c>
      <c r="X357">
        <f>HYPERLINK("https://klasma.github.io/Logging_2283/tillsyn/A 40626-2022 tillsynsbegäran.docx", "A 40626-2022")</f>
        <v/>
      </c>
      <c r="Y357">
        <f>HYPERLINK("https://klasma.github.io/Logging_2283/tillsynsmail/A 40626-2022 tillsynsbegäran mail.docx", "A 40626-2022")</f>
        <v/>
      </c>
      <c r="Z357">
        <f>HYPERLINK("https://klasma.github.io/Logging_2283/fåglar/A 40626-2022 prioriterade fågelarter.docx", "A 40626-2022")</f>
        <v/>
      </c>
    </row>
    <row r="358" ht="15" customHeight="1">
      <c r="A358" t="inlineStr">
        <is>
          <t>A 44763-2022</t>
        </is>
      </c>
      <c r="B358" s="1" t="n">
        <v>44840</v>
      </c>
      <c r="C358" s="1" t="n">
        <v>45637</v>
      </c>
      <c r="D358" t="inlineStr">
        <is>
          <t>VÄSTERNORRLANDS LÄN</t>
        </is>
      </c>
      <c r="E358" t="inlineStr">
        <is>
          <t>SOLLEFTEÅ</t>
        </is>
      </c>
      <c r="F358" t="inlineStr">
        <is>
          <t>SCA</t>
        </is>
      </c>
      <c r="G358" t="n">
        <v>1.2</v>
      </c>
      <c r="H358" t="n">
        <v>0</v>
      </c>
      <c r="I358" t="n">
        <v>0</v>
      </c>
      <c r="J358" t="n">
        <v>1</v>
      </c>
      <c r="K358" t="n">
        <v>0</v>
      </c>
      <c r="L358" t="n">
        <v>0</v>
      </c>
      <c r="M358" t="n">
        <v>0</v>
      </c>
      <c r="N358" t="n">
        <v>0</v>
      </c>
      <c r="O358" t="n">
        <v>1</v>
      </c>
      <c r="P358" t="n">
        <v>0</v>
      </c>
      <c r="Q358" t="n">
        <v>1</v>
      </c>
      <c r="R358" s="2" t="inlineStr">
        <is>
          <t>Rosenticka</t>
        </is>
      </c>
      <c r="S358">
        <f>HYPERLINK("https://klasma.github.io/Logging_2283/artfynd/A 44763-2022 artfynd.xlsx", "A 44763-2022")</f>
        <v/>
      </c>
      <c r="T358">
        <f>HYPERLINK("https://klasma.github.io/Logging_2283/kartor/A 44763-2022 karta.png", "A 44763-2022")</f>
        <v/>
      </c>
      <c r="V358">
        <f>HYPERLINK("https://klasma.github.io/Logging_2283/klagomål/A 44763-2022 FSC-klagomål.docx", "A 44763-2022")</f>
        <v/>
      </c>
      <c r="W358">
        <f>HYPERLINK("https://klasma.github.io/Logging_2283/klagomålsmail/A 44763-2022 FSC-klagomål mail.docx", "A 44763-2022")</f>
        <v/>
      </c>
      <c r="X358">
        <f>HYPERLINK("https://klasma.github.io/Logging_2283/tillsyn/A 44763-2022 tillsynsbegäran.docx", "A 44763-2022")</f>
        <v/>
      </c>
      <c r="Y358">
        <f>HYPERLINK("https://klasma.github.io/Logging_2283/tillsynsmail/A 44763-2022 tillsynsbegäran mail.docx", "A 44763-2022")</f>
        <v/>
      </c>
    </row>
    <row r="359" ht="15" customHeight="1">
      <c r="A359" t="inlineStr">
        <is>
          <t>A 46041-2022</t>
        </is>
      </c>
      <c r="B359" s="1" t="n">
        <v>44846</v>
      </c>
      <c r="C359" s="1" t="n">
        <v>45637</v>
      </c>
      <c r="D359" t="inlineStr">
        <is>
          <t>VÄSTERNORRLANDS LÄN</t>
        </is>
      </c>
      <c r="E359" t="inlineStr">
        <is>
          <t>SOLLEFTEÅ</t>
        </is>
      </c>
      <c r="F359" t="inlineStr">
        <is>
          <t>SCA</t>
        </is>
      </c>
      <c r="G359" t="n">
        <v>21.1</v>
      </c>
      <c r="H359" t="n">
        <v>0</v>
      </c>
      <c r="I359" t="n">
        <v>0</v>
      </c>
      <c r="J359" t="n">
        <v>1</v>
      </c>
      <c r="K359" t="n">
        <v>0</v>
      </c>
      <c r="L359" t="n">
        <v>0</v>
      </c>
      <c r="M359" t="n">
        <v>0</v>
      </c>
      <c r="N359" t="n">
        <v>0</v>
      </c>
      <c r="O359" t="n">
        <v>1</v>
      </c>
      <c r="P359" t="n">
        <v>0</v>
      </c>
      <c r="Q359" t="n">
        <v>1</v>
      </c>
      <c r="R359" s="2" t="inlineStr">
        <is>
          <t>Lunglav</t>
        </is>
      </c>
      <c r="S359">
        <f>HYPERLINK("https://klasma.github.io/Logging_2283/artfynd/A 46041-2022 artfynd.xlsx", "A 46041-2022")</f>
        <v/>
      </c>
      <c r="T359">
        <f>HYPERLINK("https://klasma.github.io/Logging_2283/kartor/A 46041-2022 karta.png", "A 46041-2022")</f>
        <v/>
      </c>
      <c r="V359">
        <f>HYPERLINK("https://klasma.github.io/Logging_2283/klagomål/A 46041-2022 FSC-klagomål.docx", "A 46041-2022")</f>
        <v/>
      </c>
      <c r="W359">
        <f>HYPERLINK("https://klasma.github.io/Logging_2283/klagomålsmail/A 46041-2022 FSC-klagomål mail.docx", "A 46041-2022")</f>
        <v/>
      </c>
      <c r="X359">
        <f>HYPERLINK("https://klasma.github.io/Logging_2283/tillsyn/A 46041-2022 tillsynsbegäran.docx", "A 46041-2022")</f>
        <v/>
      </c>
      <c r="Y359">
        <f>HYPERLINK("https://klasma.github.io/Logging_2283/tillsynsmail/A 46041-2022 tillsynsbegäran mail.docx", "A 46041-2022")</f>
        <v/>
      </c>
    </row>
    <row r="360" ht="15" customHeight="1">
      <c r="A360" t="inlineStr">
        <is>
          <t>A 46376-2022</t>
        </is>
      </c>
      <c r="B360" s="1" t="n">
        <v>44848</v>
      </c>
      <c r="C360" s="1" t="n">
        <v>45637</v>
      </c>
      <c r="D360" t="inlineStr">
        <is>
          <t>VÄSTERNORRLANDS LÄN</t>
        </is>
      </c>
      <c r="E360" t="inlineStr">
        <is>
          <t>SOLLEFTEÅ</t>
        </is>
      </c>
      <c r="F360" t="inlineStr">
        <is>
          <t>Holmen skog AB</t>
        </is>
      </c>
      <c r="G360" t="n">
        <v>23.9</v>
      </c>
      <c r="H360" t="n">
        <v>0</v>
      </c>
      <c r="I360" t="n">
        <v>1</v>
      </c>
      <c r="J360" t="n">
        <v>0</v>
      </c>
      <c r="K360" t="n">
        <v>0</v>
      </c>
      <c r="L360" t="n">
        <v>0</v>
      </c>
      <c r="M360" t="n">
        <v>0</v>
      </c>
      <c r="N360" t="n">
        <v>0</v>
      </c>
      <c r="O360" t="n">
        <v>0</v>
      </c>
      <c r="P360" t="n">
        <v>0</v>
      </c>
      <c r="Q360" t="n">
        <v>1</v>
      </c>
      <c r="R360" s="2" t="inlineStr">
        <is>
          <t>Skarp dropptaggsvamp</t>
        </is>
      </c>
      <c r="S360">
        <f>HYPERLINK("https://klasma.github.io/Logging_2283/artfynd/A 46376-2022 artfynd.xlsx", "A 46376-2022")</f>
        <v/>
      </c>
      <c r="T360">
        <f>HYPERLINK("https://klasma.github.io/Logging_2283/kartor/A 46376-2022 karta.png", "A 46376-2022")</f>
        <v/>
      </c>
      <c r="V360">
        <f>HYPERLINK("https://klasma.github.io/Logging_2283/klagomål/A 46376-2022 FSC-klagomål.docx", "A 46376-2022")</f>
        <v/>
      </c>
      <c r="W360">
        <f>HYPERLINK("https://klasma.github.io/Logging_2283/klagomålsmail/A 46376-2022 FSC-klagomål mail.docx", "A 46376-2022")</f>
        <v/>
      </c>
      <c r="X360">
        <f>HYPERLINK("https://klasma.github.io/Logging_2283/tillsyn/A 46376-2022 tillsynsbegäran.docx", "A 46376-2022")</f>
        <v/>
      </c>
      <c r="Y360">
        <f>HYPERLINK("https://klasma.github.io/Logging_2283/tillsynsmail/A 46376-2022 tillsynsbegäran mail.docx", "A 46376-2022")</f>
        <v/>
      </c>
    </row>
    <row r="361" ht="15" customHeight="1">
      <c r="A361" t="inlineStr">
        <is>
          <t>A 46629-2022</t>
        </is>
      </c>
      <c r="B361" s="1" t="n">
        <v>44848</v>
      </c>
      <c r="C361" s="1" t="n">
        <v>45637</v>
      </c>
      <c r="D361" t="inlineStr">
        <is>
          <t>VÄSTERNORRLANDS LÄN</t>
        </is>
      </c>
      <c r="E361" t="inlineStr">
        <is>
          <t>SOLLEFTEÅ</t>
        </is>
      </c>
      <c r="F361" t="inlineStr">
        <is>
          <t>SCA</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HYPERLINK("https://klasma.github.io/Logging_2283/artfynd/A 46629-2022 artfynd.xlsx", "A 46629-2022")</f>
        <v/>
      </c>
      <c r="T361">
        <f>HYPERLINK("https://klasma.github.io/Logging_2283/kartor/A 46629-2022 karta.png", "A 46629-2022")</f>
        <v/>
      </c>
      <c r="U361">
        <f>HYPERLINK("https://klasma.github.io/Logging_2283/knärot/A 46629-2022 karta knärot.png", "A 46629-2022")</f>
        <v/>
      </c>
      <c r="V361">
        <f>HYPERLINK("https://klasma.github.io/Logging_2283/klagomål/A 46629-2022 FSC-klagomål.docx", "A 46629-2022")</f>
        <v/>
      </c>
      <c r="W361">
        <f>HYPERLINK("https://klasma.github.io/Logging_2283/klagomålsmail/A 46629-2022 FSC-klagomål mail.docx", "A 46629-2022")</f>
        <v/>
      </c>
      <c r="X361">
        <f>HYPERLINK("https://klasma.github.io/Logging_2283/tillsyn/A 46629-2022 tillsynsbegäran.docx", "A 46629-2022")</f>
        <v/>
      </c>
      <c r="Y361">
        <f>HYPERLINK("https://klasma.github.io/Logging_2283/tillsynsmail/A 46629-2022 tillsynsbegäran mail.docx", "A 46629-2022")</f>
        <v/>
      </c>
    </row>
    <row r="362" ht="15" customHeight="1">
      <c r="A362" t="inlineStr">
        <is>
          <t>A 46630-2022</t>
        </is>
      </c>
      <c r="B362" s="1" t="n">
        <v>44848</v>
      </c>
      <c r="C362" s="1" t="n">
        <v>45637</v>
      </c>
      <c r="D362" t="inlineStr">
        <is>
          <t>VÄSTERNORRLANDS LÄN</t>
        </is>
      </c>
      <c r="E362" t="inlineStr">
        <is>
          <t>SOLLEFTEÅ</t>
        </is>
      </c>
      <c r="F362" t="inlineStr">
        <is>
          <t>SCA</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HYPERLINK("https://klasma.github.io/Logging_2283/artfynd/A 46630-2022 artfynd.xlsx", "A 46630-2022")</f>
        <v/>
      </c>
      <c r="T362">
        <f>HYPERLINK("https://klasma.github.io/Logging_2283/kartor/A 46630-2022 karta.png", "A 46630-2022")</f>
        <v/>
      </c>
      <c r="U362">
        <f>HYPERLINK("https://klasma.github.io/Logging_2283/knärot/A 46630-2022 karta knärot.png", "A 46630-2022")</f>
        <v/>
      </c>
      <c r="V362">
        <f>HYPERLINK("https://klasma.github.io/Logging_2283/klagomål/A 46630-2022 FSC-klagomål.docx", "A 46630-2022")</f>
        <v/>
      </c>
      <c r="W362">
        <f>HYPERLINK("https://klasma.github.io/Logging_2283/klagomålsmail/A 46630-2022 FSC-klagomål mail.docx", "A 46630-2022")</f>
        <v/>
      </c>
      <c r="X362">
        <f>HYPERLINK("https://klasma.github.io/Logging_2283/tillsyn/A 46630-2022 tillsynsbegäran.docx", "A 46630-2022")</f>
        <v/>
      </c>
      <c r="Y362">
        <f>HYPERLINK("https://klasma.github.io/Logging_2283/tillsynsmail/A 46630-2022 tillsynsbegäran mail.docx", "A 46630-2022")</f>
        <v/>
      </c>
    </row>
    <row r="363" ht="15" customHeight="1">
      <c r="A363" t="inlineStr">
        <is>
          <t>A 52736-2022</t>
        </is>
      </c>
      <c r="B363" s="1" t="n">
        <v>44874</v>
      </c>
      <c r="C363" s="1" t="n">
        <v>45637</v>
      </c>
      <c r="D363" t="inlineStr">
        <is>
          <t>VÄSTERNORRLANDS LÄN</t>
        </is>
      </c>
      <c r="E363" t="inlineStr">
        <is>
          <t>SOLLEFTEÅ</t>
        </is>
      </c>
      <c r="F363" t="inlineStr">
        <is>
          <t>SCA</t>
        </is>
      </c>
      <c r="G363" t="n">
        <v>15.1</v>
      </c>
      <c r="H363" t="n">
        <v>0</v>
      </c>
      <c r="I363" t="n">
        <v>0</v>
      </c>
      <c r="J363" t="n">
        <v>1</v>
      </c>
      <c r="K363" t="n">
        <v>0</v>
      </c>
      <c r="L363" t="n">
        <v>0</v>
      </c>
      <c r="M363" t="n">
        <v>0</v>
      </c>
      <c r="N363" t="n">
        <v>0</v>
      </c>
      <c r="O363" t="n">
        <v>1</v>
      </c>
      <c r="P363" t="n">
        <v>0</v>
      </c>
      <c r="Q363" t="n">
        <v>1</v>
      </c>
      <c r="R363" s="2" t="inlineStr">
        <is>
          <t>Orange taggsvamp</t>
        </is>
      </c>
      <c r="S363">
        <f>HYPERLINK("https://klasma.github.io/Logging_2283/artfynd/A 52736-2022 artfynd.xlsx", "A 52736-2022")</f>
        <v/>
      </c>
      <c r="T363">
        <f>HYPERLINK("https://klasma.github.io/Logging_2283/kartor/A 52736-2022 karta.png", "A 52736-2022")</f>
        <v/>
      </c>
      <c r="V363">
        <f>HYPERLINK("https://klasma.github.io/Logging_2283/klagomål/A 52736-2022 FSC-klagomål.docx", "A 52736-2022")</f>
        <v/>
      </c>
      <c r="W363">
        <f>HYPERLINK("https://klasma.github.io/Logging_2283/klagomålsmail/A 52736-2022 FSC-klagomål mail.docx", "A 52736-2022")</f>
        <v/>
      </c>
      <c r="X363">
        <f>HYPERLINK("https://klasma.github.io/Logging_2283/tillsyn/A 52736-2022 tillsynsbegäran.docx", "A 52736-2022")</f>
        <v/>
      </c>
      <c r="Y363">
        <f>HYPERLINK("https://klasma.github.io/Logging_2283/tillsynsmail/A 52736-2022 tillsynsbegäran mail.docx", "A 52736-2022")</f>
        <v/>
      </c>
    </row>
    <row r="364" ht="15" customHeight="1">
      <c r="A364" t="inlineStr">
        <is>
          <t>A 54558-2022</t>
        </is>
      </c>
      <c r="B364" s="1" t="n">
        <v>44882</v>
      </c>
      <c r="C364" s="1" t="n">
        <v>45637</v>
      </c>
      <c r="D364" t="inlineStr">
        <is>
          <t>VÄSTERNORRLANDS LÄN</t>
        </is>
      </c>
      <c r="E364" t="inlineStr">
        <is>
          <t>SOLLEFTEÅ</t>
        </is>
      </c>
      <c r="G364" t="n">
        <v>5.8</v>
      </c>
      <c r="H364" t="n">
        <v>0</v>
      </c>
      <c r="I364" t="n">
        <v>1</v>
      </c>
      <c r="J364" t="n">
        <v>0</v>
      </c>
      <c r="K364" t="n">
        <v>0</v>
      </c>
      <c r="L364" t="n">
        <v>0</v>
      </c>
      <c r="M364" t="n">
        <v>0</v>
      </c>
      <c r="N364" t="n">
        <v>0</v>
      </c>
      <c r="O364" t="n">
        <v>0</v>
      </c>
      <c r="P364" t="n">
        <v>0</v>
      </c>
      <c r="Q364" t="n">
        <v>1</v>
      </c>
      <c r="R364" s="2" t="inlineStr">
        <is>
          <t>Strutbräken</t>
        </is>
      </c>
      <c r="S364">
        <f>HYPERLINK("https://klasma.github.io/Logging_2283/artfynd/A 54558-2022 artfynd.xlsx", "A 54558-2022")</f>
        <v/>
      </c>
      <c r="T364">
        <f>HYPERLINK("https://klasma.github.io/Logging_2283/kartor/A 54558-2022 karta.png", "A 54558-2022")</f>
        <v/>
      </c>
      <c r="V364">
        <f>HYPERLINK("https://klasma.github.io/Logging_2283/klagomål/A 54558-2022 FSC-klagomål.docx", "A 54558-2022")</f>
        <v/>
      </c>
      <c r="W364">
        <f>HYPERLINK("https://klasma.github.io/Logging_2283/klagomålsmail/A 54558-2022 FSC-klagomål mail.docx", "A 54558-2022")</f>
        <v/>
      </c>
      <c r="X364">
        <f>HYPERLINK("https://klasma.github.io/Logging_2283/tillsyn/A 54558-2022 tillsynsbegäran.docx", "A 54558-2022")</f>
        <v/>
      </c>
      <c r="Y364">
        <f>HYPERLINK("https://klasma.github.io/Logging_2283/tillsynsmail/A 54558-2022 tillsynsbegäran mail.docx", "A 54558-2022")</f>
        <v/>
      </c>
    </row>
    <row r="365" ht="15" customHeight="1">
      <c r="A365" t="inlineStr">
        <is>
          <t>A 56932-2022</t>
        </is>
      </c>
      <c r="B365" s="1" t="n">
        <v>44894</v>
      </c>
      <c r="C365" s="1" t="n">
        <v>45637</v>
      </c>
      <c r="D365" t="inlineStr">
        <is>
          <t>VÄSTERNORRLANDS LÄN</t>
        </is>
      </c>
      <c r="E365" t="inlineStr">
        <is>
          <t>SOLLEFTEÅ</t>
        </is>
      </c>
      <c r="F365" t="inlineStr">
        <is>
          <t>Holmen skog AB</t>
        </is>
      </c>
      <c r="G365" t="n">
        <v>1.9</v>
      </c>
      <c r="H365" t="n">
        <v>0</v>
      </c>
      <c r="I365" t="n">
        <v>0</v>
      </c>
      <c r="J365" t="n">
        <v>1</v>
      </c>
      <c r="K365" t="n">
        <v>0</v>
      </c>
      <c r="L365" t="n">
        <v>0</v>
      </c>
      <c r="M365" t="n">
        <v>0</v>
      </c>
      <c r="N365" t="n">
        <v>0</v>
      </c>
      <c r="O365" t="n">
        <v>1</v>
      </c>
      <c r="P365" t="n">
        <v>0</v>
      </c>
      <c r="Q365" t="n">
        <v>1</v>
      </c>
      <c r="R365" s="2" t="inlineStr">
        <is>
          <t>Koralltaggsvamp</t>
        </is>
      </c>
      <c r="S365">
        <f>HYPERLINK("https://klasma.github.io/Logging_2283/artfynd/A 56932-2022 artfynd.xlsx", "A 56932-2022")</f>
        <v/>
      </c>
      <c r="T365">
        <f>HYPERLINK("https://klasma.github.io/Logging_2283/kartor/A 56932-2022 karta.png", "A 56932-2022")</f>
        <v/>
      </c>
      <c r="V365">
        <f>HYPERLINK("https://klasma.github.io/Logging_2283/klagomål/A 56932-2022 FSC-klagomål.docx", "A 56932-2022")</f>
        <v/>
      </c>
      <c r="W365">
        <f>HYPERLINK("https://klasma.github.io/Logging_2283/klagomålsmail/A 56932-2022 FSC-klagomål mail.docx", "A 56932-2022")</f>
        <v/>
      </c>
      <c r="X365">
        <f>HYPERLINK("https://klasma.github.io/Logging_2283/tillsyn/A 56932-2022 tillsynsbegäran.docx", "A 56932-2022")</f>
        <v/>
      </c>
      <c r="Y365">
        <f>HYPERLINK("https://klasma.github.io/Logging_2283/tillsynsmail/A 56932-2022 tillsynsbegäran mail.docx", "A 56932-2022")</f>
        <v/>
      </c>
    </row>
    <row r="366" ht="15" customHeight="1">
      <c r="A366" t="inlineStr">
        <is>
          <t>A 60833-2022</t>
        </is>
      </c>
      <c r="B366" s="1" t="n">
        <v>44907</v>
      </c>
      <c r="C366" s="1" t="n">
        <v>45637</v>
      </c>
      <c r="D366" t="inlineStr">
        <is>
          <t>VÄSTERNORRLANDS LÄN</t>
        </is>
      </c>
      <c r="E366" t="inlineStr">
        <is>
          <t>SOLLEFTEÅ</t>
        </is>
      </c>
      <c r="G366" t="n">
        <v>4.4</v>
      </c>
      <c r="H366" t="n">
        <v>0</v>
      </c>
      <c r="I366" t="n">
        <v>0</v>
      </c>
      <c r="J366" t="n">
        <v>1</v>
      </c>
      <c r="K366" t="n">
        <v>0</v>
      </c>
      <c r="L366" t="n">
        <v>0</v>
      </c>
      <c r="M366" t="n">
        <v>0</v>
      </c>
      <c r="N366" t="n">
        <v>0</v>
      </c>
      <c r="O366" t="n">
        <v>1</v>
      </c>
      <c r="P366" t="n">
        <v>0</v>
      </c>
      <c r="Q366" t="n">
        <v>1</v>
      </c>
      <c r="R366" s="2" t="inlineStr">
        <is>
          <t>Kolflarnlav</t>
        </is>
      </c>
      <c r="S366">
        <f>HYPERLINK("https://klasma.github.io/Logging_2283/artfynd/A 60833-2022 artfynd.xlsx", "A 60833-2022")</f>
        <v/>
      </c>
      <c r="T366">
        <f>HYPERLINK("https://klasma.github.io/Logging_2283/kartor/A 60833-2022 karta.png", "A 60833-2022")</f>
        <v/>
      </c>
      <c r="V366">
        <f>HYPERLINK("https://klasma.github.io/Logging_2283/klagomål/A 60833-2022 FSC-klagomål.docx", "A 60833-2022")</f>
        <v/>
      </c>
      <c r="W366">
        <f>HYPERLINK("https://klasma.github.io/Logging_2283/klagomålsmail/A 60833-2022 FSC-klagomål mail.docx", "A 60833-2022")</f>
        <v/>
      </c>
      <c r="X366">
        <f>HYPERLINK("https://klasma.github.io/Logging_2283/tillsyn/A 60833-2022 tillsynsbegäran.docx", "A 60833-2022")</f>
        <v/>
      </c>
      <c r="Y366">
        <f>HYPERLINK("https://klasma.github.io/Logging_2283/tillsynsmail/A 60833-2022 tillsynsbegäran mail.docx", "A 60833-2022")</f>
        <v/>
      </c>
    </row>
    <row r="367" ht="15" customHeight="1">
      <c r="A367" t="inlineStr">
        <is>
          <t>A 60939-2022</t>
        </is>
      </c>
      <c r="B367" s="1" t="n">
        <v>44908</v>
      </c>
      <c r="C367" s="1" t="n">
        <v>45637</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Garnlav</t>
        </is>
      </c>
      <c r="S367">
        <f>HYPERLINK("https://klasma.github.io/Logging_2283/artfynd/A 60939-2022 artfynd.xlsx", "A 60939-2022")</f>
        <v/>
      </c>
      <c r="T367">
        <f>HYPERLINK("https://klasma.github.io/Logging_2283/kartor/A 60939-2022 karta.png", "A 60939-2022")</f>
        <v/>
      </c>
      <c r="V367">
        <f>HYPERLINK("https://klasma.github.io/Logging_2283/klagomål/A 60939-2022 FSC-klagomål.docx", "A 60939-2022")</f>
        <v/>
      </c>
      <c r="W367">
        <f>HYPERLINK("https://klasma.github.io/Logging_2283/klagomålsmail/A 60939-2022 FSC-klagomål mail.docx", "A 60939-2022")</f>
        <v/>
      </c>
      <c r="X367">
        <f>HYPERLINK("https://klasma.github.io/Logging_2283/tillsyn/A 60939-2022 tillsynsbegäran.docx", "A 60939-2022")</f>
        <v/>
      </c>
      <c r="Y367">
        <f>HYPERLINK("https://klasma.github.io/Logging_2283/tillsynsmail/A 60939-2022 tillsynsbegäran mail.docx", "A 60939-2022")</f>
        <v/>
      </c>
    </row>
    <row r="368" ht="15" customHeight="1">
      <c r="A368" t="inlineStr">
        <is>
          <t>A 61660-2022</t>
        </is>
      </c>
      <c r="B368" s="1" t="n">
        <v>44917</v>
      </c>
      <c r="C368" s="1" t="n">
        <v>45637</v>
      </c>
      <c r="D368" t="inlineStr">
        <is>
          <t>VÄSTERNORRLANDS LÄN</t>
        </is>
      </c>
      <c r="E368" t="inlineStr">
        <is>
          <t>SOLLEFTEÅ</t>
        </is>
      </c>
      <c r="F368" t="inlineStr">
        <is>
          <t>SCA</t>
        </is>
      </c>
      <c r="G368" t="n">
        <v>3.9</v>
      </c>
      <c r="H368" t="n">
        <v>0</v>
      </c>
      <c r="I368" t="n">
        <v>0</v>
      </c>
      <c r="J368" t="n">
        <v>1</v>
      </c>
      <c r="K368" t="n">
        <v>0</v>
      </c>
      <c r="L368" t="n">
        <v>0</v>
      </c>
      <c r="M368" t="n">
        <v>0</v>
      </c>
      <c r="N368" t="n">
        <v>0</v>
      </c>
      <c r="O368" t="n">
        <v>1</v>
      </c>
      <c r="P368" t="n">
        <v>0</v>
      </c>
      <c r="Q368" t="n">
        <v>1</v>
      </c>
      <c r="R368" s="2" t="inlineStr">
        <is>
          <t>Backruta</t>
        </is>
      </c>
      <c r="S368">
        <f>HYPERLINK("https://klasma.github.io/Logging_2283/artfynd/A 61660-2022 artfynd.xlsx", "A 61660-2022")</f>
        <v/>
      </c>
      <c r="T368">
        <f>HYPERLINK("https://klasma.github.io/Logging_2283/kartor/A 61660-2022 karta.png", "A 61660-2022")</f>
        <v/>
      </c>
      <c r="V368">
        <f>HYPERLINK("https://klasma.github.io/Logging_2283/klagomål/A 61660-2022 FSC-klagomål.docx", "A 61660-2022")</f>
        <v/>
      </c>
      <c r="W368">
        <f>HYPERLINK("https://klasma.github.io/Logging_2283/klagomålsmail/A 61660-2022 FSC-klagomål mail.docx", "A 61660-2022")</f>
        <v/>
      </c>
      <c r="X368">
        <f>HYPERLINK("https://klasma.github.io/Logging_2283/tillsyn/A 61660-2022 tillsynsbegäran.docx", "A 61660-2022")</f>
        <v/>
      </c>
      <c r="Y368">
        <f>HYPERLINK("https://klasma.github.io/Logging_2283/tillsynsmail/A 61660-2022 tillsynsbegäran mail.docx", "A 61660-2022")</f>
        <v/>
      </c>
    </row>
    <row r="369" ht="15" customHeight="1">
      <c r="A369" t="inlineStr">
        <is>
          <t>A 986-2023</t>
        </is>
      </c>
      <c r="B369" s="1" t="n">
        <v>44935</v>
      </c>
      <c r="C369" s="1" t="n">
        <v>45637</v>
      </c>
      <c r="D369" t="inlineStr">
        <is>
          <t>VÄSTERNORRLANDS LÄN</t>
        </is>
      </c>
      <c r="E369" t="inlineStr">
        <is>
          <t>SOLLEFTEÅ</t>
        </is>
      </c>
      <c r="G369" t="n">
        <v>2.6</v>
      </c>
      <c r="H369" t="n">
        <v>1</v>
      </c>
      <c r="I369" t="n">
        <v>0</v>
      </c>
      <c r="J369" t="n">
        <v>0</v>
      </c>
      <c r="K369" t="n">
        <v>0</v>
      </c>
      <c r="L369" t="n">
        <v>0</v>
      </c>
      <c r="M369" t="n">
        <v>0</v>
      </c>
      <c r="N369" t="n">
        <v>0</v>
      </c>
      <c r="O369" t="n">
        <v>0</v>
      </c>
      <c r="P369" t="n">
        <v>0</v>
      </c>
      <c r="Q369" t="n">
        <v>1</v>
      </c>
      <c r="R369" s="2" t="inlineStr">
        <is>
          <t>Revlummer</t>
        </is>
      </c>
      <c r="S369">
        <f>HYPERLINK("https://klasma.github.io/Logging_2283/artfynd/A 986-2023 artfynd.xlsx", "A 986-2023")</f>
        <v/>
      </c>
      <c r="T369">
        <f>HYPERLINK("https://klasma.github.io/Logging_2283/kartor/A 986-2023 karta.png", "A 986-2023")</f>
        <v/>
      </c>
      <c r="V369">
        <f>HYPERLINK("https://klasma.github.io/Logging_2283/klagomål/A 986-2023 FSC-klagomål.docx", "A 986-2023")</f>
        <v/>
      </c>
      <c r="W369">
        <f>HYPERLINK("https://klasma.github.io/Logging_2283/klagomålsmail/A 986-2023 FSC-klagomål mail.docx", "A 986-2023")</f>
        <v/>
      </c>
      <c r="X369">
        <f>HYPERLINK("https://klasma.github.io/Logging_2283/tillsyn/A 986-2023 tillsynsbegäran.docx", "A 986-2023")</f>
        <v/>
      </c>
      <c r="Y369">
        <f>HYPERLINK("https://klasma.github.io/Logging_2283/tillsynsmail/A 986-2023 tillsynsbegäran mail.docx", "A 986-2023")</f>
        <v/>
      </c>
    </row>
    <row r="370" ht="15" customHeight="1">
      <c r="A370" t="inlineStr">
        <is>
          <t>A 12862-2023</t>
        </is>
      </c>
      <c r="B370" s="1" t="n">
        <v>45001</v>
      </c>
      <c r="C370" s="1" t="n">
        <v>45637</v>
      </c>
      <c r="D370" t="inlineStr">
        <is>
          <t>VÄSTERNORRLANDS LÄN</t>
        </is>
      </c>
      <c r="E370" t="inlineStr">
        <is>
          <t>SOLLEFTEÅ</t>
        </is>
      </c>
      <c r="F370" t="inlineStr">
        <is>
          <t>Övriga Aktiebolag</t>
        </is>
      </c>
      <c r="G370" t="n">
        <v>10.4</v>
      </c>
      <c r="H370" t="n">
        <v>0</v>
      </c>
      <c r="I370" t="n">
        <v>1</v>
      </c>
      <c r="J370" t="n">
        <v>0</v>
      </c>
      <c r="K370" t="n">
        <v>0</v>
      </c>
      <c r="L370" t="n">
        <v>0</v>
      </c>
      <c r="M370" t="n">
        <v>0</v>
      </c>
      <c r="N370" t="n">
        <v>0</v>
      </c>
      <c r="O370" t="n">
        <v>0</v>
      </c>
      <c r="P370" t="n">
        <v>0</v>
      </c>
      <c r="Q370" t="n">
        <v>1</v>
      </c>
      <c r="R370" s="2" t="inlineStr">
        <is>
          <t>Korallblylav</t>
        </is>
      </c>
      <c r="S370">
        <f>HYPERLINK("https://klasma.github.io/Logging_2283/artfynd/A 12862-2023 artfynd.xlsx", "A 12862-2023")</f>
        <v/>
      </c>
      <c r="T370">
        <f>HYPERLINK("https://klasma.github.io/Logging_2283/kartor/A 12862-2023 karta.png", "A 12862-2023")</f>
        <v/>
      </c>
      <c r="V370">
        <f>HYPERLINK("https://klasma.github.io/Logging_2283/klagomål/A 12862-2023 FSC-klagomål.docx", "A 12862-2023")</f>
        <v/>
      </c>
      <c r="W370">
        <f>HYPERLINK("https://klasma.github.io/Logging_2283/klagomålsmail/A 12862-2023 FSC-klagomål mail.docx", "A 12862-2023")</f>
        <v/>
      </c>
      <c r="X370">
        <f>HYPERLINK("https://klasma.github.io/Logging_2283/tillsyn/A 12862-2023 tillsynsbegäran.docx", "A 12862-2023")</f>
        <v/>
      </c>
      <c r="Y370">
        <f>HYPERLINK("https://klasma.github.io/Logging_2283/tillsynsmail/A 12862-2023 tillsynsbegäran mail.docx", "A 12862-2023")</f>
        <v/>
      </c>
    </row>
    <row r="371" ht="15" customHeight="1">
      <c r="A371" t="inlineStr">
        <is>
          <t>A 14674-2023</t>
        </is>
      </c>
      <c r="B371" s="1" t="n">
        <v>45013</v>
      </c>
      <c r="C371" s="1" t="n">
        <v>45637</v>
      </c>
      <c r="D371" t="inlineStr">
        <is>
          <t>VÄSTERNORRLANDS LÄN</t>
        </is>
      </c>
      <c r="E371" t="inlineStr">
        <is>
          <t>SOLLEFTEÅ</t>
        </is>
      </c>
      <c r="F371" t="inlineStr">
        <is>
          <t>Övriga statliga verk och myndigheter</t>
        </is>
      </c>
      <c r="G371" t="n">
        <v>11.7</v>
      </c>
      <c r="H371" t="n">
        <v>0</v>
      </c>
      <c r="I371" t="n">
        <v>0</v>
      </c>
      <c r="J371" t="n">
        <v>0</v>
      </c>
      <c r="K371" t="n">
        <v>1</v>
      </c>
      <c r="L371" t="n">
        <v>0</v>
      </c>
      <c r="M371" t="n">
        <v>0</v>
      </c>
      <c r="N371" t="n">
        <v>0</v>
      </c>
      <c r="O371" t="n">
        <v>1</v>
      </c>
      <c r="P371" t="n">
        <v>1</v>
      </c>
      <c r="Q371" t="n">
        <v>1</v>
      </c>
      <c r="R371" s="2" t="inlineStr">
        <is>
          <t>Rynkskinn</t>
        </is>
      </c>
      <c r="S371">
        <f>HYPERLINK("https://klasma.github.io/Logging_2283/artfynd/A 14674-2023 artfynd.xlsx", "A 14674-2023")</f>
        <v/>
      </c>
      <c r="T371">
        <f>HYPERLINK("https://klasma.github.io/Logging_2283/kartor/A 14674-2023 karta.png", "A 14674-2023")</f>
        <v/>
      </c>
      <c r="V371">
        <f>HYPERLINK("https://klasma.github.io/Logging_2283/klagomål/A 14674-2023 FSC-klagomål.docx", "A 14674-2023")</f>
        <v/>
      </c>
      <c r="W371">
        <f>HYPERLINK("https://klasma.github.io/Logging_2283/klagomålsmail/A 14674-2023 FSC-klagomål mail.docx", "A 14674-2023")</f>
        <v/>
      </c>
      <c r="X371">
        <f>HYPERLINK("https://klasma.github.io/Logging_2283/tillsyn/A 14674-2023 tillsynsbegäran.docx", "A 14674-2023")</f>
        <v/>
      </c>
      <c r="Y371">
        <f>HYPERLINK("https://klasma.github.io/Logging_2283/tillsynsmail/A 14674-2023 tillsynsbegäran mail.docx", "A 14674-2023")</f>
        <v/>
      </c>
    </row>
    <row r="372" ht="15" customHeight="1">
      <c r="A372" t="inlineStr">
        <is>
          <t>A 24548-2023</t>
        </is>
      </c>
      <c r="B372" s="1" t="n">
        <v>45082</v>
      </c>
      <c r="C372" s="1" t="n">
        <v>45637</v>
      </c>
      <c r="D372" t="inlineStr">
        <is>
          <t>VÄSTERNORRLANDS LÄN</t>
        </is>
      </c>
      <c r="E372" t="inlineStr">
        <is>
          <t>SOLLEFTEÅ</t>
        </is>
      </c>
      <c r="F372" t="inlineStr">
        <is>
          <t>SCA</t>
        </is>
      </c>
      <c r="G372" t="n">
        <v>3</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24548-2023 artfynd.xlsx", "A 24548-2023")</f>
        <v/>
      </c>
      <c r="T372">
        <f>HYPERLINK("https://klasma.github.io/Logging_2283/kartor/A 24548-2023 karta.png", "A 24548-2023")</f>
        <v/>
      </c>
      <c r="U372">
        <f>HYPERLINK("https://klasma.github.io/Logging_2283/knärot/A 24548-2023 karta knärot.png", "A 24548-2023")</f>
        <v/>
      </c>
      <c r="V372">
        <f>HYPERLINK("https://klasma.github.io/Logging_2283/klagomål/A 24548-2023 FSC-klagomål.docx", "A 24548-2023")</f>
        <v/>
      </c>
      <c r="W372">
        <f>HYPERLINK("https://klasma.github.io/Logging_2283/klagomålsmail/A 24548-2023 FSC-klagomål mail.docx", "A 24548-2023")</f>
        <v/>
      </c>
      <c r="X372">
        <f>HYPERLINK("https://klasma.github.io/Logging_2283/tillsyn/A 24548-2023 tillsynsbegäran.docx", "A 24548-2023")</f>
        <v/>
      </c>
      <c r="Y372">
        <f>HYPERLINK("https://klasma.github.io/Logging_2283/tillsynsmail/A 24548-2023 tillsynsbegäran mail.docx", "A 24548-2023")</f>
        <v/>
      </c>
      <c r="Z372">
        <f>HYPERLINK("https://klasma.github.io/Logging_2283/fåglar/A 24548-2023 prioriterade fågelarter.docx", "A 24548-2023")</f>
        <v/>
      </c>
    </row>
    <row r="373" ht="15" customHeight="1">
      <c r="A373" t="inlineStr">
        <is>
          <t>A 25310-2023</t>
        </is>
      </c>
      <c r="B373" s="1" t="n">
        <v>45087</v>
      </c>
      <c r="C373" s="1" t="n">
        <v>45637</v>
      </c>
      <c r="D373" t="inlineStr">
        <is>
          <t>VÄSTERNORRLANDS LÄN</t>
        </is>
      </c>
      <c r="E373" t="inlineStr">
        <is>
          <t>SOLLEFTEÅ</t>
        </is>
      </c>
      <c r="F373" t="inlineStr">
        <is>
          <t>SCA</t>
        </is>
      </c>
      <c r="G373" t="n">
        <v>1.1</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25310-2023 artfynd.xlsx", "A 25310-2023")</f>
        <v/>
      </c>
      <c r="T373">
        <f>HYPERLINK("https://klasma.github.io/Logging_2283/kartor/A 25310-2023 karta.png", "A 25310-2023")</f>
        <v/>
      </c>
      <c r="V373">
        <f>HYPERLINK("https://klasma.github.io/Logging_2283/klagomål/A 25310-2023 FSC-klagomål.docx", "A 25310-2023")</f>
        <v/>
      </c>
      <c r="W373">
        <f>HYPERLINK("https://klasma.github.io/Logging_2283/klagomålsmail/A 25310-2023 FSC-klagomål mail.docx", "A 25310-2023")</f>
        <v/>
      </c>
      <c r="X373">
        <f>HYPERLINK("https://klasma.github.io/Logging_2283/tillsyn/A 25310-2023 tillsynsbegäran.docx", "A 25310-2023")</f>
        <v/>
      </c>
      <c r="Y373">
        <f>HYPERLINK("https://klasma.github.io/Logging_2283/tillsynsmail/A 25310-2023 tillsynsbegäran mail.docx", "A 25310-2023")</f>
        <v/>
      </c>
      <c r="Z373">
        <f>HYPERLINK("https://klasma.github.io/Logging_2283/fåglar/A 25310-2023 prioriterade fågelarter.docx", "A 25310-2023")</f>
        <v/>
      </c>
    </row>
    <row r="374" ht="15" customHeight="1">
      <c r="A374" t="inlineStr">
        <is>
          <t>A 29958-2023</t>
        </is>
      </c>
      <c r="B374" s="1" t="n">
        <v>45107</v>
      </c>
      <c r="C374" s="1" t="n">
        <v>45637</v>
      </c>
      <c r="D374" t="inlineStr">
        <is>
          <t>VÄSTERNORRLANDS LÄN</t>
        </is>
      </c>
      <c r="E374" t="inlineStr">
        <is>
          <t>SOLLEFTEÅ</t>
        </is>
      </c>
      <c r="F374" t="inlineStr">
        <is>
          <t>SCA</t>
        </is>
      </c>
      <c r="G374" t="n">
        <v>7.5</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29958-2023 artfynd.xlsx", "A 29958-2023")</f>
        <v/>
      </c>
      <c r="T374">
        <f>HYPERLINK("https://klasma.github.io/Logging_2283/kartor/A 29958-2023 karta.png", "A 29958-2023")</f>
        <v/>
      </c>
      <c r="V374">
        <f>HYPERLINK("https://klasma.github.io/Logging_2283/klagomål/A 29958-2023 FSC-klagomål.docx", "A 29958-2023")</f>
        <v/>
      </c>
      <c r="W374">
        <f>HYPERLINK("https://klasma.github.io/Logging_2283/klagomålsmail/A 29958-2023 FSC-klagomål mail.docx", "A 29958-2023")</f>
        <v/>
      </c>
      <c r="X374">
        <f>HYPERLINK("https://klasma.github.io/Logging_2283/tillsyn/A 29958-2023 tillsynsbegäran.docx", "A 29958-2023")</f>
        <v/>
      </c>
      <c r="Y374">
        <f>HYPERLINK("https://klasma.github.io/Logging_2283/tillsynsmail/A 29958-2023 tillsynsbegäran mail.docx", "A 29958-2023")</f>
        <v/>
      </c>
      <c r="Z374">
        <f>HYPERLINK("https://klasma.github.io/Logging_2283/fåglar/A 29958-2023 prioriterade fågelarter.docx", "A 29958-2023")</f>
        <v/>
      </c>
    </row>
    <row r="375" ht="15" customHeight="1">
      <c r="A375" t="inlineStr">
        <is>
          <t>A 31912-2023</t>
        </is>
      </c>
      <c r="B375" s="1" t="n">
        <v>45118</v>
      </c>
      <c r="C375" s="1" t="n">
        <v>45637</v>
      </c>
      <c r="D375" t="inlineStr">
        <is>
          <t>VÄSTERNORRLANDS LÄN</t>
        </is>
      </c>
      <c r="E375" t="inlineStr">
        <is>
          <t>SOLLEFTEÅ</t>
        </is>
      </c>
      <c r="G375" t="n">
        <v>5.4</v>
      </c>
      <c r="H375" t="n">
        <v>0</v>
      </c>
      <c r="I375" t="n">
        <v>0</v>
      </c>
      <c r="J375" t="n">
        <v>1</v>
      </c>
      <c r="K375" t="n">
        <v>0</v>
      </c>
      <c r="L375" t="n">
        <v>0</v>
      </c>
      <c r="M375" t="n">
        <v>0</v>
      </c>
      <c r="N375" t="n">
        <v>0</v>
      </c>
      <c r="O375" t="n">
        <v>1</v>
      </c>
      <c r="P375" t="n">
        <v>0</v>
      </c>
      <c r="Q375" t="n">
        <v>1</v>
      </c>
      <c r="R375" s="2" t="inlineStr">
        <is>
          <t>Granticka</t>
        </is>
      </c>
      <c r="S375">
        <f>HYPERLINK("https://klasma.github.io/Logging_2283/artfynd/A 31912-2023 artfynd.xlsx", "A 31912-2023")</f>
        <v/>
      </c>
      <c r="T375">
        <f>HYPERLINK("https://klasma.github.io/Logging_2283/kartor/A 31912-2023 karta.png", "A 31912-2023")</f>
        <v/>
      </c>
      <c r="V375">
        <f>HYPERLINK("https://klasma.github.io/Logging_2283/klagomål/A 31912-2023 FSC-klagomål.docx", "A 31912-2023")</f>
        <v/>
      </c>
      <c r="W375">
        <f>HYPERLINK("https://klasma.github.io/Logging_2283/klagomålsmail/A 31912-2023 FSC-klagomål mail.docx", "A 31912-2023")</f>
        <v/>
      </c>
      <c r="X375">
        <f>HYPERLINK("https://klasma.github.io/Logging_2283/tillsyn/A 31912-2023 tillsynsbegäran.docx", "A 31912-2023")</f>
        <v/>
      </c>
      <c r="Y375">
        <f>HYPERLINK("https://klasma.github.io/Logging_2283/tillsynsmail/A 31912-2023 tillsynsbegäran mail.docx", "A 31912-2023")</f>
        <v/>
      </c>
    </row>
    <row r="376" ht="15" customHeight="1">
      <c r="A376" t="inlineStr">
        <is>
          <t>A 31920-2023</t>
        </is>
      </c>
      <c r="B376" s="1" t="n">
        <v>45118</v>
      </c>
      <c r="C376" s="1" t="n">
        <v>45637</v>
      </c>
      <c r="D376" t="inlineStr">
        <is>
          <t>VÄSTERNORRLANDS LÄN</t>
        </is>
      </c>
      <c r="E376" t="inlineStr">
        <is>
          <t>SOLLEFTEÅ</t>
        </is>
      </c>
      <c r="F376" t="inlineStr">
        <is>
          <t>SCA</t>
        </is>
      </c>
      <c r="G376" t="n">
        <v>2</v>
      </c>
      <c r="H376" t="n">
        <v>0</v>
      </c>
      <c r="I376" t="n">
        <v>0</v>
      </c>
      <c r="J376" t="n">
        <v>1</v>
      </c>
      <c r="K376" t="n">
        <v>0</v>
      </c>
      <c r="L376" t="n">
        <v>0</v>
      </c>
      <c r="M376" t="n">
        <v>0</v>
      </c>
      <c r="N376" t="n">
        <v>0</v>
      </c>
      <c r="O376" t="n">
        <v>1</v>
      </c>
      <c r="P376" t="n">
        <v>0</v>
      </c>
      <c r="Q376" t="n">
        <v>1</v>
      </c>
      <c r="R376" s="2" t="inlineStr">
        <is>
          <t>Ullticka</t>
        </is>
      </c>
      <c r="S376">
        <f>HYPERLINK("https://klasma.github.io/Logging_2283/artfynd/A 31920-2023 artfynd.xlsx", "A 31920-2023")</f>
        <v/>
      </c>
      <c r="T376">
        <f>HYPERLINK("https://klasma.github.io/Logging_2283/kartor/A 31920-2023 karta.png", "A 31920-2023")</f>
        <v/>
      </c>
      <c r="V376">
        <f>HYPERLINK("https://klasma.github.io/Logging_2283/klagomål/A 31920-2023 FSC-klagomål.docx", "A 31920-2023")</f>
        <v/>
      </c>
      <c r="W376">
        <f>HYPERLINK("https://klasma.github.io/Logging_2283/klagomålsmail/A 31920-2023 FSC-klagomål mail.docx", "A 31920-2023")</f>
        <v/>
      </c>
      <c r="X376">
        <f>HYPERLINK("https://klasma.github.io/Logging_2283/tillsyn/A 31920-2023 tillsynsbegäran.docx", "A 31920-2023")</f>
        <v/>
      </c>
      <c r="Y376">
        <f>HYPERLINK("https://klasma.github.io/Logging_2283/tillsynsmail/A 31920-2023 tillsynsbegäran mail.docx", "A 31920-2023")</f>
        <v/>
      </c>
    </row>
    <row r="377" ht="15" customHeight="1">
      <c r="A377" t="inlineStr">
        <is>
          <t>A 32734-2023</t>
        </is>
      </c>
      <c r="B377" s="1" t="n">
        <v>45121</v>
      </c>
      <c r="C377" s="1" t="n">
        <v>45637</v>
      </c>
      <c r="D377" t="inlineStr">
        <is>
          <t>VÄSTERNORRLANDS LÄN</t>
        </is>
      </c>
      <c r="E377" t="inlineStr">
        <is>
          <t>SOLLEFTEÅ</t>
        </is>
      </c>
      <c r="G377" t="n">
        <v>1.8</v>
      </c>
      <c r="H377" t="n">
        <v>0</v>
      </c>
      <c r="I377" t="n">
        <v>0</v>
      </c>
      <c r="J377" t="n">
        <v>1</v>
      </c>
      <c r="K377" t="n">
        <v>0</v>
      </c>
      <c r="L377" t="n">
        <v>0</v>
      </c>
      <c r="M377" t="n">
        <v>0</v>
      </c>
      <c r="N377" t="n">
        <v>0</v>
      </c>
      <c r="O377" t="n">
        <v>1</v>
      </c>
      <c r="P377" t="n">
        <v>0</v>
      </c>
      <c r="Q377" t="n">
        <v>1</v>
      </c>
      <c r="R377" s="2" t="inlineStr">
        <is>
          <t>Garnlav</t>
        </is>
      </c>
      <c r="S377">
        <f>HYPERLINK("https://klasma.github.io/Logging_2283/artfynd/A 32734-2023 artfynd.xlsx", "A 32734-2023")</f>
        <v/>
      </c>
      <c r="T377">
        <f>HYPERLINK("https://klasma.github.io/Logging_2283/kartor/A 32734-2023 karta.png", "A 32734-2023")</f>
        <v/>
      </c>
      <c r="V377">
        <f>HYPERLINK("https://klasma.github.io/Logging_2283/klagomål/A 32734-2023 FSC-klagomål.docx", "A 32734-2023")</f>
        <v/>
      </c>
      <c r="W377">
        <f>HYPERLINK("https://klasma.github.io/Logging_2283/klagomålsmail/A 32734-2023 FSC-klagomål mail.docx", "A 32734-2023")</f>
        <v/>
      </c>
      <c r="X377">
        <f>HYPERLINK("https://klasma.github.io/Logging_2283/tillsyn/A 32734-2023 tillsynsbegäran.docx", "A 32734-2023")</f>
        <v/>
      </c>
      <c r="Y377">
        <f>HYPERLINK("https://klasma.github.io/Logging_2283/tillsynsmail/A 32734-2023 tillsynsbegäran mail.docx", "A 32734-2023")</f>
        <v/>
      </c>
    </row>
    <row r="378" ht="15" customHeight="1">
      <c r="A378" t="inlineStr">
        <is>
          <t>A 34699-2023</t>
        </is>
      </c>
      <c r="B378" s="1" t="n">
        <v>45141</v>
      </c>
      <c r="C378" s="1" t="n">
        <v>45637</v>
      </c>
      <c r="D378" t="inlineStr">
        <is>
          <t>VÄSTERNORRLANDS LÄN</t>
        </is>
      </c>
      <c r="E378" t="inlineStr">
        <is>
          <t>SOLLEFTEÅ</t>
        </is>
      </c>
      <c r="F378" t="inlineStr">
        <is>
          <t>SCA</t>
        </is>
      </c>
      <c r="G378" t="n">
        <v>3</v>
      </c>
      <c r="H378" t="n">
        <v>1</v>
      </c>
      <c r="I378" t="n">
        <v>0</v>
      </c>
      <c r="J378" t="n">
        <v>0</v>
      </c>
      <c r="K378" t="n">
        <v>1</v>
      </c>
      <c r="L378" t="n">
        <v>0</v>
      </c>
      <c r="M378" t="n">
        <v>0</v>
      </c>
      <c r="N378" t="n">
        <v>0</v>
      </c>
      <c r="O378" t="n">
        <v>1</v>
      </c>
      <c r="P378" t="n">
        <v>1</v>
      </c>
      <c r="Q378" t="n">
        <v>1</v>
      </c>
      <c r="R378" s="2" t="inlineStr">
        <is>
          <t>Knärot</t>
        </is>
      </c>
      <c r="S378">
        <f>HYPERLINK("https://klasma.github.io/Logging_2283/artfynd/A 34699-2023 artfynd.xlsx", "A 34699-2023")</f>
        <v/>
      </c>
      <c r="T378">
        <f>HYPERLINK("https://klasma.github.io/Logging_2283/kartor/A 34699-2023 karta.png", "A 34699-2023")</f>
        <v/>
      </c>
      <c r="U378">
        <f>HYPERLINK("https://klasma.github.io/Logging_2283/knärot/A 34699-2023 karta knärot.png", "A 34699-2023")</f>
        <v/>
      </c>
      <c r="V378">
        <f>HYPERLINK("https://klasma.github.io/Logging_2283/klagomål/A 34699-2023 FSC-klagomål.docx", "A 34699-2023")</f>
        <v/>
      </c>
      <c r="W378">
        <f>HYPERLINK("https://klasma.github.io/Logging_2283/klagomålsmail/A 34699-2023 FSC-klagomål mail.docx", "A 34699-2023")</f>
        <v/>
      </c>
      <c r="X378">
        <f>HYPERLINK("https://klasma.github.io/Logging_2283/tillsyn/A 34699-2023 tillsynsbegäran.docx", "A 34699-2023")</f>
        <v/>
      </c>
      <c r="Y378">
        <f>HYPERLINK("https://klasma.github.io/Logging_2283/tillsynsmail/A 34699-2023 tillsynsbegäran mail.docx", "A 34699-2023")</f>
        <v/>
      </c>
    </row>
    <row r="379" ht="15" customHeight="1">
      <c r="A379" t="inlineStr">
        <is>
          <t>A 35295-2023</t>
        </is>
      </c>
      <c r="B379" s="1" t="n">
        <v>45145</v>
      </c>
      <c r="C379" s="1" t="n">
        <v>45637</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38089-2023</t>
        </is>
      </c>
      <c r="B380" s="1" t="n">
        <v>45160</v>
      </c>
      <c r="C380" s="1" t="n">
        <v>45637</v>
      </c>
      <c r="D380" t="inlineStr">
        <is>
          <t>VÄSTERNORRLANDS LÄN</t>
        </is>
      </c>
      <c r="E380" t="inlineStr">
        <is>
          <t>SOLLEFTEÅ</t>
        </is>
      </c>
      <c r="F380" t="inlineStr">
        <is>
          <t>SCA</t>
        </is>
      </c>
      <c r="G380" t="n">
        <v>4.3</v>
      </c>
      <c r="H380" t="n">
        <v>0</v>
      </c>
      <c r="I380" t="n">
        <v>0</v>
      </c>
      <c r="J380" t="n">
        <v>1</v>
      </c>
      <c r="K380" t="n">
        <v>0</v>
      </c>
      <c r="L380" t="n">
        <v>0</v>
      </c>
      <c r="M380" t="n">
        <v>0</v>
      </c>
      <c r="N380" t="n">
        <v>0</v>
      </c>
      <c r="O380" t="n">
        <v>1</v>
      </c>
      <c r="P380" t="n">
        <v>0</v>
      </c>
      <c r="Q380" t="n">
        <v>1</v>
      </c>
      <c r="R380" s="2" t="inlineStr">
        <is>
          <t>Garnlav</t>
        </is>
      </c>
      <c r="S380">
        <f>HYPERLINK("https://klasma.github.io/Logging_2283/artfynd/A 38089-2023 artfynd.xlsx", "A 38089-2023")</f>
        <v/>
      </c>
      <c r="T380">
        <f>HYPERLINK("https://klasma.github.io/Logging_2283/kartor/A 38089-2023 karta.png", "A 38089-2023")</f>
        <v/>
      </c>
      <c r="V380">
        <f>HYPERLINK("https://klasma.github.io/Logging_2283/klagomål/A 38089-2023 FSC-klagomål.docx", "A 38089-2023")</f>
        <v/>
      </c>
      <c r="W380">
        <f>HYPERLINK("https://klasma.github.io/Logging_2283/klagomålsmail/A 38089-2023 FSC-klagomål mail.docx", "A 38089-2023")</f>
        <v/>
      </c>
      <c r="X380">
        <f>HYPERLINK("https://klasma.github.io/Logging_2283/tillsyn/A 38089-2023 tillsynsbegäran.docx", "A 38089-2023")</f>
        <v/>
      </c>
      <c r="Y380">
        <f>HYPERLINK("https://klasma.github.io/Logging_2283/tillsynsmail/A 38089-2023 tillsynsbegäran mail.docx", "A 38089-2023")</f>
        <v/>
      </c>
    </row>
    <row r="381" ht="15" customHeight="1">
      <c r="A381" t="inlineStr">
        <is>
          <t>A 38375-2023</t>
        </is>
      </c>
      <c r="B381" s="1" t="n">
        <v>45161</v>
      </c>
      <c r="C381" s="1" t="n">
        <v>45637</v>
      </c>
      <c r="D381" t="inlineStr">
        <is>
          <t>VÄSTERNORRLANDS LÄN</t>
        </is>
      </c>
      <c r="E381" t="inlineStr">
        <is>
          <t>SOLLEFTEÅ</t>
        </is>
      </c>
      <c r="F381" t="inlineStr">
        <is>
          <t>SCA</t>
        </is>
      </c>
      <c r="G381" t="n">
        <v>5.6</v>
      </c>
      <c r="H381" t="n">
        <v>0</v>
      </c>
      <c r="I381" t="n">
        <v>0</v>
      </c>
      <c r="J381" t="n">
        <v>1</v>
      </c>
      <c r="K381" t="n">
        <v>0</v>
      </c>
      <c r="L381" t="n">
        <v>0</v>
      </c>
      <c r="M381" t="n">
        <v>0</v>
      </c>
      <c r="N381" t="n">
        <v>0</v>
      </c>
      <c r="O381" t="n">
        <v>1</v>
      </c>
      <c r="P381" t="n">
        <v>0</v>
      </c>
      <c r="Q381" t="n">
        <v>1</v>
      </c>
      <c r="R381" s="2" t="inlineStr">
        <is>
          <t>Garnlav</t>
        </is>
      </c>
      <c r="S381">
        <f>HYPERLINK("https://klasma.github.io/Logging_2283/artfynd/A 38375-2023 artfynd.xlsx", "A 38375-2023")</f>
        <v/>
      </c>
      <c r="T381">
        <f>HYPERLINK("https://klasma.github.io/Logging_2283/kartor/A 38375-2023 karta.png", "A 38375-2023")</f>
        <v/>
      </c>
      <c r="V381">
        <f>HYPERLINK("https://klasma.github.io/Logging_2283/klagomål/A 38375-2023 FSC-klagomål.docx", "A 38375-2023")</f>
        <v/>
      </c>
      <c r="W381">
        <f>HYPERLINK("https://klasma.github.io/Logging_2283/klagomålsmail/A 38375-2023 FSC-klagomål mail.docx", "A 38375-2023")</f>
        <v/>
      </c>
      <c r="X381">
        <f>HYPERLINK("https://klasma.github.io/Logging_2283/tillsyn/A 38375-2023 tillsynsbegäran.docx", "A 38375-2023")</f>
        <v/>
      </c>
      <c r="Y381">
        <f>HYPERLINK("https://klasma.github.io/Logging_2283/tillsynsmail/A 38375-2023 tillsynsbegäran mail.docx", "A 38375-2023")</f>
        <v/>
      </c>
    </row>
    <row r="382" ht="15" customHeight="1">
      <c r="A382" t="inlineStr">
        <is>
          <t>A 39565-2023</t>
        </is>
      </c>
      <c r="B382" s="1" t="n">
        <v>45167</v>
      </c>
      <c r="C382" s="1" t="n">
        <v>45637</v>
      </c>
      <c r="D382" t="inlineStr">
        <is>
          <t>VÄSTERNORRLANDS LÄN</t>
        </is>
      </c>
      <c r="E382" t="inlineStr">
        <is>
          <t>SOLLEFTEÅ</t>
        </is>
      </c>
      <c r="G382" t="n">
        <v>3.2</v>
      </c>
      <c r="H382" t="n">
        <v>0</v>
      </c>
      <c r="I382" t="n">
        <v>0</v>
      </c>
      <c r="J382" t="n">
        <v>1</v>
      </c>
      <c r="K382" t="n">
        <v>0</v>
      </c>
      <c r="L382" t="n">
        <v>0</v>
      </c>
      <c r="M382" t="n">
        <v>0</v>
      </c>
      <c r="N382" t="n">
        <v>0</v>
      </c>
      <c r="O382" t="n">
        <v>1</v>
      </c>
      <c r="P382" t="n">
        <v>0</v>
      </c>
      <c r="Q382" t="n">
        <v>1</v>
      </c>
      <c r="R382" s="2" t="inlineStr">
        <is>
          <t>Ullticka</t>
        </is>
      </c>
      <c r="S382">
        <f>HYPERLINK("https://klasma.github.io/Logging_2283/artfynd/A 39565-2023 artfynd.xlsx", "A 39565-2023")</f>
        <v/>
      </c>
      <c r="T382">
        <f>HYPERLINK("https://klasma.github.io/Logging_2283/kartor/A 39565-2023 karta.png", "A 39565-2023")</f>
        <v/>
      </c>
      <c r="V382">
        <f>HYPERLINK("https://klasma.github.io/Logging_2283/klagomål/A 39565-2023 FSC-klagomål.docx", "A 39565-2023")</f>
        <v/>
      </c>
      <c r="W382">
        <f>HYPERLINK("https://klasma.github.io/Logging_2283/klagomålsmail/A 39565-2023 FSC-klagomål mail.docx", "A 39565-2023")</f>
        <v/>
      </c>
      <c r="X382">
        <f>HYPERLINK("https://klasma.github.io/Logging_2283/tillsyn/A 39565-2023 tillsynsbegäran.docx", "A 39565-2023")</f>
        <v/>
      </c>
      <c r="Y382">
        <f>HYPERLINK("https://klasma.github.io/Logging_2283/tillsynsmail/A 39565-2023 tillsynsbegäran mail.docx", "A 39565-2023")</f>
        <v/>
      </c>
    </row>
    <row r="383" ht="15" customHeight="1">
      <c r="A383" t="inlineStr">
        <is>
          <t>A 46203-2023</t>
        </is>
      </c>
      <c r="B383" s="1" t="n">
        <v>45190</v>
      </c>
      <c r="C383" s="1" t="n">
        <v>45637</v>
      </c>
      <c r="D383" t="inlineStr">
        <is>
          <t>VÄSTERNORRLANDS LÄN</t>
        </is>
      </c>
      <c r="E383" t="inlineStr">
        <is>
          <t>SOLLEFTEÅ</t>
        </is>
      </c>
      <c r="G383" t="n">
        <v>13</v>
      </c>
      <c r="H383" t="n">
        <v>0</v>
      </c>
      <c r="I383" t="n">
        <v>0</v>
      </c>
      <c r="J383" t="n">
        <v>1</v>
      </c>
      <c r="K383" t="n">
        <v>0</v>
      </c>
      <c r="L383" t="n">
        <v>0</v>
      </c>
      <c r="M383" t="n">
        <v>0</v>
      </c>
      <c r="N383" t="n">
        <v>0</v>
      </c>
      <c r="O383" t="n">
        <v>1</v>
      </c>
      <c r="P383" t="n">
        <v>0</v>
      </c>
      <c r="Q383" t="n">
        <v>1</v>
      </c>
      <c r="R383" s="2" t="inlineStr">
        <is>
          <t>Garnlav</t>
        </is>
      </c>
      <c r="S383">
        <f>HYPERLINK("https://klasma.github.io/Logging_2283/artfynd/A 46203-2023 artfynd.xlsx", "A 46203-2023")</f>
        <v/>
      </c>
      <c r="T383">
        <f>HYPERLINK("https://klasma.github.io/Logging_2283/kartor/A 46203-2023 karta.png", "A 46203-2023")</f>
        <v/>
      </c>
      <c r="V383">
        <f>HYPERLINK("https://klasma.github.io/Logging_2283/klagomål/A 46203-2023 FSC-klagomål.docx", "A 46203-2023")</f>
        <v/>
      </c>
      <c r="W383">
        <f>HYPERLINK("https://klasma.github.io/Logging_2283/klagomålsmail/A 46203-2023 FSC-klagomål mail.docx", "A 46203-2023")</f>
        <v/>
      </c>
      <c r="X383">
        <f>HYPERLINK("https://klasma.github.io/Logging_2283/tillsyn/A 46203-2023 tillsynsbegäran.docx", "A 46203-2023")</f>
        <v/>
      </c>
      <c r="Y383">
        <f>HYPERLINK("https://klasma.github.io/Logging_2283/tillsynsmail/A 46203-2023 tillsynsbegäran mail.docx", "A 46203-2023")</f>
        <v/>
      </c>
    </row>
    <row r="384" ht="15" customHeight="1">
      <c r="A384" t="inlineStr">
        <is>
          <t>A 48087-2023</t>
        </is>
      </c>
      <c r="B384" s="1" t="n">
        <v>45204</v>
      </c>
      <c r="C384" s="1" t="n">
        <v>45637</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53059-2023</t>
        </is>
      </c>
      <c r="B385" s="1" t="n">
        <v>45226</v>
      </c>
      <c r="C385" s="1" t="n">
        <v>45637</v>
      </c>
      <c r="D385" t="inlineStr">
        <is>
          <t>VÄSTERNORRLANDS LÄN</t>
        </is>
      </c>
      <c r="E385" t="inlineStr">
        <is>
          <t>SOLLEFTEÅ</t>
        </is>
      </c>
      <c r="F385" t="inlineStr">
        <is>
          <t>SCA</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HYPERLINK("https://klasma.github.io/Logging_2283/artfynd/A 53059-2023 artfynd.xlsx", "A 53059-2023")</f>
        <v/>
      </c>
      <c r="T385">
        <f>HYPERLINK("https://klasma.github.io/Logging_2283/kartor/A 53059-2023 karta.png", "A 53059-2023")</f>
        <v/>
      </c>
      <c r="U385">
        <f>HYPERLINK("https://klasma.github.io/Logging_2283/knärot/A 53059-2023 karta knärot.png", "A 53059-2023")</f>
        <v/>
      </c>
      <c r="V385">
        <f>HYPERLINK("https://klasma.github.io/Logging_2283/klagomål/A 53059-2023 FSC-klagomål.docx", "A 53059-2023")</f>
        <v/>
      </c>
      <c r="W385">
        <f>HYPERLINK("https://klasma.github.io/Logging_2283/klagomålsmail/A 53059-2023 FSC-klagomål mail.docx", "A 53059-2023")</f>
        <v/>
      </c>
      <c r="X385">
        <f>HYPERLINK("https://klasma.github.io/Logging_2283/tillsyn/A 53059-2023 tillsynsbegäran.docx", "A 53059-2023")</f>
        <v/>
      </c>
      <c r="Y385">
        <f>HYPERLINK("https://klasma.github.io/Logging_2283/tillsynsmail/A 53059-2023 tillsynsbegäran mail.docx", "A 53059-2023")</f>
        <v/>
      </c>
    </row>
    <row r="386" ht="15" customHeight="1">
      <c r="A386" t="inlineStr">
        <is>
          <t>A 53039-2023</t>
        </is>
      </c>
      <c r="B386" s="1" t="n">
        <v>45226</v>
      </c>
      <c r="C386" s="1" t="n">
        <v>45637</v>
      </c>
      <c r="D386" t="inlineStr">
        <is>
          <t>VÄSTERNORRLANDS LÄN</t>
        </is>
      </c>
      <c r="E386" t="inlineStr">
        <is>
          <t>SOLLEFTEÅ</t>
        </is>
      </c>
      <c r="F386" t="inlineStr">
        <is>
          <t>SCA</t>
        </is>
      </c>
      <c r="G386" t="n">
        <v>1.8</v>
      </c>
      <c r="H386" t="n">
        <v>1</v>
      </c>
      <c r="I386" t="n">
        <v>0</v>
      </c>
      <c r="J386" t="n">
        <v>1</v>
      </c>
      <c r="K386" t="n">
        <v>0</v>
      </c>
      <c r="L386" t="n">
        <v>0</v>
      </c>
      <c r="M386" t="n">
        <v>0</v>
      </c>
      <c r="N386" t="n">
        <v>0</v>
      </c>
      <c r="O386" t="n">
        <v>1</v>
      </c>
      <c r="P386" t="n">
        <v>0</v>
      </c>
      <c r="Q386" t="n">
        <v>1</v>
      </c>
      <c r="R386" s="2" t="inlineStr">
        <is>
          <t>Nordfladdermus</t>
        </is>
      </c>
      <c r="S386">
        <f>HYPERLINK("https://klasma.github.io/Logging_2283/artfynd/A 53039-2023 artfynd.xlsx", "A 53039-2023")</f>
        <v/>
      </c>
      <c r="T386">
        <f>HYPERLINK("https://klasma.github.io/Logging_2283/kartor/A 53039-2023 karta.png", "A 53039-2023")</f>
        <v/>
      </c>
      <c r="V386">
        <f>HYPERLINK("https://klasma.github.io/Logging_2283/klagomål/A 53039-2023 FSC-klagomål.docx", "A 53039-2023")</f>
        <v/>
      </c>
      <c r="W386">
        <f>HYPERLINK("https://klasma.github.io/Logging_2283/klagomålsmail/A 53039-2023 FSC-klagomål mail.docx", "A 53039-2023")</f>
        <v/>
      </c>
      <c r="X386">
        <f>HYPERLINK("https://klasma.github.io/Logging_2283/tillsyn/A 53039-2023 tillsynsbegäran.docx", "A 53039-2023")</f>
        <v/>
      </c>
      <c r="Y386">
        <f>HYPERLINK("https://klasma.github.io/Logging_2283/tillsynsmail/A 53039-2023 tillsynsbegäran mail.docx", "A 53039-2023")</f>
        <v/>
      </c>
    </row>
    <row r="387" ht="15" customHeight="1">
      <c r="A387" t="inlineStr">
        <is>
          <t>A 53446-2023</t>
        </is>
      </c>
      <c r="B387" s="1" t="n">
        <v>45229</v>
      </c>
      <c r="C387" s="1" t="n">
        <v>45637</v>
      </c>
      <c r="D387" t="inlineStr">
        <is>
          <t>VÄSTERNORRLANDS LÄN</t>
        </is>
      </c>
      <c r="E387" t="inlineStr">
        <is>
          <t>SOLLEFTEÅ</t>
        </is>
      </c>
      <c r="F387" t="inlineStr">
        <is>
          <t>SCA</t>
        </is>
      </c>
      <c r="G387" t="n">
        <v>2.2</v>
      </c>
      <c r="H387" t="n">
        <v>0</v>
      </c>
      <c r="I387" t="n">
        <v>0</v>
      </c>
      <c r="J387" t="n">
        <v>1</v>
      </c>
      <c r="K387" t="n">
        <v>0</v>
      </c>
      <c r="L387" t="n">
        <v>0</v>
      </c>
      <c r="M387" t="n">
        <v>0</v>
      </c>
      <c r="N387" t="n">
        <v>0</v>
      </c>
      <c r="O387" t="n">
        <v>1</v>
      </c>
      <c r="P387" t="n">
        <v>0</v>
      </c>
      <c r="Q387" t="n">
        <v>1</v>
      </c>
      <c r="R387" s="2" t="inlineStr">
        <is>
          <t>Kolflarnlav</t>
        </is>
      </c>
      <c r="S387">
        <f>HYPERLINK("https://klasma.github.io/Logging_2283/artfynd/A 53446-2023 artfynd.xlsx", "A 53446-2023")</f>
        <v/>
      </c>
      <c r="T387">
        <f>HYPERLINK("https://klasma.github.io/Logging_2283/kartor/A 53446-2023 karta.png", "A 53446-2023")</f>
        <v/>
      </c>
      <c r="V387">
        <f>HYPERLINK("https://klasma.github.io/Logging_2283/klagomål/A 53446-2023 FSC-klagomål.docx", "A 53446-2023")</f>
        <v/>
      </c>
      <c r="W387">
        <f>HYPERLINK("https://klasma.github.io/Logging_2283/klagomålsmail/A 53446-2023 FSC-klagomål mail.docx", "A 53446-2023")</f>
        <v/>
      </c>
      <c r="X387">
        <f>HYPERLINK("https://klasma.github.io/Logging_2283/tillsyn/A 53446-2023 tillsynsbegäran.docx", "A 53446-2023")</f>
        <v/>
      </c>
      <c r="Y387">
        <f>HYPERLINK("https://klasma.github.io/Logging_2283/tillsynsmail/A 53446-2023 tillsynsbegäran mail.docx", "A 53446-2023")</f>
        <v/>
      </c>
    </row>
    <row r="388" ht="15" customHeight="1">
      <c r="A388" t="inlineStr">
        <is>
          <t>A 56257-2023</t>
        </is>
      </c>
      <c r="B388" s="1" t="n">
        <v>45240</v>
      </c>
      <c r="C388" s="1" t="n">
        <v>45637</v>
      </c>
      <c r="D388" t="inlineStr">
        <is>
          <t>VÄSTERNORRLANDS LÄN</t>
        </is>
      </c>
      <c r="E388" t="inlineStr">
        <is>
          <t>SOLLEFTEÅ</t>
        </is>
      </c>
      <c r="F388" t="inlineStr">
        <is>
          <t>SCA</t>
        </is>
      </c>
      <c r="G388" t="n">
        <v>2.9</v>
      </c>
      <c r="H388" t="n">
        <v>0</v>
      </c>
      <c r="I388" t="n">
        <v>1</v>
      </c>
      <c r="J388" t="n">
        <v>0</v>
      </c>
      <c r="K388" t="n">
        <v>0</v>
      </c>
      <c r="L388" t="n">
        <v>0</v>
      </c>
      <c r="M388" t="n">
        <v>0</v>
      </c>
      <c r="N388" t="n">
        <v>0</v>
      </c>
      <c r="O388" t="n">
        <v>0</v>
      </c>
      <c r="P388" t="n">
        <v>0</v>
      </c>
      <c r="Q388" t="n">
        <v>1</v>
      </c>
      <c r="R388" s="2" t="inlineStr">
        <is>
          <t>Tibast</t>
        </is>
      </c>
      <c r="S388">
        <f>HYPERLINK("https://klasma.github.io/Logging_2283/artfynd/A 56257-2023 artfynd.xlsx", "A 56257-2023")</f>
        <v/>
      </c>
      <c r="T388">
        <f>HYPERLINK("https://klasma.github.io/Logging_2283/kartor/A 56257-2023 karta.png", "A 56257-2023")</f>
        <v/>
      </c>
      <c r="V388">
        <f>HYPERLINK("https://klasma.github.io/Logging_2283/klagomål/A 56257-2023 FSC-klagomål.docx", "A 56257-2023")</f>
        <v/>
      </c>
      <c r="W388">
        <f>HYPERLINK("https://klasma.github.io/Logging_2283/klagomålsmail/A 56257-2023 FSC-klagomål mail.docx", "A 56257-2023")</f>
        <v/>
      </c>
      <c r="X388">
        <f>HYPERLINK("https://klasma.github.io/Logging_2283/tillsyn/A 56257-2023 tillsynsbegäran.docx", "A 56257-2023")</f>
        <v/>
      </c>
      <c r="Y388">
        <f>HYPERLINK("https://klasma.github.io/Logging_2283/tillsynsmail/A 56257-2023 tillsynsbegäran mail.docx", "A 56257-2023")</f>
        <v/>
      </c>
    </row>
    <row r="389" ht="15" customHeight="1">
      <c r="A389" t="inlineStr">
        <is>
          <t>A 59100-2023</t>
        </is>
      </c>
      <c r="B389" s="1" t="n">
        <v>45252</v>
      </c>
      <c r="C389" s="1" t="n">
        <v>45637</v>
      </c>
      <c r="D389" t="inlineStr">
        <is>
          <t>VÄSTERNORRLANDS LÄN</t>
        </is>
      </c>
      <c r="E389" t="inlineStr">
        <is>
          <t>SOLLEFTEÅ</t>
        </is>
      </c>
      <c r="F389" t="inlineStr">
        <is>
          <t>SCA</t>
        </is>
      </c>
      <c r="G389" t="n">
        <v>4.2</v>
      </c>
      <c r="H389" t="n">
        <v>0</v>
      </c>
      <c r="I389" t="n">
        <v>0</v>
      </c>
      <c r="J389" t="n">
        <v>1</v>
      </c>
      <c r="K389" t="n">
        <v>0</v>
      </c>
      <c r="L389" t="n">
        <v>0</v>
      </c>
      <c r="M389" t="n">
        <v>0</v>
      </c>
      <c r="N389" t="n">
        <v>0</v>
      </c>
      <c r="O389" t="n">
        <v>1</v>
      </c>
      <c r="P389" t="n">
        <v>0</v>
      </c>
      <c r="Q389" t="n">
        <v>1</v>
      </c>
      <c r="R389" s="2" t="inlineStr">
        <is>
          <t>Skrovlig taggsvamp</t>
        </is>
      </c>
      <c r="S389">
        <f>HYPERLINK("https://klasma.github.io/Logging_2283/artfynd/A 59100-2023 artfynd.xlsx", "A 59100-2023")</f>
        <v/>
      </c>
      <c r="T389">
        <f>HYPERLINK("https://klasma.github.io/Logging_2283/kartor/A 59100-2023 karta.png", "A 59100-2023")</f>
        <v/>
      </c>
      <c r="V389">
        <f>HYPERLINK("https://klasma.github.io/Logging_2283/klagomål/A 59100-2023 FSC-klagomål.docx", "A 59100-2023")</f>
        <v/>
      </c>
      <c r="W389">
        <f>HYPERLINK("https://klasma.github.io/Logging_2283/klagomålsmail/A 59100-2023 FSC-klagomål mail.docx", "A 59100-2023")</f>
        <v/>
      </c>
      <c r="X389">
        <f>HYPERLINK("https://klasma.github.io/Logging_2283/tillsyn/A 59100-2023 tillsynsbegäran.docx", "A 59100-2023")</f>
        <v/>
      </c>
      <c r="Y389">
        <f>HYPERLINK("https://klasma.github.io/Logging_2283/tillsynsmail/A 59100-2023 tillsynsbegäran mail.docx", "A 59100-2023")</f>
        <v/>
      </c>
    </row>
    <row r="390" ht="15" customHeight="1">
      <c r="A390" t="inlineStr">
        <is>
          <t>A 386-2024</t>
        </is>
      </c>
      <c r="B390" s="1" t="n">
        <v>45296</v>
      </c>
      <c r="C390" s="1" t="n">
        <v>45637</v>
      </c>
      <c r="D390" t="inlineStr">
        <is>
          <t>VÄSTERNORRLANDS LÄN</t>
        </is>
      </c>
      <c r="E390" t="inlineStr">
        <is>
          <t>SOLLEFTEÅ</t>
        </is>
      </c>
      <c r="G390" t="n">
        <v>3.7</v>
      </c>
      <c r="H390" t="n">
        <v>0</v>
      </c>
      <c r="I390" t="n">
        <v>0</v>
      </c>
      <c r="J390" t="n">
        <v>1</v>
      </c>
      <c r="K390" t="n">
        <v>0</v>
      </c>
      <c r="L390" t="n">
        <v>0</v>
      </c>
      <c r="M390" t="n">
        <v>0</v>
      </c>
      <c r="N390" t="n">
        <v>0</v>
      </c>
      <c r="O390" t="n">
        <v>1</v>
      </c>
      <c r="P390" t="n">
        <v>0</v>
      </c>
      <c r="Q390" t="n">
        <v>1</v>
      </c>
      <c r="R390" s="2" t="inlineStr">
        <is>
          <t>Kolflarnlav</t>
        </is>
      </c>
      <c r="S390">
        <f>HYPERLINK("https://klasma.github.io/Logging_2283/artfynd/A 386-2024 artfynd.xlsx", "A 386-2024")</f>
        <v/>
      </c>
      <c r="T390">
        <f>HYPERLINK("https://klasma.github.io/Logging_2283/kartor/A 386-2024 karta.png", "A 386-2024")</f>
        <v/>
      </c>
      <c r="V390">
        <f>HYPERLINK("https://klasma.github.io/Logging_2283/klagomål/A 386-2024 FSC-klagomål.docx", "A 386-2024")</f>
        <v/>
      </c>
      <c r="W390">
        <f>HYPERLINK("https://klasma.github.io/Logging_2283/klagomålsmail/A 386-2024 FSC-klagomål mail.docx", "A 386-2024")</f>
        <v/>
      </c>
      <c r="X390">
        <f>HYPERLINK("https://klasma.github.io/Logging_2283/tillsyn/A 386-2024 tillsynsbegäran.docx", "A 386-2024")</f>
        <v/>
      </c>
      <c r="Y390">
        <f>HYPERLINK("https://klasma.github.io/Logging_2283/tillsynsmail/A 386-2024 tillsynsbegäran mail.docx", "A 386-2024")</f>
        <v/>
      </c>
    </row>
    <row r="391" ht="15" customHeight="1">
      <c r="A391" t="inlineStr">
        <is>
          <t>A 2423-2024</t>
        </is>
      </c>
      <c r="B391" s="1" t="n">
        <v>45310</v>
      </c>
      <c r="C391" s="1" t="n">
        <v>45637</v>
      </c>
      <c r="D391" t="inlineStr">
        <is>
          <t>VÄSTERNORRLANDS LÄN</t>
        </is>
      </c>
      <c r="E391" t="inlineStr">
        <is>
          <t>SOLLEFTEÅ</t>
        </is>
      </c>
      <c r="F391" t="inlineStr">
        <is>
          <t>SCA</t>
        </is>
      </c>
      <c r="G391" t="n">
        <v>3.2</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2423-2024 artfynd.xlsx", "A 2423-2024")</f>
        <v/>
      </c>
      <c r="T391">
        <f>HYPERLINK("https://klasma.github.io/Logging_2283/kartor/A 2423-2024 karta.png", "A 2423-2024")</f>
        <v/>
      </c>
      <c r="V391">
        <f>HYPERLINK("https://klasma.github.io/Logging_2283/klagomål/A 2423-2024 FSC-klagomål.docx", "A 2423-2024")</f>
        <v/>
      </c>
      <c r="W391">
        <f>HYPERLINK("https://klasma.github.io/Logging_2283/klagomålsmail/A 2423-2024 FSC-klagomål mail.docx", "A 2423-2024")</f>
        <v/>
      </c>
      <c r="X391">
        <f>HYPERLINK("https://klasma.github.io/Logging_2283/tillsyn/A 2423-2024 tillsynsbegäran.docx", "A 2423-2024")</f>
        <v/>
      </c>
      <c r="Y391">
        <f>HYPERLINK("https://klasma.github.io/Logging_2283/tillsynsmail/A 2423-2024 tillsynsbegäran mail.docx", "A 2423-2024")</f>
        <v/>
      </c>
      <c r="Z391">
        <f>HYPERLINK("https://klasma.github.io/Logging_2283/fåglar/A 2423-2024 prioriterade fågelarter.docx", "A 2423-2024")</f>
        <v/>
      </c>
    </row>
    <row r="392" ht="15" customHeight="1">
      <c r="A392" t="inlineStr">
        <is>
          <t>A 2570-2024</t>
        </is>
      </c>
      <c r="B392" s="1" t="n">
        <v>45313</v>
      </c>
      <c r="C392" s="1" t="n">
        <v>45637</v>
      </c>
      <c r="D392" t="inlineStr">
        <is>
          <t>VÄSTERNORRLANDS LÄN</t>
        </is>
      </c>
      <c r="E392" t="inlineStr">
        <is>
          <t>SOLLEFTEÅ</t>
        </is>
      </c>
      <c r="F392" t="inlineStr">
        <is>
          <t>Kommuner</t>
        </is>
      </c>
      <c r="G392" t="n">
        <v>6</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2570-2024 artfynd.xlsx", "A 2570-2024")</f>
        <v/>
      </c>
      <c r="T392">
        <f>HYPERLINK("https://klasma.github.io/Logging_2283/kartor/A 2570-2024 karta.png", "A 2570-2024")</f>
        <v/>
      </c>
      <c r="V392">
        <f>HYPERLINK("https://klasma.github.io/Logging_2283/klagomål/A 2570-2024 FSC-klagomål.docx", "A 2570-2024")</f>
        <v/>
      </c>
      <c r="W392">
        <f>HYPERLINK("https://klasma.github.io/Logging_2283/klagomålsmail/A 2570-2024 FSC-klagomål mail.docx", "A 2570-2024")</f>
        <v/>
      </c>
      <c r="X392">
        <f>HYPERLINK("https://klasma.github.io/Logging_2283/tillsyn/A 2570-2024 tillsynsbegäran.docx", "A 2570-2024")</f>
        <v/>
      </c>
      <c r="Y392">
        <f>HYPERLINK("https://klasma.github.io/Logging_2283/tillsynsmail/A 2570-2024 tillsynsbegäran mail.docx", "A 2570-2024")</f>
        <v/>
      </c>
      <c r="Z392">
        <f>HYPERLINK("https://klasma.github.io/Logging_2283/fåglar/A 2570-2024 prioriterade fågelarter.docx", "A 2570-2024")</f>
        <v/>
      </c>
    </row>
    <row r="393" ht="15" customHeight="1">
      <c r="A393" t="inlineStr">
        <is>
          <t>A 3959-2024</t>
        </is>
      </c>
      <c r="B393" s="1" t="n">
        <v>45322</v>
      </c>
      <c r="C393" s="1" t="n">
        <v>45637</v>
      </c>
      <c r="D393" t="inlineStr">
        <is>
          <t>VÄSTERNORRLANDS LÄN</t>
        </is>
      </c>
      <c r="E393" t="inlineStr">
        <is>
          <t>SOLLEFTEÅ</t>
        </is>
      </c>
      <c r="F393" t="inlineStr">
        <is>
          <t>Kommuner</t>
        </is>
      </c>
      <c r="G393" t="n">
        <v>1</v>
      </c>
      <c r="H393" t="n">
        <v>0</v>
      </c>
      <c r="I393" t="n">
        <v>0</v>
      </c>
      <c r="J393" t="n">
        <v>1</v>
      </c>
      <c r="K393" t="n">
        <v>0</v>
      </c>
      <c r="L393" t="n">
        <v>0</v>
      </c>
      <c r="M393" t="n">
        <v>0</v>
      </c>
      <c r="N393" t="n">
        <v>0</v>
      </c>
      <c r="O393" t="n">
        <v>1</v>
      </c>
      <c r="P393" t="n">
        <v>0</v>
      </c>
      <c r="Q393" t="n">
        <v>1</v>
      </c>
      <c r="R393" s="2" t="inlineStr">
        <is>
          <t>Garnlav</t>
        </is>
      </c>
      <c r="S393">
        <f>HYPERLINK("https://klasma.github.io/Logging_2283/artfynd/A 3959-2024 artfynd.xlsx", "A 3959-2024")</f>
        <v/>
      </c>
      <c r="T393">
        <f>HYPERLINK("https://klasma.github.io/Logging_2283/kartor/A 3959-2024 karta.png", "A 3959-2024")</f>
        <v/>
      </c>
      <c r="V393">
        <f>HYPERLINK("https://klasma.github.io/Logging_2283/klagomål/A 3959-2024 FSC-klagomål.docx", "A 3959-2024")</f>
        <v/>
      </c>
      <c r="W393">
        <f>HYPERLINK("https://klasma.github.io/Logging_2283/klagomålsmail/A 3959-2024 FSC-klagomål mail.docx", "A 3959-2024")</f>
        <v/>
      </c>
      <c r="X393">
        <f>HYPERLINK("https://klasma.github.io/Logging_2283/tillsyn/A 3959-2024 tillsynsbegäran.docx", "A 3959-2024")</f>
        <v/>
      </c>
      <c r="Y393">
        <f>HYPERLINK("https://klasma.github.io/Logging_2283/tillsynsmail/A 3959-2024 tillsynsbegäran mail.docx", "A 3959-2024")</f>
        <v/>
      </c>
    </row>
    <row r="394" ht="15" customHeight="1">
      <c r="A394" t="inlineStr">
        <is>
          <t>A 5033-2024</t>
        </is>
      </c>
      <c r="B394" s="1" t="n">
        <v>45329</v>
      </c>
      <c r="C394" s="1" t="n">
        <v>45637</v>
      </c>
      <c r="D394" t="inlineStr">
        <is>
          <t>VÄSTERNORRLANDS LÄN</t>
        </is>
      </c>
      <c r="E394" t="inlineStr">
        <is>
          <t>SOLLEFTEÅ</t>
        </is>
      </c>
      <c r="F394" t="inlineStr">
        <is>
          <t>Övriga Aktiebolag</t>
        </is>
      </c>
      <c r="G394" t="n">
        <v>3.2</v>
      </c>
      <c r="H394" t="n">
        <v>0</v>
      </c>
      <c r="I394" t="n">
        <v>1</v>
      </c>
      <c r="J394" t="n">
        <v>0</v>
      </c>
      <c r="K394" t="n">
        <v>0</v>
      </c>
      <c r="L394" t="n">
        <v>0</v>
      </c>
      <c r="M394" t="n">
        <v>0</v>
      </c>
      <c r="N394" t="n">
        <v>0</v>
      </c>
      <c r="O394" t="n">
        <v>0</v>
      </c>
      <c r="P394" t="n">
        <v>0</v>
      </c>
      <c r="Q394" t="n">
        <v>1</v>
      </c>
      <c r="R394" s="2" t="inlineStr">
        <is>
          <t>Kransrams</t>
        </is>
      </c>
      <c r="S394">
        <f>HYPERLINK("https://klasma.github.io/Logging_2283/artfynd/A 5033-2024 artfynd.xlsx", "A 5033-2024")</f>
        <v/>
      </c>
      <c r="T394">
        <f>HYPERLINK("https://klasma.github.io/Logging_2283/kartor/A 5033-2024 karta.png", "A 5033-2024")</f>
        <v/>
      </c>
      <c r="V394">
        <f>HYPERLINK("https://klasma.github.io/Logging_2283/klagomål/A 5033-2024 FSC-klagomål.docx", "A 5033-2024")</f>
        <v/>
      </c>
      <c r="W394">
        <f>HYPERLINK("https://klasma.github.io/Logging_2283/klagomålsmail/A 5033-2024 FSC-klagomål mail.docx", "A 5033-2024")</f>
        <v/>
      </c>
      <c r="X394">
        <f>HYPERLINK("https://klasma.github.io/Logging_2283/tillsyn/A 5033-2024 tillsynsbegäran.docx", "A 5033-2024")</f>
        <v/>
      </c>
      <c r="Y394">
        <f>HYPERLINK("https://klasma.github.io/Logging_2283/tillsynsmail/A 5033-2024 tillsynsbegäran mail.docx", "A 5033-2024")</f>
        <v/>
      </c>
    </row>
    <row r="395" ht="15" customHeight="1">
      <c r="A395" t="inlineStr">
        <is>
          <t>A 6889-2024</t>
        </is>
      </c>
      <c r="B395" s="1" t="n">
        <v>45342</v>
      </c>
      <c r="C395" s="1" t="n">
        <v>45637</v>
      </c>
      <c r="D395" t="inlineStr">
        <is>
          <t>VÄSTERNORRLANDS LÄN</t>
        </is>
      </c>
      <c r="E395" t="inlineStr">
        <is>
          <t>SOLLEFTEÅ</t>
        </is>
      </c>
      <c r="G395" t="n">
        <v>2.8</v>
      </c>
      <c r="H395" t="n">
        <v>0</v>
      </c>
      <c r="I395" t="n">
        <v>0</v>
      </c>
      <c r="J395" t="n">
        <v>1</v>
      </c>
      <c r="K395" t="n">
        <v>0</v>
      </c>
      <c r="L395" t="n">
        <v>0</v>
      </c>
      <c r="M395" t="n">
        <v>0</v>
      </c>
      <c r="N395" t="n">
        <v>0</v>
      </c>
      <c r="O395" t="n">
        <v>1</v>
      </c>
      <c r="P395" t="n">
        <v>0</v>
      </c>
      <c r="Q395" t="n">
        <v>1</v>
      </c>
      <c r="R395" s="2" t="inlineStr">
        <is>
          <t>Granticka</t>
        </is>
      </c>
      <c r="S395">
        <f>HYPERLINK("https://klasma.github.io/Logging_2283/artfynd/A 6889-2024 artfynd.xlsx", "A 6889-2024")</f>
        <v/>
      </c>
      <c r="T395">
        <f>HYPERLINK("https://klasma.github.io/Logging_2283/kartor/A 6889-2024 karta.png", "A 6889-2024")</f>
        <v/>
      </c>
      <c r="V395">
        <f>HYPERLINK("https://klasma.github.io/Logging_2283/klagomål/A 6889-2024 FSC-klagomål.docx", "A 6889-2024")</f>
        <v/>
      </c>
      <c r="W395">
        <f>HYPERLINK("https://klasma.github.io/Logging_2283/klagomålsmail/A 6889-2024 FSC-klagomål mail.docx", "A 6889-2024")</f>
        <v/>
      </c>
      <c r="X395">
        <f>HYPERLINK("https://klasma.github.io/Logging_2283/tillsyn/A 6889-2024 tillsynsbegäran.docx", "A 6889-2024")</f>
        <v/>
      </c>
      <c r="Y395">
        <f>HYPERLINK("https://klasma.github.io/Logging_2283/tillsynsmail/A 6889-2024 tillsynsbegäran mail.docx", "A 6889-2024")</f>
        <v/>
      </c>
    </row>
    <row r="396" ht="15" customHeight="1">
      <c r="A396" t="inlineStr">
        <is>
          <t>A 7468-2024</t>
        </is>
      </c>
      <c r="B396" s="1" t="n">
        <v>45345</v>
      </c>
      <c r="C396" s="1" t="n">
        <v>45637</v>
      </c>
      <c r="D396" t="inlineStr">
        <is>
          <t>VÄSTERNORRLANDS LÄN</t>
        </is>
      </c>
      <c r="E396" t="inlineStr">
        <is>
          <t>SOLLEFTEÅ</t>
        </is>
      </c>
      <c r="F396" t="inlineStr">
        <is>
          <t>SCA</t>
        </is>
      </c>
      <c r="G396" t="n">
        <v>55.2</v>
      </c>
      <c r="H396" t="n">
        <v>0</v>
      </c>
      <c r="I396" t="n">
        <v>0</v>
      </c>
      <c r="J396" t="n">
        <v>1</v>
      </c>
      <c r="K396" t="n">
        <v>0</v>
      </c>
      <c r="L396" t="n">
        <v>0</v>
      </c>
      <c r="M396" t="n">
        <v>0</v>
      </c>
      <c r="N396" t="n">
        <v>0</v>
      </c>
      <c r="O396" t="n">
        <v>1</v>
      </c>
      <c r="P396" t="n">
        <v>0</v>
      </c>
      <c r="Q396" t="n">
        <v>1</v>
      </c>
      <c r="R396" s="2" t="inlineStr">
        <is>
          <t>Granticka</t>
        </is>
      </c>
      <c r="S396">
        <f>HYPERLINK("https://klasma.github.io/Logging_2283/artfynd/A 7468-2024 artfynd.xlsx", "A 7468-2024")</f>
        <v/>
      </c>
      <c r="T396">
        <f>HYPERLINK("https://klasma.github.io/Logging_2283/kartor/A 7468-2024 karta.png", "A 7468-2024")</f>
        <v/>
      </c>
      <c r="V396">
        <f>HYPERLINK("https://klasma.github.io/Logging_2283/klagomål/A 7468-2024 FSC-klagomål.docx", "A 7468-2024")</f>
        <v/>
      </c>
      <c r="W396">
        <f>HYPERLINK("https://klasma.github.io/Logging_2283/klagomålsmail/A 7468-2024 FSC-klagomål mail.docx", "A 7468-2024")</f>
        <v/>
      </c>
      <c r="X396">
        <f>HYPERLINK("https://klasma.github.io/Logging_2283/tillsyn/A 7468-2024 tillsynsbegäran.docx", "A 7468-2024")</f>
        <v/>
      </c>
      <c r="Y396">
        <f>HYPERLINK("https://klasma.github.io/Logging_2283/tillsynsmail/A 7468-2024 tillsynsbegäran mail.docx", "A 7468-2024")</f>
        <v/>
      </c>
    </row>
    <row r="397" ht="15" customHeight="1">
      <c r="A397" t="inlineStr">
        <is>
          <t>A 7909-2024</t>
        </is>
      </c>
      <c r="B397" s="1" t="n">
        <v>45350</v>
      </c>
      <c r="C397" s="1" t="n">
        <v>45637</v>
      </c>
      <c r="D397" t="inlineStr">
        <is>
          <t>VÄSTERNORRLANDS LÄN</t>
        </is>
      </c>
      <c r="E397" t="inlineStr">
        <is>
          <t>SOLLEFTEÅ</t>
        </is>
      </c>
      <c r="G397" t="n">
        <v>7.2</v>
      </c>
      <c r="H397" t="n">
        <v>0</v>
      </c>
      <c r="I397" t="n">
        <v>0</v>
      </c>
      <c r="J397" t="n">
        <v>1</v>
      </c>
      <c r="K397" t="n">
        <v>0</v>
      </c>
      <c r="L397" t="n">
        <v>0</v>
      </c>
      <c r="M397" t="n">
        <v>0</v>
      </c>
      <c r="N397" t="n">
        <v>0</v>
      </c>
      <c r="O397" t="n">
        <v>1</v>
      </c>
      <c r="P397" t="n">
        <v>0</v>
      </c>
      <c r="Q397" t="n">
        <v>1</v>
      </c>
      <c r="R397" s="2" t="inlineStr">
        <is>
          <t>Lunglav</t>
        </is>
      </c>
      <c r="S397">
        <f>HYPERLINK("https://klasma.github.io/Logging_2283/artfynd/A 7909-2024 artfynd.xlsx", "A 7909-2024")</f>
        <v/>
      </c>
      <c r="T397">
        <f>HYPERLINK("https://klasma.github.io/Logging_2283/kartor/A 7909-2024 karta.png", "A 7909-2024")</f>
        <v/>
      </c>
      <c r="V397">
        <f>HYPERLINK("https://klasma.github.io/Logging_2283/klagomål/A 7909-2024 FSC-klagomål.docx", "A 7909-2024")</f>
        <v/>
      </c>
      <c r="W397">
        <f>HYPERLINK("https://klasma.github.io/Logging_2283/klagomålsmail/A 7909-2024 FSC-klagomål mail.docx", "A 7909-2024")</f>
        <v/>
      </c>
      <c r="X397">
        <f>HYPERLINK("https://klasma.github.io/Logging_2283/tillsyn/A 7909-2024 tillsynsbegäran.docx", "A 7909-2024")</f>
        <v/>
      </c>
      <c r="Y397">
        <f>HYPERLINK("https://klasma.github.io/Logging_2283/tillsynsmail/A 7909-2024 tillsynsbegäran mail.docx", "A 7909-2024")</f>
        <v/>
      </c>
    </row>
    <row r="398" ht="15" customHeight="1">
      <c r="A398" t="inlineStr">
        <is>
          <t>A 8541-2024</t>
        </is>
      </c>
      <c r="B398" s="1" t="n">
        <v>45351</v>
      </c>
      <c r="C398" s="1" t="n">
        <v>45637</v>
      </c>
      <c r="D398" t="inlineStr">
        <is>
          <t>VÄSTERNORRLANDS LÄN</t>
        </is>
      </c>
      <c r="E398" t="inlineStr">
        <is>
          <t>SOLLEFTEÅ</t>
        </is>
      </c>
      <c r="F398" t="inlineStr">
        <is>
          <t>Kommuner</t>
        </is>
      </c>
      <c r="G398" t="n">
        <v>0.6</v>
      </c>
      <c r="H398" t="n">
        <v>0</v>
      </c>
      <c r="I398" t="n">
        <v>0</v>
      </c>
      <c r="J398" t="n">
        <v>1</v>
      </c>
      <c r="K398" t="n">
        <v>0</v>
      </c>
      <c r="L398" t="n">
        <v>0</v>
      </c>
      <c r="M398" t="n">
        <v>0</v>
      </c>
      <c r="N398" t="n">
        <v>0</v>
      </c>
      <c r="O398" t="n">
        <v>1</v>
      </c>
      <c r="P398" t="n">
        <v>0</v>
      </c>
      <c r="Q398" t="n">
        <v>1</v>
      </c>
      <c r="R398" s="2" t="inlineStr">
        <is>
          <t>Granticka</t>
        </is>
      </c>
      <c r="S398">
        <f>HYPERLINK("https://klasma.github.io/Logging_2283/artfynd/A 8541-2024 artfynd.xlsx", "A 8541-2024")</f>
        <v/>
      </c>
      <c r="T398">
        <f>HYPERLINK("https://klasma.github.io/Logging_2283/kartor/A 8541-2024 karta.png", "A 8541-2024")</f>
        <v/>
      </c>
      <c r="V398">
        <f>HYPERLINK("https://klasma.github.io/Logging_2283/klagomål/A 8541-2024 FSC-klagomål.docx", "A 8541-2024")</f>
        <v/>
      </c>
      <c r="W398">
        <f>HYPERLINK("https://klasma.github.io/Logging_2283/klagomålsmail/A 8541-2024 FSC-klagomål mail.docx", "A 8541-2024")</f>
        <v/>
      </c>
      <c r="X398">
        <f>HYPERLINK("https://klasma.github.io/Logging_2283/tillsyn/A 8541-2024 tillsynsbegäran.docx", "A 8541-2024")</f>
        <v/>
      </c>
      <c r="Y398">
        <f>HYPERLINK("https://klasma.github.io/Logging_2283/tillsynsmail/A 8541-2024 tillsynsbegäran mail.docx", "A 8541-2024")</f>
        <v/>
      </c>
    </row>
    <row r="399" ht="15" customHeight="1">
      <c r="A399" t="inlineStr">
        <is>
          <t>A 8903-2024</t>
        </is>
      </c>
      <c r="B399" s="1" t="n">
        <v>45355</v>
      </c>
      <c r="C399" s="1" t="n">
        <v>45637</v>
      </c>
      <c r="D399" t="inlineStr">
        <is>
          <t>VÄSTERNORRLANDS LÄN</t>
        </is>
      </c>
      <c r="E399" t="inlineStr">
        <is>
          <t>SOLLEFTEÅ</t>
        </is>
      </c>
      <c r="G399" t="n">
        <v>1.7</v>
      </c>
      <c r="H399" t="n">
        <v>0</v>
      </c>
      <c r="I399" t="n">
        <v>1</v>
      </c>
      <c r="J399" t="n">
        <v>0</v>
      </c>
      <c r="K399" t="n">
        <v>0</v>
      </c>
      <c r="L399" t="n">
        <v>0</v>
      </c>
      <c r="M399" t="n">
        <v>0</v>
      </c>
      <c r="N399" t="n">
        <v>0</v>
      </c>
      <c r="O399" t="n">
        <v>0</v>
      </c>
      <c r="P399" t="n">
        <v>0</v>
      </c>
      <c r="Q399" t="n">
        <v>1</v>
      </c>
      <c r="R399" s="2" t="inlineStr">
        <is>
          <t>Strutbräken</t>
        </is>
      </c>
      <c r="S399">
        <f>HYPERLINK("https://klasma.github.io/Logging_2283/artfynd/A 8903-2024 artfynd.xlsx", "A 8903-2024")</f>
        <v/>
      </c>
      <c r="T399">
        <f>HYPERLINK("https://klasma.github.io/Logging_2283/kartor/A 8903-2024 karta.png", "A 8903-2024")</f>
        <v/>
      </c>
      <c r="V399">
        <f>HYPERLINK("https://klasma.github.io/Logging_2283/klagomål/A 8903-2024 FSC-klagomål.docx", "A 8903-2024")</f>
        <v/>
      </c>
      <c r="W399">
        <f>HYPERLINK("https://klasma.github.io/Logging_2283/klagomålsmail/A 8903-2024 FSC-klagomål mail.docx", "A 8903-2024")</f>
        <v/>
      </c>
      <c r="X399">
        <f>HYPERLINK("https://klasma.github.io/Logging_2283/tillsyn/A 8903-2024 tillsynsbegäran.docx", "A 8903-2024")</f>
        <v/>
      </c>
      <c r="Y399">
        <f>HYPERLINK("https://klasma.github.io/Logging_2283/tillsynsmail/A 8903-2024 tillsynsbegäran mail.docx", "A 8903-2024")</f>
        <v/>
      </c>
    </row>
    <row r="400" ht="15" customHeight="1">
      <c r="A400" t="inlineStr">
        <is>
          <t>A 9818-2024</t>
        </is>
      </c>
      <c r="B400" s="1" t="n">
        <v>45363</v>
      </c>
      <c r="C400" s="1" t="n">
        <v>45637</v>
      </c>
      <c r="D400" t="inlineStr">
        <is>
          <t>VÄSTERNORRLANDS LÄN</t>
        </is>
      </c>
      <c r="E400" t="inlineStr">
        <is>
          <t>SOLLEFTEÅ</t>
        </is>
      </c>
      <c r="F400" t="inlineStr">
        <is>
          <t>SCA</t>
        </is>
      </c>
      <c r="G400" t="n">
        <v>3.8</v>
      </c>
      <c r="H400" t="n">
        <v>0</v>
      </c>
      <c r="I400" t="n">
        <v>0</v>
      </c>
      <c r="J400" t="n">
        <v>1</v>
      </c>
      <c r="K400" t="n">
        <v>0</v>
      </c>
      <c r="L400" t="n">
        <v>0</v>
      </c>
      <c r="M400" t="n">
        <v>0</v>
      </c>
      <c r="N400" t="n">
        <v>0</v>
      </c>
      <c r="O400" t="n">
        <v>1</v>
      </c>
      <c r="P400" t="n">
        <v>0</v>
      </c>
      <c r="Q400" t="n">
        <v>1</v>
      </c>
      <c r="R400" s="2" t="inlineStr">
        <is>
          <t>Motaggsvamp</t>
        </is>
      </c>
      <c r="S400">
        <f>HYPERLINK("https://klasma.github.io/Logging_2283/artfynd/A 9818-2024 artfynd.xlsx", "A 9818-2024")</f>
        <v/>
      </c>
      <c r="T400">
        <f>HYPERLINK("https://klasma.github.io/Logging_2283/kartor/A 9818-2024 karta.png", "A 9818-2024")</f>
        <v/>
      </c>
      <c r="U400">
        <f>HYPERLINK("https://klasma.github.io/Logging_2283/knärot/A 9818-2024 karta knärot.png", "A 9818-2024")</f>
        <v/>
      </c>
      <c r="V400">
        <f>HYPERLINK("https://klasma.github.io/Logging_2283/klagomål/A 9818-2024 FSC-klagomål.docx", "A 9818-2024")</f>
        <v/>
      </c>
      <c r="W400">
        <f>HYPERLINK("https://klasma.github.io/Logging_2283/klagomålsmail/A 9818-2024 FSC-klagomål mail.docx", "A 9818-2024")</f>
        <v/>
      </c>
      <c r="X400">
        <f>HYPERLINK("https://klasma.github.io/Logging_2283/tillsyn/A 9818-2024 tillsynsbegäran.docx", "A 9818-2024")</f>
        <v/>
      </c>
      <c r="Y400">
        <f>HYPERLINK("https://klasma.github.io/Logging_2283/tillsynsmail/A 9818-2024 tillsynsbegäran mail.docx", "A 9818-2024")</f>
        <v/>
      </c>
    </row>
    <row r="401" ht="15" customHeight="1">
      <c r="A401" t="inlineStr">
        <is>
          <t>A 10854-2024</t>
        </is>
      </c>
      <c r="B401" s="1" t="n">
        <v>45370</v>
      </c>
      <c r="C401" s="1" t="n">
        <v>45637</v>
      </c>
      <c r="D401" t="inlineStr">
        <is>
          <t>VÄSTERNORRLANDS LÄN</t>
        </is>
      </c>
      <c r="E401" t="inlineStr">
        <is>
          <t>SOLLEFTEÅ</t>
        </is>
      </c>
      <c r="F401" t="inlineStr">
        <is>
          <t>SCA</t>
        </is>
      </c>
      <c r="G401" t="n">
        <v>2.8</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10854-2024 artfynd.xlsx", "A 10854-2024")</f>
        <v/>
      </c>
      <c r="T401">
        <f>HYPERLINK("https://klasma.github.io/Logging_2283/kartor/A 10854-2024 karta.png", "A 10854-2024")</f>
        <v/>
      </c>
      <c r="V401">
        <f>HYPERLINK("https://klasma.github.io/Logging_2283/klagomål/A 10854-2024 FSC-klagomål.docx", "A 10854-2024")</f>
        <v/>
      </c>
      <c r="W401">
        <f>HYPERLINK("https://klasma.github.io/Logging_2283/klagomålsmail/A 10854-2024 FSC-klagomål mail.docx", "A 10854-2024")</f>
        <v/>
      </c>
      <c r="X401">
        <f>HYPERLINK("https://klasma.github.io/Logging_2283/tillsyn/A 10854-2024 tillsynsbegäran.docx", "A 10854-2024")</f>
        <v/>
      </c>
      <c r="Y401">
        <f>HYPERLINK("https://klasma.github.io/Logging_2283/tillsynsmail/A 10854-2024 tillsynsbegäran mail.docx", "A 10854-2024")</f>
        <v/>
      </c>
      <c r="Z401">
        <f>HYPERLINK("https://klasma.github.io/Logging_2283/fåglar/A 10854-2024 prioriterade fågelarter.docx", "A 10854-2024")</f>
        <v/>
      </c>
    </row>
    <row r="402" ht="15" customHeight="1">
      <c r="A402" t="inlineStr">
        <is>
          <t>A 12371-2024</t>
        </is>
      </c>
      <c r="B402" s="1" t="n">
        <v>45378</v>
      </c>
      <c r="C402" s="1" t="n">
        <v>45637</v>
      </c>
      <c r="D402" t="inlineStr">
        <is>
          <t>VÄSTERNORRLANDS LÄN</t>
        </is>
      </c>
      <c r="E402" t="inlineStr">
        <is>
          <t>SOLLEFTEÅ</t>
        </is>
      </c>
      <c r="F402" t="inlineStr">
        <is>
          <t>SCA</t>
        </is>
      </c>
      <c r="G402" t="n">
        <v>1.2</v>
      </c>
      <c r="H402" t="n">
        <v>0</v>
      </c>
      <c r="I402" t="n">
        <v>0</v>
      </c>
      <c r="J402" t="n">
        <v>1</v>
      </c>
      <c r="K402" t="n">
        <v>0</v>
      </c>
      <c r="L402" t="n">
        <v>0</v>
      </c>
      <c r="M402" t="n">
        <v>0</v>
      </c>
      <c r="N402" t="n">
        <v>0</v>
      </c>
      <c r="O402" t="n">
        <v>1</v>
      </c>
      <c r="P402" t="n">
        <v>0</v>
      </c>
      <c r="Q402" t="n">
        <v>1</v>
      </c>
      <c r="R402" s="2" t="inlineStr">
        <is>
          <t>Rosenticka</t>
        </is>
      </c>
      <c r="S402">
        <f>HYPERLINK("https://klasma.github.io/Logging_2283/artfynd/A 12371-2024 artfynd.xlsx", "A 12371-2024")</f>
        <v/>
      </c>
      <c r="T402">
        <f>HYPERLINK("https://klasma.github.io/Logging_2283/kartor/A 12371-2024 karta.png", "A 12371-2024")</f>
        <v/>
      </c>
      <c r="V402">
        <f>HYPERLINK("https://klasma.github.io/Logging_2283/klagomål/A 12371-2024 FSC-klagomål.docx", "A 12371-2024")</f>
        <v/>
      </c>
      <c r="W402">
        <f>HYPERLINK("https://klasma.github.io/Logging_2283/klagomålsmail/A 12371-2024 FSC-klagomål mail.docx", "A 12371-2024")</f>
        <v/>
      </c>
      <c r="X402">
        <f>HYPERLINK("https://klasma.github.io/Logging_2283/tillsyn/A 12371-2024 tillsynsbegäran.docx", "A 12371-2024")</f>
        <v/>
      </c>
      <c r="Y402">
        <f>HYPERLINK("https://klasma.github.io/Logging_2283/tillsynsmail/A 12371-2024 tillsynsbegäran mail.docx", "A 12371-2024")</f>
        <v/>
      </c>
    </row>
    <row r="403" ht="15" customHeight="1">
      <c r="A403" t="inlineStr">
        <is>
          <t>A 14367-2024</t>
        </is>
      </c>
      <c r="B403" s="1" t="n">
        <v>45393</v>
      </c>
      <c r="C403" s="1" t="n">
        <v>45637</v>
      </c>
      <c r="D403" t="inlineStr">
        <is>
          <t>VÄSTERNORRLANDS LÄN</t>
        </is>
      </c>
      <c r="E403" t="inlineStr">
        <is>
          <t>SOLLEFTEÅ</t>
        </is>
      </c>
      <c r="F403" t="inlineStr">
        <is>
          <t>SCA</t>
        </is>
      </c>
      <c r="G403" t="n">
        <v>2</v>
      </c>
      <c r="H403" t="n">
        <v>0</v>
      </c>
      <c r="I403" t="n">
        <v>0</v>
      </c>
      <c r="J403" t="n">
        <v>1</v>
      </c>
      <c r="K403" t="n">
        <v>0</v>
      </c>
      <c r="L403" t="n">
        <v>0</v>
      </c>
      <c r="M403" t="n">
        <v>0</v>
      </c>
      <c r="N403" t="n">
        <v>0</v>
      </c>
      <c r="O403" t="n">
        <v>1</v>
      </c>
      <c r="P403" t="n">
        <v>0</v>
      </c>
      <c r="Q403" t="n">
        <v>1</v>
      </c>
      <c r="R403" s="2" t="inlineStr">
        <is>
          <t>Garnlav</t>
        </is>
      </c>
      <c r="S403">
        <f>HYPERLINK("https://klasma.github.io/Logging_2283/artfynd/A 14367-2024 artfynd.xlsx", "A 14367-2024")</f>
        <v/>
      </c>
      <c r="T403">
        <f>HYPERLINK("https://klasma.github.io/Logging_2283/kartor/A 14367-2024 karta.png", "A 14367-2024")</f>
        <v/>
      </c>
      <c r="V403">
        <f>HYPERLINK("https://klasma.github.io/Logging_2283/klagomål/A 14367-2024 FSC-klagomål.docx", "A 14367-2024")</f>
        <v/>
      </c>
      <c r="W403">
        <f>HYPERLINK("https://klasma.github.io/Logging_2283/klagomålsmail/A 14367-2024 FSC-klagomål mail.docx", "A 14367-2024")</f>
        <v/>
      </c>
      <c r="X403">
        <f>HYPERLINK("https://klasma.github.io/Logging_2283/tillsyn/A 14367-2024 tillsynsbegäran.docx", "A 14367-2024")</f>
        <v/>
      </c>
      <c r="Y403">
        <f>HYPERLINK("https://klasma.github.io/Logging_2283/tillsynsmail/A 14367-2024 tillsynsbegäran mail.docx", "A 14367-2024")</f>
        <v/>
      </c>
    </row>
    <row r="404" ht="15" customHeight="1">
      <c r="A404" t="inlineStr">
        <is>
          <t>A 14805-2024</t>
        </is>
      </c>
      <c r="B404" s="1" t="n">
        <v>45397</v>
      </c>
      <c r="C404" s="1" t="n">
        <v>45637</v>
      </c>
      <c r="D404" t="inlineStr">
        <is>
          <t>VÄSTERNORRLANDS LÄN</t>
        </is>
      </c>
      <c r="E404" t="inlineStr">
        <is>
          <t>SOLLEFTEÅ</t>
        </is>
      </c>
      <c r="F404" t="inlineStr">
        <is>
          <t>SCA</t>
        </is>
      </c>
      <c r="G404" t="n">
        <v>3.5</v>
      </c>
      <c r="H404" t="n">
        <v>0</v>
      </c>
      <c r="I404" t="n">
        <v>0</v>
      </c>
      <c r="J404" t="n">
        <v>1</v>
      </c>
      <c r="K404" t="n">
        <v>0</v>
      </c>
      <c r="L404" t="n">
        <v>0</v>
      </c>
      <c r="M404" t="n">
        <v>0</v>
      </c>
      <c r="N404" t="n">
        <v>0</v>
      </c>
      <c r="O404" t="n">
        <v>1</v>
      </c>
      <c r="P404" t="n">
        <v>0</v>
      </c>
      <c r="Q404" t="n">
        <v>1</v>
      </c>
      <c r="R404" s="2" t="inlineStr">
        <is>
          <t>Dvärgbägarlav</t>
        </is>
      </c>
      <c r="S404">
        <f>HYPERLINK("https://klasma.github.io/Logging_2283/artfynd/A 14805-2024 artfynd.xlsx", "A 14805-2024")</f>
        <v/>
      </c>
      <c r="T404">
        <f>HYPERLINK("https://klasma.github.io/Logging_2283/kartor/A 14805-2024 karta.png", "A 14805-2024")</f>
        <v/>
      </c>
      <c r="V404">
        <f>HYPERLINK("https://klasma.github.io/Logging_2283/klagomål/A 14805-2024 FSC-klagomål.docx", "A 14805-2024")</f>
        <v/>
      </c>
      <c r="W404">
        <f>HYPERLINK("https://klasma.github.io/Logging_2283/klagomålsmail/A 14805-2024 FSC-klagomål mail.docx", "A 14805-2024")</f>
        <v/>
      </c>
      <c r="X404">
        <f>HYPERLINK("https://klasma.github.io/Logging_2283/tillsyn/A 14805-2024 tillsynsbegäran.docx", "A 14805-2024")</f>
        <v/>
      </c>
      <c r="Y404">
        <f>HYPERLINK("https://klasma.github.io/Logging_2283/tillsynsmail/A 14805-2024 tillsynsbegäran mail.docx", "A 14805-2024")</f>
        <v/>
      </c>
    </row>
    <row r="405" ht="15" customHeight="1">
      <c r="A405" t="inlineStr">
        <is>
          <t>A 14885-2024</t>
        </is>
      </c>
      <c r="B405" s="1" t="n">
        <v>45398</v>
      </c>
      <c r="C405" s="1" t="n">
        <v>45637</v>
      </c>
      <c r="D405" t="inlineStr">
        <is>
          <t>VÄSTERNORRLANDS LÄN</t>
        </is>
      </c>
      <c r="E405" t="inlineStr">
        <is>
          <t>SOLLEFTEÅ</t>
        </is>
      </c>
      <c r="G405" t="n">
        <v>5.8</v>
      </c>
      <c r="H405" t="n">
        <v>1</v>
      </c>
      <c r="I405" t="n">
        <v>0</v>
      </c>
      <c r="J405" t="n">
        <v>0</v>
      </c>
      <c r="K405" t="n">
        <v>0</v>
      </c>
      <c r="L405" t="n">
        <v>0</v>
      </c>
      <c r="M405" t="n">
        <v>0</v>
      </c>
      <c r="N405" t="n">
        <v>0</v>
      </c>
      <c r="O405" t="n">
        <v>0</v>
      </c>
      <c r="P405" t="n">
        <v>0</v>
      </c>
      <c r="Q405" t="n">
        <v>1</v>
      </c>
      <c r="R405" s="2" t="inlineStr">
        <is>
          <t>Pärluggla</t>
        </is>
      </c>
      <c r="S405">
        <f>HYPERLINK("https://klasma.github.io/Logging_2283/artfynd/A 14885-2024 artfynd.xlsx", "A 14885-2024")</f>
        <v/>
      </c>
      <c r="T405">
        <f>HYPERLINK("https://klasma.github.io/Logging_2283/kartor/A 14885-2024 karta.png", "A 14885-2024")</f>
        <v/>
      </c>
      <c r="V405">
        <f>HYPERLINK("https://klasma.github.io/Logging_2283/klagomål/A 14885-2024 FSC-klagomål.docx", "A 14885-2024")</f>
        <v/>
      </c>
      <c r="W405">
        <f>HYPERLINK("https://klasma.github.io/Logging_2283/klagomålsmail/A 14885-2024 FSC-klagomål mail.docx", "A 14885-2024")</f>
        <v/>
      </c>
      <c r="X405">
        <f>HYPERLINK("https://klasma.github.io/Logging_2283/tillsyn/A 14885-2024 tillsynsbegäran.docx", "A 14885-2024")</f>
        <v/>
      </c>
      <c r="Y405">
        <f>HYPERLINK("https://klasma.github.io/Logging_2283/tillsynsmail/A 14885-2024 tillsynsbegäran mail.docx", "A 14885-2024")</f>
        <v/>
      </c>
      <c r="Z405">
        <f>HYPERLINK("https://klasma.github.io/Logging_2283/fåglar/A 14885-2024 prioriterade fågelarter.docx", "A 14885-2024")</f>
        <v/>
      </c>
    </row>
    <row r="406" ht="15" customHeight="1">
      <c r="A406" t="inlineStr">
        <is>
          <t>A 15862-2024</t>
        </is>
      </c>
      <c r="B406" s="1" t="n">
        <v>45404</v>
      </c>
      <c r="C406" s="1" t="n">
        <v>45637</v>
      </c>
      <c r="D406" t="inlineStr">
        <is>
          <t>VÄSTERNORRLANDS LÄN</t>
        </is>
      </c>
      <c r="E406" t="inlineStr">
        <is>
          <t>SOLLEFTEÅ</t>
        </is>
      </c>
      <c r="F406" t="inlineStr">
        <is>
          <t>SCA</t>
        </is>
      </c>
      <c r="G406" t="n">
        <v>10.1</v>
      </c>
      <c r="H406" t="n">
        <v>0</v>
      </c>
      <c r="I406" t="n">
        <v>0</v>
      </c>
      <c r="J406" t="n">
        <v>1</v>
      </c>
      <c r="K406" t="n">
        <v>0</v>
      </c>
      <c r="L406" t="n">
        <v>0</v>
      </c>
      <c r="M406" t="n">
        <v>0</v>
      </c>
      <c r="N406" t="n">
        <v>0</v>
      </c>
      <c r="O406" t="n">
        <v>1</v>
      </c>
      <c r="P406" t="n">
        <v>0</v>
      </c>
      <c r="Q406" t="n">
        <v>1</v>
      </c>
      <c r="R406" s="2" t="inlineStr">
        <is>
          <t>Lunglav</t>
        </is>
      </c>
      <c r="S406">
        <f>HYPERLINK("https://klasma.github.io/Logging_2283/artfynd/A 15862-2024 artfynd.xlsx", "A 15862-2024")</f>
        <v/>
      </c>
      <c r="T406">
        <f>HYPERLINK("https://klasma.github.io/Logging_2283/kartor/A 15862-2024 karta.png", "A 15862-2024")</f>
        <v/>
      </c>
      <c r="V406">
        <f>HYPERLINK("https://klasma.github.io/Logging_2283/klagomål/A 15862-2024 FSC-klagomål.docx", "A 15862-2024")</f>
        <v/>
      </c>
      <c r="W406">
        <f>HYPERLINK("https://klasma.github.io/Logging_2283/klagomålsmail/A 15862-2024 FSC-klagomål mail.docx", "A 15862-2024")</f>
        <v/>
      </c>
      <c r="X406">
        <f>HYPERLINK("https://klasma.github.io/Logging_2283/tillsyn/A 15862-2024 tillsynsbegäran.docx", "A 15862-2024")</f>
        <v/>
      </c>
      <c r="Y406">
        <f>HYPERLINK("https://klasma.github.io/Logging_2283/tillsynsmail/A 15862-2024 tillsynsbegäran mail.docx", "A 15862-2024")</f>
        <v/>
      </c>
    </row>
    <row r="407" ht="15" customHeight="1">
      <c r="A407" t="inlineStr">
        <is>
          <t>A 18613-2024</t>
        </is>
      </c>
      <c r="B407" s="1" t="n">
        <v>45425</v>
      </c>
      <c r="C407" s="1" t="n">
        <v>45637</v>
      </c>
      <c r="D407" t="inlineStr">
        <is>
          <t>VÄSTERNORRLANDS LÄN</t>
        </is>
      </c>
      <c r="E407" t="inlineStr">
        <is>
          <t>SOLLEFTEÅ</t>
        </is>
      </c>
      <c r="F407" t="inlineStr">
        <is>
          <t>SCA</t>
        </is>
      </c>
      <c r="G407" t="n">
        <v>4.9</v>
      </c>
      <c r="H407" t="n">
        <v>0</v>
      </c>
      <c r="I407" t="n">
        <v>0</v>
      </c>
      <c r="J407" t="n">
        <v>1</v>
      </c>
      <c r="K407" t="n">
        <v>0</v>
      </c>
      <c r="L407" t="n">
        <v>0</v>
      </c>
      <c r="M407" t="n">
        <v>0</v>
      </c>
      <c r="N407" t="n">
        <v>0</v>
      </c>
      <c r="O407" t="n">
        <v>1</v>
      </c>
      <c r="P407" t="n">
        <v>0</v>
      </c>
      <c r="Q407" t="n">
        <v>1</v>
      </c>
      <c r="R407" s="2" t="inlineStr">
        <is>
          <t>Lunglav</t>
        </is>
      </c>
      <c r="S407">
        <f>HYPERLINK("https://klasma.github.io/Logging_2283/artfynd/A 18613-2024 artfynd.xlsx", "A 18613-2024")</f>
        <v/>
      </c>
      <c r="T407">
        <f>HYPERLINK("https://klasma.github.io/Logging_2283/kartor/A 18613-2024 karta.png", "A 18613-2024")</f>
        <v/>
      </c>
      <c r="V407">
        <f>HYPERLINK("https://klasma.github.io/Logging_2283/klagomål/A 18613-2024 FSC-klagomål.docx", "A 18613-2024")</f>
        <v/>
      </c>
      <c r="W407">
        <f>HYPERLINK("https://klasma.github.io/Logging_2283/klagomålsmail/A 18613-2024 FSC-klagomål mail.docx", "A 18613-2024")</f>
        <v/>
      </c>
      <c r="X407">
        <f>HYPERLINK("https://klasma.github.io/Logging_2283/tillsyn/A 18613-2024 tillsynsbegäran.docx", "A 18613-2024")</f>
        <v/>
      </c>
      <c r="Y407">
        <f>HYPERLINK("https://klasma.github.io/Logging_2283/tillsynsmail/A 18613-2024 tillsynsbegäran mail.docx", "A 18613-2024")</f>
        <v/>
      </c>
    </row>
    <row r="408" ht="15" customHeight="1">
      <c r="A408" t="inlineStr">
        <is>
          <t>A 22454-2024</t>
        </is>
      </c>
      <c r="B408" s="1" t="n">
        <v>45447</v>
      </c>
      <c r="C408" s="1" t="n">
        <v>45637</v>
      </c>
      <c r="D408" t="inlineStr">
        <is>
          <t>VÄSTERNORRLANDS LÄN</t>
        </is>
      </c>
      <c r="E408" t="inlineStr">
        <is>
          <t>SOLLEFTEÅ</t>
        </is>
      </c>
      <c r="F408" t="inlineStr">
        <is>
          <t>SCA</t>
        </is>
      </c>
      <c r="G408" t="n">
        <v>9</v>
      </c>
      <c r="H408" t="n">
        <v>0</v>
      </c>
      <c r="I408" t="n">
        <v>0</v>
      </c>
      <c r="J408" t="n">
        <v>1</v>
      </c>
      <c r="K408" t="n">
        <v>0</v>
      </c>
      <c r="L408" t="n">
        <v>0</v>
      </c>
      <c r="M408" t="n">
        <v>0</v>
      </c>
      <c r="N408" t="n">
        <v>0</v>
      </c>
      <c r="O408" t="n">
        <v>1</v>
      </c>
      <c r="P408" t="n">
        <v>0</v>
      </c>
      <c r="Q408" t="n">
        <v>1</v>
      </c>
      <c r="R408" s="2" t="inlineStr">
        <is>
          <t>Garnlav</t>
        </is>
      </c>
      <c r="S408">
        <f>HYPERLINK("https://klasma.github.io/Logging_2283/artfynd/A 22454-2024 artfynd.xlsx", "A 22454-2024")</f>
        <v/>
      </c>
      <c r="T408">
        <f>HYPERLINK("https://klasma.github.io/Logging_2283/kartor/A 22454-2024 karta.png", "A 22454-2024")</f>
        <v/>
      </c>
      <c r="V408">
        <f>HYPERLINK("https://klasma.github.io/Logging_2283/klagomål/A 22454-2024 FSC-klagomål.docx", "A 22454-2024")</f>
        <v/>
      </c>
      <c r="W408">
        <f>HYPERLINK("https://klasma.github.io/Logging_2283/klagomålsmail/A 22454-2024 FSC-klagomål mail.docx", "A 22454-2024")</f>
        <v/>
      </c>
      <c r="X408">
        <f>HYPERLINK("https://klasma.github.io/Logging_2283/tillsyn/A 22454-2024 tillsynsbegäran.docx", "A 22454-2024")</f>
        <v/>
      </c>
      <c r="Y408">
        <f>HYPERLINK("https://klasma.github.io/Logging_2283/tillsynsmail/A 22454-2024 tillsynsbegäran mail.docx", "A 22454-2024")</f>
        <v/>
      </c>
    </row>
    <row r="409" ht="15" customHeight="1">
      <c r="A409" t="inlineStr">
        <is>
          <t>A 23552-2024</t>
        </is>
      </c>
      <c r="B409" s="1" t="n">
        <v>45454</v>
      </c>
      <c r="C409" s="1" t="n">
        <v>45637</v>
      </c>
      <c r="D409" t="inlineStr">
        <is>
          <t>VÄSTERNORRLANDS LÄN</t>
        </is>
      </c>
      <c r="E409" t="inlineStr">
        <is>
          <t>SOLLEFTEÅ</t>
        </is>
      </c>
      <c r="F409" t="inlineStr">
        <is>
          <t>SCA</t>
        </is>
      </c>
      <c r="G409" t="n">
        <v>1.2</v>
      </c>
      <c r="H409" t="n">
        <v>0</v>
      </c>
      <c r="I409" t="n">
        <v>0</v>
      </c>
      <c r="J409" t="n">
        <v>1</v>
      </c>
      <c r="K409" t="n">
        <v>0</v>
      </c>
      <c r="L409" t="n">
        <v>0</v>
      </c>
      <c r="M409" t="n">
        <v>0</v>
      </c>
      <c r="N409" t="n">
        <v>0</v>
      </c>
      <c r="O409" t="n">
        <v>1</v>
      </c>
      <c r="P409" t="n">
        <v>0</v>
      </c>
      <c r="Q409" t="n">
        <v>1</v>
      </c>
      <c r="R409" s="2" t="inlineStr">
        <is>
          <t>Lunglav</t>
        </is>
      </c>
      <c r="S409">
        <f>HYPERLINK("https://klasma.github.io/Logging_2283/artfynd/A 23552-2024 artfynd.xlsx", "A 23552-2024")</f>
        <v/>
      </c>
      <c r="T409">
        <f>HYPERLINK("https://klasma.github.io/Logging_2283/kartor/A 23552-2024 karta.png", "A 23552-2024")</f>
        <v/>
      </c>
      <c r="V409">
        <f>HYPERLINK("https://klasma.github.io/Logging_2283/klagomål/A 23552-2024 FSC-klagomål.docx", "A 23552-2024")</f>
        <v/>
      </c>
      <c r="W409">
        <f>HYPERLINK("https://klasma.github.io/Logging_2283/klagomålsmail/A 23552-2024 FSC-klagomål mail.docx", "A 23552-2024")</f>
        <v/>
      </c>
      <c r="X409">
        <f>HYPERLINK("https://klasma.github.io/Logging_2283/tillsyn/A 23552-2024 tillsynsbegäran.docx", "A 23552-2024")</f>
        <v/>
      </c>
      <c r="Y409">
        <f>HYPERLINK("https://klasma.github.io/Logging_2283/tillsynsmail/A 23552-2024 tillsynsbegäran mail.docx", "A 23552-2024")</f>
        <v/>
      </c>
    </row>
    <row r="410" ht="15" customHeight="1">
      <c r="A410" t="inlineStr">
        <is>
          <t>A 27309-2024</t>
        </is>
      </c>
      <c r="B410" s="1" t="n">
        <v>45471</v>
      </c>
      <c r="C410" s="1" t="n">
        <v>45637</v>
      </c>
      <c r="D410" t="inlineStr">
        <is>
          <t>VÄSTERNORRLANDS LÄN</t>
        </is>
      </c>
      <c r="E410" t="inlineStr">
        <is>
          <t>SOLLEFTEÅ</t>
        </is>
      </c>
      <c r="F410" t="inlineStr">
        <is>
          <t>SCA</t>
        </is>
      </c>
      <c r="G410" t="n">
        <v>39.2</v>
      </c>
      <c r="H410" t="n">
        <v>1</v>
      </c>
      <c r="I410" t="n">
        <v>0</v>
      </c>
      <c r="J410" t="n">
        <v>1</v>
      </c>
      <c r="K410" t="n">
        <v>0</v>
      </c>
      <c r="L410" t="n">
        <v>0</v>
      </c>
      <c r="M410" t="n">
        <v>0</v>
      </c>
      <c r="N410" t="n">
        <v>0</v>
      </c>
      <c r="O410" t="n">
        <v>1</v>
      </c>
      <c r="P410" t="n">
        <v>0</v>
      </c>
      <c r="Q410" t="n">
        <v>1</v>
      </c>
      <c r="R410" s="2" t="inlineStr">
        <is>
          <t>Nordfladdermus</t>
        </is>
      </c>
      <c r="S410">
        <f>HYPERLINK("https://klasma.github.io/Logging_2283/artfynd/A 27309-2024 artfynd.xlsx", "A 27309-2024")</f>
        <v/>
      </c>
      <c r="T410">
        <f>HYPERLINK("https://klasma.github.io/Logging_2283/kartor/A 27309-2024 karta.png", "A 27309-2024")</f>
        <v/>
      </c>
      <c r="V410">
        <f>HYPERLINK("https://klasma.github.io/Logging_2283/klagomål/A 27309-2024 FSC-klagomål.docx", "A 27309-2024")</f>
        <v/>
      </c>
      <c r="W410">
        <f>HYPERLINK("https://klasma.github.io/Logging_2283/klagomålsmail/A 27309-2024 FSC-klagomål mail.docx", "A 27309-2024")</f>
        <v/>
      </c>
      <c r="X410">
        <f>HYPERLINK("https://klasma.github.io/Logging_2283/tillsyn/A 27309-2024 tillsynsbegäran.docx", "A 27309-2024")</f>
        <v/>
      </c>
      <c r="Y410">
        <f>HYPERLINK("https://klasma.github.io/Logging_2283/tillsynsmail/A 27309-2024 tillsynsbegäran mail.docx", "A 27309-2024")</f>
        <v/>
      </c>
    </row>
    <row r="411" ht="15" customHeight="1">
      <c r="A411" t="inlineStr">
        <is>
          <t>A 29260-2024</t>
        </is>
      </c>
      <c r="B411" s="1" t="n">
        <v>45482</v>
      </c>
      <c r="C411" s="1" t="n">
        <v>45637</v>
      </c>
      <c r="D411" t="inlineStr">
        <is>
          <t>VÄSTERNORRLANDS LÄN</t>
        </is>
      </c>
      <c r="E411" t="inlineStr">
        <is>
          <t>SOLLEFTEÅ</t>
        </is>
      </c>
      <c r="F411" t="inlineStr">
        <is>
          <t>SCA</t>
        </is>
      </c>
      <c r="G411" t="n">
        <v>21.2</v>
      </c>
      <c r="H411" t="n">
        <v>0</v>
      </c>
      <c r="I411" t="n">
        <v>0</v>
      </c>
      <c r="J411" t="n">
        <v>1</v>
      </c>
      <c r="K411" t="n">
        <v>0</v>
      </c>
      <c r="L411" t="n">
        <v>0</v>
      </c>
      <c r="M411" t="n">
        <v>0</v>
      </c>
      <c r="N411" t="n">
        <v>0</v>
      </c>
      <c r="O411" t="n">
        <v>1</v>
      </c>
      <c r="P411" t="n">
        <v>0</v>
      </c>
      <c r="Q411" t="n">
        <v>1</v>
      </c>
      <c r="R411" s="2" t="inlineStr">
        <is>
          <t>Garnlav</t>
        </is>
      </c>
      <c r="S411">
        <f>HYPERLINK("https://klasma.github.io/Logging_2283/artfynd/A 29260-2024 artfynd.xlsx", "A 29260-2024")</f>
        <v/>
      </c>
      <c r="T411">
        <f>HYPERLINK("https://klasma.github.io/Logging_2283/kartor/A 29260-2024 karta.png", "A 29260-2024")</f>
        <v/>
      </c>
      <c r="V411">
        <f>HYPERLINK("https://klasma.github.io/Logging_2283/klagomål/A 29260-2024 FSC-klagomål.docx", "A 29260-2024")</f>
        <v/>
      </c>
      <c r="W411">
        <f>HYPERLINK("https://klasma.github.io/Logging_2283/klagomålsmail/A 29260-2024 FSC-klagomål mail.docx", "A 29260-2024")</f>
        <v/>
      </c>
      <c r="X411">
        <f>HYPERLINK("https://klasma.github.io/Logging_2283/tillsyn/A 29260-2024 tillsynsbegäran.docx", "A 29260-2024")</f>
        <v/>
      </c>
      <c r="Y411">
        <f>HYPERLINK("https://klasma.github.io/Logging_2283/tillsynsmail/A 29260-2024 tillsynsbegäran mail.docx", "A 29260-2024")</f>
        <v/>
      </c>
    </row>
    <row r="412" ht="15" customHeight="1">
      <c r="A412" t="inlineStr">
        <is>
          <t>A 29692-2024</t>
        </is>
      </c>
      <c r="B412" s="1" t="n">
        <v>45484</v>
      </c>
      <c r="C412" s="1" t="n">
        <v>45637</v>
      </c>
      <c r="D412" t="inlineStr">
        <is>
          <t>VÄSTERNORRLANDS LÄN</t>
        </is>
      </c>
      <c r="E412" t="inlineStr">
        <is>
          <t>SOLLEFTEÅ</t>
        </is>
      </c>
      <c r="F412" t="inlineStr">
        <is>
          <t>SCA</t>
        </is>
      </c>
      <c r="G412" t="n">
        <v>2.4</v>
      </c>
      <c r="H412" t="n">
        <v>0</v>
      </c>
      <c r="I412" t="n">
        <v>0</v>
      </c>
      <c r="J412" t="n">
        <v>1</v>
      </c>
      <c r="K412" t="n">
        <v>0</v>
      </c>
      <c r="L412" t="n">
        <v>0</v>
      </c>
      <c r="M412" t="n">
        <v>0</v>
      </c>
      <c r="N412" t="n">
        <v>0</v>
      </c>
      <c r="O412" t="n">
        <v>1</v>
      </c>
      <c r="P412" t="n">
        <v>0</v>
      </c>
      <c r="Q412" t="n">
        <v>1</v>
      </c>
      <c r="R412" s="2" t="inlineStr">
        <is>
          <t>Gammelgransskål</t>
        </is>
      </c>
      <c r="S412">
        <f>HYPERLINK("https://klasma.github.io/Logging_2283/artfynd/A 29692-2024 artfynd.xlsx", "A 29692-2024")</f>
        <v/>
      </c>
      <c r="T412">
        <f>HYPERLINK("https://klasma.github.io/Logging_2283/kartor/A 29692-2024 karta.png", "A 29692-2024")</f>
        <v/>
      </c>
      <c r="V412">
        <f>HYPERLINK("https://klasma.github.io/Logging_2283/klagomål/A 29692-2024 FSC-klagomål.docx", "A 29692-2024")</f>
        <v/>
      </c>
      <c r="W412">
        <f>HYPERLINK("https://klasma.github.io/Logging_2283/klagomålsmail/A 29692-2024 FSC-klagomål mail.docx", "A 29692-2024")</f>
        <v/>
      </c>
      <c r="X412">
        <f>HYPERLINK("https://klasma.github.io/Logging_2283/tillsyn/A 29692-2024 tillsynsbegäran.docx", "A 29692-2024")</f>
        <v/>
      </c>
      <c r="Y412">
        <f>HYPERLINK("https://klasma.github.io/Logging_2283/tillsynsmail/A 29692-2024 tillsynsbegäran mail.docx", "A 29692-2024")</f>
        <v/>
      </c>
    </row>
    <row r="413" ht="15" customHeight="1">
      <c r="A413" t="inlineStr">
        <is>
          <t>A 32052-2024</t>
        </is>
      </c>
      <c r="B413" s="1" t="n">
        <v>45511</v>
      </c>
      <c r="C413" s="1" t="n">
        <v>45637</v>
      </c>
      <c r="D413" t="inlineStr">
        <is>
          <t>VÄSTERNORRLANDS LÄN</t>
        </is>
      </c>
      <c r="E413" t="inlineStr">
        <is>
          <t>SOLLEFTEÅ</t>
        </is>
      </c>
      <c r="F413" t="inlineStr">
        <is>
          <t>SCA</t>
        </is>
      </c>
      <c r="G413" t="n">
        <v>8</v>
      </c>
      <c r="H413" t="n">
        <v>0</v>
      </c>
      <c r="I413" t="n">
        <v>0</v>
      </c>
      <c r="J413" t="n">
        <v>1</v>
      </c>
      <c r="K413" t="n">
        <v>0</v>
      </c>
      <c r="L413" t="n">
        <v>0</v>
      </c>
      <c r="M413" t="n">
        <v>0</v>
      </c>
      <c r="N413" t="n">
        <v>0</v>
      </c>
      <c r="O413" t="n">
        <v>1</v>
      </c>
      <c r="P413" t="n">
        <v>0</v>
      </c>
      <c r="Q413" t="n">
        <v>1</v>
      </c>
      <c r="R413" s="2" t="inlineStr">
        <is>
          <t>Garnlav</t>
        </is>
      </c>
      <c r="S413">
        <f>HYPERLINK("https://klasma.github.io/Logging_2283/artfynd/A 32052-2024 artfynd.xlsx", "A 32052-2024")</f>
        <v/>
      </c>
      <c r="T413">
        <f>HYPERLINK("https://klasma.github.io/Logging_2283/kartor/A 32052-2024 karta.png", "A 32052-2024")</f>
        <v/>
      </c>
      <c r="V413">
        <f>HYPERLINK("https://klasma.github.io/Logging_2283/klagomål/A 32052-2024 FSC-klagomål.docx", "A 32052-2024")</f>
        <v/>
      </c>
      <c r="W413">
        <f>HYPERLINK("https://klasma.github.io/Logging_2283/klagomålsmail/A 32052-2024 FSC-klagomål mail.docx", "A 32052-2024")</f>
        <v/>
      </c>
      <c r="X413">
        <f>HYPERLINK("https://klasma.github.io/Logging_2283/tillsyn/A 32052-2024 tillsynsbegäran.docx", "A 32052-2024")</f>
        <v/>
      </c>
      <c r="Y413">
        <f>HYPERLINK("https://klasma.github.io/Logging_2283/tillsynsmail/A 32052-2024 tillsynsbegäran mail.docx", "A 32052-2024")</f>
        <v/>
      </c>
    </row>
    <row r="414" ht="15" customHeight="1">
      <c r="A414" t="inlineStr">
        <is>
          <t>A 35876-2024</t>
        </is>
      </c>
      <c r="B414" s="1" t="n">
        <v>45533</v>
      </c>
      <c r="C414" s="1" t="n">
        <v>45637</v>
      </c>
      <c r="D414" t="inlineStr">
        <is>
          <t>VÄSTERNORRLANDS LÄN</t>
        </is>
      </c>
      <c r="E414" t="inlineStr">
        <is>
          <t>SOLLEFTEÅ</t>
        </is>
      </c>
      <c r="F414" t="inlineStr">
        <is>
          <t>SCA</t>
        </is>
      </c>
      <c r="G414" t="n">
        <v>5.8</v>
      </c>
      <c r="H414" t="n">
        <v>1</v>
      </c>
      <c r="I414" t="n">
        <v>0</v>
      </c>
      <c r="J414" t="n">
        <v>0</v>
      </c>
      <c r="K414" t="n">
        <v>0</v>
      </c>
      <c r="L414" t="n">
        <v>0</v>
      </c>
      <c r="M414" t="n">
        <v>0</v>
      </c>
      <c r="N414" t="n">
        <v>0</v>
      </c>
      <c r="O414" t="n">
        <v>0</v>
      </c>
      <c r="P414" t="n">
        <v>0</v>
      </c>
      <c r="Q414" t="n">
        <v>1</v>
      </c>
      <c r="R414" s="2" t="inlineStr">
        <is>
          <t>Tjäder</t>
        </is>
      </c>
      <c r="S414">
        <f>HYPERLINK("https://klasma.github.io/Logging_2283/artfynd/A 35876-2024 artfynd.xlsx", "A 35876-2024")</f>
        <v/>
      </c>
      <c r="T414">
        <f>HYPERLINK("https://klasma.github.io/Logging_2283/kartor/A 35876-2024 karta.png", "A 35876-2024")</f>
        <v/>
      </c>
      <c r="V414">
        <f>HYPERLINK("https://klasma.github.io/Logging_2283/klagomål/A 35876-2024 FSC-klagomål.docx", "A 35876-2024")</f>
        <v/>
      </c>
      <c r="W414">
        <f>HYPERLINK("https://klasma.github.io/Logging_2283/klagomålsmail/A 35876-2024 FSC-klagomål mail.docx", "A 35876-2024")</f>
        <v/>
      </c>
      <c r="X414">
        <f>HYPERLINK("https://klasma.github.io/Logging_2283/tillsyn/A 35876-2024 tillsynsbegäran.docx", "A 35876-2024")</f>
        <v/>
      </c>
      <c r="Y414">
        <f>HYPERLINK("https://klasma.github.io/Logging_2283/tillsynsmail/A 35876-2024 tillsynsbegäran mail.docx", "A 35876-2024")</f>
        <v/>
      </c>
      <c r="Z414">
        <f>HYPERLINK("https://klasma.github.io/Logging_2283/fåglar/A 35876-2024 prioriterade fågelarter.docx", "A 35876-2024")</f>
        <v/>
      </c>
    </row>
    <row r="415" ht="15" customHeight="1">
      <c r="A415" t="inlineStr">
        <is>
          <t>A 37206-2024</t>
        </is>
      </c>
      <c r="B415" s="1" t="n">
        <v>45539</v>
      </c>
      <c r="C415" s="1" t="n">
        <v>45637</v>
      </c>
      <c r="D415" t="inlineStr">
        <is>
          <t>VÄSTERNORRLANDS LÄN</t>
        </is>
      </c>
      <c r="E415" t="inlineStr">
        <is>
          <t>SOLLEFTEÅ</t>
        </is>
      </c>
      <c r="F415" t="inlineStr">
        <is>
          <t>SCA</t>
        </is>
      </c>
      <c r="G415" t="n">
        <v>3.6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37206-2024 artfynd.xlsx", "A 37206-2024")</f>
        <v/>
      </c>
      <c r="T415">
        <f>HYPERLINK("https://klasma.github.io/Logging_2283/kartor/A 37206-2024 karta.png", "A 37206-2024")</f>
        <v/>
      </c>
      <c r="V415">
        <f>HYPERLINK("https://klasma.github.io/Logging_2283/klagomål/A 37206-2024 FSC-klagomål.docx", "A 37206-2024")</f>
        <v/>
      </c>
      <c r="W415">
        <f>HYPERLINK("https://klasma.github.io/Logging_2283/klagomålsmail/A 37206-2024 FSC-klagomål mail.docx", "A 37206-2024")</f>
        <v/>
      </c>
      <c r="X415">
        <f>HYPERLINK("https://klasma.github.io/Logging_2283/tillsyn/A 37206-2024 tillsynsbegäran.docx", "A 37206-2024")</f>
        <v/>
      </c>
      <c r="Y415">
        <f>HYPERLINK("https://klasma.github.io/Logging_2283/tillsynsmail/A 37206-2024 tillsynsbegäran mail.docx", "A 37206-2024")</f>
        <v/>
      </c>
      <c r="Z415">
        <f>HYPERLINK("https://klasma.github.io/Logging_2283/fåglar/A 37206-2024 prioriterade fågelarter.docx", "A 37206-2024")</f>
        <v/>
      </c>
    </row>
    <row r="416" ht="15" customHeight="1">
      <c r="A416" t="inlineStr">
        <is>
          <t>A 38442-2024</t>
        </is>
      </c>
      <c r="B416" s="1" t="n">
        <v>45546</v>
      </c>
      <c r="C416" s="1" t="n">
        <v>45637</v>
      </c>
      <c r="D416" t="inlineStr">
        <is>
          <t>VÄSTERNORRLANDS LÄN</t>
        </is>
      </c>
      <c r="E416" t="inlineStr">
        <is>
          <t>SOLLEFTEÅ</t>
        </is>
      </c>
      <c r="F416" t="inlineStr">
        <is>
          <t>SCA</t>
        </is>
      </c>
      <c r="G416" t="n">
        <v>0.7</v>
      </c>
      <c r="H416" t="n">
        <v>0</v>
      </c>
      <c r="I416" t="n">
        <v>1</v>
      </c>
      <c r="J416" t="n">
        <v>0</v>
      </c>
      <c r="K416" t="n">
        <v>0</v>
      </c>
      <c r="L416" t="n">
        <v>0</v>
      </c>
      <c r="M416" t="n">
        <v>0</v>
      </c>
      <c r="N416" t="n">
        <v>0</v>
      </c>
      <c r="O416" t="n">
        <v>0</v>
      </c>
      <c r="P416" t="n">
        <v>0</v>
      </c>
      <c r="Q416" t="n">
        <v>1</v>
      </c>
      <c r="R416" s="2" t="inlineStr">
        <is>
          <t>Bollvitmossa</t>
        </is>
      </c>
      <c r="S416">
        <f>HYPERLINK("https://klasma.github.io/Logging_2283/artfynd/A 38442-2024 artfynd.xlsx", "A 38442-2024")</f>
        <v/>
      </c>
      <c r="T416">
        <f>HYPERLINK("https://klasma.github.io/Logging_2283/kartor/A 38442-2024 karta.png", "A 38442-2024")</f>
        <v/>
      </c>
      <c r="U416">
        <f>HYPERLINK("https://klasma.github.io/Logging_2283/knärot/A 38442-2024 karta knärot.png", "A 38442-2024")</f>
        <v/>
      </c>
      <c r="V416">
        <f>HYPERLINK("https://klasma.github.io/Logging_2283/klagomål/A 38442-2024 FSC-klagomål.docx", "A 38442-2024")</f>
        <v/>
      </c>
      <c r="W416">
        <f>HYPERLINK("https://klasma.github.io/Logging_2283/klagomålsmail/A 38442-2024 FSC-klagomål mail.docx", "A 38442-2024")</f>
        <v/>
      </c>
      <c r="X416">
        <f>HYPERLINK("https://klasma.github.io/Logging_2283/tillsyn/A 38442-2024 tillsynsbegäran.docx", "A 38442-2024")</f>
        <v/>
      </c>
      <c r="Y416">
        <f>HYPERLINK("https://klasma.github.io/Logging_2283/tillsynsmail/A 38442-2024 tillsynsbegäran mail.docx", "A 38442-2024")</f>
        <v/>
      </c>
    </row>
    <row r="417" ht="15" customHeight="1">
      <c r="A417" t="inlineStr">
        <is>
          <t>A 39897-2024</t>
        </is>
      </c>
      <c r="B417" s="1" t="n">
        <v>45553</v>
      </c>
      <c r="C417" s="1" t="n">
        <v>45637</v>
      </c>
      <c r="D417" t="inlineStr">
        <is>
          <t>VÄSTERNORRLANDS LÄN</t>
        </is>
      </c>
      <c r="E417" t="inlineStr">
        <is>
          <t>SOLLEFTEÅ</t>
        </is>
      </c>
      <c r="G417" t="n">
        <v>1.1</v>
      </c>
      <c r="H417" t="n">
        <v>1</v>
      </c>
      <c r="I417" t="n">
        <v>0</v>
      </c>
      <c r="J417" t="n">
        <v>0</v>
      </c>
      <c r="K417" t="n">
        <v>0</v>
      </c>
      <c r="L417" t="n">
        <v>0</v>
      </c>
      <c r="M417" t="n">
        <v>0</v>
      </c>
      <c r="N417" t="n">
        <v>0</v>
      </c>
      <c r="O417" t="n">
        <v>0</v>
      </c>
      <c r="P417" t="n">
        <v>0</v>
      </c>
      <c r="Q417" t="n">
        <v>1</v>
      </c>
      <c r="R417" s="2" t="inlineStr">
        <is>
          <t>Revlummer</t>
        </is>
      </c>
      <c r="S417">
        <f>HYPERLINK("https://klasma.github.io/Logging_2283/artfynd/A 39897-2024 artfynd.xlsx", "A 39897-2024")</f>
        <v/>
      </c>
      <c r="T417">
        <f>HYPERLINK("https://klasma.github.io/Logging_2283/kartor/A 39897-2024 karta.png", "A 39897-2024")</f>
        <v/>
      </c>
      <c r="V417">
        <f>HYPERLINK("https://klasma.github.io/Logging_2283/klagomål/A 39897-2024 FSC-klagomål.docx", "A 39897-2024")</f>
        <v/>
      </c>
      <c r="W417">
        <f>HYPERLINK("https://klasma.github.io/Logging_2283/klagomålsmail/A 39897-2024 FSC-klagomål mail.docx", "A 39897-2024")</f>
        <v/>
      </c>
      <c r="X417">
        <f>HYPERLINK("https://klasma.github.io/Logging_2283/tillsyn/A 39897-2024 tillsynsbegäran.docx", "A 39897-2024")</f>
        <v/>
      </c>
      <c r="Y417">
        <f>HYPERLINK("https://klasma.github.io/Logging_2283/tillsynsmail/A 39897-2024 tillsynsbegäran mail.docx", "A 39897-2024")</f>
        <v/>
      </c>
    </row>
    <row r="418" ht="15" customHeight="1">
      <c r="A418" t="inlineStr">
        <is>
          <t>A 42972-2024</t>
        </is>
      </c>
      <c r="B418" s="1" t="n">
        <v>45567</v>
      </c>
      <c r="C418" s="1" t="n">
        <v>45637</v>
      </c>
      <c r="D418" t="inlineStr">
        <is>
          <t>VÄSTERNORRLANDS LÄN</t>
        </is>
      </c>
      <c r="E418" t="inlineStr">
        <is>
          <t>SOLLEFTEÅ</t>
        </is>
      </c>
      <c r="F418" t="inlineStr">
        <is>
          <t>SCA</t>
        </is>
      </c>
      <c r="G418" t="n">
        <v>4.1</v>
      </c>
      <c r="H418" t="n">
        <v>0</v>
      </c>
      <c r="I418" t="n">
        <v>0</v>
      </c>
      <c r="J418" t="n">
        <v>1</v>
      </c>
      <c r="K418" t="n">
        <v>0</v>
      </c>
      <c r="L418" t="n">
        <v>0</v>
      </c>
      <c r="M418" t="n">
        <v>0</v>
      </c>
      <c r="N418" t="n">
        <v>0</v>
      </c>
      <c r="O418" t="n">
        <v>1</v>
      </c>
      <c r="P418" t="n">
        <v>0</v>
      </c>
      <c r="Q418" t="n">
        <v>1</v>
      </c>
      <c r="R418" s="2" t="inlineStr">
        <is>
          <t>Rosenticka</t>
        </is>
      </c>
      <c r="S418">
        <f>HYPERLINK("https://klasma.github.io/Logging_2283/artfynd/A 42972-2024 artfynd.xlsx", "A 42972-2024")</f>
        <v/>
      </c>
      <c r="T418">
        <f>HYPERLINK("https://klasma.github.io/Logging_2283/kartor/A 42972-2024 karta.png", "A 42972-2024")</f>
        <v/>
      </c>
      <c r="U418">
        <f>HYPERLINK("https://klasma.github.io/Logging_2283/knärot/A 42972-2024 karta knärot.png", "A 42972-2024")</f>
        <v/>
      </c>
      <c r="V418">
        <f>HYPERLINK("https://klasma.github.io/Logging_2283/klagomål/A 42972-2024 FSC-klagomål.docx", "A 42972-2024")</f>
        <v/>
      </c>
      <c r="W418">
        <f>HYPERLINK("https://klasma.github.io/Logging_2283/klagomålsmail/A 42972-2024 FSC-klagomål mail.docx", "A 42972-2024")</f>
        <v/>
      </c>
      <c r="X418">
        <f>HYPERLINK("https://klasma.github.io/Logging_2283/tillsyn/A 42972-2024 tillsynsbegäran.docx", "A 42972-2024")</f>
        <v/>
      </c>
      <c r="Y418">
        <f>HYPERLINK("https://klasma.github.io/Logging_2283/tillsynsmail/A 42972-2024 tillsynsbegäran mail.docx", "A 42972-2024")</f>
        <v/>
      </c>
    </row>
    <row r="419" ht="15" customHeight="1">
      <c r="A419" t="inlineStr">
        <is>
          <t>A 44632-2024</t>
        </is>
      </c>
      <c r="B419" s="1" t="n">
        <v>45574</v>
      </c>
      <c r="C419" s="1" t="n">
        <v>45637</v>
      </c>
      <c r="D419" t="inlineStr">
        <is>
          <t>VÄSTERNORRLANDS LÄN</t>
        </is>
      </c>
      <c r="E419" t="inlineStr">
        <is>
          <t>SOLLEFTEÅ</t>
        </is>
      </c>
      <c r="F419" t="inlineStr">
        <is>
          <t>SCA</t>
        </is>
      </c>
      <c r="G419" t="n">
        <v>3.1</v>
      </c>
      <c r="H419" t="n">
        <v>0</v>
      </c>
      <c r="I419" t="n">
        <v>1</v>
      </c>
      <c r="J419" t="n">
        <v>0</v>
      </c>
      <c r="K419" t="n">
        <v>0</v>
      </c>
      <c r="L419" t="n">
        <v>0</v>
      </c>
      <c r="M419" t="n">
        <v>0</v>
      </c>
      <c r="N419" t="n">
        <v>0</v>
      </c>
      <c r="O419" t="n">
        <v>0</v>
      </c>
      <c r="P419" t="n">
        <v>0</v>
      </c>
      <c r="Q419" t="n">
        <v>1</v>
      </c>
      <c r="R419" s="2" t="inlineStr">
        <is>
          <t>Vedticka</t>
        </is>
      </c>
      <c r="S419">
        <f>HYPERLINK("https://klasma.github.io/Logging_2283/artfynd/A 44632-2024 artfynd.xlsx", "A 44632-2024")</f>
        <v/>
      </c>
      <c r="T419">
        <f>HYPERLINK("https://klasma.github.io/Logging_2283/kartor/A 44632-2024 karta.png", "A 44632-2024")</f>
        <v/>
      </c>
      <c r="V419">
        <f>HYPERLINK("https://klasma.github.io/Logging_2283/klagomål/A 44632-2024 FSC-klagomål.docx", "A 44632-2024")</f>
        <v/>
      </c>
      <c r="W419">
        <f>HYPERLINK("https://klasma.github.io/Logging_2283/klagomålsmail/A 44632-2024 FSC-klagomål mail.docx", "A 44632-2024")</f>
        <v/>
      </c>
      <c r="X419">
        <f>HYPERLINK("https://klasma.github.io/Logging_2283/tillsyn/A 44632-2024 tillsynsbegäran.docx", "A 44632-2024")</f>
        <v/>
      </c>
      <c r="Y419">
        <f>HYPERLINK("https://klasma.github.io/Logging_2283/tillsynsmail/A 44632-2024 tillsynsbegäran mail.docx", "A 44632-2024")</f>
        <v/>
      </c>
    </row>
    <row r="420" ht="15" customHeight="1">
      <c r="A420" t="inlineStr">
        <is>
          <t>A 44624-2024</t>
        </is>
      </c>
      <c r="B420" s="1" t="n">
        <v>45574</v>
      </c>
      <c r="C420" s="1" t="n">
        <v>45637</v>
      </c>
      <c r="D420" t="inlineStr">
        <is>
          <t>VÄSTERNORRLANDS LÄN</t>
        </is>
      </c>
      <c r="E420" t="inlineStr">
        <is>
          <t>SOLLEFTEÅ</t>
        </is>
      </c>
      <c r="F420" t="inlineStr">
        <is>
          <t>SCA</t>
        </is>
      </c>
      <c r="G420" t="n">
        <v>6.4</v>
      </c>
      <c r="H420" t="n">
        <v>0</v>
      </c>
      <c r="I420" t="n">
        <v>0</v>
      </c>
      <c r="J420" t="n">
        <v>1</v>
      </c>
      <c r="K420" t="n">
        <v>0</v>
      </c>
      <c r="L420" t="n">
        <v>0</v>
      </c>
      <c r="M420" t="n">
        <v>0</v>
      </c>
      <c r="N420" t="n">
        <v>0</v>
      </c>
      <c r="O420" t="n">
        <v>1</v>
      </c>
      <c r="P420" t="n">
        <v>0</v>
      </c>
      <c r="Q420" t="n">
        <v>1</v>
      </c>
      <c r="R420" s="2" t="inlineStr">
        <is>
          <t>Lunglav</t>
        </is>
      </c>
      <c r="S420">
        <f>HYPERLINK("https://klasma.github.io/Logging_2283/artfynd/A 44624-2024 artfynd.xlsx", "A 44624-2024")</f>
        <v/>
      </c>
      <c r="T420">
        <f>HYPERLINK("https://klasma.github.io/Logging_2283/kartor/A 44624-2024 karta.png", "A 44624-2024")</f>
        <v/>
      </c>
      <c r="V420">
        <f>HYPERLINK("https://klasma.github.io/Logging_2283/klagomål/A 44624-2024 FSC-klagomål.docx", "A 44624-2024")</f>
        <v/>
      </c>
      <c r="W420">
        <f>HYPERLINK("https://klasma.github.io/Logging_2283/klagomålsmail/A 44624-2024 FSC-klagomål mail.docx", "A 44624-2024")</f>
        <v/>
      </c>
      <c r="X420">
        <f>HYPERLINK("https://klasma.github.io/Logging_2283/tillsyn/A 44624-2024 tillsynsbegäran.docx", "A 44624-2024")</f>
        <v/>
      </c>
      <c r="Y420">
        <f>HYPERLINK("https://klasma.github.io/Logging_2283/tillsynsmail/A 44624-2024 tillsynsbegäran mail.docx", "A 44624-2024")</f>
        <v/>
      </c>
    </row>
    <row r="421" ht="15" customHeight="1">
      <c r="A421" t="inlineStr">
        <is>
          <t>A 48948-2024</t>
        </is>
      </c>
      <c r="B421" s="1" t="n">
        <v>45594</v>
      </c>
      <c r="C421" s="1" t="n">
        <v>45637</v>
      </c>
      <c r="D421" t="inlineStr">
        <is>
          <t>VÄSTERNORRLANDS LÄN</t>
        </is>
      </c>
      <c r="E421" t="inlineStr">
        <is>
          <t>SOLLEFTEÅ</t>
        </is>
      </c>
      <c r="F421" t="inlineStr">
        <is>
          <t>SCA</t>
        </is>
      </c>
      <c r="G421" t="n">
        <v>15</v>
      </c>
      <c r="H421" t="n">
        <v>1</v>
      </c>
      <c r="I421" t="n">
        <v>0</v>
      </c>
      <c r="J421" t="n">
        <v>0</v>
      </c>
      <c r="K421" t="n">
        <v>0</v>
      </c>
      <c r="L421" t="n">
        <v>0</v>
      </c>
      <c r="M421" t="n">
        <v>0</v>
      </c>
      <c r="N421" t="n">
        <v>0</v>
      </c>
      <c r="O421" t="n">
        <v>0</v>
      </c>
      <c r="P421" t="n">
        <v>0</v>
      </c>
      <c r="Q421" t="n">
        <v>1</v>
      </c>
      <c r="R421" s="2" t="inlineStr">
        <is>
          <t>Mattlummer</t>
        </is>
      </c>
      <c r="S421">
        <f>HYPERLINK("https://klasma.github.io/Logging_2283/artfynd/A 48948-2024 artfynd.xlsx", "A 48948-2024")</f>
        <v/>
      </c>
      <c r="T421">
        <f>HYPERLINK("https://klasma.github.io/Logging_2283/kartor/A 48948-2024 karta.png", "A 48948-2024")</f>
        <v/>
      </c>
      <c r="V421">
        <f>HYPERLINK("https://klasma.github.io/Logging_2283/klagomål/A 48948-2024 FSC-klagomål.docx", "A 48948-2024")</f>
        <v/>
      </c>
      <c r="W421">
        <f>HYPERLINK("https://klasma.github.io/Logging_2283/klagomålsmail/A 48948-2024 FSC-klagomål mail.docx", "A 48948-2024")</f>
        <v/>
      </c>
      <c r="X421">
        <f>HYPERLINK("https://klasma.github.io/Logging_2283/tillsyn/A 48948-2024 tillsynsbegäran.docx", "A 48948-2024")</f>
        <v/>
      </c>
      <c r="Y421">
        <f>HYPERLINK("https://klasma.github.io/Logging_2283/tillsynsmail/A 48948-2024 tillsynsbegäran mail.docx", "A 48948-2024")</f>
        <v/>
      </c>
    </row>
    <row r="422" ht="15" customHeight="1">
      <c r="A422" t="inlineStr">
        <is>
          <t>A 49366-2024</t>
        </is>
      </c>
      <c r="B422" s="1" t="n">
        <v>45595</v>
      </c>
      <c r="C422" s="1" t="n">
        <v>45637</v>
      </c>
      <c r="D422" t="inlineStr">
        <is>
          <t>VÄSTERNORRLANDS LÄN</t>
        </is>
      </c>
      <c r="E422" t="inlineStr">
        <is>
          <t>SOLLEFTEÅ</t>
        </is>
      </c>
      <c r="F422" t="inlineStr">
        <is>
          <t>SCA</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HYPERLINK("https://klasma.github.io/Logging_2283/artfynd/A 49366-2024 artfynd.xlsx", "A 49366-2024")</f>
        <v/>
      </c>
      <c r="T422">
        <f>HYPERLINK("https://klasma.github.io/Logging_2283/kartor/A 49366-2024 karta.png", "A 49366-2024")</f>
        <v/>
      </c>
      <c r="U422">
        <f>HYPERLINK("https://klasma.github.io/Logging_2283/knärot/A 49366-2024 karta knärot.png", "A 49366-2024")</f>
        <v/>
      </c>
      <c r="V422">
        <f>HYPERLINK("https://klasma.github.io/Logging_2283/klagomål/A 49366-2024 FSC-klagomål.docx", "A 49366-2024")</f>
        <v/>
      </c>
      <c r="W422">
        <f>HYPERLINK("https://klasma.github.io/Logging_2283/klagomålsmail/A 49366-2024 FSC-klagomål mail.docx", "A 49366-2024")</f>
        <v/>
      </c>
      <c r="X422">
        <f>HYPERLINK("https://klasma.github.io/Logging_2283/tillsyn/A 49366-2024 tillsynsbegäran.docx", "A 49366-2024")</f>
        <v/>
      </c>
      <c r="Y422">
        <f>HYPERLINK("https://klasma.github.io/Logging_2283/tillsynsmail/A 49366-2024 tillsynsbegäran mail.docx", "A 49366-2024")</f>
        <v/>
      </c>
    </row>
    <row r="423" ht="15" customHeight="1">
      <c r="A423" t="inlineStr">
        <is>
          <t>A 49367-2024</t>
        </is>
      </c>
      <c r="B423" s="1" t="n">
        <v>45595</v>
      </c>
      <c r="C423" s="1" t="n">
        <v>45637</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49367-2024 artfynd.xlsx", "A 49367-2024")</f>
        <v/>
      </c>
      <c r="T423">
        <f>HYPERLINK("https://klasma.github.io/Logging_2283/kartor/A 49367-2024 karta.png", "A 49367-2024")</f>
        <v/>
      </c>
      <c r="U423">
        <f>HYPERLINK("https://klasma.github.io/Logging_2283/knärot/A 49367-2024 karta knärot.png", "A 49367-2024")</f>
        <v/>
      </c>
      <c r="V423">
        <f>HYPERLINK("https://klasma.github.io/Logging_2283/klagomål/A 49367-2024 FSC-klagomål.docx", "A 49367-2024")</f>
        <v/>
      </c>
      <c r="W423">
        <f>HYPERLINK("https://klasma.github.io/Logging_2283/klagomålsmail/A 49367-2024 FSC-klagomål mail.docx", "A 49367-2024")</f>
        <v/>
      </c>
      <c r="X423">
        <f>HYPERLINK("https://klasma.github.io/Logging_2283/tillsyn/A 49367-2024 tillsynsbegäran.docx", "A 49367-2024")</f>
        <v/>
      </c>
      <c r="Y423">
        <f>HYPERLINK("https://klasma.github.io/Logging_2283/tillsynsmail/A 49367-2024 tillsynsbegäran mail.docx", "A 49367-2024")</f>
        <v/>
      </c>
    </row>
    <row r="424" ht="15" customHeight="1">
      <c r="A424" t="inlineStr">
        <is>
          <t>A 54734-2024</t>
        </is>
      </c>
      <c r="B424" s="1" t="n">
        <v>45618</v>
      </c>
      <c r="C424" s="1" t="n">
        <v>45637</v>
      </c>
      <c r="D424" t="inlineStr">
        <is>
          <t>VÄSTERNORRLANDS LÄN</t>
        </is>
      </c>
      <c r="E424" t="inlineStr">
        <is>
          <t>SOLLEFTEÅ</t>
        </is>
      </c>
      <c r="F424" t="inlineStr">
        <is>
          <t>SCA</t>
        </is>
      </c>
      <c r="G424" t="n">
        <v>3.2</v>
      </c>
      <c r="H424" t="n">
        <v>0</v>
      </c>
      <c r="I424" t="n">
        <v>0</v>
      </c>
      <c r="J424" t="n">
        <v>1</v>
      </c>
      <c r="K424" t="n">
        <v>0</v>
      </c>
      <c r="L424" t="n">
        <v>0</v>
      </c>
      <c r="M424" t="n">
        <v>0</v>
      </c>
      <c r="N424" t="n">
        <v>0</v>
      </c>
      <c r="O424" t="n">
        <v>1</v>
      </c>
      <c r="P424" t="n">
        <v>0</v>
      </c>
      <c r="Q424" t="n">
        <v>1</v>
      </c>
      <c r="R424" s="2" t="inlineStr">
        <is>
          <t>Ullticka</t>
        </is>
      </c>
      <c r="S424">
        <f>HYPERLINK("https://klasma.github.io/Logging_2283/artfynd/A 54734-2024 artfynd.xlsx", "A 54734-2024")</f>
        <v/>
      </c>
      <c r="T424">
        <f>HYPERLINK("https://klasma.github.io/Logging_2283/kartor/A 54734-2024 karta.png", "A 54734-2024")</f>
        <v/>
      </c>
      <c r="V424">
        <f>HYPERLINK("https://klasma.github.io/Logging_2283/klagomål/A 54734-2024 FSC-klagomål.docx", "A 54734-2024")</f>
        <v/>
      </c>
      <c r="W424">
        <f>HYPERLINK("https://klasma.github.io/Logging_2283/klagomålsmail/A 54734-2024 FSC-klagomål mail.docx", "A 54734-2024")</f>
        <v/>
      </c>
      <c r="X424">
        <f>HYPERLINK("https://klasma.github.io/Logging_2283/tillsyn/A 54734-2024 tillsynsbegäran.docx", "A 54734-2024")</f>
        <v/>
      </c>
      <c r="Y424">
        <f>HYPERLINK("https://klasma.github.io/Logging_2283/tillsynsmail/A 54734-2024 tillsynsbegäran mail.docx", "A 54734-2024")</f>
        <v/>
      </c>
    </row>
    <row r="425" ht="15" customHeight="1">
      <c r="A425" t="inlineStr">
        <is>
          <t>A 57081-2024</t>
        </is>
      </c>
      <c r="B425" s="1" t="n">
        <v>45629</v>
      </c>
      <c r="C425" s="1" t="n">
        <v>45637</v>
      </c>
      <c r="D425" t="inlineStr">
        <is>
          <t>VÄSTERNORRLANDS LÄN</t>
        </is>
      </c>
      <c r="E425" t="inlineStr">
        <is>
          <t>SOLLEFTEÅ</t>
        </is>
      </c>
      <c r="F425" t="inlineStr">
        <is>
          <t>SCA</t>
        </is>
      </c>
      <c r="G425" t="n">
        <v>0.7</v>
      </c>
      <c r="H425" t="n">
        <v>0</v>
      </c>
      <c r="I425" t="n">
        <v>0</v>
      </c>
      <c r="J425" t="n">
        <v>1</v>
      </c>
      <c r="K425" t="n">
        <v>0</v>
      </c>
      <c r="L425" t="n">
        <v>0</v>
      </c>
      <c r="M425" t="n">
        <v>0</v>
      </c>
      <c r="N425" t="n">
        <v>0</v>
      </c>
      <c r="O425" t="n">
        <v>1</v>
      </c>
      <c r="P425" t="n">
        <v>0</v>
      </c>
      <c r="Q425" t="n">
        <v>1</v>
      </c>
      <c r="R425" s="2" t="inlineStr">
        <is>
          <t>Ullticka</t>
        </is>
      </c>
      <c r="S425">
        <f>HYPERLINK("https://klasma.github.io/Logging_2283/artfynd/A 57081-2024 artfynd.xlsx", "A 57081-2024")</f>
        <v/>
      </c>
      <c r="T425">
        <f>HYPERLINK("https://klasma.github.io/Logging_2283/kartor/A 57081-2024 karta.png", "A 57081-2024")</f>
        <v/>
      </c>
      <c r="V425">
        <f>HYPERLINK("https://klasma.github.io/Logging_2283/klagomål/A 57081-2024 FSC-klagomål.docx", "A 57081-2024")</f>
        <v/>
      </c>
      <c r="W425">
        <f>HYPERLINK("https://klasma.github.io/Logging_2283/klagomålsmail/A 57081-2024 FSC-klagomål mail.docx", "A 57081-2024")</f>
        <v/>
      </c>
      <c r="X425">
        <f>HYPERLINK("https://klasma.github.io/Logging_2283/tillsyn/A 57081-2024 tillsynsbegäran.docx", "A 57081-2024")</f>
        <v/>
      </c>
      <c r="Y425">
        <f>HYPERLINK("https://klasma.github.io/Logging_2283/tillsynsmail/A 57081-2024 tillsynsbegäran mail.docx", "A 57081-2024")</f>
        <v/>
      </c>
    </row>
    <row r="426" ht="15" customHeight="1">
      <c r="A426" t="inlineStr">
        <is>
          <t>A 58812-2024</t>
        </is>
      </c>
      <c r="B426" s="1" t="n">
        <v>45636</v>
      </c>
      <c r="C426" s="1" t="n">
        <v>45637</v>
      </c>
      <c r="D426" t="inlineStr">
        <is>
          <t>VÄSTERNORRLANDS LÄN</t>
        </is>
      </c>
      <c r="E426" t="inlineStr">
        <is>
          <t>SOLLEFTEÅ</t>
        </is>
      </c>
      <c r="F426" t="inlineStr">
        <is>
          <t>SCA</t>
        </is>
      </c>
      <c r="G426" t="n">
        <v>4.6</v>
      </c>
      <c r="H426" t="n">
        <v>0</v>
      </c>
      <c r="I426" t="n">
        <v>0</v>
      </c>
      <c r="J426" t="n">
        <v>1</v>
      </c>
      <c r="K426" t="n">
        <v>0</v>
      </c>
      <c r="L426" t="n">
        <v>0</v>
      </c>
      <c r="M426" t="n">
        <v>0</v>
      </c>
      <c r="N426" t="n">
        <v>0</v>
      </c>
      <c r="O426" t="n">
        <v>1</v>
      </c>
      <c r="P426" t="n">
        <v>0</v>
      </c>
      <c r="Q426" t="n">
        <v>1</v>
      </c>
      <c r="R426" s="2" t="inlineStr">
        <is>
          <t>Harticka</t>
        </is>
      </c>
      <c r="S426">
        <f>HYPERLINK("https://klasma.github.io/Logging_2283/artfynd/A 58812-2024 artfynd.xlsx", "A 58812-2024")</f>
        <v/>
      </c>
      <c r="T426">
        <f>HYPERLINK("https://klasma.github.io/Logging_2283/kartor/A 58812-2024 karta.png", "A 58812-2024")</f>
        <v/>
      </c>
      <c r="V426">
        <f>HYPERLINK("https://klasma.github.io/Logging_2283/klagomål/A 58812-2024 FSC-klagomål.docx", "A 58812-2024")</f>
        <v/>
      </c>
      <c r="W426">
        <f>HYPERLINK("https://klasma.github.io/Logging_2283/klagomålsmail/A 58812-2024 FSC-klagomål mail.docx", "A 58812-2024")</f>
        <v/>
      </c>
      <c r="X426">
        <f>HYPERLINK("https://klasma.github.io/Logging_2283/tillsyn/A 58812-2024 tillsynsbegäran.docx", "A 58812-2024")</f>
        <v/>
      </c>
      <c r="Y426">
        <f>HYPERLINK("https://klasma.github.io/Logging_2283/tillsynsmail/A 58812-2024 tillsynsbegäran mail.docx", "A 58812-2024")</f>
        <v/>
      </c>
    </row>
    <row r="427" ht="15" customHeight="1">
      <c r="A427" t="inlineStr">
        <is>
          <t>A 18277-2019</t>
        </is>
      </c>
      <c r="B427" s="1" t="n">
        <v>43557</v>
      </c>
      <c r="C427" s="1" t="n">
        <v>45637</v>
      </c>
      <c r="D427" t="inlineStr">
        <is>
          <t>VÄSTERNORRLANDS LÄN</t>
        </is>
      </c>
      <c r="E427" t="inlineStr">
        <is>
          <t>SOLLEFTEÅ</t>
        </is>
      </c>
      <c r="G427" t="n">
        <v>6.2</v>
      </c>
      <c r="H427" t="n">
        <v>0</v>
      </c>
      <c r="I427" t="n">
        <v>0</v>
      </c>
      <c r="J427" t="n">
        <v>0</v>
      </c>
      <c r="K427" t="n">
        <v>0</v>
      </c>
      <c r="L427" t="n">
        <v>0</v>
      </c>
      <c r="M427" t="n">
        <v>0</v>
      </c>
      <c r="N427" t="n">
        <v>0</v>
      </c>
      <c r="O427" t="n">
        <v>0</v>
      </c>
      <c r="P427" t="n">
        <v>0</v>
      </c>
      <c r="Q427" t="n">
        <v>0</v>
      </c>
      <c r="R427" s="2" t="inlineStr"/>
    </row>
    <row r="428" ht="15" customHeight="1">
      <c r="A428" t="inlineStr">
        <is>
          <t>A 18578-2019</t>
        </is>
      </c>
      <c r="B428" s="1" t="n">
        <v>43558</v>
      </c>
      <c r="C428" s="1" t="n">
        <v>45637</v>
      </c>
      <c r="D428" t="inlineStr">
        <is>
          <t>VÄSTERNORRLANDS LÄN</t>
        </is>
      </c>
      <c r="E428" t="inlineStr">
        <is>
          <t>SOLLEFTEÅ</t>
        </is>
      </c>
      <c r="G428" t="n">
        <v>1.7</v>
      </c>
      <c r="H428" t="n">
        <v>0</v>
      </c>
      <c r="I428" t="n">
        <v>0</v>
      </c>
      <c r="J428" t="n">
        <v>0</v>
      </c>
      <c r="K428" t="n">
        <v>0</v>
      </c>
      <c r="L428" t="n">
        <v>0</v>
      </c>
      <c r="M428" t="n">
        <v>0</v>
      </c>
      <c r="N428" t="n">
        <v>0</v>
      </c>
      <c r="O428" t="n">
        <v>0</v>
      </c>
      <c r="P428" t="n">
        <v>0</v>
      </c>
      <c r="Q428" t="n">
        <v>0</v>
      </c>
      <c r="R428" s="2" t="inlineStr"/>
    </row>
    <row r="429" ht="15" customHeight="1">
      <c r="A429" t="inlineStr">
        <is>
          <t>A 18925-2019</t>
        </is>
      </c>
      <c r="B429" s="1" t="n">
        <v>43563</v>
      </c>
      <c r="C429" s="1" t="n">
        <v>45637</v>
      </c>
      <c r="D429" t="inlineStr">
        <is>
          <t>VÄSTERNORRLANDS LÄN</t>
        </is>
      </c>
      <c r="E429" t="inlineStr">
        <is>
          <t>SOLLEFTEÅ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19123-2019</t>
        </is>
      </c>
      <c r="B430" s="1" t="n">
        <v>43564</v>
      </c>
      <c r="C430" s="1" t="n">
        <v>45637</v>
      </c>
      <c r="D430" t="inlineStr">
        <is>
          <t>VÄSTERNORRLANDS LÄN</t>
        </is>
      </c>
      <c r="E430" t="inlineStr">
        <is>
          <t>SOLLEFTEÅ</t>
        </is>
      </c>
      <c r="G430" t="n">
        <v>9.4</v>
      </c>
      <c r="H430" t="n">
        <v>0</v>
      </c>
      <c r="I430" t="n">
        <v>0</v>
      </c>
      <c r="J430" t="n">
        <v>0</v>
      </c>
      <c r="K430" t="n">
        <v>0</v>
      </c>
      <c r="L430" t="n">
        <v>0</v>
      </c>
      <c r="M430" t="n">
        <v>0</v>
      </c>
      <c r="N430" t="n">
        <v>0</v>
      </c>
      <c r="O430" t="n">
        <v>0</v>
      </c>
      <c r="P430" t="n">
        <v>0</v>
      </c>
      <c r="Q430" t="n">
        <v>0</v>
      </c>
      <c r="R430" s="2" t="inlineStr"/>
    </row>
    <row r="431" ht="15" customHeight="1">
      <c r="A431" t="inlineStr">
        <is>
          <t>A 19219-2019</t>
        </is>
      </c>
      <c r="B431" s="1" t="n">
        <v>43564</v>
      </c>
      <c r="C431" s="1" t="n">
        <v>45637</v>
      </c>
      <c r="D431" t="inlineStr">
        <is>
          <t>VÄSTERNORRLANDS LÄN</t>
        </is>
      </c>
      <c r="E431" t="inlineStr">
        <is>
          <t>SOLLEFTEÅ</t>
        </is>
      </c>
      <c r="G431" t="n">
        <v>37</v>
      </c>
      <c r="H431" t="n">
        <v>0</v>
      </c>
      <c r="I431" t="n">
        <v>0</v>
      </c>
      <c r="J431" t="n">
        <v>0</v>
      </c>
      <c r="K431" t="n">
        <v>0</v>
      </c>
      <c r="L431" t="n">
        <v>0</v>
      </c>
      <c r="M431" t="n">
        <v>0</v>
      </c>
      <c r="N431" t="n">
        <v>0</v>
      </c>
      <c r="O431" t="n">
        <v>0</v>
      </c>
      <c r="P431" t="n">
        <v>0</v>
      </c>
      <c r="Q431" t="n">
        <v>0</v>
      </c>
      <c r="R431" s="2" t="inlineStr"/>
    </row>
    <row r="432" ht="15" customHeight="1">
      <c r="A432" t="inlineStr">
        <is>
          <t>A 19553-2019</t>
        </is>
      </c>
      <c r="B432" s="1" t="n">
        <v>43565</v>
      </c>
      <c r="C432" s="1" t="n">
        <v>45637</v>
      </c>
      <c r="D432" t="inlineStr">
        <is>
          <t>VÄSTERNORRLANDS LÄN</t>
        </is>
      </c>
      <c r="E432" t="inlineStr">
        <is>
          <t>SOLLEFTEÅ</t>
        </is>
      </c>
      <c r="G432" t="n">
        <v>28.1</v>
      </c>
      <c r="H432" t="n">
        <v>0</v>
      </c>
      <c r="I432" t="n">
        <v>0</v>
      </c>
      <c r="J432" t="n">
        <v>0</v>
      </c>
      <c r="K432" t="n">
        <v>0</v>
      </c>
      <c r="L432" t="n">
        <v>0</v>
      </c>
      <c r="M432" t="n">
        <v>0</v>
      </c>
      <c r="N432" t="n">
        <v>0</v>
      </c>
      <c r="O432" t="n">
        <v>0</v>
      </c>
      <c r="P432" t="n">
        <v>0</v>
      </c>
      <c r="Q432" t="n">
        <v>0</v>
      </c>
      <c r="R432" s="2" t="inlineStr"/>
    </row>
    <row r="433" ht="15" customHeight="1">
      <c r="A433" t="inlineStr">
        <is>
          <t>A 19730-2019</t>
        </is>
      </c>
      <c r="B433" s="1" t="n">
        <v>43566</v>
      </c>
      <c r="C433" s="1" t="n">
        <v>45637</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19595-2019</t>
        </is>
      </c>
      <c r="B434" s="1" t="n">
        <v>43566</v>
      </c>
      <c r="C434" s="1" t="n">
        <v>45637</v>
      </c>
      <c r="D434" t="inlineStr">
        <is>
          <t>VÄSTERNORRLANDS LÄN</t>
        </is>
      </c>
      <c r="E434" t="inlineStr">
        <is>
          <t>SOLLEFTEÅ</t>
        </is>
      </c>
      <c r="F434" t="inlineStr">
        <is>
          <t>Kyrkan</t>
        </is>
      </c>
      <c r="G434" t="n">
        <v>2.5</v>
      </c>
      <c r="H434" t="n">
        <v>0</v>
      </c>
      <c r="I434" t="n">
        <v>0</v>
      </c>
      <c r="J434" t="n">
        <v>0</v>
      </c>
      <c r="K434" t="n">
        <v>0</v>
      </c>
      <c r="L434" t="n">
        <v>0</v>
      </c>
      <c r="M434" t="n">
        <v>0</v>
      </c>
      <c r="N434" t="n">
        <v>0</v>
      </c>
      <c r="O434" t="n">
        <v>0</v>
      </c>
      <c r="P434" t="n">
        <v>0</v>
      </c>
      <c r="Q434" t="n">
        <v>0</v>
      </c>
      <c r="R434" s="2" t="inlineStr"/>
    </row>
    <row r="435" ht="15" customHeight="1">
      <c r="A435" t="inlineStr">
        <is>
          <t>A 19732-2019</t>
        </is>
      </c>
      <c r="B435" s="1" t="n">
        <v>43566</v>
      </c>
      <c r="C435" s="1" t="n">
        <v>45637</v>
      </c>
      <c r="D435" t="inlineStr">
        <is>
          <t>VÄSTERNORRLANDS LÄN</t>
        </is>
      </c>
      <c r="E435" t="inlineStr">
        <is>
          <t>SOLLEFTEÅ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19731-2019</t>
        </is>
      </c>
      <c r="B436" s="1" t="n">
        <v>43566</v>
      </c>
      <c r="C436" s="1" t="n">
        <v>45637</v>
      </c>
      <c r="D436" t="inlineStr">
        <is>
          <t>VÄSTERNORRLANDS LÄN</t>
        </is>
      </c>
      <c r="E436" t="inlineStr">
        <is>
          <t>SOLLEFTEÅ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20201-2019</t>
        </is>
      </c>
      <c r="B437" s="1" t="n">
        <v>43570</v>
      </c>
      <c r="C437" s="1" t="n">
        <v>45637</v>
      </c>
      <c r="D437" t="inlineStr">
        <is>
          <t>VÄSTERNORRLANDS LÄN</t>
        </is>
      </c>
      <c r="E437" t="inlineStr">
        <is>
          <t>SOLLEFTEÅ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20198-2019</t>
        </is>
      </c>
      <c r="B438" s="1" t="n">
        <v>43570</v>
      </c>
      <c r="C438" s="1" t="n">
        <v>45637</v>
      </c>
      <c r="D438" t="inlineStr">
        <is>
          <t>VÄSTERNORRLANDS LÄN</t>
        </is>
      </c>
      <c r="E438" t="inlineStr">
        <is>
          <t>SOLLEFTEÅ</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20200-2019</t>
        </is>
      </c>
      <c r="B439" s="1" t="n">
        <v>43570</v>
      </c>
      <c r="C439" s="1" t="n">
        <v>45637</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20444-2019</t>
        </is>
      </c>
      <c r="B440" s="1" t="n">
        <v>43571</v>
      </c>
      <c r="C440" s="1" t="n">
        <v>45637</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20649-2019</t>
        </is>
      </c>
      <c r="B441" s="1" t="n">
        <v>43572</v>
      </c>
      <c r="C441" s="1" t="n">
        <v>45637</v>
      </c>
      <c r="D441" t="inlineStr">
        <is>
          <t>VÄSTERNORRLANDS LÄN</t>
        </is>
      </c>
      <c r="E441" t="inlineStr">
        <is>
          <t>SOLLEFTEÅ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20648-2019</t>
        </is>
      </c>
      <c r="B442" s="1" t="n">
        <v>43572</v>
      </c>
      <c r="C442" s="1" t="n">
        <v>45637</v>
      </c>
      <c r="D442" t="inlineStr">
        <is>
          <t>VÄSTERNORRLANDS LÄN</t>
        </is>
      </c>
      <c r="E442" t="inlineStr">
        <is>
          <t>SOLLEFTEÅ</t>
        </is>
      </c>
      <c r="G442" t="n">
        <v>3.9</v>
      </c>
      <c r="H442" t="n">
        <v>0</v>
      </c>
      <c r="I442" t="n">
        <v>0</v>
      </c>
      <c r="J442" t="n">
        <v>0</v>
      </c>
      <c r="K442" t="n">
        <v>0</v>
      </c>
      <c r="L442" t="n">
        <v>0</v>
      </c>
      <c r="M442" t="n">
        <v>0</v>
      </c>
      <c r="N442" t="n">
        <v>0</v>
      </c>
      <c r="O442" t="n">
        <v>0</v>
      </c>
      <c r="P442" t="n">
        <v>0</v>
      </c>
      <c r="Q442" t="n">
        <v>0</v>
      </c>
      <c r="R442" s="2" t="inlineStr"/>
    </row>
    <row r="443" ht="15" customHeight="1">
      <c r="A443" t="inlineStr">
        <is>
          <t>A 21119-2019</t>
        </is>
      </c>
      <c r="B443" s="1" t="n">
        <v>43578</v>
      </c>
      <c r="C443" s="1" t="n">
        <v>45637</v>
      </c>
      <c r="D443" t="inlineStr">
        <is>
          <t>VÄSTERNORRLANDS LÄN</t>
        </is>
      </c>
      <c r="E443" t="inlineStr">
        <is>
          <t>SOLLEFTEÅ</t>
        </is>
      </c>
      <c r="F443" t="inlineStr">
        <is>
          <t>SCA</t>
        </is>
      </c>
      <c r="G443" t="n">
        <v>57.7</v>
      </c>
      <c r="H443" t="n">
        <v>0</v>
      </c>
      <c r="I443" t="n">
        <v>0</v>
      </c>
      <c r="J443" t="n">
        <v>0</v>
      </c>
      <c r="K443" t="n">
        <v>0</v>
      </c>
      <c r="L443" t="n">
        <v>0</v>
      </c>
      <c r="M443" t="n">
        <v>0</v>
      </c>
      <c r="N443" t="n">
        <v>0</v>
      </c>
      <c r="O443" t="n">
        <v>0</v>
      </c>
      <c r="P443" t="n">
        <v>0</v>
      </c>
      <c r="Q443" t="n">
        <v>0</v>
      </c>
      <c r="R443" s="2" t="inlineStr"/>
    </row>
    <row r="444" ht="15" customHeight="1">
      <c r="A444" t="inlineStr">
        <is>
          <t>A 21526-2019</t>
        </is>
      </c>
      <c r="B444" s="1" t="n">
        <v>43580</v>
      </c>
      <c r="C444" s="1" t="n">
        <v>45637</v>
      </c>
      <c r="D444" t="inlineStr">
        <is>
          <t>VÄSTERNORRLANDS LÄN</t>
        </is>
      </c>
      <c r="E444" t="inlineStr">
        <is>
          <t>SOLLEFTEÅ</t>
        </is>
      </c>
      <c r="G444" t="n">
        <v>3.1</v>
      </c>
      <c r="H444" t="n">
        <v>0</v>
      </c>
      <c r="I444" t="n">
        <v>0</v>
      </c>
      <c r="J444" t="n">
        <v>0</v>
      </c>
      <c r="K444" t="n">
        <v>0</v>
      </c>
      <c r="L444" t="n">
        <v>0</v>
      </c>
      <c r="M444" t="n">
        <v>0</v>
      </c>
      <c r="N444" t="n">
        <v>0</v>
      </c>
      <c r="O444" t="n">
        <v>0</v>
      </c>
      <c r="P444" t="n">
        <v>0</v>
      </c>
      <c r="Q444" t="n">
        <v>0</v>
      </c>
      <c r="R444" s="2" t="inlineStr"/>
    </row>
    <row r="445" ht="15" customHeight="1">
      <c r="A445" t="inlineStr">
        <is>
          <t>A 21799-2019</t>
        </is>
      </c>
      <c r="B445" s="1" t="n">
        <v>43581</v>
      </c>
      <c r="C445" s="1" t="n">
        <v>45637</v>
      </c>
      <c r="D445" t="inlineStr">
        <is>
          <t>VÄSTERNORRLANDS LÄN</t>
        </is>
      </c>
      <c r="E445" t="inlineStr">
        <is>
          <t>SOLLEFTEÅ</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21788-2019</t>
        </is>
      </c>
      <c r="B446" s="1" t="n">
        <v>43581</v>
      </c>
      <c r="C446" s="1" t="n">
        <v>45637</v>
      </c>
      <c r="D446" t="inlineStr">
        <is>
          <t>VÄSTERNORRLANDS LÄN</t>
        </is>
      </c>
      <c r="E446" t="inlineStr">
        <is>
          <t>SOLLEFTEÅ</t>
        </is>
      </c>
      <c r="F446" t="inlineStr">
        <is>
          <t>SCA</t>
        </is>
      </c>
      <c r="G446" t="n">
        <v>7.7</v>
      </c>
      <c r="H446" t="n">
        <v>0</v>
      </c>
      <c r="I446" t="n">
        <v>0</v>
      </c>
      <c r="J446" t="n">
        <v>0</v>
      </c>
      <c r="K446" t="n">
        <v>0</v>
      </c>
      <c r="L446" t="n">
        <v>0</v>
      </c>
      <c r="M446" t="n">
        <v>0</v>
      </c>
      <c r="N446" t="n">
        <v>0</v>
      </c>
      <c r="O446" t="n">
        <v>0</v>
      </c>
      <c r="P446" t="n">
        <v>0</v>
      </c>
      <c r="Q446" t="n">
        <v>0</v>
      </c>
      <c r="R446" s="2" t="inlineStr"/>
    </row>
    <row r="447" ht="15" customHeight="1">
      <c r="A447" t="inlineStr">
        <is>
          <t>A 22088-2019</t>
        </is>
      </c>
      <c r="B447" s="1" t="n">
        <v>43584</v>
      </c>
      <c r="C447" s="1" t="n">
        <v>45637</v>
      </c>
      <c r="D447" t="inlineStr">
        <is>
          <t>VÄSTERNORRLANDS LÄN</t>
        </is>
      </c>
      <c r="E447" t="inlineStr">
        <is>
          <t>SOLLEFTEÅ</t>
        </is>
      </c>
      <c r="F447" t="inlineStr">
        <is>
          <t>SCA</t>
        </is>
      </c>
      <c r="G447" t="n">
        <v>37.9</v>
      </c>
      <c r="H447" t="n">
        <v>0</v>
      </c>
      <c r="I447" t="n">
        <v>0</v>
      </c>
      <c r="J447" t="n">
        <v>0</v>
      </c>
      <c r="K447" t="n">
        <v>0</v>
      </c>
      <c r="L447" t="n">
        <v>0</v>
      </c>
      <c r="M447" t="n">
        <v>0</v>
      </c>
      <c r="N447" t="n">
        <v>0</v>
      </c>
      <c r="O447" t="n">
        <v>0</v>
      </c>
      <c r="P447" t="n">
        <v>0</v>
      </c>
      <c r="Q447" t="n">
        <v>0</v>
      </c>
      <c r="R447" s="2" t="inlineStr"/>
    </row>
    <row r="448" ht="15" customHeight="1">
      <c r="A448" t="inlineStr">
        <is>
          <t>A 22283-2019</t>
        </is>
      </c>
      <c r="B448" s="1" t="n">
        <v>43585</v>
      </c>
      <c r="C448" s="1" t="n">
        <v>45637</v>
      </c>
      <c r="D448" t="inlineStr">
        <is>
          <t>VÄSTERNORRLANDS LÄN</t>
        </is>
      </c>
      <c r="E448" t="inlineStr">
        <is>
          <t>SOLLEFTEÅ</t>
        </is>
      </c>
      <c r="F448" t="inlineStr">
        <is>
          <t>SCA</t>
        </is>
      </c>
      <c r="G448" t="n">
        <v>9.1</v>
      </c>
      <c r="H448" t="n">
        <v>0</v>
      </c>
      <c r="I448" t="n">
        <v>0</v>
      </c>
      <c r="J448" t="n">
        <v>0</v>
      </c>
      <c r="K448" t="n">
        <v>0</v>
      </c>
      <c r="L448" t="n">
        <v>0</v>
      </c>
      <c r="M448" t="n">
        <v>0</v>
      </c>
      <c r="N448" t="n">
        <v>0</v>
      </c>
      <c r="O448" t="n">
        <v>0</v>
      </c>
      <c r="P448" t="n">
        <v>0</v>
      </c>
      <c r="Q448" t="n">
        <v>0</v>
      </c>
      <c r="R448" s="2" t="inlineStr"/>
    </row>
    <row r="449" ht="15" customHeight="1">
      <c r="A449" t="inlineStr">
        <is>
          <t>A 22587-2019</t>
        </is>
      </c>
      <c r="B449" s="1" t="n">
        <v>43587</v>
      </c>
      <c r="C449" s="1" t="n">
        <v>45637</v>
      </c>
      <c r="D449" t="inlineStr">
        <is>
          <t>VÄSTERNORRLANDS LÄN</t>
        </is>
      </c>
      <c r="E449" t="inlineStr">
        <is>
          <t>SOLLEFTEÅ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23241-2019</t>
        </is>
      </c>
      <c r="B450" s="1" t="n">
        <v>43591</v>
      </c>
      <c r="C450" s="1" t="n">
        <v>45637</v>
      </c>
      <c r="D450" t="inlineStr">
        <is>
          <t>VÄSTERNORRLANDS LÄN</t>
        </is>
      </c>
      <c r="E450" t="inlineStr">
        <is>
          <t>SOLLEFTEÅ</t>
        </is>
      </c>
      <c r="G450" t="n">
        <v>6.2</v>
      </c>
      <c r="H450" t="n">
        <v>0</v>
      </c>
      <c r="I450" t="n">
        <v>0</v>
      </c>
      <c r="J450" t="n">
        <v>0</v>
      </c>
      <c r="K450" t="n">
        <v>0</v>
      </c>
      <c r="L450" t="n">
        <v>0</v>
      </c>
      <c r="M450" t="n">
        <v>0</v>
      </c>
      <c r="N450" t="n">
        <v>0</v>
      </c>
      <c r="O450" t="n">
        <v>0</v>
      </c>
      <c r="P450" t="n">
        <v>0</v>
      </c>
      <c r="Q450" t="n">
        <v>0</v>
      </c>
      <c r="R450" s="2" t="inlineStr"/>
    </row>
    <row r="451" ht="15" customHeight="1">
      <c r="A451" t="inlineStr">
        <is>
          <t>A 23314-2019</t>
        </is>
      </c>
      <c r="B451" s="1" t="n">
        <v>43591</v>
      </c>
      <c r="C451" s="1" t="n">
        <v>45637</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23323-2019</t>
        </is>
      </c>
      <c r="B452" s="1" t="n">
        <v>43591</v>
      </c>
      <c r="C452" s="1" t="n">
        <v>45637</v>
      </c>
      <c r="D452" t="inlineStr">
        <is>
          <t>VÄSTERNORRLANDS LÄN</t>
        </is>
      </c>
      <c r="E452" t="inlineStr">
        <is>
          <t>SOLLEFTEÅ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23246-2019</t>
        </is>
      </c>
      <c r="B453" s="1" t="n">
        <v>43591</v>
      </c>
      <c r="C453" s="1" t="n">
        <v>45637</v>
      </c>
      <c r="D453" t="inlineStr">
        <is>
          <t>VÄSTERNORRLANDS LÄN</t>
        </is>
      </c>
      <c r="E453" t="inlineStr">
        <is>
          <t>SOLLEFTEÅ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24157-2019</t>
        </is>
      </c>
      <c r="B454" s="1" t="n">
        <v>43598</v>
      </c>
      <c r="C454" s="1" t="n">
        <v>45637</v>
      </c>
      <c r="D454" t="inlineStr">
        <is>
          <t>VÄSTERNORRLANDS LÄN</t>
        </is>
      </c>
      <c r="E454" t="inlineStr">
        <is>
          <t>SOLLEFTEÅ</t>
        </is>
      </c>
      <c r="F454" t="inlineStr">
        <is>
          <t>SCA</t>
        </is>
      </c>
      <c r="G454" t="n">
        <v>0.1</v>
      </c>
      <c r="H454" t="n">
        <v>0</v>
      </c>
      <c r="I454" t="n">
        <v>0</v>
      </c>
      <c r="J454" t="n">
        <v>0</v>
      </c>
      <c r="K454" t="n">
        <v>0</v>
      </c>
      <c r="L454" t="n">
        <v>0</v>
      </c>
      <c r="M454" t="n">
        <v>0</v>
      </c>
      <c r="N454" t="n">
        <v>0</v>
      </c>
      <c r="O454" t="n">
        <v>0</v>
      </c>
      <c r="P454" t="n">
        <v>0</v>
      </c>
      <c r="Q454" t="n">
        <v>0</v>
      </c>
      <c r="R454" s="2" t="inlineStr"/>
    </row>
    <row r="455" ht="15" customHeight="1">
      <c r="A455" t="inlineStr">
        <is>
          <t>A 24168-2019</t>
        </is>
      </c>
      <c r="B455" s="1" t="n">
        <v>43598</v>
      </c>
      <c r="C455" s="1" t="n">
        <v>45637</v>
      </c>
      <c r="D455" t="inlineStr">
        <is>
          <t>VÄSTERNORRLANDS LÄN</t>
        </is>
      </c>
      <c r="E455" t="inlineStr">
        <is>
          <t>SOLLEFTEÅ</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25334-2019</t>
        </is>
      </c>
      <c r="B456" s="1" t="n">
        <v>43601</v>
      </c>
      <c r="C456" s="1" t="n">
        <v>45637</v>
      </c>
      <c r="D456" t="inlineStr">
        <is>
          <t>VÄSTERNORRLANDS LÄN</t>
        </is>
      </c>
      <c r="E456" t="inlineStr">
        <is>
          <t>SOLLEFTEÅ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25331-2019</t>
        </is>
      </c>
      <c r="B457" s="1" t="n">
        <v>43601</v>
      </c>
      <c r="C457" s="1" t="n">
        <v>45637</v>
      </c>
      <c r="D457" t="inlineStr">
        <is>
          <t>VÄSTERNORRLANDS LÄN</t>
        </is>
      </c>
      <c r="E457" t="inlineStr">
        <is>
          <t>SOLLEFTEÅ</t>
        </is>
      </c>
      <c r="G457" t="n">
        <v>7.2</v>
      </c>
      <c r="H457" t="n">
        <v>0</v>
      </c>
      <c r="I457" t="n">
        <v>0</v>
      </c>
      <c r="J457" t="n">
        <v>0</v>
      </c>
      <c r="K457" t="n">
        <v>0</v>
      </c>
      <c r="L457" t="n">
        <v>0</v>
      </c>
      <c r="M457" t="n">
        <v>0</v>
      </c>
      <c r="N457" t="n">
        <v>0</v>
      </c>
      <c r="O457" t="n">
        <v>0</v>
      </c>
      <c r="P457" t="n">
        <v>0</v>
      </c>
      <c r="Q457" t="n">
        <v>0</v>
      </c>
      <c r="R457" s="2" t="inlineStr"/>
    </row>
    <row r="458" ht="15" customHeight="1">
      <c r="A458" t="inlineStr">
        <is>
          <t>A 25260-2019</t>
        </is>
      </c>
      <c r="B458" s="1" t="n">
        <v>43601</v>
      </c>
      <c r="C458" s="1" t="n">
        <v>45637</v>
      </c>
      <c r="D458" t="inlineStr">
        <is>
          <t>VÄSTERNORRLANDS LÄN</t>
        </is>
      </c>
      <c r="E458" t="inlineStr">
        <is>
          <t>SOLLEFTEÅ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25328-2019</t>
        </is>
      </c>
      <c r="B459" s="1" t="n">
        <v>43601</v>
      </c>
      <c r="C459" s="1" t="n">
        <v>45637</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25014-2019</t>
        </is>
      </c>
      <c r="B460" s="1" t="n">
        <v>43602</v>
      </c>
      <c r="C460" s="1" t="n">
        <v>45637</v>
      </c>
      <c r="D460" t="inlineStr">
        <is>
          <t>VÄSTERNORRLANDS LÄN</t>
        </is>
      </c>
      <c r="E460" t="inlineStr">
        <is>
          <t>SOLLEFTEÅ</t>
        </is>
      </c>
      <c r="F460" t="inlineStr">
        <is>
          <t>SCA</t>
        </is>
      </c>
      <c r="G460" t="n">
        <v>11.1</v>
      </c>
      <c r="H460" t="n">
        <v>0</v>
      </c>
      <c r="I460" t="n">
        <v>0</v>
      </c>
      <c r="J460" t="n">
        <v>0</v>
      </c>
      <c r="K460" t="n">
        <v>0</v>
      </c>
      <c r="L460" t="n">
        <v>0</v>
      </c>
      <c r="M460" t="n">
        <v>0</v>
      </c>
      <c r="N460" t="n">
        <v>0</v>
      </c>
      <c r="O460" t="n">
        <v>0</v>
      </c>
      <c r="P460" t="n">
        <v>0</v>
      </c>
      <c r="Q460" t="n">
        <v>0</v>
      </c>
      <c r="R460" s="2" t="inlineStr"/>
    </row>
    <row r="461" ht="15" customHeight="1">
      <c r="A461" t="inlineStr">
        <is>
          <t>A 26111-2019</t>
        </is>
      </c>
      <c r="B461" s="1" t="n">
        <v>43605</v>
      </c>
      <c r="C461" s="1" t="n">
        <v>45637</v>
      </c>
      <c r="D461" t="inlineStr">
        <is>
          <t>VÄSTERNORRLANDS LÄN</t>
        </is>
      </c>
      <c r="E461" t="inlineStr">
        <is>
          <t>SOLLEFTEÅ</t>
        </is>
      </c>
      <c r="G461" t="n">
        <v>3.5</v>
      </c>
      <c r="H461" t="n">
        <v>0</v>
      </c>
      <c r="I461" t="n">
        <v>0</v>
      </c>
      <c r="J461" t="n">
        <v>0</v>
      </c>
      <c r="K461" t="n">
        <v>0</v>
      </c>
      <c r="L461" t="n">
        <v>0</v>
      </c>
      <c r="M461" t="n">
        <v>0</v>
      </c>
      <c r="N461" t="n">
        <v>0</v>
      </c>
      <c r="O461" t="n">
        <v>0</v>
      </c>
      <c r="P461" t="n">
        <v>0</v>
      </c>
      <c r="Q461" t="n">
        <v>0</v>
      </c>
      <c r="R461" s="2" t="inlineStr"/>
    </row>
    <row r="462" ht="15" customHeight="1">
      <c r="A462" t="inlineStr">
        <is>
          <t>A 25714-2019</t>
        </is>
      </c>
      <c r="B462" s="1" t="n">
        <v>43607</v>
      </c>
      <c r="C462" s="1" t="n">
        <v>45637</v>
      </c>
      <c r="D462" t="inlineStr">
        <is>
          <t>VÄSTERNORRLANDS LÄN</t>
        </is>
      </c>
      <c r="E462" t="inlineStr">
        <is>
          <t>SOLLEFTEÅ</t>
        </is>
      </c>
      <c r="F462" t="inlineStr">
        <is>
          <t>SCA</t>
        </is>
      </c>
      <c r="G462" t="n">
        <v>28.3</v>
      </c>
      <c r="H462" t="n">
        <v>0</v>
      </c>
      <c r="I462" t="n">
        <v>0</v>
      </c>
      <c r="J462" t="n">
        <v>0</v>
      </c>
      <c r="K462" t="n">
        <v>0</v>
      </c>
      <c r="L462" t="n">
        <v>0</v>
      </c>
      <c r="M462" t="n">
        <v>0</v>
      </c>
      <c r="N462" t="n">
        <v>0</v>
      </c>
      <c r="O462" t="n">
        <v>0</v>
      </c>
      <c r="P462" t="n">
        <v>0</v>
      </c>
      <c r="Q462" t="n">
        <v>0</v>
      </c>
      <c r="R462" s="2" t="inlineStr"/>
    </row>
    <row r="463" ht="15" customHeight="1">
      <c r="A463" t="inlineStr">
        <is>
          <t>A 25979-2019</t>
        </is>
      </c>
      <c r="B463" s="1" t="n">
        <v>43608</v>
      </c>
      <c r="C463" s="1" t="n">
        <v>45637</v>
      </c>
      <c r="D463" t="inlineStr">
        <is>
          <t>VÄSTERNORRLANDS LÄN</t>
        </is>
      </c>
      <c r="E463" t="inlineStr">
        <is>
          <t>SOLLEFTEÅ</t>
        </is>
      </c>
      <c r="F463" t="inlineStr">
        <is>
          <t>SCA</t>
        </is>
      </c>
      <c r="G463" t="n">
        <v>26.1</v>
      </c>
      <c r="H463" t="n">
        <v>0</v>
      </c>
      <c r="I463" t="n">
        <v>0</v>
      </c>
      <c r="J463" t="n">
        <v>0</v>
      </c>
      <c r="K463" t="n">
        <v>0</v>
      </c>
      <c r="L463" t="n">
        <v>0</v>
      </c>
      <c r="M463" t="n">
        <v>0</v>
      </c>
      <c r="N463" t="n">
        <v>0</v>
      </c>
      <c r="O463" t="n">
        <v>0</v>
      </c>
      <c r="P463" t="n">
        <v>0</v>
      </c>
      <c r="Q463" t="n">
        <v>0</v>
      </c>
      <c r="R463" s="2" t="inlineStr"/>
    </row>
    <row r="464" ht="15" customHeight="1">
      <c r="A464" t="inlineStr">
        <is>
          <t>A 25982-2019</t>
        </is>
      </c>
      <c r="B464" s="1" t="n">
        <v>43608</v>
      </c>
      <c r="C464" s="1" t="n">
        <v>45637</v>
      </c>
      <c r="D464" t="inlineStr">
        <is>
          <t>VÄSTERNORRLANDS LÄN</t>
        </is>
      </c>
      <c r="E464" t="inlineStr">
        <is>
          <t>SOLLEFTEÅ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25997-2019</t>
        </is>
      </c>
      <c r="B465" s="1" t="n">
        <v>43608</v>
      </c>
      <c r="C465" s="1" t="n">
        <v>45637</v>
      </c>
      <c r="D465" t="inlineStr">
        <is>
          <t>VÄSTERNORRLANDS LÄN</t>
        </is>
      </c>
      <c r="E465" t="inlineStr">
        <is>
          <t>SOLLEFTEÅ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25959-2019</t>
        </is>
      </c>
      <c r="B466" s="1" t="n">
        <v>43608</v>
      </c>
      <c r="C466" s="1" t="n">
        <v>45637</v>
      </c>
      <c r="D466" t="inlineStr">
        <is>
          <t>VÄSTERNORRLANDS LÄN</t>
        </is>
      </c>
      <c r="E466" t="inlineStr">
        <is>
          <t>SOLLEFTEÅ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26254-2019</t>
        </is>
      </c>
      <c r="B467" s="1" t="n">
        <v>43609</v>
      </c>
      <c r="C467" s="1" t="n">
        <v>45637</v>
      </c>
      <c r="D467" t="inlineStr">
        <is>
          <t>VÄSTERNORRLANDS LÄN</t>
        </is>
      </c>
      <c r="E467" t="inlineStr">
        <is>
          <t>SOLLEFTEÅ</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26640-2019</t>
        </is>
      </c>
      <c r="B468" s="1" t="n">
        <v>43612</v>
      </c>
      <c r="C468" s="1" t="n">
        <v>45637</v>
      </c>
      <c r="D468" t="inlineStr">
        <is>
          <t>VÄSTERNORRLANDS LÄN</t>
        </is>
      </c>
      <c r="E468" t="inlineStr">
        <is>
          <t>SOLLEFTEÅ</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27597-2019</t>
        </is>
      </c>
      <c r="B469" s="1" t="n">
        <v>43612</v>
      </c>
      <c r="C469" s="1" t="n">
        <v>45637</v>
      </c>
      <c r="D469" t="inlineStr">
        <is>
          <t>VÄSTERNORRLANDS LÄN</t>
        </is>
      </c>
      <c r="E469" t="inlineStr">
        <is>
          <t>SOLLEFTEÅ</t>
        </is>
      </c>
      <c r="G469" t="n">
        <v>5.6</v>
      </c>
      <c r="H469" t="n">
        <v>0</v>
      </c>
      <c r="I469" t="n">
        <v>0</v>
      </c>
      <c r="J469" t="n">
        <v>0</v>
      </c>
      <c r="K469" t="n">
        <v>0</v>
      </c>
      <c r="L469" t="n">
        <v>0</v>
      </c>
      <c r="M469" t="n">
        <v>0</v>
      </c>
      <c r="N469" t="n">
        <v>0</v>
      </c>
      <c r="O469" t="n">
        <v>0</v>
      </c>
      <c r="P469" t="n">
        <v>0</v>
      </c>
      <c r="Q469" t="n">
        <v>0</v>
      </c>
      <c r="R469" s="2" t="inlineStr"/>
    </row>
    <row r="470" ht="15" customHeight="1">
      <c r="A470" t="inlineStr">
        <is>
          <t>A 26945-2019</t>
        </is>
      </c>
      <c r="B470" s="1" t="n">
        <v>43613</v>
      </c>
      <c r="C470" s="1" t="n">
        <v>45637</v>
      </c>
      <c r="D470" t="inlineStr">
        <is>
          <t>VÄSTERNORRLANDS LÄN</t>
        </is>
      </c>
      <c r="E470" t="inlineStr">
        <is>
          <t>SOLLEFTEÅ</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26957-2019</t>
        </is>
      </c>
      <c r="B471" s="1" t="n">
        <v>43613</v>
      </c>
      <c r="C471" s="1" t="n">
        <v>45637</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27226-2019</t>
        </is>
      </c>
      <c r="B472" s="1" t="n">
        <v>43614</v>
      </c>
      <c r="C472" s="1" t="n">
        <v>45637</v>
      </c>
      <c r="D472" t="inlineStr">
        <is>
          <t>VÄSTERNORRLANDS LÄN</t>
        </is>
      </c>
      <c r="E472" t="inlineStr">
        <is>
          <t>SOLLEFTEÅ</t>
        </is>
      </c>
      <c r="F472" t="inlineStr">
        <is>
          <t>SCA</t>
        </is>
      </c>
      <c r="G472" t="n">
        <v>6.8</v>
      </c>
      <c r="H472" t="n">
        <v>0</v>
      </c>
      <c r="I472" t="n">
        <v>0</v>
      </c>
      <c r="J472" t="n">
        <v>0</v>
      </c>
      <c r="K472" t="n">
        <v>0</v>
      </c>
      <c r="L472" t="n">
        <v>0</v>
      </c>
      <c r="M472" t="n">
        <v>0</v>
      </c>
      <c r="N472" t="n">
        <v>0</v>
      </c>
      <c r="O472" t="n">
        <v>0</v>
      </c>
      <c r="P472" t="n">
        <v>0</v>
      </c>
      <c r="Q472" t="n">
        <v>0</v>
      </c>
      <c r="R472" s="2" t="inlineStr"/>
    </row>
    <row r="473" ht="15" customHeight="1">
      <c r="A473" t="inlineStr">
        <is>
          <t>A 27979-2019</t>
        </is>
      </c>
      <c r="B473" s="1" t="n">
        <v>43620</v>
      </c>
      <c r="C473" s="1" t="n">
        <v>45637</v>
      </c>
      <c r="D473" t="inlineStr">
        <is>
          <t>VÄSTERNORRLANDS LÄN</t>
        </is>
      </c>
      <c r="E473" t="inlineStr">
        <is>
          <t>SOLLEFTEÅ</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28212-2019</t>
        </is>
      </c>
      <c r="B474" s="1" t="n">
        <v>43621</v>
      </c>
      <c r="C474" s="1" t="n">
        <v>45637</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28236-2019</t>
        </is>
      </c>
      <c r="B475" s="1" t="n">
        <v>43621</v>
      </c>
      <c r="C475" s="1" t="n">
        <v>45637</v>
      </c>
      <c r="D475" t="inlineStr">
        <is>
          <t>VÄSTERNORRLANDS LÄN</t>
        </is>
      </c>
      <c r="E475" t="inlineStr">
        <is>
          <t>SOLLEFTEÅ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30383-2019</t>
        </is>
      </c>
      <c r="B476" s="1" t="n">
        <v>43634</v>
      </c>
      <c r="C476" s="1" t="n">
        <v>45637</v>
      </c>
      <c r="D476" t="inlineStr">
        <is>
          <t>VÄSTERNORRLANDS LÄN</t>
        </is>
      </c>
      <c r="E476" t="inlineStr">
        <is>
          <t>SOLLEFTEÅ</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30628-2019</t>
        </is>
      </c>
      <c r="B477" s="1" t="n">
        <v>43635</v>
      </c>
      <c r="C477" s="1" t="n">
        <v>45637</v>
      </c>
      <c r="D477" t="inlineStr">
        <is>
          <t>VÄSTERNORRLANDS LÄN</t>
        </is>
      </c>
      <c r="E477" t="inlineStr">
        <is>
          <t>SOLLEFTEÅ</t>
        </is>
      </c>
      <c r="F477" t="inlineStr">
        <is>
          <t>SCA</t>
        </is>
      </c>
      <c r="G477" t="n">
        <v>7.2</v>
      </c>
      <c r="H477" t="n">
        <v>0</v>
      </c>
      <c r="I477" t="n">
        <v>0</v>
      </c>
      <c r="J477" t="n">
        <v>0</v>
      </c>
      <c r="K477" t="n">
        <v>0</v>
      </c>
      <c r="L477" t="n">
        <v>0</v>
      </c>
      <c r="M477" t="n">
        <v>0</v>
      </c>
      <c r="N477" t="n">
        <v>0</v>
      </c>
      <c r="O477" t="n">
        <v>0</v>
      </c>
      <c r="P477" t="n">
        <v>0</v>
      </c>
      <c r="Q477" t="n">
        <v>0</v>
      </c>
      <c r="R477" s="2" t="inlineStr"/>
    </row>
    <row r="478" ht="15" customHeight="1">
      <c r="A478" t="inlineStr">
        <is>
          <t>A 32202-2019</t>
        </is>
      </c>
      <c r="B478" s="1" t="n">
        <v>43643</v>
      </c>
      <c r="C478" s="1" t="n">
        <v>45637</v>
      </c>
      <c r="D478" t="inlineStr">
        <is>
          <t>VÄSTERNORRLANDS LÄN</t>
        </is>
      </c>
      <c r="E478" t="inlineStr">
        <is>
          <t>SOLLEFTEÅ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32203-2019</t>
        </is>
      </c>
      <c r="B479" s="1" t="n">
        <v>43643</v>
      </c>
      <c r="C479" s="1" t="n">
        <v>45637</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32744-2019</t>
        </is>
      </c>
      <c r="B480" s="1" t="n">
        <v>43647</v>
      </c>
      <c r="C480" s="1" t="n">
        <v>45637</v>
      </c>
      <c r="D480" t="inlineStr">
        <is>
          <t>VÄSTERNORRLANDS LÄN</t>
        </is>
      </c>
      <c r="E480" t="inlineStr">
        <is>
          <t>SOLLEFTEÅ</t>
        </is>
      </c>
      <c r="F480" t="inlineStr">
        <is>
          <t>SCA</t>
        </is>
      </c>
      <c r="G480" t="n">
        <v>33.3</v>
      </c>
      <c r="H480" t="n">
        <v>0</v>
      </c>
      <c r="I480" t="n">
        <v>0</v>
      </c>
      <c r="J480" t="n">
        <v>0</v>
      </c>
      <c r="K480" t="n">
        <v>0</v>
      </c>
      <c r="L480" t="n">
        <v>0</v>
      </c>
      <c r="M480" t="n">
        <v>0</v>
      </c>
      <c r="N480" t="n">
        <v>0</v>
      </c>
      <c r="O480" t="n">
        <v>0</v>
      </c>
      <c r="P480" t="n">
        <v>0</v>
      </c>
      <c r="Q480" t="n">
        <v>0</v>
      </c>
      <c r="R480" s="2" t="inlineStr"/>
    </row>
    <row r="481" ht="15" customHeight="1">
      <c r="A481" t="inlineStr">
        <is>
          <t>A 33217-2019</t>
        </is>
      </c>
      <c r="B481" s="1" t="n">
        <v>43649</v>
      </c>
      <c r="C481" s="1" t="n">
        <v>45637</v>
      </c>
      <c r="D481" t="inlineStr">
        <is>
          <t>VÄSTERNORRLANDS LÄN</t>
        </is>
      </c>
      <c r="E481" t="inlineStr">
        <is>
          <t>SOLLEFTEÅ</t>
        </is>
      </c>
      <c r="G481" t="n">
        <v>29.3</v>
      </c>
      <c r="H481" t="n">
        <v>0</v>
      </c>
      <c r="I481" t="n">
        <v>0</v>
      </c>
      <c r="J481" t="n">
        <v>0</v>
      </c>
      <c r="K481" t="n">
        <v>0</v>
      </c>
      <c r="L481" t="n">
        <v>0</v>
      </c>
      <c r="M481" t="n">
        <v>0</v>
      </c>
      <c r="N481" t="n">
        <v>0</v>
      </c>
      <c r="O481" t="n">
        <v>0</v>
      </c>
      <c r="P481" t="n">
        <v>0</v>
      </c>
      <c r="Q481" t="n">
        <v>0</v>
      </c>
      <c r="R481" s="2" t="inlineStr"/>
    </row>
    <row r="482" ht="15" customHeight="1">
      <c r="A482" t="inlineStr">
        <is>
          <t>A 34886-2019</t>
        </is>
      </c>
      <c r="B482" s="1" t="n">
        <v>43650</v>
      </c>
      <c r="C482" s="1" t="n">
        <v>45637</v>
      </c>
      <c r="D482" t="inlineStr">
        <is>
          <t>VÄSTERNORRLANDS LÄN</t>
        </is>
      </c>
      <c r="E482" t="inlineStr">
        <is>
          <t>SOLLEFTEÅ</t>
        </is>
      </c>
      <c r="G482" t="n">
        <v>22</v>
      </c>
      <c r="H482" t="n">
        <v>0</v>
      </c>
      <c r="I482" t="n">
        <v>0</v>
      </c>
      <c r="J482" t="n">
        <v>0</v>
      </c>
      <c r="K482" t="n">
        <v>0</v>
      </c>
      <c r="L482" t="n">
        <v>0</v>
      </c>
      <c r="M482" t="n">
        <v>0</v>
      </c>
      <c r="N482" t="n">
        <v>0</v>
      </c>
      <c r="O482" t="n">
        <v>0</v>
      </c>
      <c r="P482" t="n">
        <v>0</v>
      </c>
      <c r="Q482" t="n">
        <v>0</v>
      </c>
      <c r="R482" s="2" t="inlineStr"/>
    </row>
    <row r="483" ht="15" customHeight="1">
      <c r="A483" t="inlineStr">
        <is>
          <t>A 33833-2019</t>
        </is>
      </c>
      <c r="B483" s="1" t="n">
        <v>43651</v>
      </c>
      <c r="C483" s="1" t="n">
        <v>45637</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33826-2019</t>
        </is>
      </c>
      <c r="B484" s="1" t="n">
        <v>43651</v>
      </c>
      <c r="C484" s="1" t="n">
        <v>45637</v>
      </c>
      <c r="D484" t="inlineStr">
        <is>
          <t>VÄSTERNORRLANDS LÄN</t>
        </is>
      </c>
      <c r="E484" t="inlineStr">
        <is>
          <t>SOLLEFTEÅ</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33852-2019</t>
        </is>
      </c>
      <c r="B485" s="1" t="n">
        <v>43651</v>
      </c>
      <c r="C485" s="1" t="n">
        <v>45637</v>
      </c>
      <c r="D485" t="inlineStr">
        <is>
          <t>VÄSTERNORRLANDS LÄN</t>
        </is>
      </c>
      <c r="E485" t="inlineStr">
        <is>
          <t>SOLLEFTEÅ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33914-2019</t>
        </is>
      </c>
      <c r="B486" s="1" t="n">
        <v>43654</v>
      </c>
      <c r="C486" s="1" t="n">
        <v>45637</v>
      </c>
      <c r="D486" t="inlineStr">
        <is>
          <t>VÄSTERNORRLANDS LÄN</t>
        </is>
      </c>
      <c r="E486" t="inlineStr">
        <is>
          <t>SOLLEFTEÅ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34113-2019</t>
        </is>
      </c>
      <c r="B487" s="1" t="n">
        <v>43654</v>
      </c>
      <c r="C487" s="1" t="n">
        <v>45637</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34311-2019</t>
        </is>
      </c>
      <c r="B488" s="1" t="n">
        <v>43655</v>
      </c>
      <c r="C488" s="1" t="n">
        <v>45637</v>
      </c>
      <c r="D488" t="inlineStr">
        <is>
          <t>VÄSTERNORRLANDS LÄN</t>
        </is>
      </c>
      <c r="E488" t="inlineStr">
        <is>
          <t>SOLLEFTEÅ</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34229-2019</t>
        </is>
      </c>
      <c r="B489" s="1" t="n">
        <v>43655</v>
      </c>
      <c r="C489" s="1" t="n">
        <v>45637</v>
      </c>
      <c r="D489" t="inlineStr">
        <is>
          <t>VÄSTERNORRLANDS LÄN</t>
        </is>
      </c>
      <c r="E489" t="inlineStr">
        <is>
          <t>SOLLEFTEÅ</t>
        </is>
      </c>
      <c r="G489" t="n">
        <v>7.9</v>
      </c>
      <c r="H489" t="n">
        <v>0</v>
      </c>
      <c r="I489" t="n">
        <v>0</v>
      </c>
      <c r="J489" t="n">
        <v>0</v>
      </c>
      <c r="K489" t="n">
        <v>0</v>
      </c>
      <c r="L489" t="n">
        <v>0</v>
      </c>
      <c r="M489" t="n">
        <v>0</v>
      </c>
      <c r="N489" t="n">
        <v>0</v>
      </c>
      <c r="O489" t="n">
        <v>0</v>
      </c>
      <c r="P489" t="n">
        <v>0</v>
      </c>
      <c r="Q489" t="n">
        <v>0</v>
      </c>
      <c r="R489" s="2" t="inlineStr"/>
    </row>
    <row r="490" ht="15" customHeight="1">
      <c r="A490" t="inlineStr">
        <is>
          <t>A 34302-2019</t>
        </is>
      </c>
      <c r="B490" s="1" t="n">
        <v>43655</v>
      </c>
      <c r="C490" s="1" t="n">
        <v>45637</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34738-2019</t>
        </is>
      </c>
      <c r="B491" s="1" t="n">
        <v>43657</v>
      </c>
      <c r="C491" s="1" t="n">
        <v>45637</v>
      </c>
      <c r="D491" t="inlineStr">
        <is>
          <t>VÄSTERNORRLANDS LÄN</t>
        </is>
      </c>
      <c r="E491" t="inlineStr">
        <is>
          <t>SOLLEFTEÅ</t>
        </is>
      </c>
      <c r="G491" t="n">
        <v>4.2</v>
      </c>
      <c r="H491" t="n">
        <v>0</v>
      </c>
      <c r="I491" t="n">
        <v>0</v>
      </c>
      <c r="J491" t="n">
        <v>0</v>
      </c>
      <c r="K491" t="n">
        <v>0</v>
      </c>
      <c r="L491" t="n">
        <v>0</v>
      </c>
      <c r="M491" t="n">
        <v>0</v>
      </c>
      <c r="N491" t="n">
        <v>0</v>
      </c>
      <c r="O491" t="n">
        <v>0</v>
      </c>
      <c r="P491" t="n">
        <v>0</v>
      </c>
      <c r="Q491" t="n">
        <v>0</v>
      </c>
      <c r="R491" s="2" t="inlineStr"/>
    </row>
    <row r="492" ht="15" customHeight="1">
      <c r="A492" t="inlineStr">
        <is>
          <t>A 34916-2019</t>
        </is>
      </c>
      <c r="B492" s="1" t="n">
        <v>43658</v>
      </c>
      <c r="C492" s="1" t="n">
        <v>45637</v>
      </c>
      <c r="D492" t="inlineStr">
        <is>
          <t>VÄSTERNORRLANDS LÄN</t>
        </is>
      </c>
      <c r="E492" t="inlineStr">
        <is>
          <t>SOLLEFTEÅ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35320-2019</t>
        </is>
      </c>
      <c r="B493" s="1" t="n">
        <v>43662</v>
      </c>
      <c r="C493" s="1" t="n">
        <v>45637</v>
      </c>
      <c r="D493" t="inlineStr">
        <is>
          <t>VÄSTERNORRLANDS LÄN</t>
        </is>
      </c>
      <c r="E493" t="inlineStr">
        <is>
          <t>SOLLEFTEÅ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35970-2019</t>
        </is>
      </c>
      <c r="B494" s="1" t="n">
        <v>43665</v>
      </c>
      <c r="C494" s="1" t="n">
        <v>45637</v>
      </c>
      <c r="D494" t="inlineStr">
        <is>
          <t>VÄSTERNORRLANDS LÄN</t>
        </is>
      </c>
      <c r="E494" t="inlineStr">
        <is>
          <t>SOLLEFTEÅ</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35969-2019</t>
        </is>
      </c>
      <c r="B495" s="1" t="n">
        <v>43665</v>
      </c>
      <c r="C495" s="1" t="n">
        <v>45637</v>
      </c>
      <c r="D495" t="inlineStr">
        <is>
          <t>VÄSTERNORRLANDS LÄN</t>
        </is>
      </c>
      <c r="E495" t="inlineStr">
        <is>
          <t>SOLLEFTEÅ</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36137-2019</t>
        </is>
      </c>
      <c r="B496" s="1" t="n">
        <v>43668</v>
      </c>
      <c r="C496" s="1" t="n">
        <v>45637</v>
      </c>
      <c r="D496" t="inlineStr">
        <is>
          <t>VÄSTERNORRLANDS LÄN</t>
        </is>
      </c>
      <c r="E496" t="inlineStr">
        <is>
          <t>SOLLEFTEÅ</t>
        </is>
      </c>
      <c r="G496" t="n">
        <v>1.2</v>
      </c>
      <c r="H496" t="n">
        <v>0</v>
      </c>
      <c r="I496" t="n">
        <v>0</v>
      </c>
      <c r="J496" t="n">
        <v>0</v>
      </c>
      <c r="K496" t="n">
        <v>0</v>
      </c>
      <c r="L496" t="n">
        <v>0</v>
      </c>
      <c r="M496" t="n">
        <v>0</v>
      </c>
      <c r="N496" t="n">
        <v>0</v>
      </c>
      <c r="O496" t="n">
        <v>0</v>
      </c>
      <c r="P496" t="n">
        <v>0</v>
      </c>
      <c r="Q496" t="n">
        <v>0</v>
      </c>
      <c r="R496" s="2" t="inlineStr"/>
    </row>
    <row r="497" ht="15" customHeight="1">
      <c r="A497" t="inlineStr">
        <is>
          <t>A 36486-2019</t>
        </is>
      </c>
      <c r="B497" s="1" t="n">
        <v>43668</v>
      </c>
      <c r="C497" s="1" t="n">
        <v>45637</v>
      </c>
      <c r="D497" t="inlineStr">
        <is>
          <t>VÄSTERNORRLANDS LÄN</t>
        </is>
      </c>
      <c r="E497" t="inlineStr">
        <is>
          <t>SOLLEFTEÅ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36293-2019</t>
        </is>
      </c>
      <c r="B498" s="1" t="n">
        <v>43669</v>
      </c>
      <c r="C498" s="1" t="n">
        <v>45637</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36711-2019</t>
        </is>
      </c>
      <c r="B499" s="1" t="n">
        <v>43671</v>
      </c>
      <c r="C499" s="1" t="n">
        <v>45637</v>
      </c>
      <c r="D499" t="inlineStr">
        <is>
          <t>VÄSTERNORRLANDS LÄN</t>
        </is>
      </c>
      <c r="E499" t="inlineStr">
        <is>
          <t>SOLLEFTEÅ</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37292-2019</t>
        </is>
      </c>
      <c r="B500" s="1" t="n">
        <v>43677</v>
      </c>
      <c r="C500" s="1" t="n">
        <v>45637</v>
      </c>
      <c r="D500" t="inlineStr">
        <is>
          <t>VÄSTERNORRLANDS LÄN</t>
        </is>
      </c>
      <c r="E500" t="inlineStr">
        <is>
          <t>SOLLEFTEÅ</t>
        </is>
      </c>
      <c r="G500" t="n">
        <v>7.8</v>
      </c>
      <c r="H500" t="n">
        <v>0</v>
      </c>
      <c r="I500" t="n">
        <v>0</v>
      </c>
      <c r="J500" t="n">
        <v>0</v>
      </c>
      <c r="K500" t="n">
        <v>0</v>
      </c>
      <c r="L500" t="n">
        <v>0</v>
      </c>
      <c r="M500" t="n">
        <v>0</v>
      </c>
      <c r="N500" t="n">
        <v>0</v>
      </c>
      <c r="O500" t="n">
        <v>0</v>
      </c>
      <c r="P500" t="n">
        <v>0</v>
      </c>
      <c r="Q500" t="n">
        <v>0</v>
      </c>
      <c r="R500" s="2" t="inlineStr"/>
    </row>
    <row r="501" ht="15" customHeight="1">
      <c r="A501" t="inlineStr">
        <is>
          <t>A 37291-2019</t>
        </is>
      </c>
      <c r="B501" s="1" t="n">
        <v>43677</v>
      </c>
      <c r="C501" s="1" t="n">
        <v>45637</v>
      </c>
      <c r="D501" t="inlineStr">
        <is>
          <t>VÄSTERNORRLANDS LÄN</t>
        </is>
      </c>
      <c r="E501" t="inlineStr">
        <is>
          <t>SOLLEFTEÅ</t>
        </is>
      </c>
      <c r="G501" t="n">
        <v>7.4</v>
      </c>
      <c r="H501" t="n">
        <v>0</v>
      </c>
      <c r="I501" t="n">
        <v>0</v>
      </c>
      <c r="J501" t="n">
        <v>0</v>
      </c>
      <c r="K501" t="n">
        <v>0</v>
      </c>
      <c r="L501" t="n">
        <v>0</v>
      </c>
      <c r="M501" t="n">
        <v>0</v>
      </c>
      <c r="N501" t="n">
        <v>0</v>
      </c>
      <c r="O501" t="n">
        <v>0</v>
      </c>
      <c r="P501" t="n">
        <v>0</v>
      </c>
      <c r="Q501" t="n">
        <v>0</v>
      </c>
      <c r="R501" s="2" t="inlineStr"/>
    </row>
    <row r="502" ht="15" customHeight="1">
      <c r="A502" t="inlineStr">
        <is>
          <t>A 37434-2019</t>
        </is>
      </c>
      <c r="B502" s="1" t="n">
        <v>43678</v>
      </c>
      <c r="C502" s="1" t="n">
        <v>45637</v>
      </c>
      <c r="D502" t="inlineStr">
        <is>
          <t>VÄSTERNORRLANDS LÄN</t>
        </is>
      </c>
      <c r="E502" t="inlineStr">
        <is>
          <t>SOLLEFTEÅ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37652-2019</t>
        </is>
      </c>
      <c r="B503" s="1" t="n">
        <v>43679</v>
      </c>
      <c r="C503" s="1" t="n">
        <v>45637</v>
      </c>
      <c r="D503" t="inlineStr">
        <is>
          <t>VÄSTERNORRLANDS LÄN</t>
        </is>
      </c>
      <c r="E503" t="inlineStr">
        <is>
          <t>SOLLEFTEÅ</t>
        </is>
      </c>
      <c r="G503" t="n">
        <v>3.6</v>
      </c>
      <c r="H503" t="n">
        <v>0</v>
      </c>
      <c r="I503" t="n">
        <v>0</v>
      </c>
      <c r="J503" t="n">
        <v>0</v>
      </c>
      <c r="K503" t="n">
        <v>0</v>
      </c>
      <c r="L503" t="n">
        <v>0</v>
      </c>
      <c r="M503" t="n">
        <v>0</v>
      </c>
      <c r="N503" t="n">
        <v>0</v>
      </c>
      <c r="O503" t="n">
        <v>0</v>
      </c>
      <c r="P503" t="n">
        <v>0</v>
      </c>
      <c r="Q503" t="n">
        <v>0</v>
      </c>
      <c r="R503" s="2" t="inlineStr"/>
    </row>
    <row r="504" ht="15" customHeight="1">
      <c r="A504" t="inlineStr">
        <is>
          <t>A 37670-2019</t>
        </is>
      </c>
      <c r="B504" s="1" t="n">
        <v>43679</v>
      </c>
      <c r="C504" s="1" t="n">
        <v>45637</v>
      </c>
      <c r="D504" t="inlineStr">
        <is>
          <t>VÄSTERNORRLANDS LÄN</t>
        </is>
      </c>
      <c r="E504" t="inlineStr">
        <is>
          <t>SOLLEFTEÅ</t>
        </is>
      </c>
      <c r="G504" t="n">
        <v>3.2</v>
      </c>
      <c r="H504" t="n">
        <v>0</v>
      </c>
      <c r="I504" t="n">
        <v>0</v>
      </c>
      <c r="J504" t="n">
        <v>0</v>
      </c>
      <c r="K504" t="n">
        <v>0</v>
      </c>
      <c r="L504" t="n">
        <v>0</v>
      </c>
      <c r="M504" t="n">
        <v>0</v>
      </c>
      <c r="N504" t="n">
        <v>0</v>
      </c>
      <c r="O504" t="n">
        <v>0</v>
      </c>
      <c r="P504" t="n">
        <v>0</v>
      </c>
      <c r="Q504" t="n">
        <v>0</v>
      </c>
      <c r="R504" s="2" t="inlineStr"/>
    </row>
    <row r="505" ht="15" customHeight="1">
      <c r="A505" t="inlineStr">
        <is>
          <t>A 38081-2019</t>
        </is>
      </c>
      <c r="B505" s="1" t="n">
        <v>43682</v>
      </c>
      <c r="C505" s="1" t="n">
        <v>45637</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38074-2019</t>
        </is>
      </c>
      <c r="B506" s="1" t="n">
        <v>43682</v>
      </c>
      <c r="C506" s="1" t="n">
        <v>45637</v>
      </c>
      <c r="D506" t="inlineStr">
        <is>
          <t>VÄSTERNORRLANDS LÄN</t>
        </is>
      </c>
      <c r="E506" t="inlineStr">
        <is>
          <t>SOLLEFTEÅ</t>
        </is>
      </c>
      <c r="G506" t="n">
        <v>4.2</v>
      </c>
      <c r="H506" t="n">
        <v>0</v>
      </c>
      <c r="I506" t="n">
        <v>0</v>
      </c>
      <c r="J506" t="n">
        <v>0</v>
      </c>
      <c r="K506" t="n">
        <v>0</v>
      </c>
      <c r="L506" t="n">
        <v>0</v>
      </c>
      <c r="M506" t="n">
        <v>0</v>
      </c>
      <c r="N506" t="n">
        <v>0</v>
      </c>
      <c r="O506" t="n">
        <v>0</v>
      </c>
      <c r="P506" t="n">
        <v>0</v>
      </c>
      <c r="Q506" t="n">
        <v>0</v>
      </c>
      <c r="R506" s="2" t="inlineStr"/>
    </row>
    <row r="507" ht="15" customHeight="1">
      <c r="A507" t="inlineStr">
        <is>
          <t>A 38080-2019</t>
        </is>
      </c>
      <c r="B507" s="1" t="n">
        <v>43682</v>
      </c>
      <c r="C507" s="1" t="n">
        <v>45637</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38083-2019</t>
        </is>
      </c>
      <c r="B508" s="1" t="n">
        <v>43682</v>
      </c>
      <c r="C508" s="1" t="n">
        <v>45637</v>
      </c>
      <c r="D508" t="inlineStr">
        <is>
          <t>VÄSTERNORRLANDS LÄN</t>
        </is>
      </c>
      <c r="E508" t="inlineStr">
        <is>
          <t>SOLLEFTEÅ</t>
        </is>
      </c>
      <c r="G508" t="n">
        <v>9.6</v>
      </c>
      <c r="H508" t="n">
        <v>0</v>
      </c>
      <c r="I508" t="n">
        <v>0</v>
      </c>
      <c r="J508" t="n">
        <v>0</v>
      </c>
      <c r="K508" t="n">
        <v>0</v>
      </c>
      <c r="L508" t="n">
        <v>0</v>
      </c>
      <c r="M508" t="n">
        <v>0</v>
      </c>
      <c r="N508" t="n">
        <v>0</v>
      </c>
      <c r="O508" t="n">
        <v>0</v>
      </c>
      <c r="P508" t="n">
        <v>0</v>
      </c>
      <c r="Q508" t="n">
        <v>0</v>
      </c>
      <c r="R508" s="2" t="inlineStr"/>
    </row>
    <row r="509" ht="15" customHeight="1">
      <c r="A509" t="inlineStr">
        <is>
          <t>A 38544-2019</t>
        </is>
      </c>
      <c r="B509" s="1" t="n">
        <v>43684</v>
      </c>
      <c r="C509" s="1" t="n">
        <v>45637</v>
      </c>
      <c r="D509" t="inlineStr">
        <is>
          <t>VÄSTERNORRLANDS LÄN</t>
        </is>
      </c>
      <c r="E509" t="inlineStr">
        <is>
          <t>SOLLEFTEÅ</t>
        </is>
      </c>
      <c r="G509" t="n">
        <v>6.6</v>
      </c>
      <c r="H509" t="n">
        <v>0</v>
      </c>
      <c r="I509" t="n">
        <v>0</v>
      </c>
      <c r="J509" t="n">
        <v>0</v>
      </c>
      <c r="K509" t="n">
        <v>0</v>
      </c>
      <c r="L509" t="n">
        <v>0</v>
      </c>
      <c r="M509" t="n">
        <v>0</v>
      </c>
      <c r="N509" t="n">
        <v>0</v>
      </c>
      <c r="O509" t="n">
        <v>0</v>
      </c>
      <c r="P509" t="n">
        <v>0</v>
      </c>
      <c r="Q509" t="n">
        <v>0</v>
      </c>
      <c r="R509" s="2" t="inlineStr"/>
    </row>
    <row r="510" ht="15" customHeight="1">
      <c r="A510" t="inlineStr">
        <is>
          <t>A 38252-2019</t>
        </is>
      </c>
      <c r="B510" s="1" t="n">
        <v>43684</v>
      </c>
      <c r="C510" s="1" t="n">
        <v>45637</v>
      </c>
      <c r="D510" t="inlineStr">
        <is>
          <t>VÄSTERNORRLANDS LÄN</t>
        </is>
      </c>
      <c r="E510" t="inlineStr">
        <is>
          <t>SOLLEFTEÅ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38566-2019</t>
        </is>
      </c>
      <c r="B511" s="1" t="n">
        <v>43685</v>
      </c>
      <c r="C511" s="1" t="n">
        <v>45637</v>
      </c>
      <c r="D511" t="inlineStr">
        <is>
          <t>VÄSTERNORRLANDS LÄN</t>
        </is>
      </c>
      <c r="E511" t="inlineStr">
        <is>
          <t>SOLLEFTEÅ</t>
        </is>
      </c>
      <c r="F511" t="inlineStr">
        <is>
          <t>SCA</t>
        </is>
      </c>
      <c r="G511" t="n">
        <v>15.1</v>
      </c>
      <c r="H511" t="n">
        <v>0</v>
      </c>
      <c r="I511" t="n">
        <v>0</v>
      </c>
      <c r="J511" t="n">
        <v>0</v>
      </c>
      <c r="K511" t="n">
        <v>0</v>
      </c>
      <c r="L511" t="n">
        <v>0</v>
      </c>
      <c r="M511" t="n">
        <v>0</v>
      </c>
      <c r="N511" t="n">
        <v>0</v>
      </c>
      <c r="O511" t="n">
        <v>0</v>
      </c>
      <c r="P511" t="n">
        <v>0</v>
      </c>
      <c r="Q511" t="n">
        <v>0</v>
      </c>
      <c r="R511" s="2" t="inlineStr"/>
    </row>
    <row r="512" ht="15" customHeight="1">
      <c r="A512" t="inlineStr">
        <is>
          <t>A 38762-2019</t>
        </is>
      </c>
      <c r="B512" s="1" t="n">
        <v>43686</v>
      </c>
      <c r="C512" s="1" t="n">
        <v>45637</v>
      </c>
      <c r="D512" t="inlineStr">
        <is>
          <t>VÄSTERNORRLANDS LÄN</t>
        </is>
      </c>
      <c r="E512" t="inlineStr">
        <is>
          <t>SOLLEFTEÅ</t>
        </is>
      </c>
      <c r="G512" t="n">
        <v>7.7</v>
      </c>
      <c r="H512" t="n">
        <v>0</v>
      </c>
      <c r="I512" t="n">
        <v>0</v>
      </c>
      <c r="J512" t="n">
        <v>0</v>
      </c>
      <c r="K512" t="n">
        <v>0</v>
      </c>
      <c r="L512" t="n">
        <v>0</v>
      </c>
      <c r="M512" t="n">
        <v>0</v>
      </c>
      <c r="N512" t="n">
        <v>0</v>
      </c>
      <c r="O512" t="n">
        <v>0</v>
      </c>
      <c r="P512" t="n">
        <v>0</v>
      </c>
      <c r="Q512" t="n">
        <v>0</v>
      </c>
      <c r="R512" s="2" t="inlineStr"/>
    </row>
    <row r="513" ht="15" customHeight="1">
      <c r="A513" t="inlineStr">
        <is>
          <t>A 38763-2019</t>
        </is>
      </c>
      <c r="B513" s="1" t="n">
        <v>43686</v>
      </c>
      <c r="C513" s="1" t="n">
        <v>45637</v>
      </c>
      <c r="D513" t="inlineStr">
        <is>
          <t>VÄSTERNORRLANDS LÄN</t>
        </is>
      </c>
      <c r="E513" t="inlineStr">
        <is>
          <t>SOLLEFTEÅ</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39123-2019</t>
        </is>
      </c>
      <c r="B514" s="1" t="n">
        <v>43689</v>
      </c>
      <c r="C514" s="1" t="n">
        <v>45637</v>
      </c>
      <c r="D514" t="inlineStr">
        <is>
          <t>VÄSTERNORRLANDS LÄN</t>
        </is>
      </c>
      <c r="E514" t="inlineStr">
        <is>
          <t>SOLLEFTEÅ</t>
        </is>
      </c>
      <c r="G514" t="n">
        <v>10.9</v>
      </c>
      <c r="H514" t="n">
        <v>0</v>
      </c>
      <c r="I514" t="n">
        <v>0</v>
      </c>
      <c r="J514" t="n">
        <v>0</v>
      </c>
      <c r="K514" t="n">
        <v>0</v>
      </c>
      <c r="L514" t="n">
        <v>0</v>
      </c>
      <c r="M514" t="n">
        <v>0</v>
      </c>
      <c r="N514" t="n">
        <v>0</v>
      </c>
      <c r="O514" t="n">
        <v>0</v>
      </c>
      <c r="P514" t="n">
        <v>0</v>
      </c>
      <c r="Q514" t="n">
        <v>0</v>
      </c>
      <c r="R514" s="2" t="inlineStr"/>
    </row>
    <row r="515" ht="15" customHeight="1">
      <c r="A515" t="inlineStr">
        <is>
          <t>A 39768-2019</t>
        </is>
      </c>
      <c r="B515" s="1" t="n">
        <v>43689</v>
      </c>
      <c r="C515" s="1" t="n">
        <v>45637</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40764-2019</t>
        </is>
      </c>
      <c r="B516" s="1" t="n">
        <v>43692</v>
      </c>
      <c r="C516" s="1" t="n">
        <v>45637</v>
      </c>
      <c r="D516" t="inlineStr">
        <is>
          <t>VÄSTERNORRLANDS LÄN</t>
        </is>
      </c>
      <c r="E516" t="inlineStr">
        <is>
          <t>SOLLEFTEÅ</t>
        </is>
      </c>
      <c r="G516" t="n">
        <v>2.9</v>
      </c>
      <c r="H516" t="n">
        <v>0</v>
      </c>
      <c r="I516" t="n">
        <v>0</v>
      </c>
      <c r="J516" t="n">
        <v>0</v>
      </c>
      <c r="K516" t="n">
        <v>0</v>
      </c>
      <c r="L516" t="n">
        <v>0</v>
      </c>
      <c r="M516" t="n">
        <v>0</v>
      </c>
      <c r="N516" t="n">
        <v>0</v>
      </c>
      <c r="O516" t="n">
        <v>0</v>
      </c>
      <c r="P516" t="n">
        <v>0</v>
      </c>
      <c r="Q516" t="n">
        <v>0</v>
      </c>
      <c r="R516" s="2" t="inlineStr"/>
    </row>
    <row r="517" ht="15" customHeight="1">
      <c r="A517" t="inlineStr">
        <is>
          <t>A 40769-2019</t>
        </is>
      </c>
      <c r="B517" s="1" t="n">
        <v>43692</v>
      </c>
      <c r="C517" s="1" t="n">
        <v>45637</v>
      </c>
      <c r="D517" t="inlineStr">
        <is>
          <t>VÄSTERNORRLANDS LÄN</t>
        </is>
      </c>
      <c r="E517" t="inlineStr">
        <is>
          <t>SOLLEFTEÅ</t>
        </is>
      </c>
      <c r="G517" t="n">
        <v>1.8</v>
      </c>
      <c r="H517" t="n">
        <v>0</v>
      </c>
      <c r="I517" t="n">
        <v>0</v>
      </c>
      <c r="J517" t="n">
        <v>0</v>
      </c>
      <c r="K517" t="n">
        <v>0</v>
      </c>
      <c r="L517" t="n">
        <v>0</v>
      </c>
      <c r="M517" t="n">
        <v>0</v>
      </c>
      <c r="N517" t="n">
        <v>0</v>
      </c>
      <c r="O517" t="n">
        <v>0</v>
      </c>
      <c r="P517" t="n">
        <v>0</v>
      </c>
      <c r="Q517" t="n">
        <v>0</v>
      </c>
      <c r="R517" s="2" t="inlineStr"/>
    </row>
    <row r="518" ht="15" customHeight="1">
      <c r="A518" t="inlineStr">
        <is>
          <t>A 41069-2019</t>
        </is>
      </c>
      <c r="B518" s="1" t="n">
        <v>43693</v>
      </c>
      <c r="C518" s="1" t="n">
        <v>45637</v>
      </c>
      <c r="D518" t="inlineStr">
        <is>
          <t>VÄSTERNORRLANDS LÄN</t>
        </is>
      </c>
      <c r="E518" t="inlineStr">
        <is>
          <t>SOLLEFTEÅ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40685-2019</t>
        </is>
      </c>
      <c r="B519" s="1" t="n">
        <v>43696</v>
      </c>
      <c r="C519" s="1" t="n">
        <v>45637</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40682-2019</t>
        </is>
      </c>
      <c r="B520" s="1" t="n">
        <v>43696</v>
      </c>
      <c r="C520" s="1" t="n">
        <v>45637</v>
      </c>
      <c r="D520" t="inlineStr">
        <is>
          <t>VÄSTERNORRLANDS LÄN</t>
        </is>
      </c>
      <c r="E520" t="inlineStr">
        <is>
          <t>SOLLEFTEÅ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40514-2019</t>
        </is>
      </c>
      <c r="B521" s="1" t="n">
        <v>43696</v>
      </c>
      <c r="C521" s="1" t="n">
        <v>45637</v>
      </c>
      <c r="D521" t="inlineStr">
        <is>
          <t>VÄSTERNORRLANDS LÄN</t>
        </is>
      </c>
      <c r="E521" t="inlineStr">
        <is>
          <t>SOLLEFTEÅ</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40679-2019</t>
        </is>
      </c>
      <c r="B522" s="1" t="n">
        <v>43696</v>
      </c>
      <c r="C522" s="1" t="n">
        <v>45637</v>
      </c>
      <c r="D522" t="inlineStr">
        <is>
          <t>VÄSTERNORRLANDS LÄN</t>
        </is>
      </c>
      <c r="E522" t="inlineStr">
        <is>
          <t>SOLLEFTEÅ</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41786-2019</t>
        </is>
      </c>
      <c r="B523" s="1" t="n">
        <v>43699</v>
      </c>
      <c r="C523" s="1" t="n">
        <v>45637</v>
      </c>
      <c r="D523" t="inlineStr">
        <is>
          <t>VÄSTERNORRLANDS LÄN</t>
        </is>
      </c>
      <c r="E523" t="inlineStr">
        <is>
          <t>SOLLEFTEÅ</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42417-2019</t>
        </is>
      </c>
      <c r="B524" s="1" t="n">
        <v>43703</v>
      </c>
      <c r="C524" s="1" t="n">
        <v>45637</v>
      </c>
      <c r="D524" t="inlineStr">
        <is>
          <t>VÄSTERNORRLANDS LÄN</t>
        </is>
      </c>
      <c r="E524" t="inlineStr">
        <is>
          <t>SOLLEFTEÅ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42791-2019</t>
        </is>
      </c>
      <c r="B525" s="1" t="n">
        <v>43704</v>
      </c>
      <c r="C525" s="1" t="n">
        <v>45637</v>
      </c>
      <c r="D525" t="inlineStr">
        <is>
          <t>VÄSTERNORRLANDS LÄN</t>
        </is>
      </c>
      <c r="E525" t="inlineStr">
        <is>
          <t>SOLLEFTEÅ</t>
        </is>
      </c>
      <c r="G525" t="n">
        <v>4.1</v>
      </c>
      <c r="H525" t="n">
        <v>0</v>
      </c>
      <c r="I525" t="n">
        <v>0</v>
      </c>
      <c r="J525" t="n">
        <v>0</v>
      </c>
      <c r="K525" t="n">
        <v>0</v>
      </c>
      <c r="L525" t="n">
        <v>0</v>
      </c>
      <c r="M525" t="n">
        <v>0</v>
      </c>
      <c r="N525" t="n">
        <v>0</v>
      </c>
      <c r="O525" t="n">
        <v>0</v>
      </c>
      <c r="P525" t="n">
        <v>0</v>
      </c>
      <c r="Q525" t="n">
        <v>0</v>
      </c>
      <c r="R525" s="2" t="inlineStr"/>
    </row>
    <row r="526" ht="15" customHeight="1">
      <c r="A526" t="inlineStr">
        <is>
          <t>A 42792-2019</t>
        </is>
      </c>
      <c r="B526" s="1" t="n">
        <v>43704</v>
      </c>
      <c r="C526" s="1" t="n">
        <v>45637</v>
      </c>
      <c r="D526" t="inlineStr">
        <is>
          <t>VÄSTERNORRLANDS LÄN</t>
        </is>
      </c>
      <c r="E526" t="inlineStr">
        <is>
          <t>SOLLEFTEÅ</t>
        </is>
      </c>
      <c r="G526" t="n">
        <v>5.7</v>
      </c>
      <c r="H526" t="n">
        <v>0</v>
      </c>
      <c r="I526" t="n">
        <v>0</v>
      </c>
      <c r="J526" t="n">
        <v>0</v>
      </c>
      <c r="K526" t="n">
        <v>0</v>
      </c>
      <c r="L526" t="n">
        <v>0</v>
      </c>
      <c r="M526" t="n">
        <v>0</v>
      </c>
      <c r="N526" t="n">
        <v>0</v>
      </c>
      <c r="O526" t="n">
        <v>0</v>
      </c>
      <c r="P526" t="n">
        <v>0</v>
      </c>
      <c r="Q526" t="n">
        <v>0</v>
      </c>
      <c r="R526" s="2" t="inlineStr"/>
    </row>
    <row r="527" ht="15" customHeight="1">
      <c r="A527" t="inlineStr">
        <is>
          <t>A 43499-2019</t>
        </is>
      </c>
      <c r="B527" s="1" t="n">
        <v>43706</v>
      </c>
      <c r="C527" s="1" t="n">
        <v>45637</v>
      </c>
      <c r="D527" t="inlineStr">
        <is>
          <t>VÄSTERNORRLANDS LÄN</t>
        </is>
      </c>
      <c r="E527" t="inlineStr">
        <is>
          <t>SOLLEFTEÅ</t>
        </is>
      </c>
      <c r="G527" t="n">
        <v>19.3</v>
      </c>
      <c r="H527" t="n">
        <v>0</v>
      </c>
      <c r="I527" t="n">
        <v>0</v>
      </c>
      <c r="J527" t="n">
        <v>0</v>
      </c>
      <c r="K527" t="n">
        <v>0</v>
      </c>
      <c r="L527" t="n">
        <v>0</v>
      </c>
      <c r="M527" t="n">
        <v>0</v>
      </c>
      <c r="N527" t="n">
        <v>0</v>
      </c>
      <c r="O527" t="n">
        <v>0</v>
      </c>
      <c r="P527" t="n">
        <v>0</v>
      </c>
      <c r="Q527" t="n">
        <v>0</v>
      </c>
      <c r="R527" s="2" t="inlineStr"/>
    </row>
    <row r="528" ht="15" customHeight="1">
      <c r="A528" t="inlineStr">
        <is>
          <t>A 45032-2019</t>
        </is>
      </c>
      <c r="B528" s="1" t="n">
        <v>43707</v>
      </c>
      <c r="C528" s="1" t="n">
        <v>45637</v>
      </c>
      <c r="D528" t="inlineStr">
        <is>
          <t>VÄSTERNORRLANDS LÄN</t>
        </is>
      </c>
      <c r="E528" t="inlineStr">
        <is>
          <t>SOLLEFTEÅ</t>
        </is>
      </c>
      <c r="G528" t="n">
        <v>9.4</v>
      </c>
      <c r="H528" t="n">
        <v>0</v>
      </c>
      <c r="I528" t="n">
        <v>0</v>
      </c>
      <c r="J528" t="n">
        <v>0</v>
      </c>
      <c r="K528" t="n">
        <v>0</v>
      </c>
      <c r="L528" t="n">
        <v>0</v>
      </c>
      <c r="M528" t="n">
        <v>0</v>
      </c>
      <c r="N528" t="n">
        <v>0</v>
      </c>
      <c r="O528" t="n">
        <v>0</v>
      </c>
      <c r="P528" t="n">
        <v>0</v>
      </c>
      <c r="Q528" t="n">
        <v>0</v>
      </c>
      <c r="R528" s="2" t="inlineStr"/>
    </row>
    <row r="529" ht="15" customHeight="1">
      <c r="A529" t="inlineStr">
        <is>
          <t>A 44815-2019</t>
        </is>
      </c>
      <c r="B529" s="1" t="n">
        <v>43712</v>
      </c>
      <c r="C529" s="1" t="n">
        <v>45637</v>
      </c>
      <c r="D529" t="inlineStr">
        <is>
          <t>VÄSTERNORRLANDS LÄN</t>
        </is>
      </c>
      <c r="E529" t="inlineStr">
        <is>
          <t>SOLLEFTEÅ</t>
        </is>
      </c>
      <c r="G529" t="n">
        <v>3</v>
      </c>
      <c r="H529" t="n">
        <v>0</v>
      </c>
      <c r="I529" t="n">
        <v>0</v>
      </c>
      <c r="J529" t="n">
        <v>0</v>
      </c>
      <c r="K529" t="n">
        <v>0</v>
      </c>
      <c r="L529" t="n">
        <v>0</v>
      </c>
      <c r="M529" t="n">
        <v>0</v>
      </c>
      <c r="N529" t="n">
        <v>0</v>
      </c>
      <c r="O529" t="n">
        <v>0</v>
      </c>
      <c r="P529" t="n">
        <v>0</v>
      </c>
      <c r="Q529" t="n">
        <v>0</v>
      </c>
      <c r="R529" s="2" t="inlineStr"/>
    </row>
    <row r="530" ht="15" customHeight="1">
      <c r="A530" t="inlineStr">
        <is>
          <t>A 45941-2019</t>
        </is>
      </c>
      <c r="B530" s="1" t="n">
        <v>43712</v>
      </c>
      <c r="C530" s="1" t="n">
        <v>45637</v>
      </c>
      <c r="D530" t="inlineStr">
        <is>
          <t>VÄSTERNORRLANDS LÄN</t>
        </is>
      </c>
      <c r="E530" t="inlineStr">
        <is>
          <t>SOLLEFTEÅ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44888-2019</t>
        </is>
      </c>
      <c r="B531" s="1" t="n">
        <v>43712</v>
      </c>
      <c r="C531" s="1" t="n">
        <v>45637</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44960-2019</t>
        </is>
      </c>
      <c r="B532" s="1" t="n">
        <v>43713</v>
      </c>
      <c r="C532" s="1" t="n">
        <v>45637</v>
      </c>
      <c r="D532" t="inlineStr">
        <is>
          <t>VÄSTERNORRLANDS LÄN</t>
        </is>
      </c>
      <c r="E532" t="inlineStr">
        <is>
          <t>SOLLEFTEÅ</t>
        </is>
      </c>
      <c r="G532" t="n">
        <v>14.9</v>
      </c>
      <c r="H532" t="n">
        <v>0</v>
      </c>
      <c r="I532" t="n">
        <v>0</v>
      </c>
      <c r="J532" t="n">
        <v>0</v>
      </c>
      <c r="K532" t="n">
        <v>0</v>
      </c>
      <c r="L532" t="n">
        <v>0</v>
      </c>
      <c r="M532" t="n">
        <v>0</v>
      </c>
      <c r="N532" t="n">
        <v>0</v>
      </c>
      <c r="O532" t="n">
        <v>0</v>
      </c>
      <c r="P532" t="n">
        <v>0</v>
      </c>
      <c r="Q532" t="n">
        <v>0</v>
      </c>
      <c r="R532" s="2" t="inlineStr"/>
    </row>
    <row r="533" ht="15" customHeight="1">
      <c r="A533" t="inlineStr">
        <is>
          <t>A 45537-2019</t>
        </is>
      </c>
      <c r="B533" s="1" t="n">
        <v>43714</v>
      </c>
      <c r="C533" s="1" t="n">
        <v>45637</v>
      </c>
      <c r="D533" t="inlineStr">
        <is>
          <t>VÄSTERNORRLANDS LÄN</t>
        </is>
      </c>
      <c r="E533" t="inlineStr">
        <is>
          <t>SOLLEFTEÅ</t>
        </is>
      </c>
      <c r="F533" t="inlineStr">
        <is>
          <t>SCA</t>
        </is>
      </c>
      <c r="G533" t="n">
        <v>35.1</v>
      </c>
      <c r="H533" t="n">
        <v>0</v>
      </c>
      <c r="I533" t="n">
        <v>0</v>
      </c>
      <c r="J533" t="n">
        <v>0</v>
      </c>
      <c r="K533" t="n">
        <v>0</v>
      </c>
      <c r="L533" t="n">
        <v>0</v>
      </c>
      <c r="M533" t="n">
        <v>0</v>
      </c>
      <c r="N533" t="n">
        <v>0</v>
      </c>
      <c r="O533" t="n">
        <v>0</v>
      </c>
      <c r="P533" t="n">
        <v>0</v>
      </c>
      <c r="Q533" t="n">
        <v>0</v>
      </c>
      <c r="R533" s="2" t="inlineStr"/>
    </row>
    <row r="534" ht="15" customHeight="1">
      <c r="A534" t="inlineStr">
        <is>
          <t>A 46345-2019</t>
        </is>
      </c>
      <c r="B534" s="1" t="n">
        <v>43718</v>
      </c>
      <c r="C534" s="1" t="n">
        <v>45637</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46956-2019</t>
        </is>
      </c>
      <c r="B535" s="1" t="n">
        <v>43719</v>
      </c>
      <c r="C535" s="1" t="n">
        <v>45637</v>
      </c>
      <c r="D535" t="inlineStr">
        <is>
          <t>VÄSTERNORRLANDS LÄN</t>
        </is>
      </c>
      <c r="E535" t="inlineStr">
        <is>
          <t>SOLLEFTEÅ</t>
        </is>
      </c>
      <c r="G535" t="n">
        <v>18.1</v>
      </c>
      <c r="H535" t="n">
        <v>0</v>
      </c>
      <c r="I535" t="n">
        <v>0</v>
      </c>
      <c r="J535" t="n">
        <v>0</v>
      </c>
      <c r="K535" t="n">
        <v>0</v>
      </c>
      <c r="L535" t="n">
        <v>0</v>
      </c>
      <c r="M535" t="n">
        <v>0</v>
      </c>
      <c r="N535" t="n">
        <v>0</v>
      </c>
      <c r="O535" t="n">
        <v>0</v>
      </c>
      <c r="P535" t="n">
        <v>0</v>
      </c>
      <c r="Q535" t="n">
        <v>0</v>
      </c>
      <c r="R535" s="2" t="inlineStr"/>
    </row>
    <row r="536" ht="15" customHeight="1">
      <c r="A536" t="inlineStr">
        <is>
          <t>A 47366-2019</t>
        </is>
      </c>
      <c r="B536" s="1" t="n">
        <v>43721</v>
      </c>
      <c r="C536" s="1" t="n">
        <v>45637</v>
      </c>
      <c r="D536" t="inlineStr">
        <is>
          <t>VÄSTERNORRLANDS LÄN</t>
        </is>
      </c>
      <c r="E536" t="inlineStr">
        <is>
          <t>SOLLEFTEÅ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47764-2019</t>
        </is>
      </c>
      <c r="B537" s="1" t="n">
        <v>43724</v>
      </c>
      <c r="C537" s="1" t="n">
        <v>45637</v>
      </c>
      <c r="D537" t="inlineStr">
        <is>
          <t>VÄSTERNORRLANDS LÄN</t>
        </is>
      </c>
      <c r="E537" t="inlineStr">
        <is>
          <t>SOLLEFTEÅ</t>
        </is>
      </c>
      <c r="F537" t="inlineStr">
        <is>
          <t>Kyrkan</t>
        </is>
      </c>
      <c r="G537" t="n">
        <v>4.1</v>
      </c>
      <c r="H537" t="n">
        <v>0</v>
      </c>
      <c r="I537" t="n">
        <v>0</v>
      </c>
      <c r="J537" t="n">
        <v>0</v>
      </c>
      <c r="K537" t="n">
        <v>0</v>
      </c>
      <c r="L537" t="n">
        <v>0</v>
      </c>
      <c r="M537" t="n">
        <v>0</v>
      </c>
      <c r="N537" t="n">
        <v>0</v>
      </c>
      <c r="O537" t="n">
        <v>0</v>
      </c>
      <c r="P537" t="n">
        <v>0</v>
      </c>
      <c r="Q537" t="n">
        <v>0</v>
      </c>
      <c r="R537" s="2" t="inlineStr"/>
    </row>
    <row r="538" ht="15" customHeight="1">
      <c r="A538" t="inlineStr">
        <is>
          <t>A 47768-2019</t>
        </is>
      </c>
      <c r="B538" s="1" t="n">
        <v>43724</v>
      </c>
      <c r="C538" s="1" t="n">
        <v>45637</v>
      </c>
      <c r="D538" t="inlineStr">
        <is>
          <t>VÄSTERNORRLANDS LÄN</t>
        </is>
      </c>
      <c r="E538" t="inlineStr">
        <is>
          <t>SOLLEFTEÅ</t>
        </is>
      </c>
      <c r="F538" t="inlineStr">
        <is>
          <t>Kyrkan</t>
        </is>
      </c>
      <c r="G538" t="n">
        <v>12.1</v>
      </c>
      <c r="H538" t="n">
        <v>0</v>
      </c>
      <c r="I538" t="n">
        <v>0</v>
      </c>
      <c r="J538" t="n">
        <v>0</v>
      </c>
      <c r="K538" t="n">
        <v>0</v>
      </c>
      <c r="L538" t="n">
        <v>0</v>
      </c>
      <c r="M538" t="n">
        <v>0</v>
      </c>
      <c r="N538" t="n">
        <v>0</v>
      </c>
      <c r="O538" t="n">
        <v>0</v>
      </c>
      <c r="P538" t="n">
        <v>0</v>
      </c>
      <c r="Q538" t="n">
        <v>0</v>
      </c>
      <c r="R538" s="2" t="inlineStr"/>
    </row>
    <row r="539" ht="15" customHeight="1">
      <c r="A539" t="inlineStr">
        <is>
          <t>A 49381-2019</t>
        </is>
      </c>
      <c r="B539" s="1" t="n">
        <v>43731</v>
      </c>
      <c r="C539" s="1" t="n">
        <v>45637</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49380-2019</t>
        </is>
      </c>
      <c r="B540" s="1" t="n">
        <v>43731</v>
      </c>
      <c r="C540" s="1" t="n">
        <v>45637</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49674-2019</t>
        </is>
      </c>
      <c r="B541" s="1" t="n">
        <v>43732</v>
      </c>
      <c r="C541" s="1" t="n">
        <v>45637</v>
      </c>
      <c r="D541" t="inlineStr">
        <is>
          <t>VÄSTERNORRLANDS LÄN</t>
        </is>
      </c>
      <c r="E541" t="inlineStr">
        <is>
          <t>SOLLEFTEÅ</t>
        </is>
      </c>
      <c r="G541" t="n">
        <v>2.2</v>
      </c>
      <c r="H541" t="n">
        <v>0</v>
      </c>
      <c r="I541" t="n">
        <v>0</v>
      </c>
      <c r="J541" t="n">
        <v>0</v>
      </c>
      <c r="K541" t="n">
        <v>0</v>
      </c>
      <c r="L541" t="n">
        <v>0</v>
      </c>
      <c r="M541" t="n">
        <v>0</v>
      </c>
      <c r="N541" t="n">
        <v>0</v>
      </c>
      <c r="O541" t="n">
        <v>0</v>
      </c>
      <c r="P541" t="n">
        <v>0</v>
      </c>
      <c r="Q541" t="n">
        <v>0</v>
      </c>
      <c r="R541" s="2" t="inlineStr"/>
    </row>
    <row r="542" ht="15" customHeight="1">
      <c r="A542" t="inlineStr">
        <is>
          <t>A 50283-2019</t>
        </is>
      </c>
      <c r="B542" s="1" t="n">
        <v>43734</v>
      </c>
      <c r="C542" s="1" t="n">
        <v>45637</v>
      </c>
      <c r="D542" t="inlineStr">
        <is>
          <t>VÄSTERNORRLANDS LÄN</t>
        </is>
      </c>
      <c r="E542" t="inlineStr">
        <is>
          <t>SOLLEFTEÅ</t>
        </is>
      </c>
      <c r="F542" t="inlineStr">
        <is>
          <t>SCA</t>
        </is>
      </c>
      <c r="G542" t="n">
        <v>10.6</v>
      </c>
      <c r="H542" t="n">
        <v>0</v>
      </c>
      <c r="I542" t="n">
        <v>0</v>
      </c>
      <c r="J542" t="n">
        <v>0</v>
      </c>
      <c r="K542" t="n">
        <v>0</v>
      </c>
      <c r="L542" t="n">
        <v>0</v>
      </c>
      <c r="M542" t="n">
        <v>0</v>
      </c>
      <c r="N542" t="n">
        <v>0</v>
      </c>
      <c r="O542" t="n">
        <v>0</v>
      </c>
      <c r="P542" t="n">
        <v>0</v>
      </c>
      <c r="Q542" t="n">
        <v>0</v>
      </c>
      <c r="R542" s="2" t="inlineStr"/>
    </row>
    <row r="543" ht="15" customHeight="1">
      <c r="A543" t="inlineStr">
        <is>
          <t>A 50513-2019</t>
        </is>
      </c>
      <c r="B543" s="1" t="n">
        <v>43735</v>
      </c>
      <c r="C543" s="1" t="n">
        <v>45637</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50668-2019</t>
        </is>
      </c>
      <c r="B544" s="1" t="n">
        <v>43737</v>
      </c>
      <c r="C544" s="1" t="n">
        <v>45637</v>
      </c>
      <c r="D544" t="inlineStr">
        <is>
          <t>VÄSTERNORRLANDS LÄN</t>
        </is>
      </c>
      <c r="E544" t="inlineStr">
        <is>
          <t>SOLLEFTEÅ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51002-2019</t>
        </is>
      </c>
      <c r="B545" s="1" t="n">
        <v>43738</v>
      </c>
      <c r="C545" s="1" t="n">
        <v>45637</v>
      </c>
      <c r="D545" t="inlineStr">
        <is>
          <t>VÄSTERNORRLANDS LÄN</t>
        </is>
      </c>
      <c r="E545" t="inlineStr">
        <is>
          <t>SOLLEFTEÅ</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50999-2019</t>
        </is>
      </c>
      <c r="B546" s="1" t="n">
        <v>43738</v>
      </c>
      <c r="C546" s="1" t="n">
        <v>45637</v>
      </c>
      <c r="D546" t="inlineStr">
        <is>
          <t>VÄSTERNORRLANDS LÄN</t>
        </is>
      </c>
      <c r="E546" t="inlineStr">
        <is>
          <t>SOLLEFTEÅ</t>
        </is>
      </c>
      <c r="F546" t="inlineStr">
        <is>
          <t>SCA</t>
        </is>
      </c>
      <c r="G546" t="n">
        <v>5.6</v>
      </c>
      <c r="H546" t="n">
        <v>0</v>
      </c>
      <c r="I546" t="n">
        <v>0</v>
      </c>
      <c r="J546" t="n">
        <v>0</v>
      </c>
      <c r="K546" t="n">
        <v>0</v>
      </c>
      <c r="L546" t="n">
        <v>0</v>
      </c>
      <c r="M546" t="n">
        <v>0</v>
      </c>
      <c r="N546" t="n">
        <v>0</v>
      </c>
      <c r="O546" t="n">
        <v>0</v>
      </c>
      <c r="P546" t="n">
        <v>0</v>
      </c>
      <c r="Q546" t="n">
        <v>0</v>
      </c>
      <c r="R546" s="2" t="inlineStr"/>
    </row>
    <row r="547" ht="15" customHeight="1">
      <c r="A547" t="inlineStr">
        <is>
          <t>A 51675-2019</t>
        </is>
      </c>
      <c r="B547" s="1" t="n">
        <v>43740</v>
      </c>
      <c r="C547" s="1" t="n">
        <v>45637</v>
      </c>
      <c r="D547" t="inlineStr">
        <is>
          <t>VÄSTERNORRLANDS LÄN</t>
        </is>
      </c>
      <c r="E547" t="inlineStr">
        <is>
          <t>SOLLEFTEÅ</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51671-2019</t>
        </is>
      </c>
      <c r="B548" s="1" t="n">
        <v>43740</v>
      </c>
      <c r="C548" s="1" t="n">
        <v>45637</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51682-2019</t>
        </is>
      </c>
      <c r="B549" s="1" t="n">
        <v>43740</v>
      </c>
      <c r="C549" s="1" t="n">
        <v>45637</v>
      </c>
      <c r="D549" t="inlineStr">
        <is>
          <t>VÄSTERNORRLANDS LÄN</t>
        </is>
      </c>
      <c r="E549" t="inlineStr">
        <is>
          <t>SOLLEFTEÅ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53079-2019</t>
        </is>
      </c>
      <c r="B550" s="1" t="n">
        <v>43740</v>
      </c>
      <c r="C550" s="1" t="n">
        <v>45637</v>
      </c>
      <c r="D550" t="inlineStr">
        <is>
          <t>VÄSTERNORRLANDS LÄN</t>
        </is>
      </c>
      <c r="E550" t="inlineStr">
        <is>
          <t>SOLLEFTEÅ</t>
        </is>
      </c>
      <c r="G550" t="n">
        <v>7.9</v>
      </c>
      <c r="H550" t="n">
        <v>0</v>
      </c>
      <c r="I550" t="n">
        <v>0</v>
      </c>
      <c r="J550" t="n">
        <v>0</v>
      </c>
      <c r="K550" t="n">
        <v>0</v>
      </c>
      <c r="L550" t="n">
        <v>0</v>
      </c>
      <c r="M550" t="n">
        <v>0</v>
      </c>
      <c r="N550" t="n">
        <v>0</v>
      </c>
      <c r="O550" t="n">
        <v>0</v>
      </c>
      <c r="P550" t="n">
        <v>0</v>
      </c>
      <c r="Q550" t="n">
        <v>0</v>
      </c>
      <c r="R550" s="2" t="inlineStr"/>
    </row>
    <row r="551" ht="15" customHeight="1">
      <c r="A551" t="inlineStr">
        <is>
          <t>A 51673-2019</t>
        </is>
      </c>
      <c r="B551" s="1" t="n">
        <v>43740</v>
      </c>
      <c r="C551" s="1" t="n">
        <v>45637</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53076-2019</t>
        </is>
      </c>
      <c r="B552" s="1" t="n">
        <v>43740</v>
      </c>
      <c r="C552" s="1" t="n">
        <v>45637</v>
      </c>
      <c r="D552" t="inlineStr">
        <is>
          <t>VÄSTERNORRLANDS LÄN</t>
        </is>
      </c>
      <c r="E552" t="inlineStr">
        <is>
          <t>SOLLEFTEÅ</t>
        </is>
      </c>
      <c r="G552" t="n">
        <v>1.7</v>
      </c>
      <c r="H552" t="n">
        <v>0</v>
      </c>
      <c r="I552" t="n">
        <v>0</v>
      </c>
      <c r="J552" t="n">
        <v>0</v>
      </c>
      <c r="K552" t="n">
        <v>0</v>
      </c>
      <c r="L552" t="n">
        <v>0</v>
      </c>
      <c r="M552" t="n">
        <v>0</v>
      </c>
      <c r="N552" t="n">
        <v>0</v>
      </c>
      <c r="O552" t="n">
        <v>0</v>
      </c>
      <c r="P552" t="n">
        <v>0</v>
      </c>
      <c r="Q552" t="n">
        <v>0</v>
      </c>
      <c r="R552" s="2" t="inlineStr"/>
    </row>
    <row r="553" ht="15" customHeight="1">
      <c r="A553" t="inlineStr">
        <is>
          <t>A 53088-2019</t>
        </is>
      </c>
      <c r="B553" s="1" t="n">
        <v>43740</v>
      </c>
      <c r="C553" s="1" t="n">
        <v>45637</v>
      </c>
      <c r="D553" t="inlineStr">
        <is>
          <t>VÄSTERNORRLANDS LÄN</t>
        </is>
      </c>
      <c r="E553" t="inlineStr">
        <is>
          <t>SOLLEFTEÅ</t>
        </is>
      </c>
      <c r="G553" t="n">
        <v>3</v>
      </c>
      <c r="H553" t="n">
        <v>0</v>
      </c>
      <c r="I553" t="n">
        <v>0</v>
      </c>
      <c r="J553" t="n">
        <v>0</v>
      </c>
      <c r="K553" t="n">
        <v>0</v>
      </c>
      <c r="L553" t="n">
        <v>0</v>
      </c>
      <c r="M553" t="n">
        <v>0</v>
      </c>
      <c r="N553" t="n">
        <v>0</v>
      </c>
      <c r="O553" t="n">
        <v>0</v>
      </c>
      <c r="P553" t="n">
        <v>0</v>
      </c>
      <c r="Q553" t="n">
        <v>0</v>
      </c>
      <c r="R553" s="2" t="inlineStr"/>
    </row>
    <row r="554" ht="15" customHeight="1">
      <c r="A554" t="inlineStr">
        <is>
          <t>A 51665-2019</t>
        </is>
      </c>
      <c r="B554" s="1" t="n">
        <v>43740</v>
      </c>
      <c r="C554" s="1" t="n">
        <v>45637</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51953-2019</t>
        </is>
      </c>
      <c r="B555" s="1" t="n">
        <v>43741</v>
      </c>
      <c r="C555" s="1" t="n">
        <v>45637</v>
      </c>
      <c r="D555" t="inlineStr">
        <is>
          <t>VÄSTERNORRLANDS LÄN</t>
        </is>
      </c>
      <c r="E555" t="inlineStr">
        <is>
          <t>SOLLEFTEÅ</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53677-2019</t>
        </is>
      </c>
      <c r="B556" s="1" t="n">
        <v>43741</v>
      </c>
      <c r="C556" s="1" t="n">
        <v>45637</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51952-2019</t>
        </is>
      </c>
      <c r="B557" s="1" t="n">
        <v>43741</v>
      </c>
      <c r="C557" s="1" t="n">
        <v>45637</v>
      </c>
      <c r="D557" t="inlineStr">
        <is>
          <t>VÄSTERNORRLANDS LÄN</t>
        </is>
      </c>
      <c r="E557" t="inlineStr">
        <is>
          <t>SOLLEFTEÅ</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52568-2019</t>
        </is>
      </c>
      <c r="B558" s="1" t="n">
        <v>43745</v>
      </c>
      <c r="C558" s="1" t="n">
        <v>45637</v>
      </c>
      <c r="D558" t="inlineStr">
        <is>
          <t>VÄSTERNORRLANDS LÄN</t>
        </is>
      </c>
      <c r="E558" t="inlineStr">
        <is>
          <t>SOLLEFTEÅ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52569-2019</t>
        </is>
      </c>
      <c r="B559" s="1" t="n">
        <v>43745</v>
      </c>
      <c r="C559" s="1" t="n">
        <v>45637</v>
      </c>
      <c r="D559" t="inlineStr">
        <is>
          <t>VÄSTERNORRLANDS LÄN</t>
        </is>
      </c>
      <c r="E559" t="inlineStr">
        <is>
          <t>SOLLEFTEÅ</t>
        </is>
      </c>
      <c r="G559" t="n">
        <v>7.1</v>
      </c>
      <c r="H559" t="n">
        <v>0</v>
      </c>
      <c r="I559" t="n">
        <v>0</v>
      </c>
      <c r="J559" t="n">
        <v>0</v>
      </c>
      <c r="K559" t="n">
        <v>0</v>
      </c>
      <c r="L559" t="n">
        <v>0</v>
      </c>
      <c r="M559" t="n">
        <v>0</v>
      </c>
      <c r="N559" t="n">
        <v>0</v>
      </c>
      <c r="O559" t="n">
        <v>0</v>
      </c>
      <c r="P559" t="n">
        <v>0</v>
      </c>
      <c r="Q559" t="n">
        <v>0</v>
      </c>
      <c r="R559" s="2" t="inlineStr"/>
    </row>
    <row r="560" ht="15" customHeight="1">
      <c r="A560" t="inlineStr">
        <is>
          <t>A 52922-2019</t>
        </is>
      </c>
      <c r="B560" s="1" t="n">
        <v>43746</v>
      </c>
      <c r="C560" s="1" t="n">
        <v>45637</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53161-2019</t>
        </is>
      </c>
      <c r="B561" s="1" t="n">
        <v>43747</v>
      </c>
      <c r="C561" s="1" t="n">
        <v>45637</v>
      </c>
      <c r="D561" t="inlineStr">
        <is>
          <t>VÄSTERNORRLANDS LÄN</t>
        </is>
      </c>
      <c r="E561" t="inlineStr">
        <is>
          <t>SOLLEFTEÅ</t>
        </is>
      </c>
      <c r="F561" t="inlineStr">
        <is>
          <t>Kommuner</t>
        </is>
      </c>
      <c r="G561" t="n">
        <v>0.4</v>
      </c>
      <c r="H561" t="n">
        <v>0</v>
      </c>
      <c r="I561" t="n">
        <v>0</v>
      </c>
      <c r="J561" t="n">
        <v>0</v>
      </c>
      <c r="K561" t="n">
        <v>0</v>
      </c>
      <c r="L561" t="n">
        <v>0</v>
      </c>
      <c r="M561" t="n">
        <v>0</v>
      </c>
      <c r="N561" t="n">
        <v>0</v>
      </c>
      <c r="O561" t="n">
        <v>0</v>
      </c>
      <c r="P561" t="n">
        <v>0</v>
      </c>
      <c r="Q561" t="n">
        <v>0</v>
      </c>
      <c r="R561" s="2" t="inlineStr"/>
    </row>
    <row r="562" ht="15" customHeight="1">
      <c r="A562" t="inlineStr">
        <is>
          <t>A 55623-2019</t>
        </is>
      </c>
      <c r="B562" s="1" t="n">
        <v>43755</v>
      </c>
      <c r="C562" s="1" t="n">
        <v>45637</v>
      </c>
      <c r="D562" t="inlineStr">
        <is>
          <t>VÄSTERNORRLANDS LÄN</t>
        </is>
      </c>
      <c r="E562" t="inlineStr">
        <is>
          <t>SOLLEFTEÅ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55925-2019</t>
        </is>
      </c>
      <c r="B563" s="1" t="n">
        <v>43755</v>
      </c>
      <c r="C563" s="1" t="n">
        <v>45637</v>
      </c>
      <c r="D563" t="inlineStr">
        <is>
          <t>VÄSTERNORRLANDS LÄN</t>
        </is>
      </c>
      <c r="E563" t="inlineStr">
        <is>
          <t>SOLLEFTEÅ</t>
        </is>
      </c>
      <c r="G563" t="n">
        <v>6.4</v>
      </c>
      <c r="H563" t="n">
        <v>0</v>
      </c>
      <c r="I563" t="n">
        <v>0</v>
      </c>
      <c r="J563" t="n">
        <v>0</v>
      </c>
      <c r="K563" t="n">
        <v>0</v>
      </c>
      <c r="L563" t="n">
        <v>0</v>
      </c>
      <c r="M563" t="n">
        <v>0</v>
      </c>
      <c r="N563" t="n">
        <v>0</v>
      </c>
      <c r="O563" t="n">
        <v>0</v>
      </c>
      <c r="P563" t="n">
        <v>0</v>
      </c>
      <c r="Q563" t="n">
        <v>0</v>
      </c>
      <c r="R563" s="2" t="inlineStr"/>
    </row>
    <row r="564" ht="15" customHeight="1">
      <c r="A564" t="inlineStr">
        <is>
          <t>A 55628-2019</t>
        </is>
      </c>
      <c r="B564" s="1" t="n">
        <v>43755</v>
      </c>
      <c r="C564" s="1" t="n">
        <v>45637</v>
      </c>
      <c r="D564" t="inlineStr">
        <is>
          <t>VÄSTERNORRLANDS LÄN</t>
        </is>
      </c>
      <c r="E564" t="inlineStr">
        <is>
          <t>SOLLEFTEÅ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55625-2019</t>
        </is>
      </c>
      <c r="B565" s="1" t="n">
        <v>43755</v>
      </c>
      <c r="C565" s="1" t="n">
        <v>45637</v>
      </c>
      <c r="D565" t="inlineStr">
        <is>
          <t>VÄSTERNORRLANDS LÄN</t>
        </is>
      </c>
      <c r="E565" t="inlineStr">
        <is>
          <t>SOLLEFTEÅ</t>
        </is>
      </c>
      <c r="G565" t="n">
        <v>2.2</v>
      </c>
      <c r="H565" t="n">
        <v>0</v>
      </c>
      <c r="I565" t="n">
        <v>0</v>
      </c>
      <c r="J565" t="n">
        <v>0</v>
      </c>
      <c r="K565" t="n">
        <v>0</v>
      </c>
      <c r="L565" t="n">
        <v>0</v>
      </c>
      <c r="M565" t="n">
        <v>0</v>
      </c>
      <c r="N565" t="n">
        <v>0</v>
      </c>
      <c r="O565" t="n">
        <v>0</v>
      </c>
      <c r="P565" t="n">
        <v>0</v>
      </c>
      <c r="Q565" t="n">
        <v>0</v>
      </c>
      <c r="R565" s="2" t="inlineStr"/>
    </row>
    <row r="566" ht="15" customHeight="1">
      <c r="A566" t="inlineStr">
        <is>
          <t>A 57365-2019</t>
        </is>
      </c>
      <c r="B566" s="1" t="n">
        <v>43760</v>
      </c>
      <c r="C566" s="1" t="n">
        <v>45637</v>
      </c>
      <c r="D566" t="inlineStr">
        <is>
          <t>VÄSTERNORRLANDS LÄN</t>
        </is>
      </c>
      <c r="E566" t="inlineStr">
        <is>
          <t>SOLLEFTEÅ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57575-2019</t>
        </is>
      </c>
      <c r="B567" s="1" t="n">
        <v>43761</v>
      </c>
      <c r="C567" s="1" t="n">
        <v>45637</v>
      </c>
      <c r="D567" t="inlineStr">
        <is>
          <t>VÄSTERNORRLANDS LÄN</t>
        </is>
      </c>
      <c r="E567" t="inlineStr">
        <is>
          <t>SOLLEFTEÅ</t>
        </is>
      </c>
      <c r="G567" t="n">
        <v>14.4</v>
      </c>
      <c r="H567" t="n">
        <v>0</v>
      </c>
      <c r="I567" t="n">
        <v>0</v>
      </c>
      <c r="J567" t="n">
        <v>0</v>
      </c>
      <c r="K567" t="n">
        <v>0</v>
      </c>
      <c r="L567" t="n">
        <v>0</v>
      </c>
      <c r="M567" t="n">
        <v>0</v>
      </c>
      <c r="N567" t="n">
        <v>0</v>
      </c>
      <c r="O567" t="n">
        <v>0</v>
      </c>
      <c r="P567" t="n">
        <v>0</v>
      </c>
      <c r="Q567" t="n">
        <v>0</v>
      </c>
      <c r="R567" s="2" t="inlineStr"/>
    </row>
    <row r="568" ht="15" customHeight="1">
      <c r="A568" t="inlineStr">
        <is>
          <t>A 56252-2019</t>
        </is>
      </c>
      <c r="B568" s="1" t="n">
        <v>43762</v>
      </c>
      <c r="C568" s="1" t="n">
        <v>45637</v>
      </c>
      <c r="D568" t="inlineStr">
        <is>
          <t>VÄSTERNORRLANDS LÄN</t>
        </is>
      </c>
      <c r="E568" t="inlineStr">
        <is>
          <t>SOLLEFTEÅ</t>
        </is>
      </c>
      <c r="F568" t="inlineStr">
        <is>
          <t>Kyrkan</t>
        </is>
      </c>
      <c r="G568" t="n">
        <v>1.1</v>
      </c>
      <c r="H568" t="n">
        <v>0</v>
      </c>
      <c r="I568" t="n">
        <v>0</v>
      </c>
      <c r="J568" t="n">
        <v>0</v>
      </c>
      <c r="K568" t="n">
        <v>0</v>
      </c>
      <c r="L568" t="n">
        <v>0</v>
      </c>
      <c r="M568" t="n">
        <v>0</v>
      </c>
      <c r="N568" t="n">
        <v>0</v>
      </c>
      <c r="O568" t="n">
        <v>0</v>
      </c>
      <c r="P568" t="n">
        <v>0</v>
      </c>
      <c r="Q568" t="n">
        <v>0</v>
      </c>
      <c r="R568" s="2" t="inlineStr"/>
    </row>
    <row r="569" ht="15" customHeight="1">
      <c r="A569" t="inlineStr">
        <is>
          <t>A 56493-2019</t>
        </is>
      </c>
      <c r="B569" s="1" t="n">
        <v>43762</v>
      </c>
      <c r="C569" s="1" t="n">
        <v>45637</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56492-2019</t>
        </is>
      </c>
      <c r="B570" s="1" t="n">
        <v>43762</v>
      </c>
      <c r="C570" s="1" t="n">
        <v>45637</v>
      </c>
      <c r="D570" t="inlineStr">
        <is>
          <t>VÄSTERNORRLANDS LÄN</t>
        </is>
      </c>
      <c r="E570" t="inlineStr">
        <is>
          <t>SOLLEFTEÅ</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56803-2019</t>
        </is>
      </c>
      <c r="B571" s="1" t="n">
        <v>43763</v>
      </c>
      <c r="C571" s="1" t="n">
        <v>45637</v>
      </c>
      <c r="D571" t="inlineStr">
        <is>
          <t>VÄSTERNORRLANDS LÄN</t>
        </is>
      </c>
      <c r="E571" t="inlineStr">
        <is>
          <t>SOLLEFTEÅ</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56874-2019</t>
        </is>
      </c>
      <c r="B572" s="1" t="n">
        <v>43766</v>
      </c>
      <c r="C572" s="1" t="n">
        <v>45637</v>
      </c>
      <c r="D572" t="inlineStr">
        <is>
          <t>VÄSTERNORRLANDS LÄN</t>
        </is>
      </c>
      <c r="E572" t="inlineStr">
        <is>
          <t>SOLLEFTEÅ</t>
        </is>
      </c>
      <c r="G572" t="n">
        <v>6.1</v>
      </c>
      <c r="H572" t="n">
        <v>0</v>
      </c>
      <c r="I572" t="n">
        <v>0</v>
      </c>
      <c r="J572" t="n">
        <v>0</v>
      </c>
      <c r="K572" t="n">
        <v>0</v>
      </c>
      <c r="L572" t="n">
        <v>0</v>
      </c>
      <c r="M572" t="n">
        <v>0</v>
      </c>
      <c r="N572" t="n">
        <v>0</v>
      </c>
      <c r="O572" t="n">
        <v>0</v>
      </c>
      <c r="P572" t="n">
        <v>0</v>
      </c>
      <c r="Q572" t="n">
        <v>0</v>
      </c>
      <c r="R572" s="2" t="inlineStr"/>
    </row>
    <row r="573" ht="15" customHeight="1">
      <c r="A573" t="inlineStr">
        <is>
          <t>A 56985-2019</t>
        </is>
      </c>
      <c r="B573" s="1" t="n">
        <v>43766</v>
      </c>
      <c r="C573" s="1" t="n">
        <v>45637</v>
      </c>
      <c r="D573" t="inlineStr">
        <is>
          <t>VÄSTERNORRLANDS LÄN</t>
        </is>
      </c>
      <c r="E573" t="inlineStr">
        <is>
          <t>SOLLEFTEÅ</t>
        </is>
      </c>
      <c r="G573" t="n">
        <v>4.9</v>
      </c>
      <c r="H573" t="n">
        <v>0</v>
      </c>
      <c r="I573" t="n">
        <v>0</v>
      </c>
      <c r="J573" t="n">
        <v>0</v>
      </c>
      <c r="K573" t="n">
        <v>0</v>
      </c>
      <c r="L573" t="n">
        <v>0</v>
      </c>
      <c r="M573" t="n">
        <v>0</v>
      </c>
      <c r="N573" t="n">
        <v>0</v>
      </c>
      <c r="O573" t="n">
        <v>0</v>
      </c>
      <c r="P573" t="n">
        <v>0</v>
      </c>
      <c r="Q573" t="n">
        <v>0</v>
      </c>
      <c r="R573" s="2" t="inlineStr"/>
    </row>
    <row r="574" ht="15" customHeight="1">
      <c r="A574" t="inlineStr">
        <is>
          <t>A 57041-2019</t>
        </is>
      </c>
      <c r="B574" s="1" t="n">
        <v>43766</v>
      </c>
      <c r="C574" s="1" t="n">
        <v>45637</v>
      </c>
      <c r="D574" t="inlineStr">
        <is>
          <t>VÄSTERNORRLANDS LÄN</t>
        </is>
      </c>
      <c r="E574" t="inlineStr">
        <is>
          <t>SOLLEFTEÅ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57188-2019</t>
        </is>
      </c>
      <c r="B575" s="1" t="n">
        <v>43766</v>
      </c>
      <c r="C575" s="1" t="n">
        <v>45637</v>
      </c>
      <c r="D575" t="inlineStr">
        <is>
          <t>VÄSTERNORRLANDS LÄN</t>
        </is>
      </c>
      <c r="E575" t="inlineStr">
        <is>
          <t>SOLLEFTEÅ</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57882-2019</t>
        </is>
      </c>
      <c r="B576" s="1" t="n">
        <v>43768</v>
      </c>
      <c r="C576" s="1" t="n">
        <v>45637</v>
      </c>
      <c r="D576" t="inlineStr">
        <is>
          <t>VÄSTERNORRLANDS LÄN</t>
        </is>
      </c>
      <c r="E576" t="inlineStr">
        <is>
          <t>SOLLEFTEÅ</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57884-2019</t>
        </is>
      </c>
      <c r="B577" s="1" t="n">
        <v>43768</v>
      </c>
      <c r="C577" s="1" t="n">
        <v>45637</v>
      </c>
      <c r="D577" t="inlineStr">
        <is>
          <t>VÄSTERNORRLANDS LÄN</t>
        </is>
      </c>
      <c r="E577" t="inlineStr">
        <is>
          <t>SOLLEFTEÅ</t>
        </is>
      </c>
      <c r="F577" t="inlineStr">
        <is>
          <t>SCA</t>
        </is>
      </c>
      <c r="G577" t="n">
        <v>14.7</v>
      </c>
      <c r="H577" t="n">
        <v>0</v>
      </c>
      <c r="I577" t="n">
        <v>0</v>
      </c>
      <c r="J577" t="n">
        <v>0</v>
      </c>
      <c r="K577" t="n">
        <v>0</v>
      </c>
      <c r="L577" t="n">
        <v>0</v>
      </c>
      <c r="M577" t="n">
        <v>0</v>
      </c>
      <c r="N577" t="n">
        <v>0</v>
      </c>
      <c r="O577" t="n">
        <v>0</v>
      </c>
      <c r="P577" t="n">
        <v>0</v>
      </c>
      <c r="Q577" t="n">
        <v>0</v>
      </c>
      <c r="R577" s="2" t="inlineStr"/>
    </row>
    <row r="578" ht="15" customHeight="1">
      <c r="A578" t="inlineStr">
        <is>
          <t>A 57883-2019</t>
        </is>
      </c>
      <c r="B578" s="1" t="n">
        <v>43768</v>
      </c>
      <c r="C578" s="1" t="n">
        <v>45637</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58170-2019</t>
        </is>
      </c>
      <c r="B579" s="1" t="n">
        <v>43769</v>
      </c>
      <c r="C579" s="1" t="n">
        <v>45637</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58267-2019</t>
        </is>
      </c>
      <c r="B580" s="1" t="n">
        <v>43770</v>
      </c>
      <c r="C580" s="1" t="n">
        <v>45637</v>
      </c>
      <c r="D580" t="inlineStr">
        <is>
          <t>VÄSTERNORRLANDS LÄN</t>
        </is>
      </c>
      <c r="E580" t="inlineStr">
        <is>
          <t>SOLLEFTEÅ</t>
        </is>
      </c>
      <c r="G580" t="n">
        <v>4.6</v>
      </c>
      <c r="H580" t="n">
        <v>0</v>
      </c>
      <c r="I580" t="n">
        <v>0</v>
      </c>
      <c r="J580" t="n">
        <v>0</v>
      </c>
      <c r="K580" t="n">
        <v>0</v>
      </c>
      <c r="L580" t="n">
        <v>0</v>
      </c>
      <c r="M580" t="n">
        <v>0</v>
      </c>
      <c r="N580" t="n">
        <v>0</v>
      </c>
      <c r="O580" t="n">
        <v>0</v>
      </c>
      <c r="P580" t="n">
        <v>0</v>
      </c>
      <c r="Q580" t="n">
        <v>0</v>
      </c>
      <c r="R580" s="2" t="inlineStr"/>
    </row>
    <row r="581" ht="15" customHeight="1">
      <c r="A581" t="inlineStr">
        <is>
          <t>A 59460-2019</t>
        </is>
      </c>
      <c r="B581" s="1" t="n">
        <v>43776</v>
      </c>
      <c r="C581" s="1" t="n">
        <v>45637</v>
      </c>
      <c r="D581" t="inlineStr">
        <is>
          <t>VÄSTERNORRLANDS LÄN</t>
        </is>
      </c>
      <c r="E581" t="inlineStr">
        <is>
          <t>SOLLEFTEÅ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60491-2019</t>
        </is>
      </c>
      <c r="B582" s="1" t="n">
        <v>43780</v>
      </c>
      <c r="C582" s="1" t="n">
        <v>45637</v>
      </c>
      <c r="D582" t="inlineStr">
        <is>
          <t>VÄSTERNORRLANDS LÄN</t>
        </is>
      </c>
      <c r="E582" t="inlineStr">
        <is>
          <t>SOLLEFTEÅ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61428-2019</t>
        </is>
      </c>
      <c r="B583" s="1" t="n">
        <v>43780</v>
      </c>
      <c r="C583" s="1" t="n">
        <v>45637</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60531-2019</t>
        </is>
      </c>
      <c r="B584" s="1" t="n">
        <v>43781</v>
      </c>
      <c r="C584" s="1" t="n">
        <v>45637</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60538-2019</t>
        </is>
      </c>
      <c r="B585" s="1" t="n">
        <v>43781</v>
      </c>
      <c r="C585" s="1" t="n">
        <v>45637</v>
      </c>
      <c r="D585" t="inlineStr">
        <is>
          <t>VÄSTERNORRLANDS LÄN</t>
        </is>
      </c>
      <c r="E585" t="inlineStr">
        <is>
          <t>SOLLEFTEÅ</t>
        </is>
      </c>
      <c r="G585" t="n">
        <v>4.6</v>
      </c>
      <c r="H585" t="n">
        <v>0</v>
      </c>
      <c r="I585" t="n">
        <v>0</v>
      </c>
      <c r="J585" t="n">
        <v>0</v>
      </c>
      <c r="K585" t="n">
        <v>0</v>
      </c>
      <c r="L585" t="n">
        <v>0</v>
      </c>
      <c r="M585" t="n">
        <v>0</v>
      </c>
      <c r="N585" t="n">
        <v>0</v>
      </c>
      <c r="O585" t="n">
        <v>0</v>
      </c>
      <c r="P585" t="n">
        <v>0</v>
      </c>
      <c r="Q585" t="n">
        <v>0</v>
      </c>
      <c r="R585" s="2" t="inlineStr"/>
    </row>
    <row r="586" ht="15" customHeight="1">
      <c r="A586" t="inlineStr">
        <is>
          <t>A 60905-2019</t>
        </is>
      </c>
      <c r="B586" s="1" t="n">
        <v>43781</v>
      </c>
      <c r="C586" s="1" t="n">
        <v>45637</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61978-2019</t>
        </is>
      </c>
      <c r="B587" s="1" t="n">
        <v>43781</v>
      </c>
      <c r="C587" s="1" t="n">
        <v>45637</v>
      </c>
      <c r="D587" t="inlineStr">
        <is>
          <t>VÄSTERNORRLANDS LÄN</t>
        </is>
      </c>
      <c r="E587" t="inlineStr">
        <is>
          <t>SOLLEFTEÅ</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63450-2019</t>
        </is>
      </c>
      <c r="B588" s="1" t="n">
        <v>43788</v>
      </c>
      <c r="C588" s="1" t="n">
        <v>45637</v>
      </c>
      <c r="D588" t="inlineStr">
        <is>
          <t>VÄSTERNORRLANDS LÄN</t>
        </is>
      </c>
      <c r="E588" t="inlineStr">
        <is>
          <t>SOLLEFTEÅ</t>
        </is>
      </c>
      <c r="G588" t="n">
        <v>8.6</v>
      </c>
      <c r="H588" t="n">
        <v>0</v>
      </c>
      <c r="I588" t="n">
        <v>0</v>
      </c>
      <c r="J588" t="n">
        <v>0</v>
      </c>
      <c r="K588" t="n">
        <v>0</v>
      </c>
      <c r="L588" t="n">
        <v>0</v>
      </c>
      <c r="M588" t="n">
        <v>0</v>
      </c>
      <c r="N588" t="n">
        <v>0</v>
      </c>
      <c r="O588" t="n">
        <v>0</v>
      </c>
      <c r="P588" t="n">
        <v>0</v>
      </c>
      <c r="Q588" t="n">
        <v>0</v>
      </c>
      <c r="R588" s="2" t="inlineStr"/>
    </row>
    <row r="589" ht="15" customHeight="1">
      <c r="A589" t="inlineStr">
        <is>
          <t>A 62500-2019</t>
        </is>
      </c>
      <c r="B589" s="1" t="n">
        <v>43788</v>
      </c>
      <c r="C589" s="1" t="n">
        <v>45637</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64197-2019</t>
        </is>
      </c>
      <c r="B590" s="1" t="n">
        <v>43791</v>
      </c>
      <c r="C590" s="1" t="n">
        <v>45637</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63552-2019</t>
        </is>
      </c>
      <c r="B591" s="1" t="n">
        <v>43794</v>
      </c>
      <c r="C591" s="1" t="n">
        <v>45637</v>
      </c>
      <c r="D591" t="inlineStr">
        <is>
          <t>VÄSTERNORRLANDS LÄN</t>
        </is>
      </c>
      <c r="E591" t="inlineStr">
        <is>
          <t>SOLLEFTEÅ</t>
        </is>
      </c>
      <c r="G591" t="n">
        <v>7.2</v>
      </c>
      <c r="H591" t="n">
        <v>0</v>
      </c>
      <c r="I591" t="n">
        <v>0</v>
      </c>
      <c r="J591" t="n">
        <v>0</v>
      </c>
      <c r="K591" t="n">
        <v>0</v>
      </c>
      <c r="L591" t="n">
        <v>0</v>
      </c>
      <c r="M591" t="n">
        <v>0</v>
      </c>
      <c r="N591" t="n">
        <v>0</v>
      </c>
      <c r="O591" t="n">
        <v>0</v>
      </c>
      <c r="P591" t="n">
        <v>0</v>
      </c>
      <c r="Q591" t="n">
        <v>0</v>
      </c>
      <c r="R591" s="2" t="inlineStr"/>
    </row>
    <row r="592" ht="15" customHeight="1">
      <c r="A592" t="inlineStr">
        <is>
          <t>A 63752-2019</t>
        </is>
      </c>
      <c r="B592" s="1" t="n">
        <v>43795</v>
      </c>
      <c r="C592" s="1" t="n">
        <v>45637</v>
      </c>
      <c r="D592" t="inlineStr">
        <is>
          <t>VÄSTERNORRLANDS LÄN</t>
        </is>
      </c>
      <c r="E592" t="inlineStr">
        <is>
          <t>SOLLEFTEÅ</t>
        </is>
      </c>
      <c r="G592" t="n">
        <v>4.2</v>
      </c>
      <c r="H592" t="n">
        <v>0</v>
      </c>
      <c r="I592" t="n">
        <v>0</v>
      </c>
      <c r="J592" t="n">
        <v>0</v>
      </c>
      <c r="K592" t="n">
        <v>0</v>
      </c>
      <c r="L592" t="n">
        <v>0</v>
      </c>
      <c r="M592" t="n">
        <v>0</v>
      </c>
      <c r="N592" t="n">
        <v>0</v>
      </c>
      <c r="O592" t="n">
        <v>0</v>
      </c>
      <c r="P592" t="n">
        <v>0</v>
      </c>
      <c r="Q592" t="n">
        <v>0</v>
      </c>
      <c r="R592" s="2" t="inlineStr"/>
    </row>
    <row r="593" ht="15" customHeight="1">
      <c r="A593" t="inlineStr">
        <is>
          <t>A 65218-2019</t>
        </is>
      </c>
      <c r="B593" s="1" t="n">
        <v>43797</v>
      </c>
      <c r="C593" s="1" t="n">
        <v>45637</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65029-2019</t>
        </is>
      </c>
      <c r="B594" s="1" t="n">
        <v>43801</v>
      </c>
      <c r="C594" s="1" t="n">
        <v>45637</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65332-2019</t>
        </is>
      </c>
      <c r="B595" s="1" t="n">
        <v>43802</v>
      </c>
      <c r="C595" s="1" t="n">
        <v>45637</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66321-2019</t>
        </is>
      </c>
      <c r="B596" s="1" t="n">
        <v>43802</v>
      </c>
      <c r="C596" s="1" t="n">
        <v>45637</v>
      </c>
      <c r="D596" t="inlineStr">
        <is>
          <t>VÄSTERNORRLANDS LÄN</t>
        </is>
      </c>
      <c r="E596" t="inlineStr">
        <is>
          <t>SOLLEFTEÅ</t>
        </is>
      </c>
      <c r="G596" t="n">
        <v>6.4</v>
      </c>
      <c r="H596" t="n">
        <v>0</v>
      </c>
      <c r="I596" t="n">
        <v>0</v>
      </c>
      <c r="J596" t="n">
        <v>0</v>
      </c>
      <c r="K596" t="n">
        <v>0</v>
      </c>
      <c r="L596" t="n">
        <v>0</v>
      </c>
      <c r="M596" t="n">
        <v>0</v>
      </c>
      <c r="N596" t="n">
        <v>0</v>
      </c>
      <c r="O596" t="n">
        <v>0</v>
      </c>
      <c r="P596" t="n">
        <v>0</v>
      </c>
      <c r="Q596" t="n">
        <v>0</v>
      </c>
      <c r="R596" s="2" t="inlineStr"/>
    </row>
    <row r="597" ht="15" customHeight="1">
      <c r="A597" t="inlineStr">
        <is>
          <t>A 65319-2019</t>
        </is>
      </c>
      <c r="B597" s="1" t="n">
        <v>43802</v>
      </c>
      <c r="C597" s="1" t="n">
        <v>45637</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65327-2019</t>
        </is>
      </c>
      <c r="B598" s="1" t="n">
        <v>43802</v>
      </c>
      <c r="C598" s="1" t="n">
        <v>45637</v>
      </c>
      <c r="D598" t="inlineStr">
        <is>
          <t>VÄSTERNORRLANDS LÄN</t>
        </is>
      </c>
      <c r="E598" t="inlineStr">
        <is>
          <t>SOLLEFTEÅ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66391-2019</t>
        </is>
      </c>
      <c r="B599" s="1" t="n">
        <v>43808</v>
      </c>
      <c r="C599" s="1" t="n">
        <v>45637</v>
      </c>
      <c r="D599" t="inlineStr">
        <is>
          <t>VÄSTERNORRLANDS LÄN</t>
        </is>
      </c>
      <c r="E599" t="inlineStr">
        <is>
          <t>SOLLEFTEÅ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67805-2019</t>
        </is>
      </c>
      <c r="B600" s="1" t="n">
        <v>43815</v>
      </c>
      <c r="C600" s="1" t="n">
        <v>45637</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67815-2019</t>
        </is>
      </c>
      <c r="B601" s="1" t="n">
        <v>43815</v>
      </c>
      <c r="C601" s="1" t="n">
        <v>45637</v>
      </c>
      <c r="D601" t="inlineStr">
        <is>
          <t>VÄSTERNORRLANDS LÄN</t>
        </is>
      </c>
      <c r="E601" t="inlineStr">
        <is>
          <t>SOLLEFTEÅ</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1627-2020</t>
        </is>
      </c>
      <c r="B602" s="1" t="n">
        <v>43829</v>
      </c>
      <c r="C602" s="1" t="n">
        <v>45637</v>
      </c>
      <c r="D602" t="inlineStr">
        <is>
          <t>VÄSTERNORRLANDS LÄN</t>
        </is>
      </c>
      <c r="E602" t="inlineStr">
        <is>
          <t>SOLLEFTEÅ</t>
        </is>
      </c>
      <c r="G602" t="n">
        <v>9</v>
      </c>
      <c r="H602" t="n">
        <v>0</v>
      </c>
      <c r="I602" t="n">
        <v>0</v>
      </c>
      <c r="J602" t="n">
        <v>0</v>
      </c>
      <c r="K602" t="n">
        <v>0</v>
      </c>
      <c r="L602" t="n">
        <v>0</v>
      </c>
      <c r="M602" t="n">
        <v>0</v>
      </c>
      <c r="N602" t="n">
        <v>0</v>
      </c>
      <c r="O602" t="n">
        <v>0</v>
      </c>
      <c r="P602" t="n">
        <v>0</v>
      </c>
      <c r="Q602" t="n">
        <v>0</v>
      </c>
      <c r="R602" s="2" t="inlineStr"/>
    </row>
    <row r="603" ht="15" customHeight="1">
      <c r="A603" t="inlineStr">
        <is>
          <t>A 127-2020</t>
        </is>
      </c>
      <c r="B603" s="1" t="n">
        <v>43832</v>
      </c>
      <c r="C603" s="1" t="n">
        <v>45637</v>
      </c>
      <c r="D603" t="inlineStr">
        <is>
          <t>VÄSTERNORRLANDS LÄN</t>
        </is>
      </c>
      <c r="E603" t="inlineStr">
        <is>
          <t>SOLLEFTEÅ</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125-2020</t>
        </is>
      </c>
      <c r="B604" s="1" t="n">
        <v>43832</v>
      </c>
      <c r="C604" s="1" t="n">
        <v>45637</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126-2020</t>
        </is>
      </c>
      <c r="B605" s="1" t="n">
        <v>43832</v>
      </c>
      <c r="C605" s="1" t="n">
        <v>45637</v>
      </c>
      <c r="D605" t="inlineStr">
        <is>
          <t>VÄSTERNORRLANDS LÄN</t>
        </is>
      </c>
      <c r="E605" t="inlineStr">
        <is>
          <t>SOLLEFTEÅ</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538-2020</t>
        </is>
      </c>
      <c r="B606" s="1" t="n">
        <v>43837</v>
      </c>
      <c r="C606" s="1" t="n">
        <v>45637</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1263-2020</t>
        </is>
      </c>
      <c r="B607" s="1" t="n">
        <v>43840</v>
      </c>
      <c r="C607" s="1" t="n">
        <v>45637</v>
      </c>
      <c r="D607" t="inlineStr">
        <is>
          <t>VÄSTERNORRLANDS LÄN</t>
        </is>
      </c>
      <c r="E607" t="inlineStr">
        <is>
          <t>SOLLEFTEÅ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1262-2020</t>
        </is>
      </c>
      <c r="B608" s="1" t="n">
        <v>43840</v>
      </c>
      <c r="C608" s="1" t="n">
        <v>45637</v>
      </c>
      <c r="D608" t="inlineStr">
        <is>
          <t>VÄSTERNORRLANDS LÄN</t>
        </is>
      </c>
      <c r="E608" t="inlineStr">
        <is>
          <t>SOLLEFTEÅ</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1213-2020</t>
        </is>
      </c>
      <c r="B609" s="1" t="n">
        <v>43840</v>
      </c>
      <c r="C609" s="1" t="n">
        <v>45637</v>
      </c>
      <c r="D609" t="inlineStr">
        <is>
          <t>VÄSTERNORRLANDS LÄN</t>
        </is>
      </c>
      <c r="E609" t="inlineStr">
        <is>
          <t>SOLLEFTEÅ</t>
        </is>
      </c>
      <c r="F609" t="inlineStr">
        <is>
          <t>Kyrkan</t>
        </is>
      </c>
      <c r="G609" t="n">
        <v>13.9</v>
      </c>
      <c r="H609" t="n">
        <v>0</v>
      </c>
      <c r="I609" t="n">
        <v>0</v>
      </c>
      <c r="J609" t="n">
        <v>0</v>
      </c>
      <c r="K609" t="n">
        <v>0</v>
      </c>
      <c r="L609" t="n">
        <v>0</v>
      </c>
      <c r="M609" t="n">
        <v>0</v>
      </c>
      <c r="N609" t="n">
        <v>0</v>
      </c>
      <c r="O609" t="n">
        <v>0</v>
      </c>
      <c r="P609" t="n">
        <v>0</v>
      </c>
      <c r="Q609" t="n">
        <v>0</v>
      </c>
      <c r="R609" s="2" t="inlineStr"/>
    </row>
    <row r="610" ht="15" customHeight="1">
      <c r="A610" t="inlineStr">
        <is>
          <t>A 1568-2020</t>
        </is>
      </c>
      <c r="B610" s="1" t="n">
        <v>43844</v>
      </c>
      <c r="C610" s="1" t="n">
        <v>45637</v>
      </c>
      <c r="D610" t="inlineStr">
        <is>
          <t>VÄSTERNORRLANDS LÄN</t>
        </is>
      </c>
      <c r="E610" t="inlineStr">
        <is>
          <t>SOLLEFTEÅ</t>
        </is>
      </c>
      <c r="G610" t="n">
        <v>3.4</v>
      </c>
      <c r="H610" t="n">
        <v>0</v>
      </c>
      <c r="I610" t="n">
        <v>0</v>
      </c>
      <c r="J610" t="n">
        <v>0</v>
      </c>
      <c r="K610" t="n">
        <v>0</v>
      </c>
      <c r="L610" t="n">
        <v>0</v>
      </c>
      <c r="M610" t="n">
        <v>0</v>
      </c>
      <c r="N610" t="n">
        <v>0</v>
      </c>
      <c r="O610" t="n">
        <v>0</v>
      </c>
      <c r="P610" t="n">
        <v>0</v>
      </c>
      <c r="Q610" t="n">
        <v>0</v>
      </c>
      <c r="R610" s="2" t="inlineStr"/>
    </row>
    <row r="611" ht="15" customHeight="1">
      <c r="A611" t="inlineStr">
        <is>
          <t>A 2897-2020</t>
        </is>
      </c>
      <c r="B611" s="1" t="n">
        <v>43850</v>
      </c>
      <c r="C611" s="1" t="n">
        <v>45637</v>
      </c>
      <c r="D611" t="inlineStr">
        <is>
          <t>VÄSTERNORRLANDS LÄN</t>
        </is>
      </c>
      <c r="E611" t="inlineStr">
        <is>
          <t>SOLLEFTEÅ</t>
        </is>
      </c>
      <c r="G611" t="n">
        <v>7.6</v>
      </c>
      <c r="H611" t="n">
        <v>0</v>
      </c>
      <c r="I611" t="n">
        <v>0</v>
      </c>
      <c r="J611" t="n">
        <v>0</v>
      </c>
      <c r="K611" t="n">
        <v>0</v>
      </c>
      <c r="L611" t="n">
        <v>0</v>
      </c>
      <c r="M611" t="n">
        <v>0</v>
      </c>
      <c r="N611" t="n">
        <v>0</v>
      </c>
      <c r="O611" t="n">
        <v>0</v>
      </c>
      <c r="P611" t="n">
        <v>0</v>
      </c>
      <c r="Q611" t="n">
        <v>0</v>
      </c>
      <c r="R611" s="2" t="inlineStr"/>
    </row>
    <row r="612" ht="15" customHeight="1">
      <c r="A612" t="inlineStr">
        <is>
          <t>A 3230-2020</t>
        </is>
      </c>
      <c r="B612" s="1" t="n">
        <v>43851</v>
      </c>
      <c r="C612" s="1" t="n">
        <v>45637</v>
      </c>
      <c r="D612" t="inlineStr">
        <is>
          <t>VÄSTERNORRLANDS LÄN</t>
        </is>
      </c>
      <c r="E612" t="inlineStr">
        <is>
          <t>SOLLEFTEÅ</t>
        </is>
      </c>
      <c r="F612" t="inlineStr">
        <is>
          <t>Övriga statliga verk och myndigheter</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4363-2020</t>
        </is>
      </c>
      <c r="B613" s="1" t="n">
        <v>43857</v>
      </c>
      <c r="C613" s="1" t="n">
        <v>45637</v>
      </c>
      <c r="D613" t="inlineStr">
        <is>
          <t>VÄSTERNORRLANDS LÄN</t>
        </is>
      </c>
      <c r="E613" t="inlineStr">
        <is>
          <t>SOLLEFTEÅ</t>
        </is>
      </c>
      <c r="G613" t="n">
        <v>6.4</v>
      </c>
      <c r="H613" t="n">
        <v>0</v>
      </c>
      <c r="I613" t="n">
        <v>0</v>
      </c>
      <c r="J613" t="n">
        <v>0</v>
      </c>
      <c r="K613" t="n">
        <v>0</v>
      </c>
      <c r="L613" t="n">
        <v>0</v>
      </c>
      <c r="M613" t="n">
        <v>0</v>
      </c>
      <c r="N613" t="n">
        <v>0</v>
      </c>
      <c r="O613" t="n">
        <v>0</v>
      </c>
      <c r="P613" t="n">
        <v>0</v>
      </c>
      <c r="Q613" t="n">
        <v>0</v>
      </c>
      <c r="R613" s="2" t="inlineStr"/>
    </row>
    <row r="614" ht="15" customHeight="1">
      <c r="A614" t="inlineStr">
        <is>
          <t>A 5248-2020</t>
        </is>
      </c>
      <c r="B614" s="1" t="n">
        <v>43857</v>
      </c>
      <c r="C614" s="1" t="n">
        <v>45637</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5635-2020</t>
        </is>
      </c>
      <c r="B615" s="1" t="n">
        <v>43860</v>
      </c>
      <c r="C615" s="1" t="n">
        <v>45637</v>
      </c>
      <c r="D615" t="inlineStr">
        <is>
          <t>VÄSTERNORRLANDS LÄN</t>
        </is>
      </c>
      <c r="E615" t="inlineStr">
        <is>
          <t>SOLLEFTEÅ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5662-2020</t>
        </is>
      </c>
      <c r="B616" s="1" t="n">
        <v>43861</v>
      </c>
      <c r="C616" s="1" t="n">
        <v>45637</v>
      </c>
      <c r="D616" t="inlineStr">
        <is>
          <t>VÄSTERNORRLANDS LÄN</t>
        </is>
      </c>
      <c r="E616" t="inlineStr">
        <is>
          <t>SOLLEFTEÅ</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5714-2020</t>
        </is>
      </c>
      <c r="B617" s="1" t="n">
        <v>43861</v>
      </c>
      <c r="C617" s="1" t="n">
        <v>45637</v>
      </c>
      <c r="D617" t="inlineStr">
        <is>
          <t>VÄSTERNORRLANDS LÄN</t>
        </is>
      </c>
      <c r="E617" t="inlineStr">
        <is>
          <t>SOLLEFTEÅ</t>
        </is>
      </c>
      <c r="G617" t="n">
        <v>3</v>
      </c>
      <c r="H617" t="n">
        <v>0</v>
      </c>
      <c r="I617" t="n">
        <v>0</v>
      </c>
      <c r="J617" t="n">
        <v>0</v>
      </c>
      <c r="K617" t="n">
        <v>0</v>
      </c>
      <c r="L617" t="n">
        <v>0</v>
      </c>
      <c r="M617" t="n">
        <v>0</v>
      </c>
      <c r="N617" t="n">
        <v>0</v>
      </c>
      <c r="O617" t="n">
        <v>0</v>
      </c>
      <c r="P617" t="n">
        <v>0</v>
      </c>
      <c r="Q617" t="n">
        <v>0</v>
      </c>
      <c r="R617" s="2" t="inlineStr"/>
    </row>
    <row r="618" ht="15" customHeight="1">
      <c r="A618" t="inlineStr">
        <is>
          <t>A 5908-2020</t>
        </is>
      </c>
      <c r="B618" s="1" t="n">
        <v>43861</v>
      </c>
      <c r="C618" s="1" t="n">
        <v>45637</v>
      </c>
      <c r="D618" t="inlineStr">
        <is>
          <t>VÄSTERNORRLANDS LÄN</t>
        </is>
      </c>
      <c r="E618" t="inlineStr">
        <is>
          <t>SOLLEFTEÅ</t>
        </is>
      </c>
      <c r="G618" t="n">
        <v>4.6</v>
      </c>
      <c r="H618" t="n">
        <v>0</v>
      </c>
      <c r="I618" t="n">
        <v>0</v>
      </c>
      <c r="J618" t="n">
        <v>0</v>
      </c>
      <c r="K618" t="n">
        <v>0</v>
      </c>
      <c r="L618" t="n">
        <v>0</v>
      </c>
      <c r="M618" t="n">
        <v>0</v>
      </c>
      <c r="N618" t="n">
        <v>0</v>
      </c>
      <c r="O618" t="n">
        <v>0</v>
      </c>
      <c r="P618" t="n">
        <v>0</v>
      </c>
      <c r="Q618" t="n">
        <v>0</v>
      </c>
      <c r="R618" s="2" t="inlineStr"/>
    </row>
    <row r="619" ht="15" customHeight="1">
      <c r="A619" t="inlineStr">
        <is>
          <t>A 8363-2020</t>
        </is>
      </c>
      <c r="B619" s="1" t="n">
        <v>43875</v>
      </c>
      <c r="C619" s="1" t="n">
        <v>45637</v>
      </c>
      <c r="D619" t="inlineStr">
        <is>
          <t>VÄSTERNORRLANDS LÄN</t>
        </is>
      </c>
      <c r="E619" t="inlineStr">
        <is>
          <t>SOLLEFTEÅ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8935-2020</t>
        </is>
      </c>
      <c r="B620" s="1" t="n">
        <v>43878</v>
      </c>
      <c r="C620" s="1" t="n">
        <v>45637</v>
      </c>
      <c r="D620" t="inlineStr">
        <is>
          <t>VÄSTERNORRLANDS LÄN</t>
        </is>
      </c>
      <c r="E620" t="inlineStr">
        <is>
          <t>SOLLEFTEÅ</t>
        </is>
      </c>
      <c r="G620" t="n">
        <v>3.9</v>
      </c>
      <c r="H620" t="n">
        <v>0</v>
      </c>
      <c r="I620" t="n">
        <v>0</v>
      </c>
      <c r="J620" t="n">
        <v>0</v>
      </c>
      <c r="K620" t="n">
        <v>0</v>
      </c>
      <c r="L620" t="n">
        <v>0</v>
      </c>
      <c r="M620" t="n">
        <v>0</v>
      </c>
      <c r="N620" t="n">
        <v>0</v>
      </c>
      <c r="O620" t="n">
        <v>0</v>
      </c>
      <c r="P620" t="n">
        <v>0</v>
      </c>
      <c r="Q620" t="n">
        <v>0</v>
      </c>
      <c r="R620" s="2" t="inlineStr"/>
    </row>
    <row r="621" ht="15" customHeight="1">
      <c r="A621" t="inlineStr">
        <is>
          <t>A 10631-2020</t>
        </is>
      </c>
      <c r="B621" s="1" t="n">
        <v>43887</v>
      </c>
      <c r="C621" s="1" t="n">
        <v>45637</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10846-2020</t>
        </is>
      </c>
      <c r="B622" s="1" t="n">
        <v>43888</v>
      </c>
      <c r="C622" s="1" t="n">
        <v>45637</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11685-2020</t>
        </is>
      </c>
      <c r="B623" s="1" t="n">
        <v>43893</v>
      </c>
      <c r="C623" s="1" t="n">
        <v>45637</v>
      </c>
      <c r="D623" t="inlineStr">
        <is>
          <t>VÄSTERNORRLANDS LÄN</t>
        </is>
      </c>
      <c r="E623" t="inlineStr">
        <is>
          <t>SOLLEFTEÅ</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12819-2020</t>
        </is>
      </c>
      <c r="B624" s="1" t="n">
        <v>43893</v>
      </c>
      <c r="C624" s="1" t="n">
        <v>45637</v>
      </c>
      <c r="D624" t="inlineStr">
        <is>
          <t>VÄSTERNORRLANDS LÄN</t>
        </is>
      </c>
      <c r="E624" t="inlineStr">
        <is>
          <t>SOLLEFTEÅ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12525-2020</t>
        </is>
      </c>
      <c r="B625" s="1" t="n">
        <v>43896</v>
      </c>
      <c r="C625" s="1" t="n">
        <v>45637</v>
      </c>
      <c r="D625" t="inlineStr">
        <is>
          <t>VÄSTERNORRLANDS LÄN</t>
        </is>
      </c>
      <c r="E625" t="inlineStr">
        <is>
          <t>SOLLEFTEÅ</t>
        </is>
      </c>
      <c r="F625" t="inlineStr">
        <is>
          <t>SCA</t>
        </is>
      </c>
      <c r="G625" t="n">
        <v>28.7</v>
      </c>
      <c r="H625" t="n">
        <v>0</v>
      </c>
      <c r="I625" t="n">
        <v>0</v>
      </c>
      <c r="J625" t="n">
        <v>0</v>
      </c>
      <c r="K625" t="n">
        <v>0</v>
      </c>
      <c r="L625" t="n">
        <v>0</v>
      </c>
      <c r="M625" t="n">
        <v>0</v>
      </c>
      <c r="N625" t="n">
        <v>0</v>
      </c>
      <c r="O625" t="n">
        <v>0</v>
      </c>
      <c r="P625" t="n">
        <v>0</v>
      </c>
      <c r="Q625" t="n">
        <v>0</v>
      </c>
      <c r="R625" s="2" t="inlineStr"/>
    </row>
    <row r="626" ht="15" customHeight="1">
      <c r="A626" t="inlineStr">
        <is>
          <t>A 13023-2020</t>
        </is>
      </c>
      <c r="B626" s="1" t="n">
        <v>43900</v>
      </c>
      <c r="C626" s="1" t="n">
        <v>45637</v>
      </c>
      <c r="D626" t="inlineStr">
        <is>
          <t>VÄSTERNORRLANDS LÄN</t>
        </is>
      </c>
      <c r="E626" t="inlineStr">
        <is>
          <t>SOLLEFTEÅ</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13567-2020</t>
        </is>
      </c>
      <c r="B627" s="1" t="n">
        <v>43902</v>
      </c>
      <c r="C627" s="1" t="n">
        <v>45637</v>
      </c>
      <c r="D627" t="inlineStr">
        <is>
          <t>VÄSTERNORRLANDS LÄN</t>
        </is>
      </c>
      <c r="E627" t="inlineStr">
        <is>
          <t>SOLLEFTEÅ</t>
        </is>
      </c>
      <c r="F627" t="inlineStr">
        <is>
          <t>SCA</t>
        </is>
      </c>
      <c r="G627" t="n">
        <v>15.9</v>
      </c>
      <c r="H627" t="n">
        <v>0</v>
      </c>
      <c r="I627" t="n">
        <v>0</v>
      </c>
      <c r="J627" t="n">
        <v>0</v>
      </c>
      <c r="K627" t="n">
        <v>0</v>
      </c>
      <c r="L627" t="n">
        <v>0</v>
      </c>
      <c r="M627" t="n">
        <v>0</v>
      </c>
      <c r="N627" t="n">
        <v>0</v>
      </c>
      <c r="O627" t="n">
        <v>0</v>
      </c>
      <c r="P627" t="n">
        <v>0</v>
      </c>
      <c r="Q627" t="n">
        <v>0</v>
      </c>
      <c r="R627" s="2" t="inlineStr"/>
    </row>
    <row r="628" ht="15" customHeight="1">
      <c r="A628" t="inlineStr">
        <is>
          <t>A 13577-2020</t>
        </is>
      </c>
      <c r="B628" s="1" t="n">
        <v>43902</v>
      </c>
      <c r="C628" s="1" t="n">
        <v>45637</v>
      </c>
      <c r="D628" t="inlineStr">
        <is>
          <t>VÄSTERNORRLANDS LÄN</t>
        </is>
      </c>
      <c r="E628" t="inlineStr">
        <is>
          <t>SOLLEFTEÅ</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13565-2020</t>
        </is>
      </c>
      <c r="B629" s="1" t="n">
        <v>43902</v>
      </c>
      <c r="C629" s="1" t="n">
        <v>45637</v>
      </c>
      <c r="D629" t="inlineStr">
        <is>
          <t>VÄSTERNORRLANDS LÄN</t>
        </is>
      </c>
      <c r="E629" t="inlineStr">
        <is>
          <t>SOLLEFTEÅ</t>
        </is>
      </c>
      <c r="F629" t="inlineStr">
        <is>
          <t>SCA</t>
        </is>
      </c>
      <c r="G629" t="n">
        <v>12.6</v>
      </c>
      <c r="H629" t="n">
        <v>0</v>
      </c>
      <c r="I629" t="n">
        <v>0</v>
      </c>
      <c r="J629" t="n">
        <v>0</v>
      </c>
      <c r="K629" t="n">
        <v>0</v>
      </c>
      <c r="L629" t="n">
        <v>0</v>
      </c>
      <c r="M629" t="n">
        <v>0</v>
      </c>
      <c r="N629" t="n">
        <v>0</v>
      </c>
      <c r="O629" t="n">
        <v>0</v>
      </c>
      <c r="P629" t="n">
        <v>0</v>
      </c>
      <c r="Q629" t="n">
        <v>0</v>
      </c>
      <c r="R629" s="2" t="inlineStr"/>
    </row>
    <row r="630" ht="15" customHeight="1">
      <c r="A630" t="inlineStr">
        <is>
          <t>A 13575-2020</t>
        </is>
      </c>
      <c r="B630" s="1" t="n">
        <v>43902</v>
      </c>
      <c r="C630" s="1" t="n">
        <v>45637</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13561-2020</t>
        </is>
      </c>
      <c r="B631" s="1" t="n">
        <v>43902</v>
      </c>
      <c r="C631" s="1" t="n">
        <v>45637</v>
      </c>
      <c r="D631" t="inlineStr">
        <is>
          <t>VÄSTERNORRLANDS LÄN</t>
        </is>
      </c>
      <c r="E631" t="inlineStr">
        <is>
          <t>SOLLEFTEÅ</t>
        </is>
      </c>
      <c r="F631" t="inlineStr">
        <is>
          <t>SCA</t>
        </is>
      </c>
      <c r="G631" t="n">
        <v>7.8</v>
      </c>
      <c r="H631" t="n">
        <v>0</v>
      </c>
      <c r="I631" t="n">
        <v>0</v>
      </c>
      <c r="J631" t="n">
        <v>0</v>
      </c>
      <c r="K631" t="n">
        <v>0</v>
      </c>
      <c r="L631" t="n">
        <v>0</v>
      </c>
      <c r="M631" t="n">
        <v>0</v>
      </c>
      <c r="N631" t="n">
        <v>0</v>
      </c>
      <c r="O631" t="n">
        <v>0</v>
      </c>
      <c r="P631" t="n">
        <v>0</v>
      </c>
      <c r="Q631" t="n">
        <v>0</v>
      </c>
      <c r="R631" s="2" t="inlineStr"/>
    </row>
    <row r="632" ht="15" customHeight="1">
      <c r="A632" t="inlineStr">
        <is>
          <t>A 13564-2020</t>
        </is>
      </c>
      <c r="B632" s="1" t="n">
        <v>43902</v>
      </c>
      <c r="C632" s="1" t="n">
        <v>45637</v>
      </c>
      <c r="D632" t="inlineStr">
        <is>
          <t>VÄSTERNORRLANDS LÄN</t>
        </is>
      </c>
      <c r="E632" t="inlineStr">
        <is>
          <t>SOLLEFTEÅ</t>
        </is>
      </c>
      <c r="F632" t="inlineStr">
        <is>
          <t>SCA</t>
        </is>
      </c>
      <c r="G632" t="n">
        <v>26.1</v>
      </c>
      <c r="H632" t="n">
        <v>0</v>
      </c>
      <c r="I632" t="n">
        <v>0</v>
      </c>
      <c r="J632" t="n">
        <v>0</v>
      </c>
      <c r="K632" t="n">
        <v>0</v>
      </c>
      <c r="L632" t="n">
        <v>0</v>
      </c>
      <c r="M632" t="n">
        <v>0</v>
      </c>
      <c r="N632" t="n">
        <v>0</v>
      </c>
      <c r="O632" t="n">
        <v>0</v>
      </c>
      <c r="P632" t="n">
        <v>0</v>
      </c>
      <c r="Q632" t="n">
        <v>0</v>
      </c>
      <c r="R632" s="2" t="inlineStr"/>
    </row>
    <row r="633" ht="15" customHeight="1">
      <c r="A633" t="inlineStr">
        <is>
          <t>A 13798-2020</t>
        </is>
      </c>
      <c r="B633" s="1" t="n">
        <v>43903</v>
      </c>
      <c r="C633" s="1" t="n">
        <v>45637</v>
      </c>
      <c r="D633" t="inlineStr">
        <is>
          <t>VÄSTERNORRLANDS LÄN</t>
        </is>
      </c>
      <c r="E633" t="inlineStr">
        <is>
          <t>SOLLEFTEÅ</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13864-2020</t>
        </is>
      </c>
      <c r="B634" s="1" t="n">
        <v>43906</v>
      </c>
      <c r="C634" s="1" t="n">
        <v>45637</v>
      </c>
      <c r="D634" t="inlineStr">
        <is>
          <t>VÄSTERNORRLANDS LÄN</t>
        </is>
      </c>
      <c r="E634" t="inlineStr">
        <is>
          <t>SOLLEFTEÅ</t>
        </is>
      </c>
      <c r="G634" t="n">
        <v>0.4</v>
      </c>
      <c r="H634" t="n">
        <v>0</v>
      </c>
      <c r="I634" t="n">
        <v>0</v>
      </c>
      <c r="J634" t="n">
        <v>0</v>
      </c>
      <c r="K634" t="n">
        <v>0</v>
      </c>
      <c r="L634" t="n">
        <v>0</v>
      </c>
      <c r="M634" t="n">
        <v>0</v>
      </c>
      <c r="N634" t="n">
        <v>0</v>
      </c>
      <c r="O634" t="n">
        <v>0</v>
      </c>
      <c r="P634" t="n">
        <v>0</v>
      </c>
      <c r="Q634" t="n">
        <v>0</v>
      </c>
      <c r="R634" s="2" t="inlineStr"/>
    </row>
    <row r="635" ht="15" customHeight="1">
      <c r="A635" t="inlineStr">
        <is>
          <t>A 14859-2020</t>
        </is>
      </c>
      <c r="B635" s="1" t="n">
        <v>43909</v>
      </c>
      <c r="C635" s="1" t="n">
        <v>45637</v>
      </c>
      <c r="D635" t="inlineStr">
        <is>
          <t>VÄSTERNORRLANDS LÄN</t>
        </is>
      </c>
      <c r="E635" t="inlineStr">
        <is>
          <t>SOLLEFTEÅ</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18515-2020</t>
        </is>
      </c>
      <c r="B636" s="1" t="n">
        <v>43927</v>
      </c>
      <c r="C636" s="1" t="n">
        <v>45637</v>
      </c>
      <c r="D636" t="inlineStr">
        <is>
          <t>VÄSTERNORRLANDS LÄN</t>
        </is>
      </c>
      <c r="E636" t="inlineStr">
        <is>
          <t>SOLLEFTEÅ</t>
        </is>
      </c>
      <c r="G636" t="n">
        <v>2.5</v>
      </c>
      <c r="H636" t="n">
        <v>0</v>
      </c>
      <c r="I636" t="n">
        <v>0</v>
      </c>
      <c r="J636" t="n">
        <v>0</v>
      </c>
      <c r="K636" t="n">
        <v>0</v>
      </c>
      <c r="L636" t="n">
        <v>0</v>
      </c>
      <c r="M636" t="n">
        <v>0</v>
      </c>
      <c r="N636" t="n">
        <v>0</v>
      </c>
      <c r="O636" t="n">
        <v>0</v>
      </c>
      <c r="P636" t="n">
        <v>0</v>
      </c>
      <c r="Q636" t="n">
        <v>0</v>
      </c>
      <c r="R636" s="2" t="inlineStr"/>
    </row>
    <row r="637" ht="15" customHeight="1">
      <c r="A637" t="inlineStr">
        <is>
          <t>A 18402-2020</t>
        </is>
      </c>
      <c r="B637" s="1" t="n">
        <v>43928</v>
      </c>
      <c r="C637" s="1" t="n">
        <v>45637</v>
      </c>
      <c r="D637" t="inlineStr">
        <is>
          <t>VÄSTERNORRLANDS LÄN</t>
        </is>
      </c>
      <c r="E637" t="inlineStr">
        <is>
          <t>SOLLEFTEÅ</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20164-2020</t>
        </is>
      </c>
      <c r="B638" s="1" t="n">
        <v>43944</v>
      </c>
      <c r="C638" s="1" t="n">
        <v>45637</v>
      </c>
      <c r="D638" t="inlineStr">
        <is>
          <t>VÄSTERNORRLANDS LÄN</t>
        </is>
      </c>
      <c r="E638" t="inlineStr">
        <is>
          <t>SOLLEFTEÅ</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20419-2020</t>
        </is>
      </c>
      <c r="B639" s="1" t="n">
        <v>43945</v>
      </c>
      <c r="C639" s="1" t="n">
        <v>45637</v>
      </c>
      <c r="D639" t="inlineStr">
        <is>
          <t>VÄSTERNORRLANDS LÄN</t>
        </is>
      </c>
      <c r="E639" t="inlineStr">
        <is>
          <t>SOLLEFTEÅ</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20861-2020</t>
        </is>
      </c>
      <c r="B640" s="1" t="n">
        <v>43948</v>
      </c>
      <c r="C640" s="1" t="n">
        <v>45637</v>
      </c>
      <c r="D640" t="inlineStr">
        <is>
          <t>VÄSTERNORRLANDS LÄN</t>
        </is>
      </c>
      <c r="E640" t="inlineStr">
        <is>
          <t>SOLLEFTEÅ</t>
        </is>
      </c>
      <c r="G640" t="n">
        <v>2.9</v>
      </c>
      <c r="H640" t="n">
        <v>0</v>
      </c>
      <c r="I640" t="n">
        <v>0</v>
      </c>
      <c r="J640" t="n">
        <v>0</v>
      </c>
      <c r="K640" t="n">
        <v>0</v>
      </c>
      <c r="L640" t="n">
        <v>0</v>
      </c>
      <c r="M640" t="n">
        <v>0</v>
      </c>
      <c r="N640" t="n">
        <v>0</v>
      </c>
      <c r="O640" t="n">
        <v>0</v>
      </c>
      <c r="P640" t="n">
        <v>0</v>
      </c>
      <c r="Q640" t="n">
        <v>0</v>
      </c>
      <c r="R640" s="2" t="inlineStr"/>
    </row>
    <row r="641" ht="15" customHeight="1">
      <c r="A641" t="inlineStr">
        <is>
          <t>A 21022-2020</t>
        </is>
      </c>
      <c r="B641" s="1" t="n">
        <v>43950</v>
      </c>
      <c r="C641" s="1" t="n">
        <v>45637</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21097-2020</t>
        </is>
      </c>
      <c r="B642" s="1" t="n">
        <v>43950</v>
      </c>
      <c r="C642" s="1" t="n">
        <v>45637</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21020-2020</t>
        </is>
      </c>
      <c r="B643" s="1" t="n">
        <v>43950</v>
      </c>
      <c r="C643" s="1" t="n">
        <v>45637</v>
      </c>
      <c r="D643" t="inlineStr">
        <is>
          <t>VÄSTERNORRLANDS LÄN</t>
        </is>
      </c>
      <c r="E643" t="inlineStr">
        <is>
          <t>SOLLEFTEÅ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22371-2020</t>
        </is>
      </c>
      <c r="B644" s="1" t="n">
        <v>43957</v>
      </c>
      <c r="C644" s="1" t="n">
        <v>45637</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22731-2020</t>
        </is>
      </c>
      <c r="B645" s="1" t="n">
        <v>43962</v>
      </c>
      <c r="C645" s="1" t="n">
        <v>45637</v>
      </c>
      <c r="D645" t="inlineStr">
        <is>
          <t>VÄSTERNORRLANDS LÄN</t>
        </is>
      </c>
      <c r="E645" t="inlineStr">
        <is>
          <t>SOLLEFTEÅ</t>
        </is>
      </c>
      <c r="G645" t="n">
        <v>16.8</v>
      </c>
      <c r="H645" t="n">
        <v>0</v>
      </c>
      <c r="I645" t="n">
        <v>0</v>
      </c>
      <c r="J645" t="n">
        <v>0</v>
      </c>
      <c r="K645" t="n">
        <v>0</v>
      </c>
      <c r="L645" t="n">
        <v>0</v>
      </c>
      <c r="M645" t="n">
        <v>0</v>
      </c>
      <c r="N645" t="n">
        <v>0</v>
      </c>
      <c r="O645" t="n">
        <v>0</v>
      </c>
      <c r="P645" t="n">
        <v>0</v>
      </c>
      <c r="Q645" t="n">
        <v>0</v>
      </c>
      <c r="R645" s="2" t="inlineStr"/>
    </row>
    <row r="646" ht="15" customHeight="1">
      <c r="A646" t="inlineStr">
        <is>
          <t>A 21607-2020</t>
        </is>
      </c>
      <c r="B646" s="1" t="n">
        <v>43963</v>
      </c>
      <c r="C646" s="1" t="n">
        <v>45637</v>
      </c>
      <c r="D646" t="inlineStr">
        <is>
          <t>VÄSTERNORRLANDS LÄN</t>
        </is>
      </c>
      <c r="E646" t="inlineStr">
        <is>
          <t>SOLLEFTEÅ</t>
        </is>
      </c>
      <c r="G646" t="n">
        <v>3.6</v>
      </c>
      <c r="H646" t="n">
        <v>0</v>
      </c>
      <c r="I646" t="n">
        <v>0</v>
      </c>
      <c r="J646" t="n">
        <v>0</v>
      </c>
      <c r="K646" t="n">
        <v>0</v>
      </c>
      <c r="L646" t="n">
        <v>0</v>
      </c>
      <c r="M646" t="n">
        <v>0</v>
      </c>
      <c r="N646" t="n">
        <v>0</v>
      </c>
      <c r="O646" t="n">
        <v>0</v>
      </c>
      <c r="P646" t="n">
        <v>0</v>
      </c>
      <c r="Q646" t="n">
        <v>0</v>
      </c>
      <c r="R646" s="2" t="inlineStr"/>
    </row>
    <row r="647" ht="15" customHeight="1">
      <c r="A647" t="inlineStr">
        <is>
          <t>A 22561-2020</t>
        </is>
      </c>
      <c r="B647" s="1" t="n">
        <v>43963</v>
      </c>
      <c r="C647" s="1" t="n">
        <v>45637</v>
      </c>
      <c r="D647" t="inlineStr">
        <is>
          <t>VÄSTERNORRLANDS LÄN</t>
        </is>
      </c>
      <c r="E647" t="inlineStr">
        <is>
          <t>SOLLEFTEÅ</t>
        </is>
      </c>
      <c r="G647" t="n">
        <v>8.6</v>
      </c>
      <c r="H647" t="n">
        <v>0</v>
      </c>
      <c r="I647" t="n">
        <v>0</v>
      </c>
      <c r="J647" t="n">
        <v>0</v>
      </c>
      <c r="K647" t="n">
        <v>0</v>
      </c>
      <c r="L647" t="n">
        <v>0</v>
      </c>
      <c r="M647" t="n">
        <v>0</v>
      </c>
      <c r="N647" t="n">
        <v>0</v>
      </c>
      <c r="O647" t="n">
        <v>0</v>
      </c>
      <c r="P647" t="n">
        <v>0</v>
      </c>
      <c r="Q647" t="n">
        <v>0</v>
      </c>
      <c r="R647" s="2" t="inlineStr"/>
    </row>
    <row r="648" ht="15" customHeight="1">
      <c r="A648" t="inlineStr">
        <is>
          <t>A 23231-2020</t>
        </is>
      </c>
      <c r="B648" s="1" t="n">
        <v>43966</v>
      </c>
      <c r="C648" s="1" t="n">
        <v>45637</v>
      </c>
      <c r="D648" t="inlineStr">
        <is>
          <t>VÄSTERNORRLANDS LÄN</t>
        </is>
      </c>
      <c r="E648" t="inlineStr">
        <is>
          <t>SOLLEFTEÅ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23638-2020</t>
        </is>
      </c>
      <c r="B649" s="1" t="n">
        <v>43969</v>
      </c>
      <c r="C649" s="1" t="n">
        <v>45637</v>
      </c>
      <c r="D649" t="inlineStr">
        <is>
          <t>VÄSTERNORRLANDS LÄN</t>
        </is>
      </c>
      <c r="E649" t="inlineStr">
        <is>
          <t>SOLLEFTEÅ</t>
        </is>
      </c>
      <c r="G649" t="n">
        <v>8.9</v>
      </c>
      <c r="H649" t="n">
        <v>0</v>
      </c>
      <c r="I649" t="n">
        <v>0</v>
      </c>
      <c r="J649" t="n">
        <v>0</v>
      </c>
      <c r="K649" t="n">
        <v>0</v>
      </c>
      <c r="L649" t="n">
        <v>0</v>
      </c>
      <c r="M649" t="n">
        <v>0</v>
      </c>
      <c r="N649" t="n">
        <v>0</v>
      </c>
      <c r="O649" t="n">
        <v>0</v>
      </c>
      <c r="P649" t="n">
        <v>0</v>
      </c>
      <c r="Q649" t="n">
        <v>0</v>
      </c>
      <c r="R649" s="2" t="inlineStr"/>
    </row>
    <row r="650" ht="15" customHeight="1">
      <c r="A650" t="inlineStr">
        <is>
          <t>A 24060-2020</t>
        </is>
      </c>
      <c r="B650" s="1" t="n">
        <v>43971</v>
      </c>
      <c r="C650" s="1" t="n">
        <v>45637</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24062-2020</t>
        </is>
      </c>
      <c r="B651" s="1" t="n">
        <v>43971</v>
      </c>
      <c r="C651" s="1" t="n">
        <v>45637</v>
      </c>
      <c r="D651" t="inlineStr">
        <is>
          <t>VÄSTERNORRLANDS LÄN</t>
        </is>
      </c>
      <c r="E651" t="inlineStr">
        <is>
          <t>SOLLEFTEÅ</t>
        </is>
      </c>
      <c r="G651" t="n">
        <v>1.6</v>
      </c>
      <c r="H651" t="n">
        <v>0</v>
      </c>
      <c r="I651" t="n">
        <v>0</v>
      </c>
      <c r="J651" t="n">
        <v>0</v>
      </c>
      <c r="K651" t="n">
        <v>0</v>
      </c>
      <c r="L651" t="n">
        <v>0</v>
      </c>
      <c r="M651" t="n">
        <v>0</v>
      </c>
      <c r="N651" t="n">
        <v>0</v>
      </c>
      <c r="O651" t="n">
        <v>0</v>
      </c>
      <c r="P651" t="n">
        <v>0</v>
      </c>
      <c r="Q651" t="n">
        <v>0</v>
      </c>
      <c r="R651" s="2" t="inlineStr"/>
    </row>
    <row r="652" ht="15" customHeight="1">
      <c r="A652" t="inlineStr">
        <is>
          <t>A 24061-2020</t>
        </is>
      </c>
      <c r="B652" s="1" t="n">
        <v>43971</v>
      </c>
      <c r="C652" s="1" t="n">
        <v>45637</v>
      </c>
      <c r="D652" t="inlineStr">
        <is>
          <t>VÄSTERNORRLANDS LÄN</t>
        </is>
      </c>
      <c r="E652" t="inlineStr">
        <is>
          <t>SOLLEFTEÅ</t>
        </is>
      </c>
      <c r="G652" t="n">
        <v>5.7</v>
      </c>
      <c r="H652" t="n">
        <v>0</v>
      </c>
      <c r="I652" t="n">
        <v>0</v>
      </c>
      <c r="J652" t="n">
        <v>0</v>
      </c>
      <c r="K652" t="n">
        <v>0</v>
      </c>
      <c r="L652" t="n">
        <v>0</v>
      </c>
      <c r="M652" t="n">
        <v>0</v>
      </c>
      <c r="N652" t="n">
        <v>0</v>
      </c>
      <c r="O652" t="n">
        <v>0</v>
      </c>
      <c r="P652" t="n">
        <v>0</v>
      </c>
      <c r="Q652" t="n">
        <v>0</v>
      </c>
      <c r="R652" s="2" t="inlineStr"/>
    </row>
    <row r="653" ht="15" customHeight="1">
      <c r="A653" t="inlineStr">
        <is>
          <t>A 25100-2020</t>
        </is>
      </c>
      <c r="B653" s="1" t="n">
        <v>43979</v>
      </c>
      <c r="C653" s="1" t="n">
        <v>45637</v>
      </c>
      <c r="D653" t="inlineStr">
        <is>
          <t>VÄSTERNORRLANDS LÄN</t>
        </is>
      </c>
      <c r="E653" t="inlineStr">
        <is>
          <t>SOLLEFTEÅ</t>
        </is>
      </c>
      <c r="G653" t="n">
        <v>4.7</v>
      </c>
      <c r="H653" t="n">
        <v>0</v>
      </c>
      <c r="I653" t="n">
        <v>0</v>
      </c>
      <c r="J653" t="n">
        <v>0</v>
      </c>
      <c r="K653" t="n">
        <v>0</v>
      </c>
      <c r="L653" t="n">
        <v>0</v>
      </c>
      <c r="M653" t="n">
        <v>0</v>
      </c>
      <c r="N653" t="n">
        <v>0</v>
      </c>
      <c r="O653" t="n">
        <v>0</v>
      </c>
      <c r="P653" t="n">
        <v>0</v>
      </c>
      <c r="Q653" t="n">
        <v>0</v>
      </c>
      <c r="R653" s="2" t="inlineStr"/>
    </row>
    <row r="654" ht="15" customHeight="1">
      <c r="A654" t="inlineStr">
        <is>
          <t>A 26189-2020</t>
        </is>
      </c>
      <c r="B654" s="1" t="n">
        <v>43985</v>
      </c>
      <c r="C654" s="1" t="n">
        <v>45637</v>
      </c>
      <c r="D654" t="inlineStr">
        <is>
          <t>VÄSTERNORRLANDS LÄN</t>
        </is>
      </c>
      <c r="E654" t="inlineStr">
        <is>
          <t>SOLLEFTEÅ</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26249-2020</t>
        </is>
      </c>
      <c r="B655" s="1" t="n">
        <v>43986</v>
      </c>
      <c r="C655" s="1" t="n">
        <v>45637</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27199-2020</t>
        </is>
      </c>
      <c r="B656" s="1" t="n">
        <v>43991</v>
      </c>
      <c r="C656" s="1" t="n">
        <v>45637</v>
      </c>
      <c r="D656" t="inlineStr">
        <is>
          <t>VÄSTERNORRLANDS LÄN</t>
        </is>
      </c>
      <c r="E656" t="inlineStr">
        <is>
          <t>SOLLEFTEÅ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27209-2020</t>
        </is>
      </c>
      <c r="B657" s="1" t="n">
        <v>43991</v>
      </c>
      <c r="C657" s="1" t="n">
        <v>45637</v>
      </c>
      <c r="D657" t="inlineStr">
        <is>
          <t>VÄSTERNORRLANDS LÄN</t>
        </is>
      </c>
      <c r="E657" t="inlineStr">
        <is>
          <t>SOLLEFTEÅ</t>
        </is>
      </c>
      <c r="F657" t="inlineStr">
        <is>
          <t>SCA</t>
        </is>
      </c>
      <c r="G657" t="n">
        <v>15.7</v>
      </c>
      <c r="H657" t="n">
        <v>0</v>
      </c>
      <c r="I657" t="n">
        <v>0</v>
      </c>
      <c r="J657" t="n">
        <v>0</v>
      </c>
      <c r="K657" t="n">
        <v>0</v>
      </c>
      <c r="L657" t="n">
        <v>0</v>
      </c>
      <c r="M657" t="n">
        <v>0</v>
      </c>
      <c r="N657" t="n">
        <v>0</v>
      </c>
      <c r="O657" t="n">
        <v>0</v>
      </c>
      <c r="P657" t="n">
        <v>0</v>
      </c>
      <c r="Q657" t="n">
        <v>0</v>
      </c>
      <c r="R657" s="2" t="inlineStr"/>
    </row>
    <row r="658" ht="15" customHeight="1">
      <c r="A658" t="inlineStr">
        <is>
          <t>A 28489-2020</t>
        </is>
      </c>
      <c r="B658" s="1" t="n">
        <v>43998</v>
      </c>
      <c r="C658" s="1" t="n">
        <v>45637</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28486-2020</t>
        </is>
      </c>
      <c r="B659" s="1" t="n">
        <v>43999</v>
      </c>
      <c r="C659" s="1" t="n">
        <v>45637</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29648-2020</t>
        </is>
      </c>
      <c r="B660" s="1" t="n">
        <v>44004</v>
      </c>
      <c r="C660" s="1" t="n">
        <v>45637</v>
      </c>
      <c r="D660" t="inlineStr">
        <is>
          <t>VÄSTERNORRLANDS LÄN</t>
        </is>
      </c>
      <c r="E660" t="inlineStr">
        <is>
          <t>SOLLEFTEÅ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29503-2020</t>
        </is>
      </c>
      <c r="B661" s="1" t="n">
        <v>44005</v>
      </c>
      <c r="C661" s="1" t="n">
        <v>45637</v>
      </c>
      <c r="D661" t="inlineStr">
        <is>
          <t>VÄSTERNORRLANDS LÄN</t>
        </is>
      </c>
      <c r="E661" t="inlineStr">
        <is>
          <t>SOLLEFTEÅ</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29825-2020</t>
        </is>
      </c>
      <c r="B662" s="1" t="n">
        <v>44005</v>
      </c>
      <c r="C662" s="1" t="n">
        <v>45637</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29801-2020</t>
        </is>
      </c>
      <c r="B663" s="1" t="n">
        <v>44005</v>
      </c>
      <c r="C663" s="1" t="n">
        <v>45637</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30492-2020</t>
        </is>
      </c>
      <c r="B664" s="1" t="n">
        <v>44007</v>
      </c>
      <c r="C664" s="1" t="n">
        <v>45637</v>
      </c>
      <c r="D664" t="inlineStr">
        <is>
          <t>VÄSTERNORRLANDS LÄN</t>
        </is>
      </c>
      <c r="E664" t="inlineStr">
        <is>
          <t>SOLLEFTEÅ</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30484-2020</t>
        </is>
      </c>
      <c r="B665" s="1" t="n">
        <v>44007</v>
      </c>
      <c r="C665" s="1" t="n">
        <v>45637</v>
      </c>
      <c r="D665" t="inlineStr">
        <is>
          <t>VÄSTERNORRLANDS LÄN</t>
        </is>
      </c>
      <c r="E665" t="inlineStr">
        <is>
          <t>SOLLEFTEÅ</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30753-2020</t>
        </is>
      </c>
      <c r="B666" s="1" t="n">
        <v>44008</v>
      </c>
      <c r="C666" s="1" t="n">
        <v>45637</v>
      </c>
      <c r="D666" t="inlineStr">
        <is>
          <t>VÄSTERNORRLANDS LÄN</t>
        </is>
      </c>
      <c r="E666" t="inlineStr">
        <is>
          <t>SOLLEFTEÅ</t>
        </is>
      </c>
      <c r="F666" t="inlineStr">
        <is>
          <t>SCA</t>
        </is>
      </c>
      <c r="G666" t="n">
        <v>10.7</v>
      </c>
      <c r="H666" t="n">
        <v>0</v>
      </c>
      <c r="I666" t="n">
        <v>0</v>
      </c>
      <c r="J666" t="n">
        <v>0</v>
      </c>
      <c r="K666" t="n">
        <v>0</v>
      </c>
      <c r="L666" t="n">
        <v>0</v>
      </c>
      <c r="M666" t="n">
        <v>0</v>
      </c>
      <c r="N666" t="n">
        <v>0</v>
      </c>
      <c r="O666" t="n">
        <v>0</v>
      </c>
      <c r="P666" t="n">
        <v>0</v>
      </c>
      <c r="Q666" t="n">
        <v>0</v>
      </c>
      <c r="R666" s="2" t="inlineStr"/>
    </row>
    <row r="667" ht="15" customHeight="1">
      <c r="A667" t="inlineStr">
        <is>
          <t>A 30747-2020</t>
        </is>
      </c>
      <c r="B667" s="1" t="n">
        <v>44008</v>
      </c>
      <c r="C667" s="1" t="n">
        <v>45637</v>
      </c>
      <c r="D667" t="inlineStr">
        <is>
          <t>VÄSTERNORRLANDS LÄN</t>
        </is>
      </c>
      <c r="E667" t="inlineStr">
        <is>
          <t>SOLLEFTEÅ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30802-2020</t>
        </is>
      </c>
      <c r="B668" s="1" t="n">
        <v>44011</v>
      </c>
      <c r="C668" s="1" t="n">
        <v>45637</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31313-2020</t>
        </is>
      </c>
      <c r="B669" s="1" t="n">
        <v>44012</v>
      </c>
      <c r="C669" s="1" t="n">
        <v>45637</v>
      </c>
      <c r="D669" t="inlineStr">
        <is>
          <t>VÄSTERNORRLANDS LÄN</t>
        </is>
      </c>
      <c r="E669" t="inlineStr">
        <is>
          <t>SOLLEFTEÅ</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32013-2020</t>
        </is>
      </c>
      <c r="B670" s="1" t="n">
        <v>44015</v>
      </c>
      <c r="C670" s="1" t="n">
        <v>45637</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32325-2020</t>
        </is>
      </c>
      <c r="B671" s="1" t="n">
        <v>44016</v>
      </c>
      <c r="C671" s="1" t="n">
        <v>45637</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32461-2020</t>
        </is>
      </c>
      <c r="B672" s="1" t="n">
        <v>44015</v>
      </c>
      <c r="C672" s="1" t="n">
        <v>45637</v>
      </c>
      <c r="D672" t="inlineStr">
        <is>
          <t>VÄSTERNORRLANDS LÄN</t>
        </is>
      </c>
      <c r="E672" t="inlineStr">
        <is>
          <t>SOLLEFTEÅ</t>
        </is>
      </c>
      <c r="G672" t="n">
        <v>3.7</v>
      </c>
      <c r="H672" t="n">
        <v>0</v>
      </c>
      <c r="I672" t="n">
        <v>0</v>
      </c>
      <c r="J672" t="n">
        <v>0</v>
      </c>
      <c r="K672" t="n">
        <v>0</v>
      </c>
      <c r="L672" t="n">
        <v>0</v>
      </c>
      <c r="M672" t="n">
        <v>0</v>
      </c>
      <c r="N672" t="n">
        <v>0</v>
      </c>
      <c r="O672" t="n">
        <v>0</v>
      </c>
      <c r="P672" t="n">
        <v>0</v>
      </c>
      <c r="Q672" t="n">
        <v>0</v>
      </c>
      <c r="R672" s="2" t="inlineStr"/>
    </row>
    <row r="673" ht="15" customHeight="1">
      <c r="A673" t="inlineStr">
        <is>
          <t>A 32318-2020</t>
        </is>
      </c>
      <c r="B673" s="1" t="n">
        <v>44015</v>
      </c>
      <c r="C673" s="1" t="n">
        <v>45637</v>
      </c>
      <c r="D673" t="inlineStr">
        <is>
          <t>VÄSTERNORRLANDS LÄN</t>
        </is>
      </c>
      <c r="E673" t="inlineStr">
        <is>
          <t>SOLLEFTEÅ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32919-2020</t>
        </is>
      </c>
      <c r="B674" s="1" t="n">
        <v>44018</v>
      </c>
      <c r="C674" s="1" t="n">
        <v>45637</v>
      </c>
      <c r="D674" t="inlineStr">
        <is>
          <t>VÄSTERNORRLANDS LÄN</t>
        </is>
      </c>
      <c r="E674" t="inlineStr">
        <is>
          <t>SOLLEFTEÅ</t>
        </is>
      </c>
      <c r="G674" t="n">
        <v>5.5</v>
      </c>
      <c r="H674" t="n">
        <v>0</v>
      </c>
      <c r="I674" t="n">
        <v>0</v>
      </c>
      <c r="J674" t="n">
        <v>0</v>
      </c>
      <c r="K674" t="n">
        <v>0</v>
      </c>
      <c r="L674" t="n">
        <v>0</v>
      </c>
      <c r="M674" t="n">
        <v>0</v>
      </c>
      <c r="N674" t="n">
        <v>0</v>
      </c>
      <c r="O674" t="n">
        <v>0</v>
      </c>
      <c r="P674" t="n">
        <v>0</v>
      </c>
      <c r="Q674" t="n">
        <v>0</v>
      </c>
      <c r="R674" s="2" t="inlineStr"/>
    </row>
    <row r="675" ht="15" customHeight="1">
      <c r="A675" t="inlineStr">
        <is>
          <t>A 32929-2020</t>
        </is>
      </c>
      <c r="B675" s="1" t="n">
        <v>44018</v>
      </c>
      <c r="C675" s="1" t="n">
        <v>45637</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32924-2020</t>
        </is>
      </c>
      <c r="B676" s="1" t="n">
        <v>44018</v>
      </c>
      <c r="C676" s="1" t="n">
        <v>45637</v>
      </c>
      <c r="D676" t="inlineStr">
        <is>
          <t>VÄSTERNORRLANDS LÄN</t>
        </is>
      </c>
      <c r="E676" t="inlineStr">
        <is>
          <t>SOLLEFTEÅ</t>
        </is>
      </c>
      <c r="G676" t="n">
        <v>2.8</v>
      </c>
      <c r="H676" t="n">
        <v>0</v>
      </c>
      <c r="I676" t="n">
        <v>0</v>
      </c>
      <c r="J676" t="n">
        <v>0</v>
      </c>
      <c r="K676" t="n">
        <v>0</v>
      </c>
      <c r="L676" t="n">
        <v>0</v>
      </c>
      <c r="M676" t="n">
        <v>0</v>
      </c>
      <c r="N676" t="n">
        <v>0</v>
      </c>
      <c r="O676" t="n">
        <v>0</v>
      </c>
      <c r="P676" t="n">
        <v>0</v>
      </c>
      <c r="Q676" t="n">
        <v>0</v>
      </c>
      <c r="R676" s="2" t="inlineStr"/>
    </row>
    <row r="677" ht="15" customHeight="1">
      <c r="A677" t="inlineStr">
        <is>
          <t>A 32742-2020</t>
        </is>
      </c>
      <c r="B677" s="1" t="n">
        <v>44019</v>
      </c>
      <c r="C677" s="1" t="n">
        <v>45637</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33013-2020</t>
        </is>
      </c>
      <c r="B678" s="1" t="n">
        <v>44020</v>
      </c>
      <c r="C678" s="1" t="n">
        <v>45637</v>
      </c>
      <c r="D678" t="inlineStr">
        <is>
          <t>VÄSTERNORRLANDS LÄN</t>
        </is>
      </c>
      <c r="E678" t="inlineStr">
        <is>
          <t>SOLLEFTEÅ</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33009-2020</t>
        </is>
      </c>
      <c r="B679" s="1" t="n">
        <v>44020</v>
      </c>
      <c r="C679" s="1" t="n">
        <v>45637</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33014-2020</t>
        </is>
      </c>
      <c r="B680" s="1" t="n">
        <v>44021</v>
      </c>
      <c r="C680" s="1" t="n">
        <v>45637</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33010-2020</t>
        </is>
      </c>
      <c r="B681" s="1" t="n">
        <v>44020</v>
      </c>
      <c r="C681" s="1" t="n">
        <v>45637</v>
      </c>
      <c r="D681" t="inlineStr">
        <is>
          <t>VÄSTERNORRLANDS LÄN</t>
        </is>
      </c>
      <c r="E681" t="inlineStr">
        <is>
          <t>SOLLEFTEÅ</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33200-2020</t>
        </is>
      </c>
      <c r="B682" s="1" t="n">
        <v>44021</v>
      </c>
      <c r="C682" s="1" t="n">
        <v>45637</v>
      </c>
      <c r="D682" t="inlineStr">
        <is>
          <t>VÄSTERNORRLANDS LÄN</t>
        </is>
      </c>
      <c r="E682" t="inlineStr">
        <is>
          <t>SOLLEFTEÅ</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33211-2020</t>
        </is>
      </c>
      <c r="B683" s="1" t="n">
        <v>44021</v>
      </c>
      <c r="C683" s="1" t="n">
        <v>45637</v>
      </c>
      <c r="D683" t="inlineStr">
        <is>
          <t>VÄSTERNORRLANDS LÄN</t>
        </is>
      </c>
      <c r="E683" t="inlineStr">
        <is>
          <t>SOLLEFTEÅ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33212-2020</t>
        </is>
      </c>
      <c r="B684" s="1" t="n">
        <v>44021</v>
      </c>
      <c r="C684" s="1" t="n">
        <v>45637</v>
      </c>
      <c r="D684" t="inlineStr">
        <is>
          <t>VÄSTERNORRLANDS LÄN</t>
        </is>
      </c>
      <c r="E684" t="inlineStr">
        <is>
          <t>SOLLEFTEÅ</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33440-2020</t>
        </is>
      </c>
      <c r="B685" s="1" t="n">
        <v>44022</v>
      </c>
      <c r="C685" s="1" t="n">
        <v>45637</v>
      </c>
      <c r="D685" t="inlineStr">
        <is>
          <t>VÄSTERNORRLANDS LÄN</t>
        </is>
      </c>
      <c r="E685" t="inlineStr">
        <is>
          <t>SOLLEFTEÅ</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33458-2020</t>
        </is>
      </c>
      <c r="B686" s="1" t="n">
        <v>44022</v>
      </c>
      <c r="C686" s="1" t="n">
        <v>45637</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33445-2020</t>
        </is>
      </c>
      <c r="B687" s="1" t="n">
        <v>44022</v>
      </c>
      <c r="C687" s="1" t="n">
        <v>45637</v>
      </c>
      <c r="D687" t="inlineStr">
        <is>
          <t>VÄSTERNORRLANDS LÄN</t>
        </is>
      </c>
      <c r="E687" t="inlineStr">
        <is>
          <t>SOLLEFTEÅ</t>
        </is>
      </c>
      <c r="G687" t="n">
        <v>4.5</v>
      </c>
      <c r="H687" t="n">
        <v>0</v>
      </c>
      <c r="I687" t="n">
        <v>0</v>
      </c>
      <c r="J687" t="n">
        <v>0</v>
      </c>
      <c r="K687" t="n">
        <v>0</v>
      </c>
      <c r="L687" t="n">
        <v>0</v>
      </c>
      <c r="M687" t="n">
        <v>0</v>
      </c>
      <c r="N687" t="n">
        <v>0</v>
      </c>
      <c r="O687" t="n">
        <v>0</v>
      </c>
      <c r="P687" t="n">
        <v>0</v>
      </c>
      <c r="Q687" t="n">
        <v>0</v>
      </c>
      <c r="R687" s="2" t="inlineStr"/>
    </row>
    <row r="688" ht="15" customHeight="1">
      <c r="A688" t="inlineStr">
        <is>
          <t>A 33492-2020</t>
        </is>
      </c>
      <c r="B688" s="1" t="n">
        <v>44024</v>
      </c>
      <c r="C688" s="1" t="n">
        <v>45637</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33640-2020</t>
        </is>
      </c>
      <c r="B689" s="1" t="n">
        <v>44025</v>
      </c>
      <c r="C689" s="1" t="n">
        <v>45637</v>
      </c>
      <c r="D689" t="inlineStr">
        <is>
          <t>VÄSTERNORRLANDS LÄN</t>
        </is>
      </c>
      <c r="E689" t="inlineStr">
        <is>
          <t>SOLLEFTEÅ</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33641-2020</t>
        </is>
      </c>
      <c r="B690" s="1" t="n">
        <v>44025</v>
      </c>
      <c r="C690" s="1" t="n">
        <v>45637</v>
      </c>
      <c r="D690" t="inlineStr">
        <is>
          <t>VÄSTERNORRLANDS LÄN</t>
        </is>
      </c>
      <c r="E690" t="inlineStr">
        <is>
          <t>SOLLEFTEÅ</t>
        </is>
      </c>
      <c r="F690" t="inlineStr">
        <is>
          <t>SCA</t>
        </is>
      </c>
      <c r="G690" t="n">
        <v>8.1</v>
      </c>
      <c r="H690" t="n">
        <v>0</v>
      </c>
      <c r="I690" t="n">
        <v>0</v>
      </c>
      <c r="J690" t="n">
        <v>0</v>
      </c>
      <c r="K690" t="n">
        <v>0</v>
      </c>
      <c r="L690" t="n">
        <v>0</v>
      </c>
      <c r="M690" t="n">
        <v>0</v>
      </c>
      <c r="N690" t="n">
        <v>0</v>
      </c>
      <c r="O690" t="n">
        <v>0</v>
      </c>
      <c r="P690" t="n">
        <v>0</v>
      </c>
      <c r="Q690" t="n">
        <v>0</v>
      </c>
      <c r="R690" s="2" t="inlineStr"/>
    </row>
    <row r="691" ht="15" customHeight="1">
      <c r="A691" t="inlineStr">
        <is>
          <t>A 33628-2020</t>
        </is>
      </c>
      <c r="B691" s="1" t="n">
        <v>44025</v>
      </c>
      <c r="C691" s="1" t="n">
        <v>45637</v>
      </c>
      <c r="D691" t="inlineStr">
        <is>
          <t>VÄSTERNORRLANDS LÄN</t>
        </is>
      </c>
      <c r="E691" t="inlineStr">
        <is>
          <t>SOLLEFTEÅ</t>
        </is>
      </c>
      <c r="F691" t="inlineStr">
        <is>
          <t>SCA</t>
        </is>
      </c>
      <c r="G691" t="n">
        <v>8</v>
      </c>
      <c r="H691" t="n">
        <v>0</v>
      </c>
      <c r="I691" t="n">
        <v>0</v>
      </c>
      <c r="J691" t="n">
        <v>0</v>
      </c>
      <c r="K691" t="n">
        <v>0</v>
      </c>
      <c r="L691" t="n">
        <v>0</v>
      </c>
      <c r="M691" t="n">
        <v>0</v>
      </c>
      <c r="N691" t="n">
        <v>0</v>
      </c>
      <c r="O691" t="n">
        <v>0</v>
      </c>
      <c r="P691" t="n">
        <v>0</v>
      </c>
      <c r="Q691" t="n">
        <v>0</v>
      </c>
      <c r="R691" s="2" t="inlineStr"/>
    </row>
    <row r="692" ht="15" customHeight="1">
      <c r="A692" t="inlineStr">
        <is>
          <t>A 33784-2020</t>
        </is>
      </c>
      <c r="B692" s="1" t="n">
        <v>44026</v>
      </c>
      <c r="C692" s="1" t="n">
        <v>45637</v>
      </c>
      <c r="D692" t="inlineStr">
        <is>
          <t>VÄSTERNORRLANDS LÄN</t>
        </is>
      </c>
      <c r="E692" t="inlineStr">
        <is>
          <t>SOLLEFTEÅ</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33782-2020</t>
        </is>
      </c>
      <c r="B693" s="1" t="n">
        <v>44026</v>
      </c>
      <c r="C693" s="1" t="n">
        <v>45637</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33950-2020</t>
        </is>
      </c>
      <c r="B694" s="1" t="n">
        <v>44027</v>
      </c>
      <c r="C694" s="1" t="n">
        <v>45637</v>
      </c>
      <c r="D694" t="inlineStr">
        <is>
          <t>VÄSTERNORRLANDS LÄN</t>
        </is>
      </c>
      <c r="E694" t="inlineStr">
        <is>
          <t>SOLLEFTEÅ</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34120-2020</t>
        </is>
      </c>
      <c r="B695" s="1" t="n">
        <v>44029</v>
      </c>
      <c r="C695" s="1" t="n">
        <v>45637</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34474-2020</t>
        </is>
      </c>
      <c r="B696" s="1" t="n">
        <v>44032</v>
      </c>
      <c r="C696" s="1" t="n">
        <v>45637</v>
      </c>
      <c r="D696" t="inlineStr">
        <is>
          <t>VÄSTERNORRLANDS LÄN</t>
        </is>
      </c>
      <c r="E696" t="inlineStr">
        <is>
          <t>SOLLEFTEÅ</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34585-2020</t>
        </is>
      </c>
      <c r="B697" s="1" t="n">
        <v>44033</v>
      </c>
      <c r="C697" s="1" t="n">
        <v>45637</v>
      </c>
      <c r="D697" t="inlineStr">
        <is>
          <t>VÄSTERNORRLANDS LÄN</t>
        </is>
      </c>
      <c r="E697" t="inlineStr">
        <is>
          <t>SOLLEFTEÅ</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34669-2020</t>
        </is>
      </c>
      <c r="B698" s="1" t="n">
        <v>44034</v>
      </c>
      <c r="C698" s="1" t="n">
        <v>45637</v>
      </c>
      <c r="D698" t="inlineStr">
        <is>
          <t>VÄSTERNORRLANDS LÄN</t>
        </is>
      </c>
      <c r="E698" t="inlineStr">
        <is>
          <t>SOLLEFTEÅ</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34800-2020</t>
        </is>
      </c>
      <c r="B699" s="1" t="n">
        <v>44035</v>
      </c>
      <c r="C699" s="1" t="n">
        <v>45637</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34921-2020</t>
        </is>
      </c>
      <c r="B700" s="1" t="n">
        <v>44036</v>
      </c>
      <c r="C700" s="1" t="n">
        <v>45637</v>
      </c>
      <c r="D700" t="inlineStr">
        <is>
          <t>VÄSTERNORRLANDS LÄN</t>
        </is>
      </c>
      <c r="E700" t="inlineStr">
        <is>
          <t>SOLLEFTEÅ</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34923-2020</t>
        </is>
      </c>
      <c r="B701" s="1" t="n">
        <v>44037</v>
      </c>
      <c r="C701" s="1" t="n">
        <v>45637</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34922-2020</t>
        </is>
      </c>
      <c r="B702" s="1" t="n">
        <v>44036</v>
      </c>
      <c r="C702" s="1" t="n">
        <v>45637</v>
      </c>
      <c r="D702" t="inlineStr">
        <is>
          <t>VÄSTERNORRLANDS LÄN</t>
        </is>
      </c>
      <c r="E702" t="inlineStr">
        <is>
          <t>SOLLEFTEÅ</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35372-2020</t>
        </is>
      </c>
      <c r="B703" s="1" t="n">
        <v>44041</v>
      </c>
      <c r="C703" s="1" t="n">
        <v>45637</v>
      </c>
      <c r="D703" t="inlineStr">
        <is>
          <t>VÄSTERNORRLANDS LÄN</t>
        </is>
      </c>
      <c r="E703" t="inlineStr">
        <is>
          <t>SOLLEFTEÅ</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35361-2020</t>
        </is>
      </c>
      <c r="B704" s="1" t="n">
        <v>44041</v>
      </c>
      <c r="C704" s="1" t="n">
        <v>45637</v>
      </c>
      <c r="D704" t="inlineStr">
        <is>
          <t>VÄSTERNORRLANDS LÄN</t>
        </is>
      </c>
      <c r="E704" t="inlineStr">
        <is>
          <t>SOLLEFTEÅ</t>
        </is>
      </c>
      <c r="F704" t="inlineStr">
        <is>
          <t>SCA</t>
        </is>
      </c>
      <c r="G704" t="n">
        <v>13.6</v>
      </c>
      <c r="H704" t="n">
        <v>0</v>
      </c>
      <c r="I704" t="n">
        <v>0</v>
      </c>
      <c r="J704" t="n">
        <v>0</v>
      </c>
      <c r="K704" t="n">
        <v>0</v>
      </c>
      <c r="L704" t="n">
        <v>0</v>
      </c>
      <c r="M704" t="n">
        <v>0</v>
      </c>
      <c r="N704" t="n">
        <v>0</v>
      </c>
      <c r="O704" t="n">
        <v>0</v>
      </c>
      <c r="P704" t="n">
        <v>0</v>
      </c>
      <c r="Q704" t="n">
        <v>0</v>
      </c>
      <c r="R704" s="2" t="inlineStr"/>
    </row>
    <row r="705" ht="15" customHeight="1">
      <c r="A705" t="inlineStr">
        <is>
          <t>A 36789-2020</t>
        </is>
      </c>
      <c r="B705" s="1" t="n">
        <v>44048</v>
      </c>
      <c r="C705" s="1" t="n">
        <v>45637</v>
      </c>
      <c r="D705" t="inlineStr">
        <is>
          <t>VÄSTERNORRLANDS LÄN</t>
        </is>
      </c>
      <c r="E705" t="inlineStr">
        <is>
          <t>SOLLEFTEÅ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36660-2020</t>
        </is>
      </c>
      <c r="B706" s="1" t="n">
        <v>44050</v>
      </c>
      <c r="C706" s="1" t="n">
        <v>45637</v>
      </c>
      <c r="D706" t="inlineStr">
        <is>
          <t>VÄSTERNORRLANDS LÄN</t>
        </is>
      </c>
      <c r="E706" t="inlineStr">
        <is>
          <t>SOLLEFTEÅ</t>
        </is>
      </c>
      <c r="G706" t="n">
        <v>18.2</v>
      </c>
      <c r="H706" t="n">
        <v>0</v>
      </c>
      <c r="I706" t="n">
        <v>0</v>
      </c>
      <c r="J706" t="n">
        <v>0</v>
      </c>
      <c r="K706" t="n">
        <v>0</v>
      </c>
      <c r="L706" t="n">
        <v>0</v>
      </c>
      <c r="M706" t="n">
        <v>0</v>
      </c>
      <c r="N706" t="n">
        <v>0</v>
      </c>
      <c r="O706" t="n">
        <v>0</v>
      </c>
      <c r="P706" t="n">
        <v>0</v>
      </c>
      <c r="Q706" t="n">
        <v>0</v>
      </c>
      <c r="R706" s="2" t="inlineStr"/>
    </row>
    <row r="707" ht="15" customHeight="1">
      <c r="A707" t="inlineStr">
        <is>
          <t>A 36811-2020</t>
        </is>
      </c>
      <c r="B707" s="1" t="n">
        <v>44053</v>
      </c>
      <c r="C707" s="1" t="n">
        <v>45637</v>
      </c>
      <c r="D707" t="inlineStr">
        <is>
          <t>VÄSTERNORRLANDS LÄN</t>
        </is>
      </c>
      <c r="E707" t="inlineStr">
        <is>
          <t>SOLLEFTEÅ</t>
        </is>
      </c>
      <c r="G707" t="n">
        <v>4.7</v>
      </c>
      <c r="H707" t="n">
        <v>0</v>
      </c>
      <c r="I707" t="n">
        <v>0</v>
      </c>
      <c r="J707" t="n">
        <v>0</v>
      </c>
      <c r="K707" t="n">
        <v>0</v>
      </c>
      <c r="L707" t="n">
        <v>0</v>
      </c>
      <c r="M707" t="n">
        <v>0</v>
      </c>
      <c r="N707" t="n">
        <v>0</v>
      </c>
      <c r="O707" t="n">
        <v>0</v>
      </c>
      <c r="P707" t="n">
        <v>0</v>
      </c>
      <c r="Q707" t="n">
        <v>0</v>
      </c>
      <c r="R707" s="2" t="inlineStr"/>
    </row>
    <row r="708" ht="15" customHeight="1">
      <c r="A708" t="inlineStr">
        <is>
          <t>A 37710-2020</t>
        </is>
      </c>
      <c r="B708" s="1" t="n">
        <v>44056</v>
      </c>
      <c r="C708" s="1" t="n">
        <v>45637</v>
      </c>
      <c r="D708" t="inlineStr">
        <is>
          <t>VÄSTERNORRLANDS LÄN</t>
        </is>
      </c>
      <c r="E708" t="inlineStr">
        <is>
          <t>SOLLEFTEÅ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38482-2020</t>
        </is>
      </c>
      <c r="B709" s="1" t="n">
        <v>44060</v>
      </c>
      <c r="C709" s="1" t="n">
        <v>45637</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38517-2020</t>
        </is>
      </c>
      <c r="B710" s="1" t="n">
        <v>44060</v>
      </c>
      <c r="C710" s="1" t="n">
        <v>45637</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39007-2020</t>
        </is>
      </c>
      <c r="B711" s="1" t="n">
        <v>44062</v>
      </c>
      <c r="C711" s="1" t="n">
        <v>45637</v>
      </c>
      <c r="D711" t="inlineStr">
        <is>
          <t>VÄSTERNORRLANDS LÄN</t>
        </is>
      </c>
      <c r="E711" t="inlineStr">
        <is>
          <t>SOLLEFTEÅ</t>
        </is>
      </c>
      <c r="F711" t="inlineStr">
        <is>
          <t>Kyrkan</t>
        </is>
      </c>
      <c r="G711" t="n">
        <v>5</v>
      </c>
      <c r="H711" t="n">
        <v>0</v>
      </c>
      <c r="I711" t="n">
        <v>0</v>
      </c>
      <c r="J711" t="n">
        <v>0</v>
      </c>
      <c r="K711" t="n">
        <v>0</v>
      </c>
      <c r="L711" t="n">
        <v>0</v>
      </c>
      <c r="M711" t="n">
        <v>0</v>
      </c>
      <c r="N711" t="n">
        <v>0</v>
      </c>
      <c r="O711" t="n">
        <v>0</v>
      </c>
      <c r="P711" t="n">
        <v>0</v>
      </c>
      <c r="Q711" t="n">
        <v>0</v>
      </c>
      <c r="R711" s="2" t="inlineStr"/>
    </row>
    <row r="712" ht="15" customHeight="1">
      <c r="A712" t="inlineStr">
        <is>
          <t>A 39077-2020</t>
        </is>
      </c>
      <c r="B712" s="1" t="n">
        <v>44062</v>
      </c>
      <c r="C712" s="1" t="n">
        <v>45637</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39016-2020</t>
        </is>
      </c>
      <c r="B713" s="1" t="n">
        <v>44062</v>
      </c>
      <c r="C713" s="1" t="n">
        <v>45637</v>
      </c>
      <c r="D713" t="inlineStr">
        <is>
          <t>VÄSTERNORRLANDS LÄN</t>
        </is>
      </c>
      <c r="E713" t="inlineStr">
        <is>
          <t>SOLLEFTEÅ</t>
        </is>
      </c>
      <c r="F713" t="inlineStr">
        <is>
          <t>Kyrkan</t>
        </is>
      </c>
      <c r="G713" t="n">
        <v>2.4</v>
      </c>
      <c r="H713" t="n">
        <v>0</v>
      </c>
      <c r="I713" t="n">
        <v>0</v>
      </c>
      <c r="J713" t="n">
        <v>0</v>
      </c>
      <c r="K713" t="n">
        <v>0</v>
      </c>
      <c r="L713" t="n">
        <v>0</v>
      </c>
      <c r="M713" t="n">
        <v>0</v>
      </c>
      <c r="N713" t="n">
        <v>0</v>
      </c>
      <c r="O713" t="n">
        <v>0</v>
      </c>
      <c r="P713" t="n">
        <v>0</v>
      </c>
      <c r="Q713" t="n">
        <v>0</v>
      </c>
      <c r="R713" s="2" t="inlineStr"/>
    </row>
    <row r="714" ht="15" customHeight="1">
      <c r="A714" t="inlineStr">
        <is>
          <t>A 39148-2020</t>
        </is>
      </c>
      <c r="B714" s="1" t="n">
        <v>44063</v>
      </c>
      <c r="C714" s="1" t="n">
        <v>45637</v>
      </c>
      <c r="D714" t="inlineStr">
        <is>
          <t>VÄSTERNORRLANDS LÄN</t>
        </is>
      </c>
      <c r="E714" t="inlineStr">
        <is>
          <t>SOLLEFTEÅ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39409-2020</t>
        </is>
      </c>
      <c r="B715" s="1" t="n">
        <v>44064</v>
      </c>
      <c r="C715" s="1" t="n">
        <v>45637</v>
      </c>
      <c r="D715" t="inlineStr">
        <is>
          <t>VÄSTERNORRLANDS LÄN</t>
        </is>
      </c>
      <c r="E715" t="inlineStr">
        <is>
          <t>SOLLEFTEÅ</t>
        </is>
      </c>
      <c r="F715" t="inlineStr">
        <is>
          <t>Holmen skog AB</t>
        </is>
      </c>
      <c r="G715" t="n">
        <v>7.8</v>
      </c>
      <c r="H715" t="n">
        <v>0</v>
      </c>
      <c r="I715" t="n">
        <v>0</v>
      </c>
      <c r="J715" t="n">
        <v>0</v>
      </c>
      <c r="K715" t="n">
        <v>0</v>
      </c>
      <c r="L715" t="n">
        <v>0</v>
      </c>
      <c r="M715" t="n">
        <v>0</v>
      </c>
      <c r="N715" t="n">
        <v>0</v>
      </c>
      <c r="O715" t="n">
        <v>0</v>
      </c>
      <c r="P715" t="n">
        <v>0</v>
      </c>
      <c r="Q715" t="n">
        <v>0</v>
      </c>
      <c r="R715" s="2" t="inlineStr"/>
    </row>
    <row r="716" ht="15" customHeight="1">
      <c r="A716" t="inlineStr">
        <is>
          <t>A 39479-2020</t>
        </is>
      </c>
      <c r="B716" s="1" t="n">
        <v>44064</v>
      </c>
      <c r="C716" s="1" t="n">
        <v>45637</v>
      </c>
      <c r="D716" t="inlineStr">
        <is>
          <t>VÄSTERNORRLANDS LÄN</t>
        </is>
      </c>
      <c r="E716" t="inlineStr">
        <is>
          <t>SOLLEFTEÅ</t>
        </is>
      </c>
      <c r="G716" t="n">
        <v>17.8</v>
      </c>
      <c r="H716" t="n">
        <v>0</v>
      </c>
      <c r="I716" t="n">
        <v>0</v>
      </c>
      <c r="J716" t="n">
        <v>0</v>
      </c>
      <c r="K716" t="n">
        <v>0</v>
      </c>
      <c r="L716" t="n">
        <v>0</v>
      </c>
      <c r="M716" t="n">
        <v>0</v>
      </c>
      <c r="N716" t="n">
        <v>0</v>
      </c>
      <c r="O716" t="n">
        <v>0</v>
      </c>
      <c r="P716" t="n">
        <v>0</v>
      </c>
      <c r="Q716" t="n">
        <v>0</v>
      </c>
      <c r="R716" s="2" t="inlineStr"/>
    </row>
    <row r="717" ht="15" customHeight="1">
      <c r="A717" t="inlineStr">
        <is>
          <t>A 40180-2020</t>
        </is>
      </c>
      <c r="B717" s="1" t="n">
        <v>44064</v>
      </c>
      <c r="C717" s="1" t="n">
        <v>45637</v>
      </c>
      <c r="D717" t="inlineStr">
        <is>
          <t>VÄSTERNORRLANDS LÄN</t>
        </is>
      </c>
      <c r="E717" t="inlineStr">
        <is>
          <t>SOLLEFTEÅ</t>
        </is>
      </c>
      <c r="G717" t="n">
        <v>3.8</v>
      </c>
      <c r="H717" t="n">
        <v>0</v>
      </c>
      <c r="I717" t="n">
        <v>0</v>
      </c>
      <c r="J717" t="n">
        <v>0</v>
      </c>
      <c r="K717" t="n">
        <v>0</v>
      </c>
      <c r="L717" t="n">
        <v>0</v>
      </c>
      <c r="M717" t="n">
        <v>0</v>
      </c>
      <c r="N717" t="n">
        <v>0</v>
      </c>
      <c r="O717" t="n">
        <v>0</v>
      </c>
      <c r="P717" t="n">
        <v>0</v>
      </c>
      <c r="Q717" t="n">
        <v>0</v>
      </c>
      <c r="R717" s="2" t="inlineStr"/>
    </row>
    <row r="718" ht="15" customHeight="1">
      <c r="A718" t="inlineStr">
        <is>
          <t>A 39681-2020</t>
        </is>
      </c>
      <c r="B718" s="1" t="n">
        <v>44065</v>
      </c>
      <c r="C718" s="1" t="n">
        <v>45637</v>
      </c>
      <c r="D718" t="inlineStr">
        <is>
          <t>VÄSTERNORRLANDS LÄN</t>
        </is>
      </c>
      <c r="E718" t="inlineStr">
        <is>
          <t>SOLLEFTEÅ</t>
        </is>
      </c>
      <c r="F718" t="inlineStr">
        <is>
          <t>SCA</t>
        </is>
      </c>
      <c r="G718" t="n">
        <v>19.7</v>
      </c>
      <c r="H718" t="n">
        <v>0</v>
      </c>
      <c r="I718" t="n">
        <v>0</v>
      </c>
      <c r="J718" t="n">
        <v>0</v>
      </c>
      <c r="K718" t="n">
        <v>0</v>
      </c>
      <c r="L718" t="n">
        <v>0</v>
      </c>
      <c r="M718" t="n">
        <v>0</v>
      </c>
      <c r="N718" t="n">
        <v>0</v>
      </c>
      <c r="O718" t="n">
        <v>0</v>
      </c>
      <c r="P718" t="n">
        <v>0</v>
      </c>
      <c r="Q718" t="n">
        <v>0</v>
      </c>
      <c r="R718" s="2" t="inlineStr"/>
    </row>
    <row r="719" ht="15" customHeight="1">
      <c r="A719" t="inlineStr">
        <is>
          <t>A 40476-2020</t>
        </is>
      </c>
      <c r="B719" s="1" t="n">
        <v>44067</v>
      </c>
      <c r="C719" s="1" t="n">
        <v>45637</v>
      </c>
      <c r="D719" t="inlineStr">
        <is>
          <t>VÄSTERNORRLANDS LÄN</t>
        </is>
      </c>
      <c r="E719" t="inlineStr">
        <is>
          <t>SOLLEFTEÅ</t>
        </is>
      </c>
      <c r="G719" t="n">
        <v>8</v>
      </c>
      <c r="H719" t="n">
        <v>0</v>
      </c>
      <c r="I719" t="n">
        <v>0</v>
      </c>
      <c r="J719" t="n">
        <v>0</v>
      </c>
      <c r="K719" t="n">
        <v>0</v>
      </c>
      <c r="L719" t="n">
        <v>0</v>
      </c>
      <c r="M719" t="n">
        <v>0</v>
      </c>
      <c r="N719" t="n">
        <v>0</v>
      </c>
      <c r="O719" t="n">
        <v>0</v>
      </c>
      <c r="P719" t="n">
        <v>0</v>
      </c>
      <c r="Q719" t="n">
        <v>0</v>
      </c>
      <c r="R719" s="2" t="inlineStr"/>
    </row>
    <row r="720" ht="15" customHeight="1">
      <c r="A720" t="inlineStr">
        <is>
          <t>A 40697-2020</t>
        </is>
      </c>
      <c r="B720" s="1" t="n">
        <v>44067</v>
      </c>
      <c r="C720" s="1" t="n">
        <v>45637</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40682-2020</t>
        </is>
      </c>
      <c r="B721" s="1" t="n">
        <v>44067</v>
      </c>
      <c r="C721" s="1" t="n">
        <v>45637</v>
      </c>
      <c r="D721" t="inlineStr">
        <is>
          <t>VÄSTERNORRLANDS LÄN</t>
        </is>
      </c>
      <c r="E721" t="inlineStr">
        <is>
          <t>SOLLEFTEÅ</t>
        </is>
      </c>
      <c r="G721" t="n">
        <v>3.5</v>
      </c>
      <c r="H721" t="n">
        <v>0</v>
      </c>
      <c r="I721" t="n">
        <v>0</v>
      </c>
      <c r="J721" t="n">
        <v>0</v>
      </c>
      <c r="K721" t="n">
        <v>0</v>
      </c>
      <c r="L721" t="n">
        <v>0</v>
      </c>
      <c r="M721" t="n">
        <v>0</v>
      </c>
      <c r="N721" t="n">
        <v>0</v>
      </c>
      <c r="O721" t="n">
        <v>0</v>
      </c>
      <c r="P721" t="n">
        <v>0</v>
      </c>
      <c r="Q721" t="n">
        <v>0</v>
      </c>
      <c r="R721" s="2" t="inlineStr"/>
    </row>
    <row r="722" ht="15" customHeight="1">
      <c r="A722" t="inlineStr">
        <is>
          <t>A 40735-2020</t>
        </is>
      </c>
      <c r="B722" s="1" t="n">
        <v>44069</v>
      </c>
      <c r="C722" s="1" t="n">
        <v>45637</v>
      </c>
      <c r="D722" t="inlineStr">
        <is>
          <t>VÄSTERNORRLANDS LÄN</t>
        </is>
      </c>
      <c r="E722" t="inlineStr">
        <is>
          <t>SOLLEFTEÅ</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40747-2020</t>
        </is>
      </c>
      <c r="B723" s="1" t="n">
        <v>44069</v>
      </c>
      <c r="C723" s="1" t="n">
        <v>45637</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42196-2020</t>
        </is>
      </c>
      <c r="B724" s="1" t="n">
        <v>44076</v>
      </c>
      <c r="C724" s="1" t="n">
        <v>45637</v>
      </c>
      <c r="D724" t="inlineStr">
        <is>
          <t>VÄSTERNORRLANDS LÄN</t>
        </is>
      </c>
      <c r="E724" t="inlineStr">
        <is>
          <t>SOLLEFTEÅ</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43300-2020</t>
        </is>
      </c>
      <c r="B725" s="1" t="n">
        <v>44076</v>
      </c>
      <c r="C725" s="1" t="n">
        <v>45637</v>
      </c>
      <c r="D725" t="inlineStr">
        <is>
          <t>VÄSTERNORRLANDS LÄN</t>
        </is>
      </c>
      <c r="E725" t="inlineStr">
        <is>
          <t>SOLLEFTEÅ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43160-2020</t>
        </is>
      </c>
      <c r="B726" s="1" t="n">
        <v>44076</v>
      </c>
      <c r="C726" s="1" t="n">
        <v>45637</v>
      </c>
      <c r="D726" t="inlineStr">
        <is>
          <t>VÄSTERNORRLANDS LÄN</t>
        </is>
      </c>
      <c r="E726" t="inlineStr">
        <is>
          <t>SOLLEFTEÅ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42846-2020</t>
        </is>
      </c>
      <c r="B727" s="1" t="n">
        <v>44078</v>
      </c>
      <c r="C727" s="1" t="n">
        <v>45637</v>
      </c>
      <c r="D727" t="inlineStr">
        <is>
          <t>VÄSTERNORRLANDS LÄN</t>
        </is>
      </c>
      <c r="E727" t="inlineStr">
        <is>
          <t>SOLLEFTEÅ</t>
        </is>
      </c>
      <c r="G727" t="n">
        <v>8.6</v>
      </c>
      <c r="H727" t="n">
        <v>0</v>
      </c>
      <c r="I727" t="n">
        <v>0</v>
      </c>
      <c r="J727" t="n">
        <v>0</v>
      </c>
      <c r="K727" t="n">
        <v>0</v>
      </c>
      <c r="L727" t="n">
        <v>0</v>
      </c>
      <c r="M727" t="n">
        <v>0</v>
      </c>
      <c r="N727" t="n">
        <v>0</v>
      </c>
      <c r="O727" t="n">
        <v>0</v>
      </c>
      <c r="P727" t="n">
        <v>0</v>
      </c>
      <c r="Q727" t="n">
        <v>0</v>
      </c>
      <c r="R727" s="2" t="inlineStr"/>
    </row>
    <row r="728" ht="15" customHeight="1">
      <c r="A728" t="inlineStr">
        <is>
          <t>A 43107-2020</t>
        </is>
      </c>
      <c r="B728" s="1" t="n">
        <v>44078</v>
      </c>
      <c r="C728" s="1" t="n">
        <v>45637</v>
      </c>
      <c r="D728" t="inlineStr">
        <is>
          <t>VÄSTERNORRLANDS LÄN</t>
        </is>
      </c>
      <c r="E728" t="inlineStr">
        <is>
          <t>SOLLEFTEÅ</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43438-2020</t>
        </is>
      </c>
      <c r="B729" s="1" t="n">
        <v>44081</v>
      </c>
      <c r="C729" s="1" t="n">
        <v>45637</v>
      </c>
      <c r="D729" t="inlineStr">
        <is>
          <t>VÄSTERNORRLANDS LÄN</t>
        </is>
      </c>
      <c r="E729" t="inlineStr">
        <is>
          <t>SOLLEFTEÅ</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43820-2020</t>
        </is>
      </c>
      <c r="B730" s="1" t="n">
        <v>44082</v>
      </c>
      <c r="C730" s="1" t="n">
        <v>45637</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45147-2020</t>
        </is>
      </c>
      <c r="B731" s="1" t="n">
        <v>44084</v>
      </c>
      <c r="C731" s="1" t="n">
        <v>45637</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44681-2020</t>
        </is>
      </c>
      <c r="B732" s="1" t="n">
        <v>44085</v>
      </c>
      <c r="C732" s="1" t="n">
        <v>45637</v>
      </c>
      <c r="D732" t="inlineStr">
        <is>
          <t>VÄSTERNORRLANDS LÄN</t>
        </is>
      </c>
      <c r="E732" t="inlineStr">
        <is>
          <t>SOLLEFTEÅ</t>
        </is>
      </c>
      <c r="G732" t="n">
        <v>7.8</v>
      </c>
      <c r="H732" t="n">
        <v>0</v>
      </c>
      <c r="I732" t="n">
        <v>0</v>
      </c>
      <c r="J732" t="n">
        <v>0</v>
      </c>
      <c r="K732" t="n">
        <v>0</v>
      </c>
      <c r="L732" t="n">
        <v>0</v>
      </c>
      <c r="M732" t="n">
        <v>0</v>
      </c>
      <c r="N732" t="n">
        <v>0</v>
      </c>
      <c r="O732" t="n">
        <v>0</v>
      </c>
      <c r="P732" t="n">
        <v>0</v>
      </c>
      <c r="Q732" t="n">
        <v>0</v>
      </c>
      <c r="R732" s="2" t="inlineStr"/>
    </row>
    <row r="733" ht="15" customHeight="1">
      <c r="A733" t="inlineStr">
        <is>
          <t>A 45250-2020</t>
        </is>
      </c>
      <c r="B733" s="1" t="n">
        <v>44088</v>
      </c>
      <c r="C733" s="1" t="n">
        <v>45637</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45251-2020</t>
        </is>
      </c>
      <c r="B734" s="1" t="n">
        <v>44088</v>
      </c>
      <c r="C734" s="1" t="n">
        <v>45637</v>
      </c>
      <c r="D734" t="inlineStr">
        <is>
          <t>VÄSTERNORRLANDS LÄN</t>
        </is>
      </c>
      <c r="E734" t="inlineStr">
        <is>
          <t>SOLLEFTEÅ</t>
        </is>
      </c>
      <c r="F734" t="inlineStr">
        <is>
          <t>SCA</t>
        </is>
      </c>
      <c r="G734" t="n">
        <v>5.6</v>
      </c>
      <c r="H734" t="n">
        <v>0</v>
      </c>
      <c r="I734" t="n">
        <v>0</v>
      </c>
      <c r="J734" t="n">
        <v>0</v>
      </c>
      <c r="K734" t="n">
        <v>0</v>
      </c>
      <c r="L734" t="n">
        <v>0</v>
      </c>
      <c r="M734" t="n">
        <v>0</v>
      </c>
      <c r="N734" t="n">
        <v>0</v>
      </c>
      <c r="O734" t="n">
        <v>0</v>
      </c>
      <c r="P734" t="n">
        <v>0</v>
      </c>
      <c r="Q734" t="n">
        <v>0</v>
      </c>
      <c r="R734" s="2" t="inlineStr"/>
    </row>
    <row r="735" ht="15" customHeight="1">
      <c r="A735" t="inlineStr">
        <is>
          <t>A 45549-2020</t>
        </is>
      </c>
      <c r="B735" s="1" t="n">
        <v>44090</v>
      </c>
      <c r="C735" s="1" t="n">
        <v>45637</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45542-2020</t>
        </is>
      </c>
      <c r="B736" s="1" t="n">
        <v>44089</v>
      </c>
      <c r="C736" s="1" t="n">
        <v>45637</v>
      </c>
      <c r="D736" t="inlineStr">
        <is>
          <t>VÄSTERNORRLANDS LÄN</t>
        </is>
      </c>
      <c r="E736" t="inlineStr">
        <is>
          <t>SOLLEFTEÅ</t>
        </is>
      </c>
      <c r="G736" t="n">
        <v>0.3</v>
      </c>
      <c r="H736" t="n">
        <v>0</v>
      </c>
      <c r="I736" t="n">
        <v>0</v>
      </c>
      <c r="J736" t="n">
        <v>0</v>
      </c>
      <c r="K736" t="n">
        <v>0</v>
      </c>
      <c r="L736" t="n">
        <v>0</v>
      </c>
      <c r="M736" t="n">
        <v>0</v>
      </c>
      <c r="N736" t="n">
        <v>0</v>
      </c>
      <c r="O736" t="n">
        <v>0</v>
      </c>
      <c r="P736" t="n">
        <v>0</v>
      </c>
      <c r="Q736" t="n">
        <v>0</v>
      </c>
      <c r="R736" s="2" t="inlineStr"/>
    </row>
    <row r="737" ht="15" customHeight="1">
      <c r="A737" t="inlineStr">
        <is>
          <t>A 45551-2020</t>
        </is>
      </c>
      <c r="B737" s="1" t="n">
        <v>44089</v>
      </c>
      <c r="C737" s="1" t="n">
        <v>45637</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46715-2020</t>
        </is>
      </c>
      <c r="B738" s="1" t="n">
        <v>44095</v>
      </c>
      <c r="C738" s="1" t="n">
        <v>45637</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47827-2020</t>
        </is>
      </c>
      <c r="B739" s="1" t="n">
        <v>44098</v>
      </c>
      <c r="C739" s="1" t="n">
        <v>45637</v>
      </c>
      <c r="D739" t="inlineStr">
        <is>
          <t>VÄSTERNORRLANDS LÄN</t>
        </is>
      </c>
      <c r="E739" t="inlineStr">
        <is>
          <t>SOLLEFTEÅ</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47859-2020</t>
        </is>
      </c>
      <c r="B740" s="1" t="n">
        <v>44099</v>
      </c>
      <c r="C740" s="1" t="n">
        <v>45637</v>
      </c>
      <c r="D740" t="inlineStr">
        <is>
          <t>VÄSTERNORRLANDS LÄN</t>
        </is>
      </c>
      <c r="E740" t="inlineStr">
        <is>
          <t>SOLLEFTEÅ</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48052-2020</t>
        </is>
      </c>
      <c r="B741" s="1" t="n">
        <v>44100</v>
      </c>
      <c r="C741" s="1" t="n">
        <v>45637</v>
      </c>
      <c r="D741" t="inlineStr">
        <is>
          <t>VÄSTERNORRLANDS LÄN</t>
        </is>
      </c>
      <c r="E741" t="inlineStr">
        <is>
          <t>SOLLEFTEÅ</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48240-2020</t>
        </is>
      </c>
      <c r="B742" s="1" t="n">
        <v>44102</v>
      </c>
      <c r="C742" s="1" t="n">
        <v>45637</v>
      </c>
      <c r="D742" t="inlineStr">
        <is>
          <t>VÄSTERNORRLANDS LÄN</t>
        </is>
      </c>
      <c r="E742" t="inlineStr">
        <is>
          <t>SOLLEFTEÅ</t>
        </is>
      </c>
      <c r="G742" t="n">
        <v>0.5</v>
      </c>
      <c r="H742" t="n">
        <v>0</v>
      </c>
      <c r="I742" t="n">
        <v>0</v>
      </c>
      <c r="J742" t="n">
        <v>0</v>
      </c>
      <c r="K742" t="n">
        <v>0</v>
      </c>
      <c r="L742" t="n">
        <v>0</v>
      </c>
      <c r="M742" t="n">
        <v>0</v>
      </c>
      <c r="N742" t="n">
        <v>0</v>
      </c>
      <c r="O742" t="n">
        <v>0</v>
      </c>
      <c r="P742" t="n">
        <v>0</v>
      </c>
      <c r="Q742" t="n">
        <v>0</v>
      </c>
      <c r="R742" s="2" t="inlineStr"/>
    </row>
    <row r="743" ht="15" customHeight="1">
      <c r="A743" t="inlineStr">
        <is>
          <t>A 48477-2020</t>
        </is>
      </c>
      <c r="B743" s="1" t="n">
        <v>44102</v>
      </c>
      <c r="C743" s="1" t="n">
        <v>45637</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48468-2020</t>
        </is>
      </c>
      <c r="B744" s="1" t="n">
        <v>44102</v>
      </c>
      <c r="C744" s="1" t="n">
        <v>45637</v>
      </c>
      <c r="D744" t="inlineStr">
        <is>
          <t>VÄSTERNORRLANDS LÄN</t>
        </is>
      </c>
      <c r="E744" t="inlineStr">
        <is>
          <t>SOLLEFTEÅ</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48470-2020</t>
        </is>
      </c>
      <c r="B745" s="1" t="n">
        <v>44102</v>
      </c>
      <c r="C745" s="1" t="n">
        <v>45637</v>
      </c>
      <c r="D745" t="inlineStr">
        <is>
          <t>VÄSTERNORRLANDS LÄN</t>
        </is>
      </c>
      <c r="E745" t="inlineStr">
        <is>
          <t>SOLLEFTEÅ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48475-2020</t>
        </is>
      </c>
      <c r="B746" s="1" t="n">
        <v>44103</v>
      </c>
      <c r="C746" s="1" t="n">
        <v>45637</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48802-2020</t>
        </is>
      </c>
      <c r="B747" s="1" t="n">
        <v>44103</v>
      </c>
      <c r="C747" s="1" t="n">
        <v>45637</v>
      </c>
      <c r="D747" t="inlineStr">
        <is>
          <t>VÄSTERNORRLANDS LÄN</t>
        </is>
      </c>
      <c r="E747" t="inlineStr">
        <is>
          <t>SOLLEFTEÅ</t>
        </is>
      </c>
      <c r="F747" t="inlineStr">
        <is>
          <t>SCA</t>
        </is>
      </c>
      <c r="G747" t="n">
        <v>10.9</v>
      </c>
      <c r="H747" t="n">
        <v>0</v>
      </c>
      <c r="I747" t="n">
        <v>0</v>
      </c>
      <c r="J747" t="n">
        <v>0</v>
      </c>
      <c r="K747" t="n">
        <v>0</v>
      </c>
      <c r="L747" t="n">
        <v>0</v>
      </c>
      <c r="M747" t="n">
        <v>0</v>
      </c>
      <c r="N747" t="n">
        <v>0</v>
      </c>
      <c r="O747" t="n">
        <v>0</v>
      </c>
      <c r="P747" t="n">
        <v>0</v>
      </c>
      <c r="Q747" t="n">
        <v>0</v>
      </c>
      <c r="R747" s="2" t="inlineStr"/>
    </row>
    <row r="748" ht="15" customHeight="1">
      <c r="A748" t="inlineStr">
        <is>
          <t>A 49629-2020</t>
        </is>
      </c>
      <c r="B748" s="1" t="n">
        <v>44103</v>
      </c>
      <c r="C748" s="1" t="n">
        <v>45637</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49165-2020</t>
        </is>
      </c>
      <c r="B749" s="1" t="n">
        <v>44105</v>
      </c>
      <c r="C749" s="1" t="n">
        <v>45637</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49507-2020</t>
        </is>
      </c>
      <c r="B750" s="1" t="n">
        <v>44105</v>
      </c>
      <c r="C750" s="1" t="n">
        <v>45637</v>
      </c>
      <c r="D750" t="inlineStr">
        <is>
          <t>VÄSTERNORRLANDS LÄN</t>
        </is>
      </c>
      <c r="E750" t="inlineStr">
        <is>
          <t>SOLLEFTEÅ</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49508-2020</t>
        </is>
      </c>
      <c r="B751" s="1" t="n">
        <v>44105</v>
      </c>
      <c r="C751" s="1" t="n">
        <v>45637</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49837-2020</t>
        </is>
      </c>
      <c r="B752" s="1" t="n">
        <v>44106</v>
      </c>
      <c r="C752" s="1" t="n">
        <v>45637</v>
      </c>
      <c r="D752" t="inlineStr">
        <is>
          <t>VÄSTERNORRLANDS LÄN</t>
        </is>
      </c>
      <c r="E752" t="inlineStr">
        <is>
          <t>SOLLEFTEÅ</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50647-2020</t>
        </is>
      </c>
      <c r="B753" s="1" t="n">
        <v>44111</v>
      </c>
      <c r="C753" s="1" t="n">
        <v>45637</v>
      </c>
      <c r="D753" t="inlineStr">
        <is>
          <t>VÄSTERNORRLANDS LÄN</t>
        </is>
      </c>
      <c r="E753" t="inlineStr">
        <is>
          <t>SOLLEFTEÅ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51018-2020</t>
        </is>
      </c>
      <c r="B754" s="1" t="n">
        <v>44111</v>
      </c>
      <c r="C754" s="1" t="n">
        <v>45637</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51011-2020</t>
        </is>
      </c>
      <c r="B755" s="1" t="n">
        <v>44111</v>
      </c>
      <c r="C755" s="1" t="n">
        <v>45637</v>
      </c>
      <c r="D755" t="inlineStr">
        <is>
          <t>VÄSTERNORRLANDS LÄN</t>
        </is>
      </c>
      <c r="E755" t="inlineStr">
        <is>
          <t>SOLLEFTEÅ</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51534-2020</t>
        </is>
      </c>
      <c r="B756" s="1" t="n">
        <v>44113</v>
      </c>
      <c r="C756" s="1" t="n">
        <v>45637</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52035-2020</t>
        </is>
      </c>
      <c r="B757" s="1" t="n">
        <v>44117</v>
      </c>
      <c r="C757" s="1" t="n">
        <v>45637</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52189-2020</t>
        </is>
      </c>
      <c r="B758" s="1" t="n">
        <v>44117</v>
      </c>
      <c r="C758" s="1" t="n">
        <v>45637</v>
      </c>
      <c r="D758" t="inlineStr">
        <is>
          <t>VÄSTERNORRLANDS LÄN</t>
        </is>
      </c>
      <c r="E758" t="inlineStr">
        <is>
          <t>SOLLEFTEÅ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52199-2020</t>
        </is>
      </c>
      <c r="B759" s="1" t="n">
        <v>44117</v>
      </c>
      <c r="C759" s="1" t="n">
        <v>45637</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52406-2020</t>
        </is>
      </c>
      <c r="B760" s="1" t="n">
        <v>44118</v>
      </c>
      <c r="C760" s="1" t="n">
        <v>45637</v>
      </c>
      <c r="D760" t="inlineStr">
        <is>
          <t>VÄSTERNORRLANDS LÄN</t>
        </is>
      </c>
      <c r="E760" t="inlineStr">
        <is>
          <t>SOLLEFTEÅ</t>
        </is>
      </c>
      <c r="G760" t="n">
        <v>2.8</v>
      </c>
      <c r="H760" t="n">
        <v>0</v>
      </c>
      <c r="I760" t="n">
        <v>0</v>
      </c>
      <c r="J760" t="n">
        <v>0</v>
      </c>
      <c r="K760" t="n">
        <v>0</v>
      </c>
      <c r="L760" t="n">
        <v>0</v>
      </c>
      <c r="M760" t="n">
        <v>0</v>
      </c>
      <c r="N760" t="n">
        <v>0</v>
      </c>
      <c r="O760" t="n">
        <v>0</v>
      </c>
      <c r="P760" t="n">
        <v>0</v>
      </c>
      <c r="Q760" t="n">
        <v>0</v>
      </c>
      <c r="R760" s="2" t="inlineStr"/>
    </row>
    <row r="761" ht="15" customHeight="1">
      <c r="A761" t="inlineStr">
        <is>
          <t>A 52983-2020</t>
        </is>
      </c>
      <c r="B761" s="1" t="n">
        <v>44119</v>
      </c>
      <c r="C761" s="1" t="n">
        <v>45637</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row>
    <row r="762" ht="15" customHeight="1">
      <c r="A762" t="inlineStr">
        <is>
          <t>A 52936-2020</t>
        </is>
      </c>
      <c r="B762" s="1" t="n">
        <v>44120</v>
      </c>
      <c r="C762" s="1" t="n">
        <v>45637</v>
      </c>
      <c r="D762" t="inlineStr">
        <is>
          <t>VÄSTERNORRLANDS LÄN</t>
        </is>
      </c>
      <c r="E762" t="inlineStr">
        <is>
          <t>SOLLEFTEÅ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53828-2020</t>
        </is>
      </c>
      <c r="B763" s="1" t="n">
        <v>44124</v>
      </c>
      <c r="C763" s="1" t="n">
        <v>45637</v>
      </c>
      <c r="D763" t="inlineStr">
        <is>
          <t>VÄSTERNORRLANDS LÄN</t>
        </is>
      </c>
      <c r="E763" t="inlineStr">
        <is>
          <t>SOLLEFTEÅ</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54463-2020</t>
        </is>
      </c>
      <c r="B764" s="1" t="n">
        <v>44125</v>
      </c>
      <c r="C764" s="1" t="n">
        <v>45637</v>
      </c>
      <c r="D764" t="inlineStr">
        <is>
          <t>VÄSTERNORRLANDS LÄN</t>
        </is>
      </c>
      <c r="E764" t="inlineStr">
        <is>
          <t>SOLLEFTEÅ</t>
        </is>
      </c>
      <c r="G764" t="n">
        <v>2</v>
      </c>
      <c r="H764" t="n">
        <v>0</v>
      </c>
      <c r="I764" t="n">
        <v>0</v>
      </c>
      <c r="J764" t="n">
        <v>0</v>
      </c>
      <c r="K764" t="n">
        <v>0</v>
      </c>
      <c r="L764" t="n">
        <v>0</v>
      </c>
      <c r="M764" t="n">
        <v>0</v>
      </c>
      <c r="N764" t="n">
        <v>0</v>
      </c>
      <c r="O764" t="n">
        <v>0</v>
      </c>
      <c r="P764" t="n">
        <v>0</v>
      </c>
      <c r="Q764" t="n">
        <v>0</v>
      </c>
      <c r="R764" s="2" t="inlineStr"/>
    </row>
    <row r="765" ht="15" customHeight="1">
      <c r="A765" t="inlineStr">
        <is>
          <t>A 53866-2020</t>
        </is>
      </c>
      <c r="B765" s="1" t="n">
        <v>44125</v>
      </c>
      <c r="C765" s="1" t="n">
        <v>45637</v>
      </c>
      <c r="D765" t="inlineStr">
        <is>
          <t>VÄSTERNORRLANDS LÄN</t>
        </is>
      </c>
      <c r="E765" t="inlineStr">
        <is>
          <t>SOLLEFTEÅ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54567-2020</t>
        </is>
      </c>
      <c r="B766" s="1" t="n">
        <v>44126</v>
      </c>
      <c r="C766" s="1" t="n">
        <v>45637</v>
      </c>
      <c r="D766" t="inlineStr">
        <is>
          <t>VÄSTERNORRLANDS LÄN</t>
        </is>
      </c>
      <c r="E766" t="inlineStr">
        <is>
          <t>SOLLEFTEÅ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54568-2020</t>
        </is>
      </c>
      <c r="B767" s="1" t="n">
        <v>44126</v>
      </c>
      <c r="C767" s="1" t="n">
        <v>45637</v>
      </c>
      <c r="D767" t="inlineStr">
        <is>
          <t>VÄSTERNORRLANDS LÄN</t>
        </is>
      </c>
      <c r="E767" t="inlineStr">
        <is>
          <t>SOLLEFTEÅ</t>
        </is>
      </c>
      <c r="G767" t="n">
        <v>0.2</v>
      </c>
      <c r="H767" t="n">
        <v>0</v>
      </c>
      <c r="I767" t="n">
        <v>0</v>
      </c>
      <c r="J767" t="n">
        <v>0</v>
      </c>
      <c r="K767" t="n">
        <v>0</v>
      </c>
      <c r="L767" t="n">
        <v>0</v>
      </c>
      <c r="M767" t="n">
        <v>0</v>
      </c>
      <c r="N767" t="n">
        <v>0</v>
      </c>
      <c r="O767" t="n">
        <v>0</v>
      </c>
      <c r="P767" t="n">
        <v>0</v>
      </c>
      <c r="Q767" t="n">
        <v>0</v>
      </c>
      <c r="R767" s="2" t="inlineStr"/>
    </row>
    <row r="768" ht="15" customHeight="1">
      <c r="A768" t="inlineStr">
        <is>
          <t>A 54572-2020</t>
        </is>
      </c>
      <c r="B768" s="1" t="n">
        <v>44126</v>
      </c>
      <c r="C768" s="1" t="n">
        <v>45637</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54576-2020</t>
        </is>
      </c>
      <c r="B769" s="1" t="n">
        <v>44126</v>
      </c>
      <c r="C769" s="1" t="n">
        <v>45637</v>
      </c>
      <c r="D769" t="inlineStr">
        <is>
          <t>VÄSTERNORRLANDS LÄN</t>
        </is>
      </c>
      <c r="E769" t="inlineStr">
        <is>
          <t>SOLLEFTEÅ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54571-2020</t>
        </is>
      </c>
      <c r="B770" s="1" t="n">
        <v>44126</v>
      </c>
      <c r="C770" s="1" t="n">
        <v>45637</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54569-2020</t>
        </is>
      </c>
      <c r="B771" s="1" t="n">
        <v>44126</v>
      </c>
      <c r="C771" s="1" t="n">
        <v>45637</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54566-2020</t>
        </is>
      </c>
      <c r="B772" s="1" t="n">
        <v>44126</v>
      </c>
      <c r="C772" s="1" t="n">
        <v>45637</v>
      </c>
      <c r="D772" t="inlineStr">
        <is>
          <t>VÄSTERNORRLANDS LÄN</t>
        </is>
      </c>
      <c r="E772" t="inlineStr">
        <is>
          <t>SOLLEFTEÅ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54570-2020</t>
        </is>
      </c>
      <c r="B773" s="1" t="n">
        <v>44126</v>
      </c>
      <c r="C773" s="1" t="n">
        <v>45637</v>
      </c>
      <c r="D773" t="inlineStr">
        <is>
          <t>VÄSTERNORRLANDS LÄN</t>
        </is>
      </c>
      <c r="E773" t="inlineStr">
        <is>
          <t>SOLLEFTEÅ</t>
        </is>
      </c>
      <c r="G773" t="n">
        <v>0.3</v>
      </c>
      <c r="H773" t="n">
        <v>0</v>
      </c>
      <c r="I773" t="n">
        <v>0</v>
      </c>
      <c r="J773" t="n">
        <v>0</v>
      </c>
      <c r="K773" t="n">
        <v>0</v>
      </c>
      <c r="L773" t="n">
        <v>0</v>
      </c>
      <c r="M773" t="n">
        <v>0</v>
      </c>
      <c r="N773" t="n">
        <v>0</v>
      </c>
      <c r="O773" t="n">
        <v>0</v>
      </c>
      <c r="P773" t="n">
        <v>0</v>
      </c>
      <c r="Q773" t="n">
        <v>0</v>
      </c>
      <c r="R773" s="2" t="inlineStr"/>
    </row>
    <row r="774" ht="15" customHeight="1">
      <c r="A774" t="inlineStr">
        <is>
          <t>A 54573-2020</t>
        </is>
      </c>
      <c r="B774" s="1" t="n">
        <v>44126</v>
      </c>
      <c r="C774" s="1" t="n">
        <v>45637</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55337-2020</t>
        </is>
      </c>
      <c r="B775" s="1" t="n">
        <v>44130</v>
      </c>
      <c r="C775" s="1" t="n">
        <v>45637</v>
      </c>
      <c r="D775" t="inlineStr">
        <is>
          <t>VÄSTERNORRLANDS LÄN</t>
        </is>
      </c>
      <c r="E775" t="inlineStr">
        <is>
          <t>SOLLEFTEÅ</t>
        </is>
      </c>
      <c r="G775" t="n">
        <v>21.1</v>
      </c>
      <c r="H775" t="n">
        <v>0</v>
      </c>
      <c r="I775" t="n">
        <v>0</v>
      </c>
      <c r="J775" t="n">
        <v>0</v>
      </c>
      <c r="K775" t="n">
        <v>0</v>
      </c>
      <c r="L775" t="n">
        <v>0</v>
      </c>
      <c r="M775" t="n">
        <v>0</v>
      </c>
      <c r="N775" t="n">
        <v>0</v>
      </c>
      <c r="O775" t="n">
        <v>0</v>
      </c>
      <c r="P775" t="n">
        <v>0</v>
      </c>
      <c r="Q775" t="n">
        <v>0</v>
      </c>
      <c r="R775" s="2" t="inlineStr"/>
    </row>
    <row r="776" ht="15" customHeight="1">
      <c r="A776" t="inlineStr">
        <is>
          <t>A 55489-2020</t>
        </is>
      </c>
      <c r="B776" s="1" t="n">
        <v>44131</v>
      </c>
      <c r="C776" s="1" t="n">
        <v>45637</v>
      </c>
      <c r="D776" t="inlineStr">
        <is>
          <t>VÄSTERNORRLANDS LÄN</t>
        </is>
      </c>
      <c r="E776" t="inlineStr">
        <is>
          <t>SOLLEFTEÅ</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58380-2020</t>
        </is>
      </c>
      <c r="B777" s="1" t="n">
        <v>44145</v>
      </c>
      <c r="C777" s="1" t="n">
        <v>45637</v>
      </c>
      <c r="D777" t="inlineStr">
        <is>
          <t>VÄSTERNORRLANDS LÄN</t>
        </is>
      </c>
      <c r="E777" t="inlineStr">
        <is>
          <t>SOLLEFTEÅ</t>
        </is>
      </c>
      <c r="G777" t="n">
        <v>2.4</v>
      </c>
      <c r="H777" t="n">
        <v>0</v>
      </c>
      <c r="I777" t="n">
        <v>0</v>
      </c>
      <c r="J777" t="n">
        <v>0</v>
      </c>
      <c r="K777" t="n">
        <v>0</v>
      </c>
      <c r="L777" t="n">
        <v>0</v>
      </c>
      <c r="M777" t="n">
        <v>0</v>
      </c>
      <c r="N777" t="n">
        <v>0</v>
      </c>
      <c r="O777" t="n">
        <v>0</v>
      </c>
      <c r="P777" t="n">
        <v>0</v>
      </c>
      <c r="Q777" t="n">
        <v>0</v>
      </c>
      <c r="R777" s="2" t="inlineStr"/>
    </row>
    <row r="778" ht="15" customHeight="1">
      <c r="A778" t="inlineStr">
        <is>
          <t>A 58381-2020</t>
        </is>
      </c>
      <c r="B778" s="1" t="n">
        <v>44145</v>
      </c>
      <c r="C778" s="1" t="n">
        <v>45637</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59334-2020</t>
        </is>
      </c>
      <c r="B779" s="1" t="n">
        <v>44147</v>
      </c>
      <c r="C779" s="1" t="n">
        <v>45637</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59950-2020</t>
        </is>
      </c>
      <c r="B780" s="1" t="n">
        <v>44151</v>
      </c>
      <c r="C780" s="1" t="n">
        <v>45637</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59953-2020</t>
        </is>
      </c>
      <c r="B781" s="1" t="n">
        <v>44151</v>
      </c>
      <c r="C781" s="1" t="n">
        <v>45637</v>
      </c>
      <c r="D781" t="inlineStr">
        <is>
          <t>VÄSTERNORRLANDS LÄN</t>
        </is>
      </c>
      <c r="E781" t="inlineStr">
        <is>
          <t>SOLLEFTEÅ</t>
        </is>
      </c>
      <c r="G781" t="n">
        <v>3.6</v>
      </c>
      <c r="H781" t="n">
        <v>0</v>
      </c>
      <c r="I781" t="n">
        <v>0</v>
      </c>
      <c r="J781" t="n">
        <v>0</v>
      </c>
      <c r="K781" t="n">
        <v>0</v>
      </c>
      <c r="L781" t="n">
        <v>0</v>
      </c>
      <c r="M781" t="n">
        <v>0</v>
      </c>
      <c r="N781" t="n">
        <v>0</v>
      </c>
      <c r="O781" t="n">
        <v>0</v>
      </c>
      <c r="P781" t="n">
        <v>0</v>
      </c>
      <c r="Q781" t="n">
        <v>0</v>
      </c>
      <c r="R781" s="2" t="inlineStr"/>
    </row>
    <row r="782" ht="15" customHeight="1">
      <c r="A782" t="inlineStr">
        <is>
          <t>A 60091-2020</t>
        </is>
      </c>
      <c r="B782" s="1" t="n">
        <v>44151</v>
      </c>
      <c r="C782" s="1" t="n">
        <v>45637</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61127-2020</t>
        </is>
      </c>
      <c r="B783" s="1" t="n">
        <v>44154</v>
      </c>
      <c r="C783" s="1" t="n">
        <v>45637</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61130-2020</t>
        </is>
      </c>
      <c r="B784" s="1" t="n">
        <v>44154</v>
      </c>
      <c r="C784" s="1" t="n">
        <v>45637</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61894-2020</t>
        </is>
      </c>
      <c r="B785" s="1" t="n">
        <v>44155</v>
      </c>
      <c r="C785" s="1" t="n">
        <v>45637</v>
      </c>
      <c r="D785" t="inlineStr">
        <is>
          <t>VÄSTERNORRLANDS LÄN</t>
        </is>
      </c>
      <c r="E785" t="inlineStr">
        <is>
          <t>SOLLEFTEÅ</t>
        </is>
      </c>
      <c r="G785" t="n">
        <v>0.4</v>
      </c>
      <c r="H785" t="n">
        <v>0</v>
      </c>
      <c r="I785" t="n">
        <v>0</v>
      </c>
      <c r="J785" t="n">
        <v>0</v>
      </c>
      <c r="K785" t="n">
        <v>0</v>
      </c>
      <c r="L785" t="n">
        <v>0</v>
      </c>
      <c r="M785" t="n">
        <v>0</v>
      </c>
      <c r="N785" t="n">
        <v>0</v>
      </c>
      <c r="O785" t="n">
        <v>0</v>
      </c>
      <c r="P785" t="n">
        <v>0</v>
      </c>
      <c r="Q785" t="n">
        <v>0</v>
      </c>
      <c r="R785" s="2" t="inlineStr"/>
    </row>
    <row r="786" ht="15" customHeight="1">
      <c r="A786" t="inlineStr">
        <is>
          <t>A 61943-2020</t>
        </is>
      </c>
      <c r="B786" s="1" t="n">
        <v>44155</v>
      </c>
      <c r="C786" s="1" t="n">
        <v>45637</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62666-2020</t>
        </is>
      </c>
      <c r="B787" s="1" t="n">
        <v>44161</v>
      </c>
      <c r="C787" s="1" t="n">
        <v>45637</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62881-2020</t>
        </is>
      </c>
      <c r="B788" s="1" t="n">
        <v>44161</v>
      </c>
      <c r="C788" s="1" t="n">
        <v>45637</v>
      </c>
      <c r="D788" t="inlineStr">
        <is>
          <t>VÄSTERNORRLANDS LÄN</t>
        </is>
      </c>
      <c r="E788" t="inlineStr">
        <is>
          <t>SOLLEFTEÅ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62883-2020</t>
        </is>
      </c>
      <c r="B789" s="1" t="n">
        <v>44161</v>
      </c>
      <c r="C789" s="1" t="n">
        <v>45637</v>
      </c>
      <c r="D789" t="inlineStr">
        <is>
          <t>VÄSTERNORRLANDS LÄN</t>
        </is>
      </c>
      <c r="E789" t="inlineStr">
        <is>
          <t>SOLLEFTEÅ</t>
        </is>
      </c>
      <c r="F789" t="inlineStr">
        <is>
          <t>SCA</t>
        </is>
      </c>
      <c r="G789" t="n">
        <v>8.5</v>
      </c>
      <c r="H789" t="n">
        <v>0</v>
      </c>
      <c r="I789" t="n">
        <v>0</v>
      </c>
      <c r="J789" t="n">
        <v>0</v>
      </c>
      <c r="K789" t="n">
        <v>0</v>
      </c>
      <c r="L789" t="n">
        <v>0</v>
      </c>
      <c r="M789" t="n">
        <v>0</v>
      </c>
      <c r="N789" t="n">
        <v>0</v>
      </c>
      <c r="O789" t="n">
        <v>0</v>
      </c>
      <c r="P789" t="n">
        <v>0</v>
      </c>
      <c r="Q789" t="n">
        <v>0</v>
      </c>
      <c r="R789" s="2" t="inlineStr"/>
    </row>
    <row r="790" ht="15" customHeight="1">
      <c r="A790" t="inlineStr">
        <is>
          <t>A 63190-2020</t>
        </is>
      </c>
      <c r="B790" s="1" t="n">
        <v>44162</v>
      </c>
      <c r="C790" s="1" t="n">
        <v>45637</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63210-2020</t>
        </is>
      </c>
      <c r="B791" s="1" t="n">
        <v>44163</v>
      </c>
      <c r="C791" s="1" t="n">
        <v>45637</v>
      </c>
      <c r="D791" t="inlineStr">
        <is>
          <t>VÄSTERNORRLANDS LÄN</t>
        </is>
      </c>
      <c r="E791" t="inlineStr">
        <is>
          <t>SOLLEFTEÅ</t>
        </is>
      </c>
      <c r="G791" t="n">
        <v>1.8</v>
      </c>
      <c r="H791" t="n">
        <v>0</v>
      </c>
      <c r="I791" t="n">
        <v>0</v>
      </c>
      <c r="J791" t="n">
        <v>0</v>
      </c>
      <c r="K791" t="n">
        <v>0</v>
      </c>
      <c r="L791" t="n">
        <v>0</v>
      </c>
      <c r="M791" t="n">
        <v>0</v>
      </c>
      <c r="N791" t="n">
        <v>0</v>
      </c>
      <c r="O791" t="n">
        <v>0</v>
      </c>
      <c r="P791" t="n">
        <v>0</v>
      </c>
      <c r="Q791" t="n">
        <v>0</v>
      </c>
      <c r="R791" s="2" t="inlineStr"/>
    </row>
    <row r="792" ht="15" customHeight="1">
      <c r="A792" t="inlineStr">
        <is>
          <t>A 65401-2020</t>
        </is>
      </c>
      <c r="B792" s="1" t="n">
        <v>44169</v>
      </c>
      <c r="C792" s="1" t="n">
        <v>45637</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65407-2020</t>
        </is>
      </c>
      <c r="B793" s="1" t="n">
        <v>44169</v>
      </c>
      <c r="C793" s="1" t="n">
        <v>45637</v>
      </c>
      <c r="D793" t="inlineStr">
        <is>
          <t>VÄSTERNORRLANDS LÄN</t>
        </is>
      </c>
      <c r="E793" t="inlineStr">
        <is>
          <t>SOLLEFTEÅ</t>
        </is>
      </c>
      <c r="G793" t="n">
        <v>2.8</v>
      </c>
      <c r="H793" t="n">
        <v>0</v>
      </c>
      <c r="I793" t="n">
        <v>0</v>
      </c>
      <c r="J793" t="n">
        <v>0</v>
      </c>
      <c r="K793" t="n">
        <v>0</v>
      </c>
      <c r="L793" t="n">
        <v>0</v>
      </c>
      <c r="M793" t="n">
        <v>0</v>
      </c>
      <c r="N793" t="n">
        <v>0</v>
      </c>
      <c r="O793" t="n">
        <v>0</v>
      </c>
      <c r="P793" t="n">
        <v>0</v>
      </c>
      <c r="Q793" t="n">
        <v>0</v>
      </c>
      <c r="R793" s="2" t="inlineStr"/>
    </row>
    <row r="794" ht="15" customHeight="1">
      <c r="A794" t="inlineStr">
        <is>
          <t>A 65403-2020</t>
        </is>
      </c>
      <c r="B794" s="1" t="n">
        <v>44169</v>
      </c>
      <c r="C794" s="1" t="n">
        <v>45637</v>
      </c>
      <c r="D794" t="inlineStr">
        <is>
          <t>VÄSTERNORRLANDS LÄN</t>
        </is>
      </c>
      <c r="E794" t="inlineStr">
        <is>
          <t>SOLLEFTEÅ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67063-2020</t>
        </is>
      </c>
      <c r="B795" s="1" t="n">
        <v>44176</v>
      </c>
      <c r="C795" s="1" t="n">
        <v>45637</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66845-2020</t>
        </is>
      </c>
      <c r="B796" s="1" t="n">
        <v>44179</v>
      </c>
      <c r="C796" s="1" t="n">
        <v>45637</v>
      </c>
      <c r="D796" t="inlineStr">
        <is>
          <t>VÄSTERNORRLANDS LÄN</t>
        </is>
      </c>
      <c r="E796" t="inlineStr">
        <is>
          <t>SOLLEFTEÅ</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66844-2020</t>
        </is>
      </c>
      <c r="B797" s="1" t="n">
        <v>44179</v>
      </c>
      <c r="C797" s="1" t="n">
        <v>45637</v>
      </c>
      <c r="D797" t="inlineStr">
        <is>
          <t>VÄSTERNORRLANDS LÄN</t>
        </is>
      </c>
      <c r="E797" t="inlineStr">
        <is>
          <t>SOLLEFTEÅ</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66850-2020</t>
        </is>
      </c>
      <c r="B798" s="1" t="n">
        <v>44179</v>
      </c>
      <c r="C798" s="1" t="n">
        <v>45637</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66851-2020</t>
        </is>
      </c>
      <c r="B799" s="1" t="n">
        <v>44179</v>
      </c>
      <c r="C799" s="1" t="n">
        <v>45637</v>
      </c>
      <c r="D799" t="inlineStr">
        <is>
          <t>VÄSTERNORRLANDS LÄN</t>
        </is>
      </c>
      <c r="E799" t="inlineStr">
        <is>
          <t>SOLLEFTEÅ</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66853-2020</t>
        </is>
      </c>
      <c r="B800" s="1" t="n">
        <v>44179</v>
      </c>
      <c r="C800" s="1" t="n">
        <v>45637</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67602-2020</t>
        </is>
      </c>
      <c r="B801" s="1" t="n">
        <v>44181</v>
      </c>
      <c r="C801" s="1" t="n">
        <v>45637</v>
      </c>
      <c r="D801" t="inlineStr">
        <is>
          <t>VÄSTERNORRLANDS LÄN</t>
        </is>
      </c>
      <c r="E801" t="inlineStr">
        <is>
          <t>SOLLEFTEÅ</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68016-2020</t>
        </is>
      </c>
      <c r="B802" s="1" t="n">
        <v>44182</v>
      </c>
      <c r="C802" s="1" t="n">
        <v>45637</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68026-2020</t>
        </is>
      </c>
      <c r="B803" s="1" t="n">
        <v>44182</v>
      </c>
      <c r="C803" s="1" t="n">
        <v>45637</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68022-2020</t>
        </is>
      </c>
      <c r="B804" s="1" t="n">
        <v>44182</v>
      </c>
      <c r="C804" s="1" t="n">
        <v>45637</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68031-2020</t>
        </is>
      </c>
      <c r="B805" s="1" t="n">
        <v>44182</v>
      </c>
      <c r="C805" s="1" t="n">
        <v>45637</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68036-2020</t>
        </is>
      </c>
      <c r="B806" s="1" t="n">
        <v>44182</v>
      </c>
      <c r="C806" s="1" t="n">
        <v>45637</v>
      </c>
      <c r="D806" t="inlineStr">
        <is>
          <t>VÄSTERNORRLANDS LÄN</t>
        </is>
      </c>
      <c r="E806" t="inlineStr">
        <is>
          <t>SOLLEFTEÅ</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68020-2020</t>
        </is>
      </c>
      <c r="B807" s="1" t="n">
        <v>44182</v>
      </c>
      <c r="C807" s="1" t="n">
        <v>45637</v>
      </c>
      <c r="D807" t="inlineStr">
        <is>
          <t>VÄSTERNORRLANDS LÄN</t>
        </is>
      </c>
      <c r="E807" t="inlineStr">
        <is>
          <t>SOLLEFTEÅ</t>
        </is>
      </c>
      <c r="F807" t="inlineStr">
        <is>
          <t>SCA</t>
        </is>
      </c>
      <c r="G807" t="n">
        <v>8.5</v>
      </c>
      <c r="H807" t="n">
        <v>0</v>
      </c>
      <c r="I807" t="n">
        <v>0</v>
      </c>
      <c r="J807" t="n">
        <v>0</v>
      </c>
      <c r="K807" t="n">
        <v>0</v>
      </c>
      <c r="L807" t="n">
        <v>0</v>
      </c>
      <c r="M807" t="n">
        <v>0</v>
      </c>
      <c r="N807" t="n">
        <v>0</v>
      </c>
      <c r="O807" t="n">
        <v>0</v>
      </c>
      <c r="P807" t="n">
        <v>0</v>
      </c>
      <c r="Q807" t="n">
        <v>0</v>
      </c>
      <c r="R807" s="2" t="inlineStr"/>
    </row>
    <row r="808" ht="15" customHeight="1">
      <c r="A808" t="inlineStr">
        <is>
          <t>A 68030-2020</t>
        </is>
      </c>
      <c r="B808" s="1" t="n">
        <v>44182</v>
      </c>
      <c r="C808" s="1" t="n">
        <v>45637</v>
      </c>
      <c r="D808" t="inlineStr">
        <is>
          <t>VÄSTERNORRLANDS LÄN</t>
        </is>
      </c>
      <c r="E808" t="inlineStr">
        <is>
          <t>SOLLEFTEÅ</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68034-2020</t>
        </is>
      </c>
      <c r="B809" s="1" t="n">
        <v>44182</v>
      </c>
      <c r="C809" s="1" t="n">
        <v>45637</v>
      </c>
      <c r="D809" t="inlineStr">
        <is>
          <t>VÄSTERNORRLANDS LÄN</t>
        </is>
      </c>
      <c r="E809" t="inlineStr">
        <is>
          <t>SOLLEFTEÅ</t>
        </is>
      </c>
      <c r="F809" t="inlineStr">
        <is>
          <t>SCA</t>
        </is>
      </c>
      <c r="G809" t="n">
        <v>17.1</v>
      </c>
      <c r="H809" t="n">
        <v>0</v>
      </c>
      <c r="I809" t="n">
        <v>0</v>
      </c>
      <c r="J809" t="n">
        <v>0</v>
      </c>
      <c r="K809" t="n">
        <v>0</v>
      </c>
      <c r="L809" t="n">
        <v>0</v>
      </c>
      <c r="M809" t="n">
        <v>0</v>
      </c>
      <c r="N809" t="n">
        <v>0</v>
      </c>
      <c r="O809" t="n">
        <v>0</v>
      </c>
      <c r="P809" t="n">
        <v>0</v>
      </c>
      <c r="Q809" t="n">
        <v>0</v>
      </c>
      <c r="R809" s="2" t="inlineStr"/>
    </row>
    <row r="810" ht="15" customHeight="1">
      <c r="A810" t="inlineStr">
        <is>
          <t>A 68033-2020</t>
        </is>
      </c>
      <c r="B810" s="1" t="n">
        <v>44182</v>
      </c>
      <c r="C810" s="1" t="n">
        <v>45637</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68015-2020</t>
        </is>
      </c>
      <c r="B811" s="1" t="n">
        <v>44182</v>
      </c>
      <c r="C811" s="1" t="n">
        <v>45637</v>
      </c>
      <c r="D811" t="inlineStr">
        <is>
          <t>VÄSTERNORRLANDS LÄN</t>
        </is>
      </c>
      <c r="E811" t="inlineStr">
        <is>
          <t>SOLLEFTEÅ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68025-2020</t>
        </is>
      </c>
      <c r="B812" s="1" t="n">
        <v>44182</v>
      </c>
      <c r="C812" s="1" t="n">
        <v>45637</v>
      </c>
      <c r="D812" t="inlineStr">
        <is>
          <t>VÄSTERNORRLANDS LÄN</t>
        </is>
      </c>
      <c r="E812" t="inlineStr">
        <is>
          <t>SOLLEFTEÅ</t>
        </is>
      </c>
      <c r="F812" t="inlineStr">
        <is>
          <t>SCA</t>
        </is>
      </c>
      <c r="G812" t="n">
        <v>7.6</v>
      </c>
      <c r="H812" t="n">
        <v>0</v>
      </c>
      <c r="I812" t="n">
        <v>0</v>
      </c>
      <c r="J812" t="n">
        <v>0</v>
      </c>
      <c r="K812" t="n">
        <v>0</v>
      </c>
      <c r="L812" t="n">
        <v>0</v>
      </c>
      <c r="M812" t="n">
        <v>0</v>
      </c>
      <c r="N812" t="n">
        <v>0</v>
      </c>
      <c r="O812" t="n">
        <v>0</v>
      </c>
      <c r="P812" t="n">
        <v>0</v>
      </c>
      <c r="Q812" t="n">
        <v>0</v>
      </c>
      <c r="R812" s="2" t="inlineStr"/>
    </row>
    <row r="813" ht="15" customHeight="1">
      <c r="A813" t="inlineStr">
        <is>
          <t>A 68032-2020</t>
        </is>
      </c>
      <c r="B813" s="1" t="n">
        <v>44182</v>
      </c>
      <c r="C813" s="1" t="n">
        <v>45637</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68037-2020</t>
        </is>
      </c>
      <c r="B814" s="1" t="n">
        <v>44182</v>
      </c>
      <c r="C814" s="1" t="n">
        <v>45637</v>
      </c>
      <c r="D814" t="inlineStr">
        <is>
          <t>VÄSTERNORRLANDS LÄN</t>
        </is>
      </c>
      <c r="E814" t="inlineStr">
        <is>
          <t>SOLLEFTEÅ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68292-2020</t>
        </is>
      </c>
      <c r="B815" s="1" t="n">
        <v>44183</v>
      </c>
      <c r="C815" s="1" t="n">
        <v>45637</v>
      </c>
      <c r="D815" t="inlineStr">
        <is>
          <t>VÄSTERNORRLANDS LÄN</t>
        </is>
      </c>
      <c r="E815" t="inlineStr">
        <is>
          <t>SOLLEFTEÅ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68570-2020</t>
        </is>
      </c>
      <c r="B816" s="1" t="n">
        <v>44186</v>
      </c>
      <c r="C816" s="1" t="n">
        <v>45637</v>
      </c>
      <c r="D816" t="inlineStr">
        <is>
          <t>VÄSTERNORRLANDS LÄN</t>
        </is>
      </c>
      <c r="E816" t="inlineStr">
        <is>
          <t>SOLLEFTEÅ</t>
        </is>
      </c>
      <c r="G816" t="n">
        <v>5.5</v>
      </c>
      <c r="H816" t="n">
        <v>0</v>
      </c>
      <c r="I816" t="n">
        <v>0</v>
      </c>
      <c r="J816" t="n">
        <v>0</v>
      </c>
      <c r="K816" t="n">
        <v>0</v>
      </c>
      <c r="L816" t="n">
        <v>0</v>
      </c>
      <c r="M816" t="n">
        <v>0</v>
      </c>
      <c r="N816" t="n">
        <v>0</v>
      </c>
      <c r="O816" t="n">
        <v>0</v>
      </c>
      <c r="P816" t="n">
        <v>0</v>
      </c>
      <c r="Q816" t="n">
        <v>0</v>
      </c>
      <c r="R816" s="2" t="inlineStr"/>
    </row>
    <row r="817" ht="15" customHeight="1">
      <c r="A817" t="inlineStr">
        <is>
          <t>A 68652-2020</t>
        </is>
      </c>
      <c r="B817" s="1" t="n">
        <v>44186</v>
      </c>
      <c r="C817" s="1" t="n">
        <v>45637</v>
      </c>
      <c r="D817" t="inlineStr">
        <is>
          <t>VÄSTERNORRLANDS LÄN</t>
        </is>
      </c>
      <c r="E817" t="inlineStr">
        <is>
          <t>SOLLEFTEÅ</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68647-2020</t>
        </is>
      </c>
      <c r="B818" s="1" t="n">
        <v>44186</v>
      </c>
      <c r="C818" s="1" t="n">
        <v>45637</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68648-2020</t>
        </is>
      </c>
      <c r="B819" s="1" t="n">
        <v>44186</v>
      </c>
      <c r="C819" s="1" t="n">
        <v>45637</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68656-2020</t>
        </is>
      </c>
      <c r="B820" s="1" t="n">
        <v>44186</v>
      </c>
      <c r="C820" s="1" t="n">
        <v>45637</v>
      </c>
      <c r="D820" t="inlineStr">
        <is>
          <t>VÄSTERNORRLANDS LÄN</t>
        </is>
      </c>
      <c r="E820" t="inlineStr">
        <is>
          <t>SOLLEFTEÅ</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69436-2020</t>
        </is>
      </c>
      <c r="B821" s="1" t="n">
        <v>44193</v>
      </c>
      <c r="C821" s="1" t="n">
        <v>45637</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272-2021</t>
        </is>
      </c>
      <c r="B822" s="1" t="n">
        <v>44200</v>
      </c>
      <c r="C822" s="1" t="n">
        <v>45637</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691-2021</t>
        </is>
      </c>
      <c r="B823" s="1" t="n">
        <v>44203</v>
      </c>
      <c r="C823" s="1" t="n">
        <v>45637</v>
      </c>
      <c r="D823" t="inlineStr">
        <is>
          <t>VÄSTERNORRLANDS LÄN</t>
        </is>
      </c>
      <c r="E823" t="inlineStr">
        <is>
          <t>SOLLEFTEÅ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1858-2021</t>
        </is>
      </c>
      <c r="B824" s="1" t="n">
        <v>44210</v>
      </c>
      <c r="C824" s="1" t="n">
        <v>45637</v>
      </c>
      <c r="D824" t="inlineStr">
        <is>
          <t>VÄSTERNORRLANDS LÄN</t>
        </is>
      </c>
      <c r="E824" t="inlineStr">
        <is>
          <t>SOLLEFTEÅ</t>
        </is>
      </c>
      <c r="G824" t="n">
        <v>2</v>
      </c>
      <c r="H824" t="n">
        <v>0</v>
      </c>
      <c r="I824" t="n">
        <v>0</v>
      </c>
      <c r="J824" t="n">
        <v>0</v>
      </c>
      <c r="K824" t="n">
        <v>0</v>
      </c>
      <c r="L824" t="n">
        <v>0</v>
      </c>
      <c r="M824" t="n">
        <v>0</v>
      </c>
      <c r="N824" t="n">
        <v>0</v>
      </c>
      <c r="O824" t="n">
        <v>0</v>
      </c>
      <c r="P824" t="n">
        <v>0</v>
      </c>
      <c r="Q824" t="n">
        <v>0</v>
      </c>
      <c r="R824" s="2" t="inlineStr"/>
    </row>
    <row r="825" ht="15" customHeight="1">
      <c r="A825" t="inlineStr">
        <is>
          <t>A 2077-2021</t>
        </is>
      </c>
      <c r="B825" s="1" t="n">
        <v>44210</v>
      </c>
      <c r="C825" s="1" t="n">
        <v>45637</v>
      </c>
      <c r="D825" t="inlineStr">
        <is>
          <t>VÄSTERNORRLANDS LÄN</t>
        </is>
      </c>
      <c r="E825" t="inlineStr">
        <is>
          <t>SOLLEFTEÅ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2487-2021</t>
        </is>
      </c>
      <c r="B826" s="1" t="n">
        <v>44211</v>
      </c>
      <c r="C826" s="1" t="n">
        <v>45637</v>
      </c>
      <c r="D826" t="inlineStr">
        <is>
          <t>VÄSTERNORRLANDS LÄN</t>
        </is>
      </c>
      <c r="E826" t="inlineStr">
        <is>
          <t>SOLLEFTEÅ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3441-2021</t>
        </is>
      </c>
      <c r="B827" s="1" t="n">
        <v>44218</v>
      </c>
      <c r="C827" s="1" t="n">
        <v>45637</v>
      </c>
      <c r="D827" t="inlineStr">
        <is>
          <t>VÄSTERNORRLANDS LÄN</t>
        </is>
      </c>
      <c r="E827" t="inlineStr">
        <is>
          <t>SOLLEFTEÅ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4127-2021</t>
        </is>
      </c>
      <c r="B828" s="1" t="n">
        <v>44222</v>
      </c>
      <c r="C828" s="1" t="n">
        <v>45637</v>
      </c>
      <c r="D828" t="inlineStr">
        <is>
          <t>VÄSTERNORRLANDS LÄN</t>
        </is>
      </c>
      <c r="E828" t="inlineStr">
        <is>
          <t>SOLLEFTEÅ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5989-2021</t>
        </is>
      </c>
      <c r="B829" s="1" t="n">
        <v>44231</v>
      </c>
      <c r="C829" s="1" t="n">
        <v>45637</v>
      </c>
      <c r="D829" t="inlineStr">
        <is>
          <t>VÄSTERNORRLANDS LÄN</t>
        </is>
      </c>
      <c r="E829" t="inlineStr">
        <is>
          <t>SOLLEFTEÅ</t>
        </is>
      </c>
      <c r="G829" t="n">
        <v>0.9</v>
      </c>
      <c r="H829" t="n">
        <v>0</v>
      </c>
      <c r="I829" t="n">
        <v>0</v>
      </c>
      <c r="J829" t="n">
        <v>0</v>
      </c>
      <c r="K829" t="n">
        <v>0</v>
      </c>
      <c r="L829" t="n">
        <v>0</v>
      </c>
      <c r="M829" t="n">
        <v>0</v>
      </c>
      <c r="N829" t="n">
        <v>0</v>
      </c>
      <c r="O829" t="n">
        <v>0</v>
      </c>
      <c r="P829" t="n">
        <v>0</v>
      </c>
      <c r="Q829" t="n">
        <v>0</v>
      </c>
      <c r="R829" s="2" t="inlineStr"/>
    </row>
    <row r="830" ht="15" customHeight="1">
      <c r="A830" t="inlineStr">
        <is>
          <t>A 7658-2021</t>
        </is>
      </c>
      <c r="B830" s="1" t="n">
        <v>44242</v>
      </c>
      <c r="C830" s="1" t="n">
        <v>45637</v>
      </c>
      <c r="D830" t="inlineStr">
        <is>
          <t>VÄSTERNORRLANDS LÄN</t>
        </is>
      </c>
      <c r="E830" t="inlineStr">
        <is>
          <t>SOLLEFTEÅ</t>
        </is>
      </c>
      <c r="G830" t="n">
        <v>4.9</v>
      </c>
      <c r="H830" t="n">
        <v>0</v>
      </c>
      <c r="I830" t="n">
        <v>0</v>
      </c>
      <c r="J830" t="n">
        <v>0</v>
      </c>
      <c r="K830" t="n">
        <v>0</v>
      </c>
      <c r="L830" t="n">
        <v>0</v>
      </c>
      <c r="M830" t="n">
        <v>0</v>
      </c>
      <c r="N830" t="n">
        <v>0</v>
      </c>
      <c r="O830" t="n">
        <v>0</v>
      </c>
      <c r="P830" t="n">
        <v>0</v>
      </c>
      <c r="Q830" t="n">
        <v>0</v>
      </c>
      <c r="R830" s="2" t="inlineStr"/>
    </row>
    <row r="831" ht="15" customHeight="1">
      <c r="A831" t="inlineStr">
        <is>
          <t>A 7659-2021</t>
        </is>
      </c>
      <c r="B831" s="1" t="n">
        <v>44242</v>
      </c>
      <c r="C831" s="1" t="n">
        <v>45637</v>
      </c>
      <c r="D831" t="inlineStr">
        <is>
          <t>VÄSTERNORRLANDS LÄN</t>
        </is>
      </c>
      <c r="E831" t="inlineStr">
        <is>
          <t>SOLLEFTEÅ</t>
        </is>
      </c>
      <c r="G831" t="n">
        <v>8.1</v>
      </c>
      <c r="H831" t="n">
        <v>0</v>
      </c>
      <c r="I831" t="n">
        <v>0</v>
      </c>
      <c r="J831" t="n">
        <v>0</v>
      </c>
      <c r="K831" t="n">
        <v>0</v>
      </c>
      <c r="L831" t="n">
        <v>0</v>
      </c>
      <c r="M831" t="n">
        <v>0</v>
      </c>
      <c r="N831" t="n">
        <v>0</v>
      </c>
      <c r="O831" t="n">
        <v>0</v>
      </c>
      <c r="P831" t="n">
        <v>0</v>
      </c>
      <c r="Q831" t="n">
        <v>0</v>
      </c>
      <c r="R831" s="2" t="inlineStr"/>
    </row>
    <row r="832" ht="15" customHeight="1">
      <c r="A832" t="inlineStr">
        <is>
          <t>A 7889-2021</t>
        </is>
      </c>
      <c r="B832" s="1" t="n">
        <v>44242</v>
      </c>
      <c r="C832" s="1" t="n">
        <v>45637</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8631-2021</t>
        </is>
      </c>
      <c r="B833" s="1" t="n">
        <v>44245</v>
      </c>
      <c r="C833" s="1" t="n">
        <v>45637</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8692-2021</t>
        </is>
      </c>
      <c r="B834" s="1" t="n">
        <v>44246</v>
      </c>
      <c r="C834" s="1" t="n">
        <v>45637</v>
      </c>
      <c r="D834" t="inlineStr">
        <is>
          <t>VÄSTERNORRLANDS LÄN</t>
        </is>
      </c>
      <c r="E834" t="inlineStr">
        <is>
          <t>SOLLEFTEÅ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9461-2021</t>
        </is>
      </c>
      <c r="B835" s="1" t="n">
        <v>44251</v>
      </c>
      <c r="C835" s="1" t="n">
        <v>45637</v>
      </c>
      <c r="D835" t="inlineStr">
        <is>
          <t>VÄSTERNORRLANDS LÄN</t>
        </is>
      </c>
      <c r="E835" t="inlineStr">
        <is>
          <t>SOLLEFTEÅ</t>
        </is>
      </c>
      <c r="G835" t="n">
        <v>0.7</v>
      </c>
      <c r="H835" t="n">
        <v>0</v>
      </c>
      <c r="I835" t="n">
        <v>0</v>
      </c>
      <c r="J835" t="n">
        <v>0</v>
      </c>
      <c r="K835" t="n">
        <v>0</v>
      </c>
      <c r="L835" t="n">
        <v>0</v>
      </c>
      <c r="M835" t="n">
        <v>0</v>
      </c>
      <c r="N835" t="n">
        <v>0</v>
      </c>
      <c r="O835" t="n">
        <v>0</v>
      </c>
      <c r="P835" t="n">
        <v>0</v>
      </c>
      <c r="Q835" t="n">
        <v>0</v>
      </c>
      <c r="R835" s="2" t="inlineStr"/>
    </row>
    <row r="836" ht="15" customHeight="1">
      <c r="A836" t="inlineStr">
        <is>
          <t>A 11270-2021</t>
        </is>
      </c>
      <c r="B836" s="1" t="n">
        <v>44263</v>
      </c>
      <c r="C836" s="1" t="n">
        <v>45637</v>
      </c>
      <c r="D836" t="inlineStr">
        <is>
          <t>VÄSTERNORRLANDS LÄN</t>
        </is>
      </c>
      <c r="E836" t="inlineStr">
        <is>
          <t>SOLLEFTEÅ</t>
        </is>
      </c>
      <c r="F836" t="inlineStr">
        <is>
          <t>Kommuner</t>
        </is>
      </c>
      <c r="G836" t="n">
        <v>10.9</v>
      </c>
      <c r="H836" t="n">
        <v>0</v>
      </c>
      <c r="I836" t="n">
        <v>0</v>
      </c>
      <c r="J836" t="n">
        <v>0</v>
      </c>
      <c r="K836" t="n">
        <v>0</v>
      </c>
      <c r="L836" t="n">
        <v>0</v>
      </c>
      <c r="M836" t="n">
        <v>0</v>
      </c>
      <c r="N836" t="n">
        <v>0</v>
      </c>
      <c r="O836" t="n">
        <v>0</v>
      </c>
      <c r="P836" t="n">
        <v>0</v>
      </c>
      <c r="Q836" t="n">
        <v>0</v>
      </c>
      <c r="R836" s="2" t="inlineStr"/>
    </row>
    <row r="837" ht="15" customHeight="1">
      <c r="A837" t="inlineStr">
        <is>
          <t>A 11710-2021</t>
        </is>
      </c>
      <c r="B837" s="1" t="n">
        <v>44264</v>
      </c>
      <c r="C837" s="1" t="n">
        <v>45637</v>
      </c>
      <c r="D837" t="inlineStr">
        <is>
          <t>VÄSTERNORRLANDS LÄN</t>
        </is>
      </c>
      <c r="E837" t="inlineStr">
        <is>
          <t>SOLLEFTEÅ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12278-2021</t>
        </is>
      </c>
      <c r="B838" s="1" t="n">
        <v>44266</v>
      </c>
      <c r="C838" s="1" t="n">
        <v>45637</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12277-2021</t>
        </is>
      </c>
      <c r="B839" s="1" t="n">
        <v>44266</v>
      </c>
      <c r="C839" s="1" t="n">
        <v>45637</v>
      </c>
      <c r="D839" t="inlineStr">
        <is>
          <t>VÄSTERNORRLANDS LÄN</t>
        </is>
      </c>
      <c r="E839" t="inlineStr">
        <is>
          <t>SOLLEFTEÅ</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12279-2021</t>
        </is>
      </c>
      <c r="B840" s="1" t="n">
        <v>44266</v>
      </c>
      <c r="C840" s="1" t="n">
        <v>45637</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14733-2021</t>
        </is>
      </c>
      <c r="B841" s="1" t="n">
        <v>44280</v>
      </c>
      <c r="C841" s="1" t="n">
        <v>45637</v>
      </c>
      <c r="D841" t="inlineStr">
        <is>
          <t>VÄSTERNORRLANDS LÄN</t>
        </is>
      </c>
      <c r="E841" t="inlineStr">
        <is>
          <t>SOLLEFTEÅ</t>
        </is>
      </c>
      <c r="G841" t="n">
        <v>5.3</v>
      </c>
      <c r="H841" t="n">
        <v>0</v>
      </c>
      <c r="I841" t="n">
        <v>0</v>
      </c>
      <c r="J841" t="n">
        <v>0</v>
      </c>
      <c r="K841" t="n">
        <v>0</v>
      </c>
      <c r="L841" t="n">
        <v>0</v>
      </c>
      <c r="M841" t="n">
        <v>0</v>
      </c>
      <c r="N841" t="n">
        <v>0</v>
      </c>
      <c r="O841" t="n">
        <v>0</v>
      </c>
      <c r="P841" t="n">
        <v>0</v>
      </c>
      <c r="Q841" t="n">
        <v>0</v>
      </c>
      <c r="R841" s="2" t="inlineStr"/>
    </row>
    <row r="842" ht="15" customHeight="1">
      <c r="A842" t="inlineStr">
        <is>
          <t>A 15461-2021</t>
        </is>
      </c>
      <c r="B842" s="1" t="n">
        <v>44285</v>
      </c>
      <c r="C842" s="1" t="n">
        <v>45637</v>
      </c>
      <c r="D842" t="inlineStr">
        <is>
          <t>VÄSTERNORRLANDS LÄN</t>
        </is>
      </c>
      <c r="E842" t="inlineStr">
        <is>
          <t>SOLLEFTEÅ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15894-2021</t>
        </is>
      </c>
      <c r="B843" s="1" t="n">
        <v>44286</v>
      </c>
      <c r="C843" s="1" t="n">
        <v>45637</v>
      </c>
      <c r="D843" t="inlineStr">
        <is>
          <t>VÄSTERNORRLANDS LÄN</t>
        </is>
      </c>
      <c r="E843" t="inlineStr">
        <is>
          <t>SOLLEFTEÅ</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16700-2021</t>
        </is>
      </c>
      <c r="B844" s="1" t="n">
        <v>44293</v>
      </c>
      <c r="C844" s="1" t="n">
        <v>45637</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16799-2021</t>
        </is>
      </c>
      <c r="B845" s="1" t="n">
        <v>44293</v>
      </c>
      <c r="C845" s="1" t="n">
        <v>45637</v>
      </c>
      <c r="D845" t="inlineStr">
        <is>
          <t>VÄSTERNORRLANDS LÄN</t>
        </is>
      </c>
      <c r="E845" t="inlineStr">
        <is>
          <t>SOLLEFTEÅ</t>
        </is>
      </c>
      <c r="G845" t="n">
        <v>3</v>
      </c>
      <c r="H845" t="n">
        <v>0</v>
      </c>
      <c r="I845" t="n">
        <v>0</v>
      </c>
      <c r="J845" t="n">
        <v>0</v>
      </c>
      <c r="K845" t="n">
        <v>0</v>
      </c>
      <c r="L845" t="n">
        <v>0</v>
      </c>
      <c r="M845" t="n">
        <v>0</v>
      </c>
      <c r="N845" t="n">
        <v>0</v>
      </c>
      <c r="O845" t="n">
        <v>0</v>
      </c>
      <c r="P845" t="n">
        <v>0</v>
      </c>
      <c r="Q845" t="n">
        <v>0</v>
      </c>
      <c r="R845" s="2" t="inlineStr"/>
    </row>
    <row r="846" ht="15" customHeight="1">
      <c r="A846" t="inlineStr">
        <is>
          <t>A 16905-2021</t>
        </is>
      </c>
      <c r="B846" s="1" t="n">
        <v>44294</v>
      </c>
      <c r="C846" s="1" t="n">
        <v>45637</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17604-2021</t>
        </is>
      </c>
      <c r="B847" s="1" t="n">
        <v>44299</v>
      </c>
      <c r="C847" s="1" t="n">
        <v>45637</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18459-2021</t>
        </is>
      </c>
      <c r="B848" s="1" t="n">
        <v>44306</v>
      </c>
      <c r="C848" s="1" t="n">
        <v>45637</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18668-2021</t>
        </is>
      </c>
      <c r="B849" s="1" t="n">
        <v>44306</v>
      </c>
      <c r="C849" s="1" t="n">
        <v>45637</v>
      </c>
      <c r="D849" t="inlineStr">
        <is>
          <t>VÄSTERNORRLANDS LÄN</t>
        </is>
      </c>
      <c r="E849" t="inlineStr">
        <is>
          <t>SOLLEFTEÅ</t>
        </is>
      </c>
      <c r="G849" t="n">
        <v>12.7</v>
      </c>
      <c r="H849" t="n">
        <v>0</v>
      </c>
      <c r="I849" t="n">
        <v>0</v>
      </c>
      <c r="J849" t="n">
        <v>0</v>
      </c>
      <c r="K849" t="n">
        <v>0</v>
      </c>
      <c r="L849" t="n">
        <v>0</v>
      </c>
      <c r="M849" t="n">
        <v>0</v>
      </c>
      <c r="N849" t="n">
        <v>0</v>
      </c>
      <c r="O849" t="n">
        <v>0</v>
      </c>
      <c r="P849" t="n">
        <v>0</v>
      </c>
      <c r="Q849" t="n">
        <v>0</v>
      </c>
      <c r="R849" s="2" t="inlineStr"/>
    </row>
    <row r="850" ht="15" customHeight="1">
      <c r="A850" t="inlineStr">
        <is>
          <t>A 18741-2021</t>
        </is>
      </c>
      <c r="B850" s="1" t="n">
        <v>44306</v>
      </c>
      <c r="C850" s="1" t="n">
        <v>45637</v>
      </c>
      <c r="D850" t="inlineStr">
        <is>
          <t>VÄSTERNORRLANDS LÄN</t>
        </is>
      </c>
      <c r="E850" t="inlineStr">
        <is>
          <t>SOLLEFTEÅ</t>
        </is>
      </c>
      <c r="F850" t="inlineStr">
        <is>
          <t>Kyrkan</t>
        </is>
      </c>
      <c r="G850" t="n">
        <v>4.8</v>
      </c>
      <c r="H850" t="n">
        <v>0</v>
      </c>
      <c r="I850" t="n">
        <v>0</v>
      </c>
      <c r="J850" t="n">
        <v>0</v>
      </c>
      <c r="K850" t="n">
        <v>0</v>
      </c>
      <c r="L850" t="n">
        <v>0</v>
      </c>
      <c r="M850" t="n">
        <v>0</v>
      </c>
      <c r="N850" t="n">
        <v>0</v>
      </c>
      <c r="O850" t="n">
        <v>0</v>
      </c>
      <c r="P850" t="n">
        <v>0</v>
      </c>
      <c r="Q850" t="n">
        <v>0</v>
      </c>
      <c r="R850" s="2" t="inlineStr"/>
    </row>
    <row r="851" ht="15" customHeight="1">
      <c r="A851" t="inlineStr">
        <is>
          <t>A 18662-2021</t>
        </is>
      </c>
      <c r="B851" s="1" t="n">
        <v>44306</v>
      </c>
      <c r="C851" s="1" t="n">
        <v>45637</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18766-2021</t>
        </is>
      </c>
      <c r="B852" s="1" t="n">
        <v>44307</v>
      </c>
      <c r="C852" s="1" t="n">
        <v>45637</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18761-2021</t>
        </is>
      </c>
      <c r="B853" s="1" t="n">
        <v>44307</v>
      </c>
      <c r="C853" s="1" t="n">
        <v>45637</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18873-2021</t>
        </is>
      </c>
      <c r="B854" s="1" t="n">
        <v>44308</v>
      </c>
      <c r="C854" s="1" t="n">
        <v>45637</v>
      </c>
      <c r="D854" t="inlineStr">
        <is>
          <t>VÄSTERNORRLANDS LÄN</t>
        </is>
      </c>
      <c r="E854" t="inlineStr">
        <is>
          <t>SOLLEFTEÅ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18878-2021</t>
        </is>
      </c>
      <c r="B855" s="1" t="n">
        <v>44307</v>
      </c>
      <c r="C855" s="1" t="n">
        <v>45637</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18867-2021</t>
        </is>
      </c>
      <c r="B856" s="1" t="n">
        <v>44307</v>
      </c>
      <c r="C856" s="1" t="n">
        <v>45637</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18882-2021</t>
        </is>
      </c>
      <c r="B857" s="1" t="n">
        <v>44308</v>
      </c>
      <c r="C857" s="1" t="n">
        <v>45637</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18875-2021</t>
        </is>
      </c>
      <c r="B858" s="1" t="n">
        <v>44307</v>
      </c>
      <c r="C858" s="1" t="n">
        <v>45637</v>
      </c>
      <c r="D858" t="inlineStr">
        <is>
          <t>VÄSTERNORRLANDS LÄN</t>
        </is>
      </c>
      <c r="E858" t="inlineStr">
        <is>
          <t>SOLLEFTEÅ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18866-2021</t>
        </is>
      </c>
      <c r="B859" s="1" t="n">
        <v>44308</v>
      </c>
      <c r="C859" s="1" t="n">
        <v>45637</v>
      </c>
      <c r="D859" t="inlineStr">
        <is>
          <t>VÄSTERNORRLANDS LÄN</t>
        </is>
      </c>
      <c r="E859" t="inlineStr">
        <is>
          <t>SOLLEFTEÅ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18874-2021</t>
        </is>
      </c>
      <c r="B860" s="1" t="n">
        <v>44308</v>
      </c>
      <c r="C860" s="1" t="n">
        <v>45637</v>
      </c>
      <c r="D860" t="inlineStr">
        <is>
          <t>VÄSTERNORRLANDS LÄN</t>
        </is>
      </c>
      <c r="E860" t="inlineStr">
        <is>
          <t>SOLLEFTEÅ</t>
        </is>
      </c>
      <c r="F860" t="inlineStr">
        <is>
          <t>SCA</t>
        </is>
      </c>
      <c r="G860" t="n">
        <v>10.7</v>
      </c>
      <c r="H860" t="n">
        <v>0</v>
      </c>
      <c r="I860" t="n">
        <v>0</v>
      </c>
      <c r="J860" t="n">
        <v>0</v>
      </c>
      <c r="K860" t="n">
        <v>0</v>
      </c>
      <c r="L860" t="n">
        <v>0</v>
      </c>
      <c r="M860" t="n">
        <v>0</v>
      </c>
      <c r="N860" t="n">
        <v>0</v>
      </c>
      <c r="O860" t="n">
        <v>0</v>
      </c>
      <c r="P860" t="n">
        <v>0</v>
      </c>
      <c r="Q860" t="n">
        <v>0</v>
      </c>
      <c r="R860" s="2" t="inlineStr"/>
    </row>
    <row r="861" ht="15" customHeight="1">
      <c r="A861" t="inlineStr">
        <is>
          <t>A 18879-2021</t>
        </is>
      </c>
      <c r="B861" s="1" t="n">
        <v>44307</v>
      </c>
      <c r="C861" s="1" t="n">
        <v>45637</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18868-2021</t>
        </is>
      </c>
      <c r="B862" s="1" t="n">
        <v>44307</v>
      </c>
      <c r="C862" s="1" t="n">
        <v>45637</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18877-2021</t>
        </is>
      </c>
      <c r="B863" s="1" t="n">
        <v>44308</v>
      </c>
      <c r="C863" s="1" t="n">
        <v>45637</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18889-2021</t>
        </is>
      </c>
      <c r="B864" s="1" t="n">
        <v>44308</v>
      </c>
      <c r="C864" s="1" t="n">
        <v>45637</v>
      </c>
      <c r="D864" t="inlineStr">
        <is>
          <t>VÄSTERNORRLANDS LÄN</t>
        </is>
      </c>
      <c r="E864" t="inlineStr">
        <is>
          <t>SOLLEFTEÅ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19200-2021</t>
        </is>
      </c>
      <c r="B865" s="1" t="n">
        <v>44309</v>
      </c>
      <c r="C865" s="1" t="n">
        <v>45637</v>
      </c>
      <c r="D865" t="inlineStr">
        <is>
          <t>VÄSTERNORRLANDS LÄN</t>
        </is>
      </c>
      <c r="E865" t="inlineStr">
        <is>
          <t>SOLLEFTEÅ</t>
        </is>
      </c>
      <c r="G865" t="n">
        <v>12.7</v>
      </c>
      <c r="H865" t="n">
        <v>0</v>
      </c>
      <c r="I865" t="n">
        <v>0</v>
      </c>
      <c r="J865" t="n">
        <v>0</v>
      </c>
      <c r="K865" t="n">
        <v>0</v>
      </c>
      <c r="L865" t="n">
        <v>0</v>
      </c>
      <c r="M865" t="n">
        <v>0</v>
      </c>
      <c r="N865" t="n">
        <v>0</v>
      </c>
      <c r="O865" t="n">
        <v>0</v>
      </c>
      <c r="P865" t="n">
        <v>0</v>
      </c>
      <c r="Q865" t="n">
        <v>0</v>
      </c>
      <c r="R865" s="2" t="inlineStr"/>
    </row>
    <row r="866" ht="15" customHeight="1">
      <c r="A866" t="inlineStr">
        <is>
          <t>A 19510-2021</t>
        </is>
      </c>
      <c r="B866" s="1" t="n">
        <v>44308</v>
      </c>
      <c r="C866" s="1" t="n">
        <v>45637</v>
      </c>
      <c r="D866" t="inlineStr">
        <is>
          <t>VÄSTERNORRLANDS LÄN</t>
        </is>
      </c>
      <c r="E866" t="inlineStr">
        <is>
          <t>SOLLEFTEÅ</t>
        </is>
      </c>
      <c r="F866" t="inlineStr">
        <is>
          <t>Kyrkan</t>
        </is>
      </c>
      <c r="G866" t="n">
        <v>19.6</v>
      </c>
      <c r="H866" t="n">
        <v>0</v>
      </c>
      <c r="I866" t="n">
        <v>0</v>
      </c>
      <c r="J866" t="n">
        <v>0</v>
      </c>
      <c r="K866" t="n">
        <v>0</v>
      </c>
      <c r="L866" t="n">
        <v>0</v>
      </c>
      <c r="M866" t="n">
        <v>0</v>
      </c>
      <c r="N866" t="n">
        <v>0</v>
      </c>
      <c r="O866" t="n">
        <v>0</v>
      </c>
      <c r="P866" t="n">
        <v>0</v>
      </c>
      <c r="Q866" t="n">
        <v>0</v>
      </c>
      <c r="R866" s="2" t="inlineStr"/>
    </row>
    <row r="867" ht="15" customHeight="1">
      <c r="A867" t="inlineStr">
        <is>
          <t>A 19220-2021</t>
        </is>
      </c>
      <c r="B867" s="1" t="n">
        <v>44309</v>
      </c>
      <c r="C867" s="1" t="n">
        <v>45637</v>
      </c>
      <c r="D867" t="inlineStr">
        <is>
          <t>VÄSTERNORRLANDS LÄN</t>
        </is>
      </c>
      <c r="E867" t="inlineStr">
        <is>
          <t>SOLLEFTEÅ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19433-2021</t>
        </is>
      </c>
      <c r="B868" s="1" t="n">
        <v>44310</v>
      </c>
      <c r="C868" s="1" t="n">
        <v>45637</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19412-2021</t>
        </is>
      </c>
      <c r="B869" s="1" t="n">
        <v>44310</v>
      </c>
      <c r="C869" s="1" t="n">
        <v>45637</v>
      </c>
      <c r="D869" t="inlineStr">
        <is>
          <t>VÄSTERNORRLANDS LÄN</t>
        </is>
      </c>
      <c r="E869" t="inlineStr">
        <is>
          <t>SOLLEFTEÅ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19435-2021</t>
        </is>
      </c>
      <c r="B870" s="1" t="n">
        <v>44310</v>
      </c>
      <c r="C870" s="1" t="n">
        <v>45637</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19516-2021</t>
        </is>
      </c>
      <c r="B871" s="1" t="n">
        <v>44309</v>
      </c>
      <c r="C871" s="1" t="n">
        <v>45637</v>
      </c>
      <c r="D871" t="inlineStr">
        <is>
          <t>VÄSTERNORRLANDS LÄN</t>
        </is>
      </c>
      <c r="E871" t="inlineStr">
        <is>
          <t>SOLLEFTEÅ</t>
        </is>
      </c>
      <c r="G871" t="n">
        <v>15.6</v>
      </c>
      <c r="H871" t="n">
        <v>0</v>
      </c>
      <c r="I871" t="n">
        <v>0</v>
      </c>
      <c r="J871" t="n">
        <v>0</v>
      </c>
      <c r="K871" t="n">
        <v>0</v>
      </c>
      <c r="L871" t="n">
        <v>0</v>
      </c>
      <c r="M871" t="n">
        <v>0</v>
      </c>
      <c r="N871" t="n">
        <v>0</v>
      </c>
      <c r="O871" t="n">
        <v>0</v>
      </c>
      <c r="P871" t="n">
        <v>0</v>
      </c>
      <c r="Q871" t="n">
        <v>0</v>
      </c>
      <c r="R871" s="2" t="inlineStr"/>
    </row>
    <row r="872" ht="15" customHeight="1">
      <c r="A872" t="inlineStr">
        <is>
          <t>A 19830-2021</t>
        </is>
      </c>
      <c r="B872" s="1" t="n">
        <v>44312</v>
      </c>
      <c r="C872" s="1" t="n">
        <v>45637</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19637-2021</t>
        </is>
      </c>
      <c r="B873" s="1" t="n">
        <v>44312</v>
      </c>
      <c r="C873" s="1" t="n">
        <v>45637</v>
      </c>
      <c r="D873" t="inlineStr">
        <is>
          <t>VÄSTERNORRLANDS LÄN</t>
        </is>
      </c>
      <c r="E873" t="inlineStr">
        <is>
          <t>SOLLEFTEÅ</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21341-2021</t>
        </is>
      </c>
      <c r="B874" s="1" t="n">
        <v>44321</v>
      </c>
      <c r="C874" s="1" t="n">
        <v>45637</v>
      </c>
      <c r="D874" t="inlineStr">
        <is>
          <t>VÄSTERNORRLANDS LÄN</t>
        </is>
      </c>
      <c r="E874" t="inlineStr">
        <is>
          <t>SOLLEFTEÅ</t>
        </is>
      </c>
      <c r="G874" t="n">
        <v>4.1</v>
      </c>
      <c r="H874" t="n">
        <v>0</v>
      </c>
      <c r="I874" t="n">
        <v>0</v>
      </c>
      <c r="J874" t="n">
        <v>0</v>
      </c>
      <c r="K874" t="n">
        <v>0</v>
      </c>
      <c r="L874" t="n">
        <v>0</v>
      </c>
      <c r="M874" t="n">
        <v>0</v>
      </c>
      <c r="N874" t="n">
        <v>0</v>
      </c>
      <c r="O874" t="n">
        <v>0</v>
      </c>
      <c r="P874" t="n">
        <v>0</v>
      </c>
      <c r="Q874" t="n">
        <v>0</v>
      </c>
      <c r="R874" s="2" t="inlineStr"/>
    </row>
    <row r="875" ht="15" customHeight="1">
      <c r="A875" t="inlineStr">
        <is>
          <t>A 21350-2021</t>
        </is>
      </c>
      <c r="B875" s="1" t="n">
        <v>44321</v>
      </c>
      <c r="C875" s="1" t="n">
        <v>45637</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21358-2021</t>
        </is>
      </c>
      <c r="B876" s="1" t="n">
        <v>44320</v>
      </c>
      <c r="C876" s="1" t="n">
        <v>45637</v>
      </c>
      <c r="D876" t="inlineStr">
        <is>
          <t>VÄSTERNORRLANDS LÄN</t>
        </is>
      </c>
      <c r="E876" t="inlineStr">
        <is>
          <t>SOLLEFTEÅ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21362-2021</t>
        </is>
      </c>
      <c r="B877" s="1" t="n">
        <v>44321</v>
      </c>
      <c r="C877" s="1" t="n">
        <v>45637</v>
      </c>
      <c r="D877" t="inlineStr">
        <is>
          <t>VÄSTERNORRLANDS LÄN</t>
        </is>
      </c>
      <c r="E877" t="inlineStr">
        <is>
          <t>SOLLEFTEÅ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21532-2021</t>
        </is>
      </c>
      <c r="B878" s="1" t="n">
        <v>44321</v>
      </c>
      <c r="C878" s="1" t="n">
        <v>45637</v>
      </c>
      <c r="D878" t="inlineStr">
        <is>
          <t>VÄSTERNORRLANDS LÄN</t>
        </is>
      </c>
      <c r="E878" t="inlineStr">
        <is>
          <t>SOLLEFTEÅ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21589-2021</t>
        </is>
      </c>
      <c r="B879" s="1" t="n">
        <v>44321</v>
      </c>
      <c r="C879" s="1" t="n">
        <v>45637</v>
      </c>
      <c r="D879" t="inlineStr">
        <is>
          <t>VÄSTERNORRLANDS LÄN</t>
        </is>
      </c>
      <c r="E879" t="inlineStr">
        <is>
          <t>SOLLEFTEÅ</t>
        </is>
      </c>
      <c r="G879" t="n">
        <v>7</v>
      </c>
      <c r="H879" t="n">
        <v>0</v>
      </c>
      <c r="I879" t="n">
        <v>0</v>
      </c>
      <c r="J879" t="n">
        <v>0</v>
      </c>
      <c r="K879" t="n">
        <v>0</v>
      </c>
      <c r="L879" t="n">
        <v>0</v>
      </c>
      <c r="M879" t="n">
        <v>0</v>
      </c>
      <c r="N879" t="n">
        <v>0</v>
      </c>
      <c r="O879" t="n">
        <v>0</v>
      </c>
      <c r="P879" t="n">
        <v>0</v>
      </c>
      <c r="Q879" t="n">
        <v>0</v>
      </c>
      <c r="R879" s="2" t="inlineStr"/>
    </row>
    <row r="880" ht="15" customHeight="1">
      <c r="A880" t="inlineStr">
        <is>
          <t>A 21711-2021</t>
        </is>
      </c>
      <c r="B880" s="1" t="n">
        <v>44322</v>
      </c>
      <c r="C880" s="1" t="n">
        <v>45637</v>
      </c>
      <c r="D880" t="inlineStr">
        <is>
          <t>VÄSTERNORRLANDS LÄN</t>
        </is>
      </c>
      <c r="E880" t="inlineStr">
        <is>
          <t>SOLLEFTEÅ</t>
        </is>
      </c>
      <c r="F880" t="inlineStr">
        <is>
          <t>Kyrkan</t>
        </is>
      </c>
      <c r="G880" t="n">
        <v>22.2</v>
      </c>
      <c r="H880" t="n">
        <v>0</v>
      </c>
      <c r="I880" t="n">
        <v>0</v>
      </c>
      <c r="J880" t="n">
        <v>0</v>
      </c>
      <c r="K880" t="n">
        <v>0</v>
      </c>
      <c r="L880" t="n">
        <v>0</v>
      </c>
      <c r="M880" t="n">
        <v>0</v>
      </c>
      <c r="N880" t="n">
        <v>0</v>
      </c>
      <c r="O880" t="n">
        <v>0</v>
      </c>
      <c r="P880" t="n">
        <v>0</v>
      </c>
      <c r="Q880" t="n">
        <v>0</v>
      </c>
      <c r="R880" s="2" t="inlineStr"/>
    </row>
    <row r="881" ht="15" customHeight="1">
      <c r="A881" t="inlineStr">
        <is>
          <t>A 21924-2021</t>
        </is>
      </c>
      <c r="B881" s="1" t="n">
        <v>44323</v>
      </c>
      <c r="C881" s="1" t="n">
        <v>45637</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22447-2021</t>
        </is>
      </c>
      <c r="B882" s="1" t="n">
        <v>44323</v>
      </c>
      <c r="C882" s="1" t="n">
        <v>45637</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22441-2021</t>
        </is>
      </c>
      <c r="B883" s="1" t="n">
        <v>44323</v>
      </c>
      <c r="C883" s="1" t="n">
        <v>45637</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22224-2021</t>
        </is>
      </c>
      <c r="B884" s="1" t="n">
        <v>44326</v>
      </c>
      <c r="C884" s="1" t="n">
        <v>45637</v>
      </c>
      <c r="D884" t="inlineStr">
        <is>
          <t>VÄSTERNORRLANDS LÄN</t>
        </is>
      </c>
      <c r="E884" t="inlineStr">
        <is>
          <t>SOLLEFTEÅ</t>
        </is>
      </c>
      <c r="F884" t="inlineStr">
        <is>
          <t>Kommuner</t>
        </is>
      </c>
      <c r="G884" t="n">
        <v>2.3</v>
      </c>
      <c r="H884" t="n">
        <v>0</v>
      </c>
      <c r="I884" t="n">
        <v>0</v>
      </c>
      <c r="J884" t="n">
        <v>0</v>
      </c>
      <c r="K884" t="n">
        <v>0</v>
      </c>
      <c r="L884" t="n">
        <v>0</v>
      </c>
      <c r="M884" t="n">
        <v>0</v>
      </c>
      <c r="N884" t="n">
        <v>0</v>
      </c>
      <c r="O884" t="n">
        <v>0</v>
      </c>
      <c r="P884" t="n">
        <v>0</v>
      </c>
      <c r="Q884" t="n">
        <v>0</v>
      </c>
      <c r="R884" s="2" t="inlineStr"/>
    </row>
    <row r="885" ht="15" customHeight="1">
      <c r="A885" t="inlineStr">
        <is>
          <t>A 22934-2021</t>
        </is>
      </c>
      <c r="B885" s="1" t="n">
        <v>44328</v>
      </c>
      <c r="C885" s="1" t="n">
        <v>45637</v>
      </c>
      <c r="D885" t="inlineStr">
        <is>
          <t>VÄSTERNORRLANDS LÄN</t>
        </is>
      </c>
      <c r="E885" t="inlineStr">
        <is>
          <t>SOLLEFTEÅ</t>
        </is>
      </c>
      <c r="G885" t="n">
        <v>10</v>
      </c>
      <c r="H885" t="n">
        <v>0</v>
      </c>
      <c r="I885" t="n">
        <v>0</v>
      </c>
      <c r="J885" t="n">
        <v>0</v>
      </c>
      <c r="K885" t="n">
        <v>0</v>
      </c>
      <c r="L885" t="n">
        <v>0</v>
      </c>
      <c r="M885" t="n">
        <v>0</v>
      </c>
      <c r="N885" t="n">
        <v>0</v>
      </c>
      <c r="O885" t="n">
        <v>0</v>
      </c>
      <c r="P885" t="n">
        <v>0</v>
      </c>
      <c r="Q885" t="n">
        <v>0</v>
      </c>
      <c r="R885" s="2" t="inlineStr"/>
    </row>
    <row r="886" ht="15" customHeight="1">
      <c r="A886" t="inlineStr">
        <is>
          <t>A 23033-2021</t>
        </is>
      </c>
      <c r="B886" s="1" t="n">
        <v>44329</v>
      </c>
      <c r="C886" s="1" t="n">
        <v>45637</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23032-2021</t>
        </is>
      </c>
      <c r="B887" s="1" t="n">
        <v>44329</v>
      </c>
      <c r="C887" s="1" t="n">
        <v>45637</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23034-2021</t>
        </is>
      </c>
      <c r="B888" s="1" t="n">
        <v>44329</v>
      </c>
      <c r="C888" s="1" t="n">
        <v>45637</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23030-2021</t>
        </is>
      </c>
      <c r="B889" s="1" t="n">
        <v>44329</v>
      </c>
      <c r="C889" s="1" t="n">
        <v>45637</v>
      </c>
      <c r="D889" t="inlineStr">
        <is>
          <t>VÄSTERNORRLANDS LÄN</t>
        </is>
      </c>
      <c r="E889" t="inlineStr">
        <is>
          <t>SOLLEFTEÅ</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23069-2021</t>
        </is>
      </c>
      <c r="B890" s="1" t="n">
        <v>44330</v>
      </c>
      <c r="C890" s="1" t="n">
        <v>45637</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23394-2021</t>
        </is>
      </c>
      <c r="B891" s="1" t="n">
        <v>44333</v>
      </c>
      <c r="C891" s="1" t="n">
        <v>45637</v>
      </c>
      <c r="D891" t="inlineStr">
        <is>
          <t>VÄSTERNORRLANDS LÄN</t>
        </is>
      </c>
      <c r="E891" t="inlineStr">
        <is>
          <t>SOLLEFTEÅ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23639-2021</t>
        </is>
      </c>
      <c r="B892" s="1" t="n">
        <v>44334</v>
      </c>
      <c r="C892" s="1" t="n">
        <v>45637</v>
      </c>
      <c r="D892" t="inlineStr">
        <is>
          <t>VÄSTERNORRLANDS LÄN</t>
        </is>
      </c>
      <c r="E892" t="inlineStr">
        <is>
          <t>SOLLEFTEÅ</t>
        </is>
      </c>
      <c r="F892" t="inlineStr">
        <is>
          <t>Kyrkan</t>
        </is>
      </c>
      <c r="G892" t="n">
        <v>5.4</v>
      </c>
      <c r="H892" t="n">
        <v>0</v>
      </c>
      <c r="I892" t="n">
        <v>0</v>
      </c>
      <c r="J892" t="n">
        <v>0</v>
      </c>
      <c r="K892" t="n">
        <v>0</v>
      </c>
      <c r="L892" t="n">
        <v>0</v>
      </c>
      <c r="M892" t="n">
        <v>0</v>
      </c>
      <c r="N892" t="n">
        <v>0</v>
      </c>
      <c r="O892" t="n">
        <v>0</v>
      </c>
      <c r="P892" t="n">
        <v>0</v>
      </c>
      <c r="Q892" t="n">
        <v>0</v>
      </c>
      <c r="R892" s="2" t="inlineStr"/>
    </row>
    <row r="893" ht="15" customHeight="1">
      <c r="A893" t="inlineStr">
        <is>
          <t>A 23689-2021</t>
        </is>
      </c>
      <c r="B893" s="1" t="n">
        <v>44334</v>
      </c>
      <c r="C893" s="1" t="n">
        <v>45637</v>
      </c>
      <c r="D893" t="inlineStr">
        <is>
          <t>VÄSTERNORRLANDS LÄN</t>
        </is>
      </c>
      <c r="E893" t="inlineStr">
        <is>
          <t>SOLLEFTEÅ</t>
        </is>
      </c>
      <c r="G893" t="n">
        <v>14.9</v>
      </c>
      <c r="H893" t="n">
        <v>0</v>
      </c>
      <c r="I893" t="n">
        <v>0</v>
      </c>
      <c r="J893" t="n">
        <v>0</v>
      </c>
      <c r="K893" t="n">
        <v>0</v>
      </c>
      <c r="L893" t="n">
        <v>0</v>
      </c>
      <c r="M893" t="n">
        <v>0</v>
      </c>
      <c r="N893" t="n">
        <v>0</v>
      </c>
      <c r="O893" t="n">
        <v>0</v>
      </c>
      <c r="P893" t="n">
        <v>0</v>
      </c>
      <c r="Q893" t="n">
        <v>0</v>
      </c>
      <c r="R893" s="2" t="inlineStr"/>
    </row>
    <row r="894" ht="15" customHeight="1">
      <c r="A894" t="inlineStr">
        <is>
          <t>A 23770-2021</t>
        </is>
      </c>
      <c r="B894" s="1" t="n">
        <v>44335</v>
      </c>
      <c r="C894" s="1" t="n">
        <v>45637</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23753-2021</t>
        </is>
      </c>
      <c r="B895" s="1" t="n">
        <v>44334</v>
      </c>
      <c r="C895" s="1" t="n">
        <v>45637</v>
      </c>
      <c r="D895" t="inlineStr">
        <is>
          <t>VÄSTERNORRLANDS LÄN</t>
        </is>
      </c>
      <c r="E895" t="inlineStr">
        <is>
          <t>SOLLEFTEÅ</t>
        </is>
      </c>
      <c r="G895" t="n">
        <v>14.8</v>
      </c>
      <c r="H895" t="n">
        <v>0</v>
      </c>
      <c r="I895" t="n">
        <v>0</v>
      </c>
      <c r="J895" t="n">
        <v>0</v>
      </c>
      <c r="K895" t="n">
        <v>0</v>
      </c>
      <c r="L895" t="n">
        <v>0</v>
      </c>
      <c r="M895" t="n">
        <v>0</v>
      </c>
      <c r="N895" t="n">
        <v>0</v>
      </c>
      <c r="O895" t="n">
        <v>0</v>
      </c>
      <c r="P895" t="n">
        <v>0</v>
      </c>
      <c r="Q895" t="n">
        <v>0</v>
      </c>
      <c r="R895" s="2" t="inlineStr"/>
    </row>
    <row r="896" ht="15" customHeight="1">
      <c r="A896" t="inlineStr">
        <is>
          <t>A 23814-2021</t>
        </is>
      </c>
      <c r="B896" s="1" t="n">
        <v>44335</v>
      </c>
      <c r="C896" s="1" t="n">
        <v>45637</v>
      </c>
      <c r="D896" t="inlineStr">
        <is>
          <t>VÄSTERNORRLANDS LÄN</t>
        </is>
      </c>
      <c r="E896" t="inlineStr">
        <is>
          <t>SOLLEFTEÅ</t>
        </is>
      </c>
      <c r="G896" t="n">
        <v>1.2</v>
      </c>
      <c r="H896" t="n">
        <v>0</v>
      </c>
      <c r="I896" t="n">
        <v>0</v>
      </c>
      <c r="J896" t="n">
        <v>0</v>
      </c>
      <c r="K896" t="n">
        <v>0</v>
      </c>
      <c r="L896" t="n">
        <v>0</v>
      </c>
      <c r="M896" t="n">
        <v>0</v>
      </c>
      <c r="N896" t="n">
        <v>0</v>
      </c>
      <c r="O896" t="n">
        <v>0</v>
      </c>
      <c r="P896" t="n">
        <v>0</v>
      </c>
      <c r="Q896" t="n">
        <v>0</v>
      </c>
      <c r="R896" s="2" t="inlineStr"/>
    </row>
    <row r="897" ht="15" customHeight="1">
      <c r="A897" t="inlineStr">
        <is>
          <t>A 24243-2021</t>
        </is>
      </c>
      <c r="B897" s="1" t="n">
        <v>44336</v>
      </c>
      <c r="C897" s="1" t="n">
        <v>45637</v>
      </c>
      <c r="D897" t="inlineStr">
        <is>
          <t>VÄSTERNORRLANDS LÄN</t>
        </is>
      </c>
      <c r="E897" t="inlineStr">
        <is>
          <t>SOLLEFTEÅ</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24244-2021</t>
        </is>
      </c>
      <c r="B898" s="1" t="n">
        <v>44337</v>
      </c>
      <c r="C898" s="1" t="n">
        <v>45637</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24720-2021</t>
        </is>
      </c>
      <c r="B899" s="1" t="n">
        <v>44340</v>
      </c>
      <c r="C899" s="1" t="n">
        <v>45637</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24731-2021</t>
        </is>
      </c>
      <c r="B900" s="1" t="n">
        <v>44340</v>
      </c>
      <c r="C900" s="1" t="n">
        <v>45637</v>
      </c>
      <c r="D900" t="inlineStr">
        <is>
          <t>VÄSTERNORRLANDS LÄN</t>
        </is>
      </c>
      <c r="E900" t="inlineStr">
        <is>
          <t>SOLLEFTEÅ</t>
        </is>
      </c>
      <c r="G900" t="n">
        <v>5.3</v>
      </c>
      <c r="H900" t="n">
        <v>0</v>
      </c>
      <c r="I900" t="n">
        <v>0</v>
      </c>
      <c r="J900" t="n">
        <v>0</v>
      </c>
      <c r="K900" t="n">
        <v>0</v>
      </c>
      <c r="L900" t="n">
        <v>0</v>
      </c>
      <c r="M900" t="n">
        <v>0</v>
      </c>
      <c r="N900" t="n">
        <v>0</v>
      </c>
      <c r="O900" t="n">
        <v>0</v>
      </c>
      <c r="P900" t="n">
        <v>0</v>
      </c>
      <c r="Q900" t="n">
        <v>0</v>
      </c>
      <c r="R900" s="2" t="inlineStr"/>
    </row>
    <row r="901" ht="15" customHeight="1">
      <c r="A901" t="inlineStr">
        <is>
          <t>A 25183-2021</t>
        </is>
      </c>
      <c r="B901" s="1" t="n">
        <v>44341</v>
      </c>
      <c r="C901" s="1" t="n">
        <v>45637</v>
      </c>
      <c r="D901" t="inlineStr">
        <is>
          <t>VÄSTERNORRLANDS LÄN</t>
        </is>
      </c>
      <c r="E901" t="inlineStr">
        <is>
          <t>SOLLEFTEÅ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25156-2021</t>
        </is>
      </c>
      <c r="B902" s="1" t="n">
        <v>44341</v>
      </c>
      <c r="C902" s="1" t="n">
        <v>45637</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25152-2021</t>
        </is>
      </c>
      <c r="B903" s="1" t="n">
        <v>44341</v>
      </c>
      <c r="C903" s="1" t="n">
        <v>45637</v>
      </c>
      <c r="D903" t="inlineStr">
        <is>
          <t>VÄSTERNORRLANDS LÄN</t>
        </is>
      </c>
      <c r="E903" t="inlineStr">
        <is>
          <t>SOLLEFTEÅ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25329-2021</t>
        </is>
      </c>
      <c r="B904" s="1" t="n">
        <v>44342</v>
      </c>
      <c r="C904" s="1" t="n">
        <v>45637</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25345-2021</t>
        </is>
      </c>
      <c r="B905" s="1" t="n">
        <v>44342</v>
      </c>
      <c r="C905" s="1" t="n">
        <v>45637</v>
      </c>
      <c r="D905" t="inlineStr">
        <is>
          <t>VÄSTERNORRLANDS LÄN</t>
        </is>
      </c>
      <c r="E905" t="inlineStr">
        <is>
          <t>SOLLEFTEÅ</t>
        </is>
      </c>
      <c r="G905" t="n">
        <v>0.2</v>
      </c>
      <c r="H905" t="n">
        <v>0</v>
      </c>
      <c r="I905" t="n">
        <v>0</v>
      </c>
      <c r="J905" t="n">
        <v>0</v>
      </c>
      <c r="K905" t="n">
        <v>0</v>
      </c>
      <c r="L905" t="n">
        <v>0</v>
      </c>
      <c r="M905" t="n">
        <v>0</v>
      </c>
      <c r="N905" t="n">
        <v>0</v>
      </c>
      <c r="O905" t="n">
        <v>0</v>
      </c>
      <c r="P905" t="n">
        <v>0</v>
      </c>
      <c r="Q905" t="n">
        <v>0</v>
      </c>
      <c r="R905" s="2" t="inlineStr"/>
    </row>
    <row r="906" ht="15" customHeight="1">
      <c r="A906" t="inlineStr">
        <is>
          <t>A 25522-2021</t>
        </is>
      </c>
      <c r="B906" s="1" t="n">
        <v>44342</v>
      </c>
      <c r="C906" s="1" t="n">
        <v>45637</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25999-2021</t>
        </is>
      </c>
      <c r="B907" s="1" t="n">
        <v>44344</v>
      </c>
      <c r="C907" s="1" t="n">
        <v>45637</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25877-2021</t>
        </is>
      </c>
      <c r="B908" s="1" t="n">
        <v>44344</v>
      </c>
      <c r="C908" s="1" t="n">
        <v>45637</v>
      </c>
      <c r="D908" t="inlineStr">
        <is>
          <t>VÄSTERNORRLANDS LÄN</t>
        </is>
      </c>
      <c r="E908" t="inlineStr">
        <is>
          <t>SOLLEFTEÅ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25989-2021</t>
        </is>
      </c>
      <c r="B909" s="1" t="n">
        <v>44344</v>
      </c>
      <c r="C909" s="1" t="n">
        <v>45637</v>
      </c>
      <c r="D909" t="inlineStr">
        <is>
          <t>VÄSTERNORRLANDS LÄN</t>
        </is>
      </c>
      <c r="E909" t="inlineStr">
        <is>
          <t>SOLLEFTEÅ</t>
        </is>
      </c>
      <c r="G909" t="n">
        <v>1.5</v>
      </c>
      <c r="H909" t="n">
        <v>0</v>
      </c>
      <c r="I909" t="n">
        <v>0</v>
      </c>
      <c r="J909" t="n">
        <v>0</v>
      </c>
      <c r="K909" t="n">
        <v>0</v>
      </c>
      <c r="L909" t="n">
        <v>0</v>
      </c>
      <c r="M909" t="n">
        <v>0</v>
      </c>
      <c r="N909" t="n">
        <v>0</v>
      </c>
      <c r="O909" t="n">
        <v>0</v>
      </c>
      <c r="P909" t="n">
        <v>0</v>
      </c>
      <c r="Q909" t="n">
        <v>0</v>
      </c>
      <c r="R909" s="2" t="inlineStr"/>
    </row>
    <row r="910" ht="15" customHeight="1">
      <c r="A910" t="inlineStr">
        <is>
          <t>A 26406-2021</t>
        </is>
      </c>
      <c r="B910" s="1" t="n">
        <v>44347</v>
      </c>
      <c r="C910" s="1" t="n">
        <v>45637</v>
      </c>
      <c r="D910" t="inlineStr">
        <is>
          <t>VÄSTERNORRLANDS LÄN</t>
        </is>
      </c>
      <c r="E910" t="inlineStr">
        <is>
          <t>SOLLEFTEÅ</t>
        </is>
      </c>
      <c r="F910" t="inlineStr">
        <is>
          <t>SCA</t>
        </is>
      </c>
      <c r="G910" t="n">
        <v>12.2</v>
      </c>
      <c r="H910" t="n">
        <v>0</v>
      </c>
      <c r="I910" t="n">
        <v>0</v>
      </c>
      <c r="J910" t="n">
        <v>0</v>
      </c>
      <c r="K910" t="n">
        <v>0</v>
      </c>
      <c r="L910" t="n">
        <v>0</v>
      </c>
      <c r="M910" t="n">
        <v>0</v>
      </c>
      <c r="N910" t="n">
        <v>0</v>
      </c>
      <c r="O910" t="n">
        <v>0</v>
      </c>
      <c r="P910" t="n">
        <v>0</v>
      </c>
      <c r="Q910" t="n">
        <v>0</v>
      </c>
      <c r="R910" s="2" t="inlineStr"/>
    </row>
    <row r="911" ht="15" customHeight="1">
      <c r="A911" t="inlineStr">
        <is>
          <t>A 26401-2021</t>
        </is>
      </c>
      <c r="B911" s="1" t="n">
        <v>44348</v>
      </c>
      <c r="C911" s="1" t="n">
        <v>45637</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26498-2021</t>
        </is>
      </c>
      <c r="B912" s="1" t="n">
        <v>44348</v>
      </c>
      <c r="C912" s="1" t="n">
        <v>45637</v>
      </c>
      <c r="D912" t="inlineStr">
        <is>
          <t>VÄSTERNORRLANDS LÄN</t>
        </is>
      </c>
      <c r="E912" t="inlineStr">
        <is>
          <t>SOLLEFTEÅ</t>
        </is>
      </c>
      <c r="G912" t="n">
        <v>7.8</v>
      </c>
      <c r="H912" t="n">
        <v>0</v>
      </c>
      <c r="I912" t="n">
        <v>0</v>
      </c>
      <c r="J912" t="n">
        <v>0</v>
      </c>
      <c r="K912" t="n">
        <v>0</v>
      </c>
      <c r="L912" t="n">
        <v>0</v>
      </c>
      <c r="M912" t="n">
        <v>0</v>
      </c>
      <c r="N912" t="n">
        <v>0</v>
      </c>
      <c r="O912" t="n">
        <v>0</v>
      </c>
      <c r="P912" t="n">
        <v>0</v>
      </c>
      <c r="Q912" t="n">
        <v>0</v>
      </c>
      <c r="R912" s="2" t="inlineStr"/>
    </row>
    <row r="913" ht="15" customHeight="1">
      <c r="A913" t="inlineStr">
        <is>
          <t>A 26559-2021</t>
        </is>
      </c>
      <c r="B913" s="1" t="n">
        <v>44348</v>
      </c>
      <c r="C913" s="1" t="n">
        <v>45637</v>
      </c>
      <c r="D913" t="inlineStr">
        <is>
          <t>VÄSTERNORRLANDS LÄN</t>
        </is>
      </c>
      <c r="E913" t="inlineStr">
        <is>
          <t>SOLLEFTEÅ</t>
        </is>
      </c>
      <c r="G913" t="n">
        <v>9</v>
      </c>
      <c r="H913" t="n">
        <v>0</v>
      </c>
      <c r="I913" t="n">
        <v>0</v>
      </c>
      <c r="J913" t="n">
        <v>0</v>
      </c>
      <c r="K913" t="n">
        <v>0</v>
      </c>
      <c r="L913" t="n">
        <v>0</v>
      </c>
      <c r="M913" t="n">
        <v>0</v>
      </c>
      <c r="N913" t="n">
        <v>0</v>
      </c>
      <c r="O913" t="n">
        <v>0</v>
      </c>
      <c r="P913" t="n">
        <v>0</v>
      </c>
      <c r="Q913" t="n">
        <v>0</v>
      </c>
      <c r="R913" s="2" t="inlineStr"/>
    </row>
    <row r="914" ht="15" customHeight="1">
      <c r="A914" t="inlineStr">
        <is>
          <t>A 26669-2021</t>
        </is>
      </c>
      <c r="B914" s="1" t="n">
        <v>44349</v>
      </c>
      <c r="C914" s="1" t="n">
        <v>45637</v>
      </c>
      <c r="D914" t="inlineStr">
        <is>
          <t>VÄSTERNORRLANDS LÄN</t>
        </is>
      </c>
      <c r="E914" t="inlineStr">
        <is>
          <t>SOLLEFTEÅ</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27809-2021</t>
        </is>
      </c>
      <c r="B915" s="1" t="n">
        <v>44354</v>
      </c>
      <c r="C915" s="1" t="n">
        <v>45637</v>
      </c>
      <c r="D915" t="inlineStr">
        <is>
          <t>VÄSTERNORRLANDS LÄN</t>
        </is>
      </c>
      <c r="E915" t="inlineStr">
        <is>
          <t>SOLLEFTEÅ</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27972-2021</t>
        </is>
      </c>
      <c r="B916" s="1" t="n">
        <v>44355</v>
      </c>
      <c r="C916" s="1" t="n">
        <v>45637</v>
      </c>
      <c r="D916" t="inlineStr">
        <is>
          <t>VÄSTERNORRLANDS LÄN</t>
        </is>
      </c>
      <c r="E916" t="inlineStr">
        <is>
          <t>SOLLEFTEÅ</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28288-2021</t>
        </is>
      </c>
      <c r="B917" s="1" t="n">
        <v>44355</v>
      </c>
      <c r="C917" s="1" t="n">
        <v>45637</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28615-2021</t>
        </is>
      </c>
      <c r="B918" s="1" t="n">
        <v>44357</v>
      </c>
      <c r="C918" s="1" t="n">
        <v>45637</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28939-2021</t>
        </is>
      </c>
      <c r="B919" s="1" t="n">
        <v>44358</v>
      </c>
      <c r="C919" s="1" t="n">
        <v>45637</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29623-2021</t>
        </is>
      </c>
      <c r="B920" s="1" t="n">
        <v>44361</v>
      </c>
      <c r="C920" s="1" t="n">
        <v>45637</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29602-2021</t>
        </is>
      </c>
      <c r="B921" s="1" t="n">
        <v>44362</v>
      </c>
      <c r="C921" s="1" t="n">
        <v>45637</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29829-2021</t>
        </is>
      </c>
      <c r="B922" s="1" t="n">
        <v>44362</v>
      </c>
      <c r="C922" s="1" t="n">
        <v>45637</v>
      </c>
      <c r="D922" t="inlineStr">
        <is>
          <t>VÄSTERNORRLANDS LÄN</t>
        </is>
      </c>
      <c r="E922" t="inlineStr">
        <is>
          <t>SOLLEFTEÅ</t>
        </is>
      </c>
      <c r="G922" t="n">
        <v>4</v>
      </c>
      <c r="H922" t="n">
        <v>0</v>
      </c>
      <c r="I922" t="n">
        <v>0</v>
      </c>
      <c r="J922" t="n">
        <v>0</v>
      </c>
      <c r="K922" t="n">
        <v>0</v>
      </c>
      <c r="L922" t="n">
        <v>0</v>
      </c>
      <c r="M922" t="n">
        <v>0</v>
      </c>
      <c r="N922" t="n">
        <v>0</v>
      </c>
      <c r="O922" t="n">
        <v>0</v>
      </c>
      <c r="P922" t="n">
        <v>0</v>
      </c>
      <c r="Q922" t="n">
        <v>0</v>
      </c>
      <c r="R922" s="2" t="inlineStr"/>
    </row>
    <row r="923" ht="15" customHeight="1">
      <c r="A923" t="inlineStr">
        <is>
          <t>A 30692-2021</t>
        </is>
      </c>
      <c r="B923" s="1" t="n">
        <v>44365</v>
      </c>
      <c r="C923" s="1" t="n">
        <v>45637</v>
      </c>
      <c r="D923" t="inlineStr">
        <is>
          <t>VÄSTERNORRLANDS LÄN</t>
        </is>
      </c>
      <c r="E923" t="inlineStr">
        <is>
          <t>SOLLEFTEÅ</t>
        </is>
      </c>
      <c r="G923" t="n">
        <v>2.4</v>
      </c>
      <c r="H923" t="n">
        <v>0</v>
      </c>
      <c r="I923" t="n">
        <v>0</v>
      </c>
      <c r="J923" t="n">
        <v>0</v>
      </c>
      <c r="K923" t="n">
        <v>0</v>
      </c>
      <c r="L923" t="n">
        <v>0</v>
      </c>
      <c r="M923" t="n">
        <v>0</v>
      </c>
      <c r="N923" t="n">
        <v>0</v>
      </c>
      <c r="O923" t="n">
        <v>0</v>
      </c>
      <c r="P923" t="n">
        <v>0</v>
      </c>
      <c r="Q923" t="n">
        <v>0</v>
      </c>
      <c r="R923" s="2" t="inlineStr"/>
    </row>
    <row r="924" ht="15" customHeight="1">
      <c r="A924" t="inlineStr">
        <is>
          <t>A 31600-2021</t>
        </is>
      </c>
      <c r="B924" s="1" t="n">
        <v>44369</v>
      </c>
      <c r="C924" s="1" t="n">
        <v>45637</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31737-2021</t>
        </is>
      </c>
      <c r="B925" s="1" t="n">
        <v>44370</v>
      </c>
      <c r="C925" s="1" t="n">
        <v>45637</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32091-2021</t>
        </is>
      </c>
      <c r="B926" s="1" t="n">
        <v>44370</v>
      </c>
      <c r="C926" s="1" t="n">
        <v>45637</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33207-2021</t>
        </is>
      </c>
      <c r="B927" s="1" t="n">
        <v>44376</v>
      </c>
      <c r="C927" s="1" t="n">
        <v>45637</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33214-2021</t>
        </is>
      </c>
      <c r="B928" s="1" t="n">
        <v>44377</v>
      </c>
      <c r="C928" s="1" t="n">
        <v>45637</v>
      </c>
      <c r="D928" t="inlineStr">
        <is>
          <t>VÄSTERNORRLANDS LÄN</t>
        </is>
      </c>
      <c r="E928" t="inlineStr">
        <is>
          <t>SOLLEFTEÅ</t>
        </is>
      </c>
      <c r="F928" t="inlineStr">
        <is>
          <t>SCA</t>
        </is>
      </c>
      <c r="G928" t="n">
        <v>13.9</v>
      </c>
      <c r="H928" t="n">
        <v>0</v>
      </c>
      <c r="I928" t="n">
        <v>0</v>
      </c>
      <c r="J928" t="n">
        <v>0</v>
      </c>
      <c r="K928" t="n">
        <v>0</v>
      </c>
      <c r="L928" t="n">
        <v>0</v>
      </c>
      <c r="M928" t="n">
        <v>0</v>
      </c>
      <c r="N928" t="n">
        <v>0</v>
      </c>
      <c r="O928" t="n">
        <v>0</v>
      </c>
      <c r="P928" t="n">
        <v>0</v>
      </c>
      <c r="Q928" t="n">
        <v>0</v>
      </c>
      <c r="R928" s="2" t="inlineStr"/>
    </row>
    <row r="929" ht="15" customHeight="1">
      <c r="A929" t="inlineStr">
        <is>
          <t>A 33895-2021</t>
        </is>
      </c>
      <c r="B929" s="1" t="n">
        <v>44378</v>
      </c>
      <c r="C929" s="1" t="n">
        <v>45637</v>
      </c>
      <c r="D929" t="inlineStr">
        <is>
          <t>VÄSTERNORRLANDS LÄN</t>
        </is>
      </c>
      <c r="E929" t="inlineStr">
        <is>
          <t>SOLLEFTEÅ</t>
        </is>
      </c>
      <c r="F929" t="inlineStr">
        <is>
          <t>Kyrkan</t>
        </is>
      </c>
      <c r="G929" t="n">
        <v>3.6</v>
      </c>
      <c r="H929" t="n">
        <v>0</v>
      </c>
      <c r="I929" t="n">
        <v>0</v>
      </c>
      <c r="J929" t="n">
        <v>0</v>
      </c>
      <c r="K929" t="n">
        <v>0</v>
      </c>
      <c r="L929" t="n">
        <v>0</v>
      </c>
      <c r="M929" t="n">
        <v>0</v>
      </c>
      <c r="N929" t="n">
        <v>0</v>
      </c>
      <c r="O929" t="n">
        <v>0</v>
      </c>
      <c r="P929" t="n">
        <v>0</v>
      </c>
      <c r="Q929" t="n">
        <v>0</v>
      </c>
      <c r="R929" s="2" t="inlineStr"/>
    </row>
    <row r="930" ht="15" customHeight="1">
      <c r="A930" t="inlineStr">
        <is>
          <t>A 34396-2021</t>
        </is>
      </c>
      <c r="B930" s="1" t="n">
        <v>44379</v>
      </c>
      <c r="C930" s="1" t="n">
        <v>45637</v>
      </c>
      <c r="D930" t="inlineStr">
        <is>
          <t>VÄSTERNORRLANDS LÄN</t>
        </is>
      </c>
      <c r="E930" t="inlineStr">
        <is>
          <t>SOLLEFTEÅ</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34395-2021</t>
        </is>
      </c>
      <c r="B931" s="1" t="n">
        <v>44379</v>
      </c>
      <c r="C931" s="1" t="n">
        <v>45637</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34397-2021</t>
        </is>
      </c>
      <c r="B932" s="1" t="n">
        <v>44379</v>
      </c>
      <c r="C932" s="1" t="n">
        <v>45637</v>
      </c>
      <c r="D932" t="inlineStr">
        <is>
          <t>VÄSTERNORRLANDS LÄN</t>
        </is>
      </c>
      <c r="E932" t="inlineStr">
        <is>
          <t>SOLLEFTEÅ</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34475-2021</t>
        </is>
      </c>
      <c r="B933" s="1" t="n">
        <v>44381</v>
      </c>
      <c r="C933" s="1" t="n">
        <v>45637</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34473-2021</t>
        </is>
      </c>
      <c r="B934" s="1" t="n">
        <v>44382</v>
      </c>
      <c r="C934" s="1" t="n">
        <v>45637</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35333-2021</t>
        </is>
      </c>
      <c r="B935" s="1" t="n">
        <v>44384</v>
      </c>
      <c r="C935" s="1" t="n">
        <v>45637</v>
      </c>
      <c r="D935" t="inlineStr">
        <is>
          <t>VÄSTERNORRLANDS LÄN</t>
        </is>
      </c>
      <c r="E935" t="inlineStr">
        <is>
          <t>SOLLEFTEÅ</t>
        </is>
      </c>
      <c r="G935" t="n">
        <v>0.5</v>
      </c>
      <c r="H935" t="n">
        <v>0</v>
      </c>
      <c r="I935" t="n">
        <v>0</v>
      </c>
      <c r="J935" t="n">
        <v>0</v>
      </c>
      <c r="K935" t="n">
        <v>0</v>
      </c>
      <c r="L935" t="n">
        <v>0</v>
      </c>
      <c r="M935" t="n">
        <v>0</v>
      </c>
      <c r="N935" t="n">
        <v>0</v>
      </c>
      <c r="O935" t="n">
        <v>0</v>
      </c>
      <c r="P935" t="n">
        <v>0</v>
      </c>
      <c r="Q935" t="n">
        <v>0</v>
      </c>
      <c r="R935" s="2" t="inlineStr"/>
    </row>
    <row r="936" ht="15" customHeight="1">
      <c r="A936" t="inlineStr">
        <is>
          <t>A 35358-2021</t>
        </is>
      </c>
      <c r="B936" s="1" t="n">
        <v>44385</v>
      </c>
      <c r="C936" s="1" t="n">
        <v>45637</v>
      </c>
      <c r="D936" t="inlineStr">
        <is>
          <t>VÄSTERNORRLANDS LÄN</t>
        </is>
      </c>
      <c r="E936" t="inlineStr">
        <is>
          <t>SOLLEFTEÅ</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35574-2021</t>
        </is>
      </c>
      <c r="B937" s="1" t="n">
        <v>44386</v>
      </c>
      <c r="C937" s="1" t="n">
        <v>45637</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35862-2021</t>
        </is>
      </c>
      <c r="B938" s="1" t="n">
        <v>44386</v>
      </c>
      <c r="C938" s="1" t="n">
        <v>45637</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36447-2021</t>
        </is>
      </c>
      <c r="B939" s="1" t="n">
        <v>44390</v>
      </c>
      <c r="C939" s="1" t="n">
        <v>45637</v>
      </c>
      <c r="D939" t="inlineStr">
        <is>
          <t>VÄSTERNORRLANDS LÄN</t>
        </is>
      </c>
      <c r="E939" t="inlineStr">
        <is>
          <t>SOLLEFTEÅ</t>
        </is>
      </c>
      <c r="F939" t="inlineStr">
        <is>
          <t>SCA</t>
        </is>
      </c>
      <c r="G939" t="n">
        <v>10.2</v>
      </c>
      <c r="H939" t="n">
        <v>0</v>
      </c>
      <c r="I939" t="n">
        <v>0</v>
      </c>
      <c r="J939" t="n">
        <v>0</v>
      </c>
      <c r="K939" t="n">
        <v>0</v>
      </c>
      <c r="L939" t="n">
        <v>0</v>
      </c>
      <c r="M939" t="n">
        <v>0</v>
      </c>
      <c r="N939" t="n">
        <v>0</v>
      </c>
      <c r="O939" t="n">
        <v>0</v>
      </c>
      <c r="P939" t="n">
        <v>0</v>
      </c>
      <c r="Q939" t="n">
        <v>0</v>
      </c>
      <c r="R939" s="2" t="inlineStr"/>
    </row>
    <row r="940" ht="15" customHeight="1">
      <c r="A940" t="inlineStr">
        <is>
          <t>A 36448-2021</t>
        </is>
      </c>
      <c r="B940" s="1" t="n">
        <v>44390</v>
      </c>
      <c r="C940" s="1" t="n">
        <v>45637</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36579-2021</t>
        </is>
      </c>
      <c r="B941" s="1" t="n">
        <v>44391</v>
      </c>
      <c r="C941" s="1" t="n">
        <v>45637</v>
      </c>
      <c r="D941" t="inlineStr">
        <is>
          <t>VÄSTERNORRLANDS LÄN</t>
        </is>
      </c>
      <c r="E941" t="inlineStr">
        <is>
          <t>SOLLEFTEÅ</t>
        </is>
      </c>
      <c r="G941" t="n">
        <v>6.9</v>
      </c>
      <c r="H941" t="n">
        <v>0</v>
      </c>
      <c r="I941" t="n">
        <v>0</v>
      </c>
      <c r="J941" t="n">
        <v>0</v>
      </c>
      <c r="K941" t="n">
        <v>0</v>
      </c>
      <c r="L941" t="n">
        <v>0</v>
      </c>
      <c r="M941" t="n">
        <v>0</v>
      </c>
      <c r="N941" t="n">
        <v>0</v>
      </c>
      <c r="O941" t="n">
        <v>0</v>
      </c>
      <c r="P941" t="n">
        <v>0</v>
      </c>
      <c r="Q941" t="n">
        <v>0</v>
      </c>
      <c r="R941" s="2" t="inlineStr"/>
    </row>
    <row r="942" ht="15" customHeight="1">
      <c r="A942" t="inlineStr">
        <is>
          <t>A 36816-2021</t>
        </is>
      </c>
      <c r="B942" s="1" t="n">
        <v>44393</v>
      </c>
      <c r="C942" s="1" t="n">
        <v>45637</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36815-2021</t>
        </is>
      </c>
      <c r="B943" s="1" t="n">
        <v>44393</v>
      </c>
      <c r="C943" s="1" t="n">
        <v>45637</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37041-2021</t>
        </is>
      </c>
      <c r="B944" s="1" t="n">
        <v>44394</v>
      </c>
      <c r="C944" s="1" t="n">
        <v>45637</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37042-2021</t>
        </is>
      </c>
      <c r="B945" s="1" t="n">
        <v>44394</v>
      </c>
      <c r="C945" s="1" t="n">
        <v>45637</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37369-2021</t>
        </is>
      </c>
      <c r="B946" s="1" t="n">
        <v>44397</v>
      </c>
      <c r="C946" s="1" t="n">
        <v>45637</v>
      </c>
      <c r="D946" t="inlineStr">
        <is>
          <t>VÄSTERNORRLANDS LÄN</t>
        </is>
      </c>
      <c r="E946" t="inlineStr">
        <is>
          <t>SOLLEFTEÅ</t>
        </is>
      </c>
      <c r="F946" t="inlineStr">
        <is>
          <t>SCA</t>
        </is>
      </c>
      <c r="G946" t="n">
        <v>20.3</v>
      </c>
      <c r="H946" t="n">
        <v>0</v>
      </c>
      <c r="I946" t="n">
        <v>0</v>
      </c>
      <c r="J946" t="n">
        <v>0</v>
      </c>
      <c r="K946" t="n">
        <v>0</v>
      </c>
      <c r="L946" t="n">
        <v>0</v>
      </c>
      <c r="M946" t="n">
        <v>0</v>
      </c>
      <c r="N946" t="n">
        <v>0</v>
      </c>
      <c r="O946" t="n">
        <v>0</v>
      </c>
      <c r="P946" t="n">
        <v>0</v>
      </c>
      <c r="Q946" t="n">
        <v>0</v>
      </c>
      <c r="R946" s="2" t="inlineStr"/>
    </row>
    <row r="947" ht="15" customHeight="1">
      <c r="A947" t="inlineStr">
        <is>
          <t>A 37639-2021</t>
        </is>
      </c>
      <c r="B947" s="1" t="n">
        <v>44400</v>
      </c>
      <c r="C947" s="1" t="n">
        <v>45637</v>
      </c>
      <c r="D947" t="inlineStr">
        <is>
          <t>VÄSTERNORRLANDS LÄN</t>
        </is>
      </c>
      <c r="E947" t="inlineStr">
        <is>
          <t>SOLLEFTEÅ</t>
        </is>
      </c>
      <c r="G947" t="n">
        <v>10.7</v>
      </c>
      <c r="H947" t="n">
        <v>0</v>
      </c>
      <c r="I947" t="n">
        <v>0</v>
      </c>
      <c r="J947" t="n">
        <v>0</v>
      </c>
      <c r="K947" t="n">
        <v>0</v>
      </c>
      <c r="L947" t="n">
        <v>0</v>
      </c>
      <c r="M947" t="n">
        <v>0</v>
      </c>
      <c r="N947" t="n">
        <v>0</v>
      </c>
      <c r="O947" t="n">
        <v>0</v>
      </c>
      <c r="P947" t="n">
        <v>0</v>
      </c>
      <c r="Q947" t="n">
        <v>0</v>
      </c>
      <c r="R947" s="2" t="inlineStr"/>
    </row>
    <row r="948" ht="15" customHeight="1">
      <c r="A948" t="inlineStr">
        <is>
          <t>A 37648-2021</t>
        </is>
      </c>
      <c r="B948" s="1" t="n">
        <v>44400</v>
      </c>
      <c r="C948" s="1" t="n">
        <v>45637</v>
      </c>
      <c r="D948" t="inlineStr">
        <is>
          <t>VÄSTERNORRLANDS LÄN</t>
        </is>
      </c>
      <c r="E948" t="inlineStr">
        <is>
          <t>SOLLEFTEÅ</t>
        </is>
      </c>
      <c r="G948" t="n">
        <v>33.6</v>
      </c>
      <c r="H948" t="n">
        <v>0</v>
      </c>
      <c r="I948" t="n">
        <v>0</v>
      </c>
      <c r="J948" t="n">
        <v>0</v>
      </c>
      <c r="K948" t="n">
        <v>0</v>
      </c>
      <c r="L948" t="n">
        <v>0</v>
      </c>
      <c r="M948" t="n">
        <v>0</v>
      </c>
      <c r="N948" t="n">
        <v>0</v>
      </c>
      <c r="O948" t="n">
        <v>0</v>
      </c>
      <c r="P948" t="n">
        <v>0</v>
      </c>
      <c r="Q948" t="n">
        <v>0</v>
      </c>
      <c r="R948" s="2" t="inlineStr"/>
    </row>
    <row r="949" ht="15" customHeight="1">
      <c r="A949" t="inlineStr">
        <is>
          <t>A 37634-2021</t>
        </is>
      </c>
      <c r="B949" s="1" t="n">
        <v>44400</v>
      </c>
      <c r="C949" s="1" t="n">
        <v>45637</v>
      </c>
      <c r="D949" t="inlineStr">
        <is>
          <t>VÄSTERNORRLANDS LÄN</t>
        </is>
      </c>
      <c r="E949" t="inlineStr">
        <is>
          <t>SOLLEFTEÅ</t>
        </is>
      </c>
      <c r="G949" t="n">
        <v>5.1</v>
      </c>
      <c r="H949" t="n">
        <v>0</v>
      </c>
      <c r="I949" t="n">
        <v>0</v>
      </c>
      <c r="J949" t="n">
        <v>0</v>
      </c>
      <c r="K949" t="n">
        <v>0</v>
      </c>
      <c r="L949" t="n">
        <v>0</v>
      </c>
      <c r="M949" t="n">
        <v>0</v>
      </c>
      <c r="N949" t="n">
        <v>0</v>
      </c>
      <c r="O949" t="n">
        <v>0</v>
      </c>
      <c r="P949" t="n">
        <v>0</v>
      </c>
      <c r="Q949" t="n">
        <v>0</v>
      </c>
      <c r="R949" s="2" t="inlineStr"/>
    </row>
    <row r="950" ht="15" customHeight="1">
      <c r="A950" t="inlineStr">
        <is>
          <t>A 38283-2021</t>
        </is>
      </c>
      <c r="B950" s="1" t="n">
        <v>44405</v>
      </c>
      <c r="C950" s="1" t="n">
        <v>45637</v>
      </c>
      <c r="D950" t="inlineStr">
        <is>
          <t>VÄSTERNORRLANDS LÄN</t>
        </is>
      </c>
      <c r="E950" t="inlineStr">
        <is>
          <t>SOLLEFTEÅ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39334-2021</t>
        </is>
      </c>
      <c r="B951" s="1" t="n">
        <v>44414</v>
      </c>
      <c r="C951" s="1" t="n">
        <v>45637</v>
      </c>
      <c r="D951" t="inlineStr">
        <is>
          <t>VÄSTERNORRLANDS LÄN</t>
        </is>
      </c>
      <c r="E951" t="inlineStr">
        <is>
          <t>SOLLEFTEÅ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39594-2021</t>
        </is>
      </c>
      <c r="B952" s="1" t="n">
        <v>44413</v>
      </c>
      <c r="C952" s="1" t="n">
        <v>45637</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39230-2021</t>
        </is>
      </c>
      <c r="B953" s="1" t="n">
        <v>44413</v>
      </c>
      <c r="C953" s="1" t="n">
        <v>45637</v>
      </c>
      <c r="D953" t="inlineStr">
        <is>
          <t>VÄSTERNORRLANDS LÄN</t>
        </is>
      </c>
      <c r="E953" t="inlineStr">
        <is>
          <t>SOLLEFTEÅ</t>
        </is>
      </c>
      <c r="G953" t="n">
        <v>13.6</v>
      </c>
      <c r="H953" t="n">
        <v>0</v>
      </c>
      <c r="I953" t="n">
        <v>0</v>
      </c>
      <c r="J953" t="n">
        <v>0</v>
      </c>
      <c r="K953" t="n">
        <v>0</v>
      </c>
      <c r="L953" t="n">
        <v>0</v>
      </c>
      <c r="M953" t="n">
        <v>0</v>
      </c>
      <c r="N953" t="n">
        <v>0</v>
      </c>
      <c r="O953" t="n">
        <v>0</v>
      </c>
      <c r="P953" t="n">
        <v>0</v>
      </c>
      <c r="Q953" t="n">
        <v>0</v>
      </c>
      <c r="R953" s="2" t="inlineStr"/>
    </row>
    <row r="954" ht="15" customHeight="1">
      <c r="A954" t="inlineStr">
        <is>
          <t>A 39504-2021</t>
        </is>
      </c>
      <c r="B954" s="1" t="n">
        <v>44415</v>
      </c>
      <c r="C954" s="1" t="n">
        <v>45637</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40539-2021</t>
        </is>
      </c>
      <c r="B955" s="1" t="n">
        <v>44420</v>
      </c>
      <c r="C955" s="1" t="n">
        <v>45637</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41334-2021</t>
        </is>
      </c>
      <c r="B956" s="1" t="n">
        <v>44424</v>
      </c>
      <c r="C956" s="1" t="n">
        <v>45637</v>
      </c>
      <c r="D956" t="inlineStr">
        <is>
          <t>VÄSTERNORRLANDS LÄN</t>
        </is>
      </c>
      <c r="E956" t="inlineStr">
        <is>
          <t>SOLLEFTEÅ</t>
        </is>
      </c>
      <c r="G956" t="n">
        <v>1</v>
      </c>
      <c r="H956" t="n">
        <v>0</v>
      </c>
      <c r="I956" t="n">
        <v>0</v>
      </c>
      <c r="J956" t="n">
        <v>0</v>
      </c>
      <c r="K956" t="n">
        <v>0</v>
      </c>
      <c r="L956" t="n">
        <v>0</v>
      </c>
      <c r="M956" t="n">
        <v>0</v>
      </c>
      <c r="N956" t="n">
        <v>0</v>
      </c>
      <c r="O956" t="n">
        <v>0</v>
      </c>
      <c r="P956" t="n">
        <v>0</v>
      </c>
      <c r="Q956" t="n">
        <v>0</v>
      </c>
      <c r="R956" s="2" t="inlineStr"/>
    </row>
    <row r="957" ht="15" customHeight="1">
      <c r="A957" t="inlineStr">
        <is>
          <t>A 42219-2021</t>
        </is>
      </c>
      <c r="B957" s="1" t="n">
        <v>44426</v>
      </c>
      <c r="C957" s="1" t="n">
        <v>45637</v>
      </c>
      <c r="D957" t="inlineStr">
        <is>
          <t>VÄSTERNORRLANDS LÄN</t>
        </is>
      </c>
      <c r="E957" t="inlineStr">
        <is>
          <t>SOLLEFTEÅ</t>
        </is>
      </c>
      <c r="G957" t="n">
        <v>0.6</v>
      </c>
      <c r="H957" t="n">
        <v>0</v>
      </c>
      <c r="I957" t="n">
        <v>0</v>
      </c>
      <c r="J957" t="n">
        <v>0</v>
      </c>
      <c r="K957" t="n">
        <v>0</v>
      </c>
      <c r="L957" t="n">
        <v>0</v>
      </c>
      <c r="M957" t="n">
        <v>0</v>
      </c>
      <c r="N957" t="n">
        <v>0</v>
      </c>
      <c r="O957" t="n">
        <v>0</v>
      </c>
      <c r="P957" t="n">
        <v>0</v>
      </c>
      <c r="Q957" t="n">
        <v>0</v>
      </c>
      <c r="R957" s="2" t="inlineStr"/>
    </row>
    <row r="958" ht="15" customHeight="1">
      <c r="A958" t="inlineStr">
        <is>
          <t>A 42231-2021</t>
        </is>
      </c>
      <c r="B958" s="1" t="n">
        <v>44426</v>
      </c>
      <c r="C958" s="1" t="n">
        <v>45637</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42228-2021</t>
        </is>
      </c>
      <c r="B959" s="1" t="n">
        <v>44426</v>
      </c>
      <c r="C959" s="1" t="n">
        <v>45637</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42229-2021</t>
        </is>
      </c>
      <c r="B960" s="1" t="n">
        <v>44427</v>
      </c>
      <c r="C960" s="1" t="n">
        <v>45637</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42531-2021</t>
        </is>
      </c>
      <c r="B961" s="1" t="n">
        <v>44428</v>
      </c>
      <c r="C961" s="1" t="n">
        <v>45637</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43220-2021</t>
        </is>
      </c>
      <c r="B962" s="1" t="n">
        <v>44432</v>
      </c>
      <c r="C962" s="1" t="n">
        <v>45637</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43525-2021</t>
        </is>
      </c>
      <c r="B963" s="1" t="n">
        <v>44433</v>
      </c>
      <c r="C963" s="1" t="n">
        <v>45637</v>
      </c>
      <c r="D963" t="inlineStr">
        <is>
          <t>VÄSTERNORRLANDS LÄN</t>
        </is>
      </c>
      <c r="E963" t="inlineStr">
        <is>
          <t>SOLLEFTEÅ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44592-2021</t>
        </is>
      </c>
      <c r="B964" s="1" t="n">
        <v>44435</v>
      </c>
      <c r="C964" s="1" t="n">
        <v>45637</v>
      </c>
      <c r="D964" t="inlineStr">
        <is>
          <t>VÄSTERNORRLANDS LÄN</t>
        </is>
      </c>
      <c r="E964" t="inlineStr">
        <is>
          <t>SOLLEFTEÅ</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44587-2021</t>
        </is>
      </c>
      <c r="B965" s="1" t="n">
        <v>44435</v>
      </c>
      <c r="C965" s="1" t="n">
        <v>45637</v>
      </c>
      <c r="D965" t="inlineStr">
        <is>
          <t>VÄSTERNORRLANDS LÄN</t>
        </is>
      </c>
      <c r="E965" t="inlineStr">
        <is>
          <t>SOLLEFTEÅ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45187-2021</t>
        </is>
      </c>
      <c r="B966" s="1" t="n">
        <v>44439</v>
      </c>
      <c r="C966" s="1" t="n">
        <v>45637</v>
      </c>
      <c r="D966" t="inlineStr">
        <is>
          <t>VÄSTERNORRLANDS LÄN</t>
        </is>
      </c>
      <c r="E966" t="inlineStr">
        <is>
          <t>SOLLEFTEÅ</t>
        </is>
      </c>
      <c r="G966" t="n">
        <v>3.2</v>
      </c>
      <c r="H966" t="n">
        <v>0</v>
      </c>
      <c r="I966" t="n">
        <v>0</v>
      </c>
      <c r="J966" t="n">
        <v>0</v>
      </c>
      <c r="K966" t="n">
        <v>0</v>
      </c>
      <c r="L966" t="n">
        <v>0</v>
      </c>
      <c r="M966" t="n">
        <v>0</v>
      </c>
      <c r="N966" t="n">
        <v>0</v>
      </c>
      <c r="O966" t="n">
        <v>0</v>
      </c>
      <c r="P966" t="n">
        <v>0</v>
      </c>
      <c r="Q966" t="n">
        <v>0</v>
      </c>
      <c r="R966" s="2" t="inlineStr"/>
    </row>
    <row r="967" ht="15" customHeight="1">
      <c r="A967" t="inlineStr">
        <is>
          <t>A 45105-2021</t>
        </is>
      </c>
      <c r="B967" s="1" t="n">
        <v>44439</v>
      </c>
      <c r="C967" s="1" t="n">
        <v>45637</v>
      </c>
      <c r="D967" t="inlineStr">
        <is>
          <t>VÄSTERNORRLANDS LÄN</t>
        </is>
      </c>
      <c r="E967" t="inlineStr">
        <is>
          <t>SOLLEFTEÅ</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46049-2021</t>
        </is>
      </c>
      <c r="B968" s="1" t="n">
        <v>44442</v>
      </c>
      <c r="C968" s="1" t="n">
        <v>45637</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46058-2021</t>
        </is>
      </c>
      <c r="B969" s="1" t="n">
        <v>44442</v>
      </c>
      <c r="C969" s="1" t="n">
        <v>45637</v>
      </c>
      <c r="D969" t="inlineStr">
        <is>
          <t>VÄSTERNORRLANDS LÄN</t>
        </is>
      </c>
      <c r="E969" t="inlineStr">
        <is>
          <t>SOLLEFTEÅ</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47643-2021</t>
        </is>
      </c>
      <c r="B970" s="1" t="n">
        <v>44448</v>
      </c>
      <c r="C970" s="1" t="n">
        <v>45637</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47675-2021</t>
        </is>
      </c>
      <c r="B971" s="1" t="n">
        <v>44448</v>
      </c>
      <c r="C971" s="1" t="n">
        <v>45637</v>
      </c>
      <c r="D971" t="inlineStr">
        <is>
          <t>VÄSTERNORRLANDS LÄN</t>
        </is>
      </c>
      <c r="E971" t="inlineStr">
        <is>
          <t>SOLLEFTEÅ</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47626-2021</t>
        </is>
      </c>
      <c r="B972" s="1" t="n">
        <v>44448</v>
      </c>
      <c r="C972" s="1" t="n">
        <v>45637</v>
      </c>
      <c r="D972" t="inlineStr">
        <is>
          <t>VÄSTERNORRLANDS LÄN</t>
        </is>
      </c>
      <c r="E972" t="inlineStr">
        <is>
          <t>SOLLEFTEÅ</t>
        </is>
      </c>
      <c r="F972" t="inlineStr">
        <is>
          <t>Holmen skog AB</t>
        </is>
      </c>
      <c r="G972" t="n">
        <v>3.1</v>
      </c>
      <c r="H972" t="n">
        <v>0</v>
      </c>
      <c r="I972" t="n">
        <v>0</v>
      </c>
      <c r="J972" t="n">
        <v>0</v>
      </c>
      <c r="K972" t="n">
        <v>0</v>
      </c>
      <c r="L972" t="n">
        <v>0</v>
      </c>
      <c r="M972" t="n">
        <v>0</v>
      </c>
      <c r="N972" t="n">
        <v>0</v>
      </c>
      <c r="O972" t="n">
        <v>0</v>
      </c>
      <c r="P972" t="n">
        <v>0</v>
      </c>
      <c r="Q972" t="n">
        <v>0</v>
      </c>
      <c r="R972" s="2" t="inlineStr"/>
    </row>
    <row r="973" ht="15" customHeight="1">
      <c r="A973" t="inlineStr">
        <is>
          <t>A 47696-2021</t>
        </is>
      </c>
      <c r="B973" s="1" t="n">
        <v>44448</v>
      </c>
      <c r="C973" s="1" t="n">
        <v>45637</v>
      </c>
      <c r="D973" t="inlineStr">
        <is>
          <t>VÄSTERNORRLANDS LÄN</t>
        </is>
      </c>
      <c r="E973" t="inlineStr">
        <is>
          <t>SOLLEFTEÅ</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47681-2021</t>
        </is>
      </c>
      <c r="B974" s="1" t="n">
        <v>44448</v>
      </c>
      <c r="C974" s="1" t="n">
        <v>45637</v>
      </c>
      <c r="D974" t="inlineStr">
        <is>
          <t>VÄSTERNORRLANDS LÄN</t>
        </is>
      </c>
      <c r="E974" t="inlineStr">
        <is>
          <t>SOLLEFTEÅ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48555-2021</t>
        </is>
      </c>
      <c r="B975" s="1" t="n">
        <v>44452</v>
      </c>
      <c r="C975" s="1" t="n">
        <v>45637</v>
      </c>
      <c r="D975" t="inlineStr">
        <is>
          <t>VÄSTERNORRLANDS LÄN</t>
        </is>
      </c>
      <c r="E975" t="inlineStr">
        <is>
          <t>SOLLEFTEÅ</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48578-2021</t>
        </is>
      </c>
      <c r="B976" s="1" t="n">
        <v>44452</v>
      </c>
      <c r="C976" s="1" t="n">
        <v>45637</v>
      </c>
      <c r="D976" t="inlineStr">
        <is>
          <t>VÄSTERNORRLANDS LÄN</t>
        </is>
      </c>
      <c r="E976" t="inlineStr">
        <is>
          <t>SOLLEFTEÅ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49160-2021</t>
        </is>
      </c>
      <c r="B977" s="1" t="n">
        <v>44454</v>
      </c>
      <c r="C977" s="1" t="n">
        <v>45637</v>
      </c>
      <c r="D977" t="inlineStr">
        <is>
          <t>VÄSTERNORRLANDS LÄN</t>
        </is>
      </c>
      <c r="E977" t="inlineStr">
        <is>
          <t>SOLLEFTEÅ</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49492-2021</t>
        </is>
      </c>
      <c r="B978" s="1" t="n">
        <v>44455</v>
      </c>
      <c r="C978" s="1" t="n">
        <v>45637</v>
      </c>
      <c r="D978" t="inlineStr">
        <is>
          <t>VÄSTERNORRLANDS LÄN</t>
        </is>
      </c>
      <c r="E978" t="inlineStr">
        <is>
          <t>SOLLEFTEÅ</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49518-2021</t>
        </is>
      </c>
      <c r="B979" s="1" t="n">
        <v>44455</v>
      </c>
      <c r="C979" s="1" t="n">
        <v>45637</v>
      </c>
      <c r="D979" t="inlineStr">
        <is>
          <t>VÄSTERNORRLANDS LÄN</t>
        </is>
      </c>
      <c r="E979" t="inlineStr">
        <is>
          <t>SOLLEFTEÅ</t>
        </is>
      </c>
      <c r="G979" t="n">
        <v>12.9</v>
      </c>
      <c r="H979" t="n">
        <v>0</v>
      </c>
      <c r="I979" t="n">
        <v>0</v>
      </c>
      <c r="J979" t="n">
        <v>0</v>
      </c>
      <c r="K979" t="n">
        <v>0</v>
      </c>
      <c r="L979" t="n">
        <v>0</v>
      </c>
      <c r="M979" t="n">
        <v>0</v>
      </c>
      <c r="N979" t="n">
        <v>0</v>
      </c>
      <c r="O979" t="n">
        <v>0</v>
      </c>
      <c r="P979" t="n">
        <v>0</v>
      </c>
      <c r="Q979" t="n">
        <v>0</v>
      </c>
      <c r="R979" s="2" t="inlineStr"/>
    </row>
    <row r="980" ht="15" customHeight="1">
      <c r="A980" t="inlineStr">
        <is>
          <t>A 49711-2021</t>
        </is>
      </c>
      <c r="B980" s="1" t="n">
        <v>44455</v>
      </c>
      <c r="C980" s="1" t="n">
        <v>45637</v>
      </c>
      <c r="D980" t="inlineStr">
        <is>
          <t>VÄSTERNORRLANDS LÄN</t>
        </is>
      </c>
      <c r="E980" t="inlineStr">
        <is>
          <t>SOLLEFTEÅ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50360-2021</t>
        </is>
      </c>
      <c r="B981" s="1" t="n">
        <v>44459</v>
      </c>
      <c r="C981" s="1" t="n">
        <v>45637</v>
      </c>
      <c r="D981" t="inlineStr">
        <is>
          <t>VÄSTERNORRLANDS LÄN</t>
        </is>
      </c>
      <c r="E981" t="inlineStr">
        <is>
          <t>SOLLEFTEÅ</t>
        </is>
      </c>
      <c r="G981" t="n">
        <v>4.4</v>
      </c>
      <c r="H981" t="n">
        <v>0</v>
      </c>
      <c r="I981" t="n">
        <v>0</v>
      </c>
      <c r="J981" t="n">
        <v>0</v>
      </c>
      <c r="K981" t="n">
        <v>0</v>
      </c>
      <c r="L981" t="n">
        <v>0</v>
      </c>
      <c r="M981" t="n">
        <v>0</v>
      </c>
      <c r="N981" t="n">
        <v>0</v>
      </c>
      <c r="O981" t="n">
        <v>0</v>
      </c>
      <c r="P981" t="n">
        <v>0</v>
      </c>
      <c r="Q981" t="n">
        <v>0</v>
      </c>
      <c r="R981" s="2" t="inlineStr"/>
    </row>
    <row r="982" ht="15" customHeight="1">
      <c r="A982" t="inlineStr">
        <is>
          <t>A 51104-2021</t>
        </is>
      </c>
      <c r="B982" s="1" t="n">
        <v>44459</v>
      </c>
      <c r="C982" s="1" t="n">
        <v>45637</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51020-2021</t>
        </is>
      </c>
      <c r="B983" s="1" t="n">
        <v>44460</v>
      </c>
      <c r="C983" s="1" t="n">
        <v>45637</v>
      </c>
      <c r="D983" t="inlineStr">
        <is>
          <t>VÄSTERNORRLANDS LÄN</t>
        </is>
      </c>
      <c r="E983" t="inlineStr">
        <is>
          <t>SOLLEFTEÅ</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51029-2021</t>
        </is>
      </c>
      <c r="B984" s="1" t="n">
        <v>44461</v>
      </c>
      <c r="C984" s="1" t="n">
        <v>45637</v>
      </c>
      <c r="D984" t="inlineStr">
        <is>
          <t>VÄSTERNORRLANDS LÄN</t>
        </is>
      </c>
      <c r="E984" t="inlineStr">
        <is>
          <t>SOLLEFTEÅ</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51440-2021</t>
        </is>
      </c>
      <c r="B985" s="1" t="n">
        <v>44461</v>
      </c>
      <c r="C985" s="1" t="n">
        <v>45637</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51443-2021</t>
        </is>
      </c>
      <c r="B986" s="1" t="n">
        <v>44461</v>
      </c>
      <c r="C986" s="1" t="n">
        <v>45637</v>
      </c>
      <c r="D986" t="inlineStr">
        <is>
          <t>VÄSTERNORRLANDS LÄN</t>
        </is>
      </c>
      <c r="E986" t="inlineStr">
        <is>
          <t>SOLLEFTEÅ</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51442-2021</t>
        </is>
      </c>
      <c r="B987" s="1" t="n">
        <v>44462</v>
      </c>
      <c r="C987" s="1" t="n">
        <v>45637</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51491-2021</t>
        </is>
      </c>
      <c r="B988" s="1" t="n">
        <v>44462</v>
      </c>
      <c r="C988" s="1" t="n">
        <v>45637</v>
      </c>
      <c r="D988" t="inlineStr">
        <is>
          <t>VÄSTERNORRLANDS LÄN</t>
        </is>
      </c>
      <c r="E988" t="inlineStr">
        <is>
          <t>SOLLEFTEÅ</t>
        </is>
      </c>
      <c r="F988" t="inlineStr">
        <is>
          <t>Kyrkan</t>
        </is>
      </c>
      <c r="G988" t="n">
        <v>18</v>
      </c>
      <c r="H988" t="n">
        <v>0</v>
      </c>
      <c r="I988" t="n">
        <v>0</v>
      </c>
      <c r="J988" t="n">
        <v>0</v>
      </c>
      <c r="K988" t="n">
        <v>0</v>
      </c>
      <c r="L988" t="n">
        <v>0</v>
      </c>
      <c r="M988" t="n">
        <v>0</v>
      </c>
      <c r="N988" t="n">
        <v>0</v>
      </c>
      <c r="O988" t="n">
        <v>0</v>
      </c>
      <c r="P988" t="n">
        <v>0</v>
      </c>
      <c r="Q988" t="n">
        <v>0</v>
      </c>
      <c r="R988" s="2" t="inlineStr"/>
    </row>
    <row r="989" ht="15" customHeight="1">
      <c r="A989" t="inlineStr">
        <is>
          <t>A 51847-2021</t>
        </is>
      </c>
      <c r="B989" s="1" t="n">
        <v>44462</v>
      </c>
      <c r="C989" s="1" t="n">
        <v>45637</v>
      </c>
      <c r="D989" t="inlineStr">
        <is>
          <t>VÄSTERNORRLANDS LÄN</t>
        </is>
      </c>
      <c r="E989" t="inlineStr">
        <is>
          <t>SOLLEFTEÅ</t>
        </is>
      </c>
      <c r="F989" t="inlineStr">
        <is>
          <t>Holmen skog AB</t>
        </is>
      </c>
      <c r="G989" t="n">
        <v>1.6</v>
      </c>
      <c r="H989" t="n">
        <v>0</v>
      </c>
      <c r="I989" t="n">
        <v>0</v>
      </c>
      <c r="J989" t="n">
        <v>0</v>
      </c>
      <c r="K989" t="n">
        <v>0</v>
      </c>
      <c r="L989" t="n">
        <v>0</v>
      </c>
      <c r="M989" t="n">
        <v>0</v>
      </c>
      <c r="N989" t="n">
        <v>0</v>
      </c>
      <c r="O989" t="n">
        <v>0</v>
      </c>
      <c r="P989" t="n">
        <v>0</v>
      </c>
      <c r="Q989" t="n">
        <v>0</v>
      </c>
      <c r="R989" s="2" t="inlineStr"/>
    </row>
    <row r="990" ht="15" customHeight="1">
      <c r="A990" t="inlineStr">
        <is>
          <t>A 51952-2021</t>
        </is>
      </c>
      <c r="B990" s="1" t="n">
        <v>44463</v>
      </c>
      <c r="C990" s="1" t="n">
        <v>45637</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52447-2021</t>
        </is>
      </c>
      <c r="B991" s="1" t="n">
        <v>44466</v>
      </c>
      <c r="C991" s="1" t="n">
        <v>45637</v>
      </c>
      <c r="D991" t="inlineStr">
        <is>
          <t>VÄSTERNORRLANDS LÄN</t>
        </is>
      </c>
      <c r="E991" t="inlineStr">
        <is>
          <t>SOLLEFTEÅ</t>
        </is>
      </c>
      <c r="F991" t="inlineStr">
        <is>
          <t>Holmen skog AB</t>
        </is>
      </c>
      <c r="G991" t="n">
        <v>8.9</v>
      </c>
      <c r="H991" t="n">
        <v>0</v>
      </c>
      <c r="I991" t="n">
        <v>0</v>
      </c>
      <c r="J991" t="n">
        <v>0</v>
      </c>
      <c r="K991" t="n">
        <v>0</v>
      </c>
      <c r="L991" t="n">
        <v>0</v>
      </c>
      <c r="M991" t="n">
        <v>0</v>
      </c>
      <c r="N991" t="n">
        <v>0</v>
      </c>
      <c r="O991" t="n">
        <v>0</v>
      </c>
      <c r="P991" t="n">
        <v>0</v>
      </c>
      <c r="Q991" t="n">
        <v>0</v>
      </c>
      <c r="R991" s="2" t="inlineStr"/>
    </row>
    <row r="992" ht="15" customHeight="1">
      <c r="A992" t="inlineStr">
        <is>
          <t>A 53289-2021</t>
        </is>
      </c>
      <c r="B992" s="1" t="n">
        <v>44467</v>
      </c>
      <c r="C992" s="1" t="n">
        <v>45637</v>
      </c>
      <c r="D992" t="inlineStr">
        <is>
          <t>VÄSTERNORRLANDS LÄN</t>
        </is>
      </c>
      <c r="E992" t="inlineStr">
        <is>
          <t>SOLLEFTEÅ</t>
        </is>
      </c>
      <c r="G992" t="n">
        <v>6.5</v>
      </c>
      <c r="H992" t="n">
        <v>0</v>
      </c>
      <c r="I992" t="n">
        <v>0</v>
      </c>
      <c r="J992" t="n">
        <v>0</v>
      </c>
      <c r="K992" t="n">
        <v>0</v>
      </c>
      <c r="L992" t="n">
        <v>0</v>
      </c>
      <c r="M992" t="n">
        <v>0</v>
      </c>
      <c r="N992" t="n">
        <v>0</v>
      </c>
      <c r="O992" t="n">
        <v>0</v>
      </c>
      <c r="P992" t="n">
        <v>0</v>
      </c>
      <c r="Q992" t="n">
        <v>0</v>
      </c>
      <c r="R992" s="2" t="inlineStr"/>
    </row>
    <row r="993" ht="15" customHeight="1">
      <c r="A993" t="inlineStr">
        <is>
          <t>A 53278-2021</t>
        </is>
      </c>
      <c r="B993" s="1" t="n">
        <v>44467</v>
      </c>
      <c r="C993" s="1" t="n">
        <v>45637</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53524-2021</t>
        </is>
      </c>
      <c r="B994" s="1" t="n">
        <v>44468</v>
      </c>
      <c r="C994" s="1" t="n">
        <v>45637</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53955-2021</t>
        </is>
      </c>
      <c r="B995" s="1" t="n">
        <v>44469</v>
      </c>
      <c r="C995" s="1" t="n">
        <v>45637</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54146-2021</t>
        </is>
      </c>
      <c r="B996" s="1" t="n">
        <v>44469</v>
      </c>
      <c r="C996" s="1" t="n">
        <v>45637</v>
      </c>
      <c r="D996" t="inlineStr">
        <is>
          <t>VÄSTERNORRLANDS LÄN</t>
        </is>
      </c>
      <c r="E996" t="inlineStr">
        <is>
          <t>SOLLEFTEÅ</t>
        </is>
      </c>
      <c r="G996" t="n">
        <v>2.1</v>
      </c>
      <c r="H996" t="n">
        <v>0</v>
      </c>
      <c r="I996" t="n">
        <v>0</v>
      </c>
      <c r="J996" t="n">
        <v>0</v>
      </c>
      <c r="K996" t="n">
        <v>0</v>
      </c>
      <c r="L996" t="n">
        <v>0</v>
      </c>
      <c r="M996" t="n">
        <v>0</v>
      </c>
      <c r="N996" t="n">
        <v>0</v>
      </c>
      <c r="O996" t="n">
        <v>0</v>
      </c>
      <c r="P996" t="n">
        <v>0</v>
      </c>
      <c r="Q996" t="n">
        <v>0</v>
      </c>
      <c r="R996" s="2" t="inlineStr"/>
    </row>
    <row r="997" ht="15" customHeight="1">
      <c r="A997" t="inlineStr">
        <is>
          <t>A 54728-2021</t>
        </is>
      </c>
      <c r="B997" s="1" t="n">
        <v>44473</v>
      </c>
      <c r="C997" s="1" t="n">
        <v>45637</v>
      </c>
      <c r="D997" t="inlineStr">
        <is>
          <t>VÄSTERNORRLANDS LÄN</t>
        </is>
      </c>
      <c r="E997" t="inlineStr">
        <is>
          <t>SOLLEFTEÅ</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55016-2021</t>
        </is>
      </c>
      <c r="B998" s="1" t="n">
        <v>44474</v>
      </c>
      <c r="C998" s="1" t="n">
        <v>45637</v>
      </c>
      <c r="D998" t="inlineStr">
        <is>
          <t>VÄSTERNORRLANDS LÄN</t>
        </is>
      </c>
      <c r="E998" t="inlineStr">
        <is>
          <t>SOLLEFTEÅ</t>
        </is>
      </c>
      <c r="F998" t="inlineStr">
        <is>
          <t>Övriga Aktiebolag</t>
        </is>
      </c>
      <c r="G998" t="n">
        <v>12.7</v>
      </c>
      <c r="H998" t="n">
        <v>0</v>
      </c>
      <c r="I998" t="n">
        <v>0</v>
      </c>
      <c r="J998" t="n">
        <v>0</v>
      </c>
      <c r="K998" t="n">
        <v>0</v>
      </c>
      <c r="L998" t="n">
        <v>0</v>
      </c>
      <c r="M998" t="n">
        <v>0</v>
      </c>
      <c r="N998" t="n">
        <v>0</v>
      </c>
      <c r="O998" t="n">
        <v>0</v>
      </c>
      <c r="P998" t="n">
        <v>0</v>
      </c>
      <c r="Q998" t="n">
        <v>0</v>
      </c>
      <c r="R998" s="2" t="inlineStr"/>
    </row>
    <row r="999" ht="15" customHeight="1">
      <c r="A999" t="inlineStr">
        <is>
          <t>A 55018-2021</t>
        </is>
      </c>
      <c r="B999" s="1" t="n">
        <v>44474</v>
      </c>
      <c r="C999" s="1" t="n">
        <v>45637</v>
      </c>
      <c r="D999" t="inlineStr">
        <is>
          <t>VÄSTERNORRLANDS LÄN</t>
        </is>
      </c>
      <c r="E999" t="inlineStr">
        <is>
          <t>SOLLEFTEÅ</t>
        </is>
      </c>
      <c r="F999" t="inlineStr">
        <is>
          <t>Övriga Aktiebolag</t>
        </is>
      </c>
      <c r="G999" t="n">
        <v>11.2</v>
      </c>
      <c r="H999" t="n">
        <v>0</v>
      </c>
      <c r="I999" t="n">
        <v>0</v>
      </c>
      <c r="J999" t="n">
        <v>0</v>
      </c>
      <c r="K999" t="n">
        <v>0</v>
      </c>
      <c r="L999" t="n">
        <v>0</v>
      </c>
      <c r="M999" t="n">
        <v>0</v>
      </c>
      <c r="N999" t="n">
        <v>0</v>
      </c>
      <c r="O999" t="n">
        <v>0</v>
      </c>
      <c r="P999" t="n">
        <v>0</v>
      </c>
      <c r="Q999" t="n">
        <v>0</v>
      </c>
      <c r="R999" s="2" t="inlineStr"/>
    </row>
    <row r="1000" ht="15" customHeight="1">
      <c r="A1000" t="inlineStr">
        <is>
          <t>A 55610-2021</t>
        </is>
      </c>
      <c r="B1000" s="1" t="n">
        <v>44476</v>
      </c>
      <c r="C1000" s="1" t="n">
        <v>45637</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55643-2021</t>
        </is>
      </c>
      <c r="B1001" s="1" t="n">
        <v>44475</v>
      </c>
      <c r="C1001" s="1" t="n">
        <v>45637</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55904-2021</t>
        </is>
      </c>
      <c r="B1002" s="1" t="n">
        <v>44476</v>
      </c>
      <c r="C1002" s="1" t="n">
        <v>45637</v>
      </c>
      <c r="D1002" t="inlineStr">
        <is>
          <t>VÄSTERNORRLANDS LÄN</t>
        </is>
      </c>
      <c r="E1002" t="inlineStr">
        <is>
          <t>SOLLEFTEÅ</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56211-2021</t>
        </is>
      </c>
      <c r="B1003" s="1" t="n">
        <v>44478</v>
      </c>
      <c r="C1003" s="1" t="n">
        <v>45637</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56918-2021</t>
        </is>
      </c>
      <c r="B1004" s="1" t="n">
        <v>44482</v>
      </c>
      <c r="C1004" s="1" t="n">
        <v>45637</v>
      </c>
      <c r="D1004" t="inlineStr">
        <is>
          <t>VÄSTERNORRLANDS LÄN</t>
        </is>
      </c>
      <c r="E1004" t="inlineStr">
        <is>
          <t>SOLLEFTEÅ</t>
        </is>
      </c>
      <c r="F1004" t="inlineStr">
        <is>
          <t>SCA</t>
        </is>
      </c>
      <c r="G1004" t="n">
        <v>13.9</v>
      </c>
      <c r="H1004" t="n">
        <v>0</v>
      </c>
      <c r="I1004" t="n">
        <v>0</v>
      </c>
      <c r="J1004" t="n">
        <v>0</v>
      </c>
      <c r="K1004" t="n">
        <v>0</v>
      </c>
      <c r="L1004" t="n">
        <v>0</v>
      </c>
      <c r="M1004" t="n">
        <v>0</v>
      </c>
      <c r="N1004" t="n">
        <v>0</v>
      </c>
      <c r="O1004" t="n">
        <v>0</v>
      </c>
      <c r="P1004" t="n">
        <v>0</v>
      </c>
      <c r="Q1004" t="n">
        <v>0</v>
      </c>
      <c r="R1004" s="2" t="inlineStr"/>
    </row>
    <row r="1005" ht="15" customHeight="1">
      <c r="A1005" t="inlineStr">
        <is>
          <t>A 57007-2021</t>
        </is>
      </c>
      <c r="B1005" s="1" t="n">
        <v>44482</v>
      </c>
      <c r="C1005" s="1" t="n">
        <v>45637</v>
      </c>
      <c r="D1005" t="inlineStr">
        <is>
          <t>VÄSTERNORRLANDS LÄN</t>
        </is>
      </c>
      <c r="E1005" t="inlineStr">
        <is>
          <t>SOLLEFTEÅ</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57550-2021</t>
        </is>
      </c>
      <c r="B1006" s="1" t="n">
        <v>44484</v>
      </c>
      <c r="C1006" s="1" t="n">
        <v>45637</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57552-2021</t>
        </is>
      </c>
      <c r="B1007" s="1" t="n">
        <v>44483</v>
      </c>
      <c r="C1007" s="1" t="n">
        <v>45637</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57856-2021</t>
        </is>
      </c>
      <c r="B1008" s="1" t="n">
        <v>44485</v>
      </c>
      <c r="C1008" s="1" t="n">
        <v>45637</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57911-2021</t>
        </is>
      </c>
      <c r="B1009" s="1" t="n">
        <v>44486</v>
      </c>
      <c r="C1009" s="1" t="n">
        <v>45637</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58268-2021</t>
        </is>
      </c>
      <c r="B1010" s="1" t="n">
        <v>44487</v>
      </c>
      <c r="C1010" s="1" t="n">
        <v>45637</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58276-2021</t>
        </is>
      </c>
      <c r="B1011" s="1" t="n">
        <v>44488</v>
      </c>
      <c r="C1011" s="1" t="n">
        <v>45637</v>
      </c>
      <c r="D1011" t="inlineStr">
        <is>
          <t>VÄSTERNORRLANDS LÄN</t>
        </is>
      </c>
      <c r="E1011" t="inlineStr">
        <is>
          <t>SOLLEFTEÅ</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58179-2021</t>
        </is>
      </c>
      <c r="B1012" s="1" t="n">
        <v>44487</v>
      </c>
      <c r="C1012" s="1" t="n">
        <v>45637</v>
      </c>
      <c r="D1012" t="inlineStr">
        <is>
          <t>VÄSTERNORRLANDS LÄN</t>
        </is>
      </c>
      <c r="E1012" t="inlineStr">
        <is>
          <t>SOLLEFTEÅ</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58478-2021</t>
        </is>
      </c>
      <c r="B1013" s="1" t="n">
        <v>44488</v>
      </c>
      <c r="C1013" s="1" t="n">
        <v>45637</v>
      </c>
      <c r="D1013" t="inlineStr">
        <is>
          <t>VÄSTERNORRLANDS LÄN</t>
        </is>
      </c>
      <c r="E1013" t="inlineStr">
        <is>
          <t>SOLLEFTEÅ</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58486-2021</t>
        </is>
      </c>
      <c r="B1014" s="1" t="n">
        <v>44488</v>
      </c>
      <c r="C1014" s="1" t="n">
        <v>45637</v>
      </c>
      <c r="D1014" t="inlineStr">
        <is>
          <t>VÄSTERNORRLANDS LÄN</t>
        </is>
      </c>
      <c r="E1014" t="inlineStr">
        <is>
          <t>SOLLEFTEÅ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58571-2021</t>
        </is>
      </c>
      <c r="B1015" s="1" t="n">
        <v>44488</v>
      </c>
      <c r="C1015" s="1" t="n">
        <v>45637</v>
      </c>
      <c r="D1015" t="inlineStr">
        <is>
          <t>VÄSTERNORRLANDS LÄN</t>
        </is>
      </c>
      <c r="E1015" t="inlineStr">
        <is>
          <t>SOLLEFTEÅ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58573-2021</t>
        </is>
      </c>
      <c r="B1016" s="1" t="n">
        <v>44488</v>
      </c>
      <c r="C1016" s="1" t="n">
        <v>45637</v>
      </c>
      <c r="D1016" t="inlineStr">
        <is>
          <t>VÄSTERNORRLANDS LÄN</t>
        </is>
      </c>
      <c r="E1016" t="inlineStr">
        <is>
          <t>SOLLEFTEÅ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58726-2021</t>
        </is>
      </c>
      <c r="B1017" s="1" t="n">
        <v>44489</v>
      </c>
      <c r="C1017" s="1" t="n">
        <v>45637</v>
      </c>
      <c r="D1017" t="inlineStr">
        <is>
          <t>VÄSTERNORRLANDS LÄN</t>
        </is>
      </c>
      <c r="E1017" t="inlineStr">
        <is>
          <t>SOLLEFTEÅ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58742-2021</t>
        </is>
      </c>
      <c r="B1018" s="1" t="n">
        <v>44489</v>
      </c>
      <c r="C1018" s="1" t="n">
        <v>45637</v>
      </c>
      <c r="D1018" t="inlineStr">
        <is>
          <t>VÄSTERNORRLANDS LÄN</t>
        </is>
      </c>
      <c r="E1018" t="inlineStr">
        <is>
          <t>SOLLEFTEÅ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58755-2021</t>
        </is>
      </c>
      <c r="B1019" s="1" t="n">
        <v>44489</v>
      </c>
      <c r="C1019" s="1" t="n">
        <v>45637</v>
      </c>
      <c r="D1019" t="inlineStr">
        <is>
          <t>VÄSTERNORRLANDS LÄN</t>
        </is>
      </c>
      <c r="E1019" t="inlineStr">
        <is>
          <t>SOLLEFTEÅ</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58688-2021</t>
        </is>
      </c>
      <c r="B1020" s="1" t="n">
        <v>44489</v>
      </c>
      <c r="C1020" s="1" t="n">
        <v>45637</v>
      </c>
      <c r="D1020" t="inlineStr">
        <is>
          <t>VÄSTERNORRLANDS LÄN</t>
        </is>
      </c>
      <c r="E1020" t="inlineStr">
        <is>
          <t>SOLLEFTEÅ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58715-2021</t>
        </is>
      </c>
      <c r="B1021" s="1" t="n">
        <v>44489</v>
      </c>
      <c r="C1021" s="1" t="n">
        <v>45637</v>
      </c>
      <c r="D1021" t="inlineStr">
        <is>
          <t>VÄSTERNORRLANDS LÄN</t>
        </is>
      </c>
      <c r="E1021" t="inlineStr">
        <is>
          <t>SOLLEFTEÅ</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59344-2021</t>
        </is>
      </c>
      <c r="B1022" s="1" t="n">
        <v>44490</v>
      </c>
      <c r="C1022" s="1" t="n">
        <v>45637</v>
      </c>
      <c r="D1022" t="inlineStr">
        <is>
          <t>VÄSTERNORRLANDS LÄN</t>
        </is>
      </c>
      <c r="E1022" t="inlineStr">
        <is>
          <t>SOLLEFTEÅ</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59309-2021</t>
        </is>
      </c>
      <c r="B1023" s="1" t="n">
        <v>44491</v>
      </c>
      <c r="C1023" s="1" t="n">
        <v>45637</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59343-2021</t>
        </is>
      </c>
      <c r="B1024" s="1" t="n">
        <v>44490</v>
      </c>
      <c r="C1024" s="1" t="n">
        <v>45637</v>
      </c>
      <c r="D1024" t="inlineStr">
        <is>
          <t>VÄSTERNORRLANDS LÄN</t>
        </is>
      </c>
      <c r="E1024" t="inlineStr">
        <is>
          <t>SOLLEFTEÅ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60324-2021</t>
        </is>
      </c>
      <c r="B1025" s="1" t="n">
        <v>44496</v>
      </c>
      <c r="C1025" s="1" t="n">
        <v>45637</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60757-2021</t>
        </is>
      </c>
      <c r="B1026" s="1" t="n">
        <v>44497</v>
      </c>
      <c r="C1026" s="1" t="n">
        <v>45637</v>
      </c>
      <c r="D1026" t="inlineStr">
        <is>
          <t>VÄSTERNORRLANDS LÄN</t>
        </is>
      </c>
      <c r="E1026" t="inlineStr">
        <is>
          <t>SOLLEFTEÅ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60756-2021</t>
        </is>
      </c>
      <c r="B1027" s="1" t="n">
        <v>44496</v>
      </c>
      <c r="C1027" s="1" t="n">
        <v>45637</v>
      </c>
      <c r="D1027" t="inlineStr">
        <is>
          <t>VÄSTERNORRLANDS LÄN</t>
        </is>
      </c>
      <c r="E1027" t="inlineStr">
        <is>
          <t>SOLLEFTEÅ</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61739-2021</t>
        </is>
      </c>
      <c r="B1028" s="1" t="n">
        <v>44498</v>
      </c>
      <c r="C1028" s="1" t="n">
        <v>45637</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61424-2021</t>
        </is>
      </c>
      <c r="B1029" s="1" t="n">
        <v>44500</v>
      </c>
      <c r="C1029" s="1" t="n">
        <v>45637</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61470-2021</t>
        </is>
      </c>
      <c r="B1030" s="1" t="n">
        <v>44500</v>
      </c>
      <c r="C1030" s="1" t="n">
        <v>45637</v>
      </c>
      <c r="D1030" t="inlineStr">
        <is>
          <t>VÄSTERNORRLANDS LÄN</t>
        </is>
      </c>
      <c r="E1030" t="inlineStr">
        <is>
          <t>SOLLEFTEÅ</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61480-2021</t>
        </is>
      </c>
      <c r="B1031" s="1" t="n">
        <v>44500</v>
      </c>
      <c r="C1031" s="1" t="n">
        <v>45637</v>
      </c>
      <c r="D1031" t="inlineStr">
        <is>
          <t>VÄSTERNORRLANDS LÄN</t>
        </is>
      </c>
      <c r="E1031" t="inlineStr">
        <is>
          <t>SOLLEFTEÅ</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61426-2021</t>
        </is>
      </c>
      <c r="B1032" s="1" t="n">
        <v>44500</v>
      </c>
      <c r="C1032" s="1" t="n">
        <v>45637</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61469-2021</t>
        </is>
      </c>
      <c r="B1033" s="1" t="n">
        <v>44500</v>
      </c>
      <c r="C1033" s="1" t="n">
        <v>45637</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61496-2021</t>
        </is>
      </c>
      <c r="B1034" s="1" t="n">
        <v>44501</v>
      </c>
      <c r="C1034" s="1" t="n">
        <v>45637</v>
      </c>
      <c r="D1034" t="inlineStr">
        <is>
          <t>VÄSTERNORRLANDS LÄN</t>
        </is>
      </c>
      <c r="E1034" t="inlineStr">
        <is>
          <t>SOLLEFTEÅ</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62214-2021</t>
        </is>
      </c>
      <c r="B1035" s="1" t="n">
        <v>44502</v>
      </c>
      <c r="C1035" s="1" t="n">
        <v>45637</v>
      </c>
      <c r="D1035" t="inlineStr">
        <is>
          <t>VÄSTERNORRLANDS LÄN</t>
        </is>
      </c>
      <c r="E1035" t="inlineStr">
        <is>
          <t>SOLLEFTEÅ</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62210-2021</t>
        </is>
      </c>
      <c r="B1036" s="1" t="n">
        <v>44502</v>
      </c>
      <c r="C1036" s="1" t="n">
        <v>45637</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62418-2021</t>
        </is>
      </c>
      <c r="B1037" s="1" t="n">
        <v>44503</v>
      </c>
      <c r="C1037" s="1" t="n">
        <v>45637</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62790-2021</t>
        </is>
      </c>
      <c r="B1038" s="1" t="n">
        <v>44503</v>
      </c>
      <c r="C1038" s="1" t="n">
        <v>45637</v>
      </c>
      <c r="D1038" t="inlineStr">
        <is>
          <t>VÄSTERNORRLANDS LÄN</t>
        </is>
      </c>
      <c r="E1038" t="inlineStr">
        <is>
          <t>SOLLEFTEÅ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62697-2021</t>
        </is>
      </c>
      <c r="B1039" s="1" t="n">
        <v>44504</v>
      </c>
      <c r="C1039" s="1" t="n">
        <v>45637</v>
      </c>
      <c r="D1039" t="inlineStr">
        <is>
          <t>VÄSTERNORRLANDS LÄN</t>
        </is>
      </c>
      <c r="E1039" t="inlineStr">
        <is>
          <t>SOLLEFTEÅ</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62692-2021</t>
        </is>
      </c>
      <c r="B1040" s="1" t="n">
        <v>44504</v>
      </c>
      <c r="C1040" s="1" t="n">
        <v>45637</v>
      </c>
      <c r="D1040" t="inlineStr">
        <is>
          <t>VÄSTERNORRLANDS LÄN</t>
        </is>
      </c>
      <c r="E1040" t="inlineStr">
        <is>
          <t>SOLLEFTEÅ</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63710-2021</t>
        </is>
      </c>
      <c r="B1041" s="1" t="n">
        <v>44504</v>
      </c>
      <c r="C1041" s="1" t="n">
        <v>45637</v>
      </c>
      <c r="D1041" t="inlineStr">
        <is>
          <t>VÄSTERNORRLANDS LÄN</t>
        </is>
      </c>
      <c r="E1041" t="inlineStr">
        <is>
          <t>SOLLEFTEÅ</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64638-2021</t>
        </is>
      </c>
      <c r="B1042" s="1" t="n">
        <v>44511</v>
      </c>
      <c r="C1042" s="1" t="n">
        <v>45637</v>
      </c>
      <c r="D1042" t="inlineStr">
        <is>
          <t>VÄSTERNORRLANDS LÄN</t>
        </is>
      </c>
      <c r="E1042" t="inlineStr">
        <is>
          <t>SOLLEFTEÅ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64651-2021</t>
        </is>
      </c>
      <c r="B1043" s="1" t="n">
        <v>44511</v>
      </c>
      <c r="C1043" s="1" t="n">
        <v>45637</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64653-2021</t>
        </is>
      </c>
      <c r="B1044" s="1" t="n">
        <v>44511</v>
      </c>
      <c r="C1044" s="1" t="n">
        <v>45637</v>
      </c>
      <c r="D1044" t="inlineStr">
        <is>
          <t>VÄSTERNORRLANDS LÄN</t>
        </is>
      </c>
      <c r="E1044" t="inlineStr">
        <is>
          <t>SOLLEFTEÅ</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64939-2021</t>
        </is>
      </c>
      <c r="B1045" s="1" t="n">
        <v>44512</v>
      </c>
      <c r="C1045" s="1" t="n">
        <v>45637</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64947-2021</t>
        </is>
      </c>
      <c r="B1046" s="1" t="n">
        <v>44512</v>
      </c>
      <c r="C1046" s="1" t="n">
        <v>45637</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64944-2021</t>
        </is>
      </c>
      <c r="B1047" s="1" t="n">
        <v>44512</v>
      </c>
      <c r="C1047" s="1" t="n">
        <v>45637</v>
      </c>
      <c r="D1047" t="inlineStr">
        <is>
          <t>VÄSTERNORRLANDS LÄN</t>
        </is>
      </c>
      <c r="E1047" t="inlineStr">
        <is>
          <t>SOLLEFTEÅ</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65009-2021</t>
        </is>
      </c>
      <c r="B1048" s="1" t="n">
        <v>44514</v>
      </c>
      <c r="C1048" s="1" t="n">
        <v>45637</v>
      </c>
      <c r="D1048" t="inlineStr">
        <is>
          <t>VÄSTERNORRLANDS LÄN</t>
        </is>
      </c>
      <c r="E1048" t="inlineStr">
        <is>
          <t>SOLLEFTEÅ</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66178-2021</t>
        </is>
      </c>
      <c r="B1049" s="1" t="n">
        <v>44517</v>
      </c>
      <c r="C1049" s="1" t="n">
        <v>45637</v>
      </c>
      <c r="D1049" t="inlineStr">
        <is>
          <t>VÄSTERNORRLANDS LÄN</t>
        </is>
      </c>
      <c r="E1049" t="inlineStr">
        <is>
          <t>SOLLEFTEÅ</t>
        </is>
      </c>
      <c r="F1049" t="inlineStr">
        <is>
          <t>SCA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66856-2021</t>
        </is>
      </c>
      <c r="B1050" s="1" t="n">
        <v>44522</v>
      </c>
      <c r="C1050" s="1" t="n">
        <v>45637</v>
      </c>
      <c r="D1050" t="inlineStr">
        <is>
          <t>VÄSTERNORRLANDS LÄN</t>
        </is>
      </c>
      <c r="E1050" t="inlineStr">
        <is>
          <t>SOLLEFTEÅ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67085-2021</t>
        </is>
      </c>
      <c r="B1051" s="1" t="n">
        <v>44522</v>
      </c>
      <c r="C1051" s="1" t="n">
        <v>45637</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67143-2021</t>
        </is>
      </c>
      <c r="B1052" s="1" t="n">
        <v>44523</v>
      </c>
      <c r="C1052" s="1" t="n">
        <v>45637</v>
      </c>
      <c r="D1052" t="inlineStr">
        <is>
          <t>VÄSTERNORRLANDS LÄN</t>
        </is>
      </c>
      <c r="E1052" t="inlineStr">
        <is>
          <t>SOLLEFTEÅ</t>
        </is>
      </c>
      <c r="G1052" t="n">
        <v>19.7</v>
      </c>
      <c r="H1052" t="n">
        <v>0</v>
      </c>
      <c r="I1052" t="n">
        <v>0</v>
      </c>
      <c r="J1052" t="n">
        <v>0</v>
      </c>
      <c r="K1052" t="n">
        <v>0</v>
      </c>
      <c r="L1052" t="n">
        <v>0</v>
      </c>
      <c r="M1052" t="n">
        <v>0</v>
      </c>
      <c r="N1052" t="n">
        <v>0</v>
      </c>
      <c r="O1052" t="n">
        <v>0</v>
      </c>
      <c r="P1052" t="n">
        <v>0</v>
      </c>
      <c r="Q1052" t="n">
        <v>0</v>
      </c>
      <c r="R1052" s="2" t="inlineStr"/>
    </row>
    <row r="1053" ht="15" customHeight="1">
      <c r="A1053" t="inlineStr">
        <is>
          <t>A 67136-2021</t>
        </is>
      </c>
      <c r="B1053" s="1" t="n">
        <v>44523</v>
      </c>
      <c r="C1053" s="1" t="n">
        <v>45637</v>
      </c>
      <c r="D1053" t="inlineStr">
        <is>
          <t>VÄSTERNORRLANDS LÄN</t>
        </is>
      </c>
      <c r="E1053" t="inlineStr">
        <is>
          <t>SOLLEFTEÅ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67390-2021</t>
        </is>
      </c>
      <c r="B1054" s="1" t="n">
        <v>44523</v>
      </c>
      <c r="C1054" s="1" t="n">
        <v>45637</v>
      </c>
      <c r="D1054" t="inlineStr">
        <is>
          <t>VÄSTERNORRLANDS LÄN</t>
        </is>
      </c>
      <c r="E1054" t="inlineStr">
        <is>
          <t>SOLLEFTEÅ</t>
        </is>
      </c>
      <c r="F1054" t="inlineStr">
        <is>
          <t>SCA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67401-2021</t>
        </is>
      </c>
      <c r="B1055" s="1" t="n">
        <v>44523</v>
      </c>
      <c r="C1055" s="1" t="n">
        <v>45637</v>
      </c>
      <c r="D1055" t="inlineStr">
        <is>
          <t>VÄSTERNORRLANDS LÄN</t>
        </is>
      </c>
      <c r="E1055" t="inlineStr">
        <is>
          <t>SOLLEFTEÅ</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67689-2021</t>
        </is>
      </c>
      <c r="B1056" s="1" t="n">
        <v>44524</v>
      </c>
      <c r="C1056" s="1" t="n">
        <v>45637</v>
      </c>
      <c r="D1056" t="inlineStr">
        <is>
          <t>VÄSTERNORRLANDS LÄN</t>
        </is>
      </c>
      <c r="E1056" t="inlineStr">
        <is>
          <t>SOLLEFTEÅ</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67702-2021</t>
        </is>
      </c>
      <c r="B1057" s="1" t="n">
        <v>44524</v>
      </c>
      <c r="C1057" s="1" t="n">
        <v>45637</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67822-2021</t>
        </is>
      </c>
      <c r="B1058" s="1" t="n">
        <v>44525</v>
      </c>
      <c r="C1058" s="1" t="n">
        <v>45637</v>
      </c>
      <c r="D1058" t="inlineStr">
        <is>
          <t>VÄSTERNORRLANDS LÄN</t>
        </is>
      </c>
      <c r="E1058" t="inlineStr">
        <is>
          <t>SOLLEFTEÅ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68317-2021</t>
        </is>
      </c>
      <c r="B1059" s="1" t="n">
        <v>44526</v>
      </c>
      <c r="C1059" s="1" t="n">
        <v>45637</v>
      </c>
      <c r="D1059" t="inlineStr">
        <is>
          <t>VÄSTERNORRLANDS LÄN</t>
        </is>
      </c>
      <c r="E1059" t="inlineStr">
        <is>
          <t>SOLLEFTEÅ</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68792-2021</t>
        </is>
      </c>
      <c r="B1060" s="1" t="n">
        <v>44529</v>
      </c>
      <c r="C1060" s="1" t="n">
        <v>45637</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68843-2021</t>
        </is>
      </c>
      <c r="B1061" s="1" t="n">
        <v>44530</v>
      </c>
      <c r="C1061" s="1" t="n">
        <v>45637</v>
      </c>
      <c r="D1061" t="inlineStr">
        <is>
          <t>VÄSTERNORRLANDS LÄN</t>
        </is>
      </c>
      <c r="E1061" t="inlineStr">
        <is>
          <t>SOLLEFTEÅ</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68863-2021</t>
        </is>
      </c>
      <c r="B1062" s="1" t="n">
        <v>44530</v>
      </c>
      <c r="C1062" s="1" t="n">
        <v>45637</v>
      </c>
      <c r="D1062" t="inlineStr">
        <is>
          <t>VÄSTERNORRLANDS LÄN</t>
        </is>
      </c>
      <c r="E1062" t="inlineStr">
        <is>
          <t>SOLLEFTEÅ</t>
        </is>
      </c>
      <c r="F1062" t="inlineStr">
        <is>
          <t>Holmen skog AB</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69121-2021</t>
        </is>
      </c>
      <c r="B1063" s="1" t="n">
        <v>44530</v>
      </c>
      <c r="C1063" s="1" t="n">
        <v>45637</v>
      </c>
      <c r="D1063" t="inlineStr">
        <is>
          <t>VÄSTERNORRLANDS LÄN</t>
        </is>
      </c>
      <c r="E1063" t="inlineStr">
        <is>
          <t>SOLLEFTEÅ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69543-2021</t>
        </is>
      </c>
      <c r="B1064" s="1" t="n">
        <v>44531</v>
      </c>
      <c r="C1064" s="1" t="n">
        <v>45637</v>
      </c>
      <c r="D1064" t="inlineStr">
        <is>
          <t>VÄSTERNORRLANDS LÄN</t>
        </is>
      </c>
      <c r="E1064" t="inlineStr">
        <is>
          <t>SOLLEFTEÅ</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69542-2021</t>
        </is>
      </c>
      <c r="B1065" s="1" t="n">
        <v>44531</v>
      </c>
      <c r="C1065" s="1" t="n">
        <v>45637</v>
      </c>
      <c r="D1065" t="inlineStr">
        <is>
          <t>VÄSTERNORRLANDS LÄN</t>
        </is>
      </c>
      <c r="E1065" t="inlineStr">
        <is>
          <t>SOLLEFTEÅ</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69919-2021</t>
        </is>
      </c>
      <c r="B1066" s="1" t="n">
        <v>44532</v>
      </c>
      <c r="C1066" s="1" t="n">
        <v>45637</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69916-2021</t>
        </is>
      </c>
      <c r="B1067" s="1" t="n">
        <v>44532</v>
      </c>
      <c r="C1067" s="1" t="n">
        <v>45637</v>
      </c>
      <c r="D1067" t="inlineStr">
        <is>
          <t>VÄSTERNORRLANDS LÄN</t>
        </is>
      </c>
      <c r="E1067" t="inlineStr">
        <is>
          <t>SOLLEFTEÅ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70180-2021</t>
        </is>
      </c>
      <c r="B1068" s="1" t="n">
        <v>44533</v>
      </c>
      <c r="C1068" s="1" t="n">
        <v>45637</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70821-2021</t>
        </is>
      </c>
      <c r="B1069" s="1" t="n">
        <v>44537</v>
      </c>
      <c r="C1069" s="1" t="n">
        <v>45637</v>
      </c>
      <c r="D1069" t="inlineStr">
        <is>
          <t>VÄSTERNORRLANDS LÄN</t>
        </is>
      </c>
      <c r="E1069" t="inlineStr">
        <is>
          <t>SOLLEFTEÅ</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71080-2021</t>
        </is>
      </c>
      <c r="B1070" s="1" t="n">
        <v>44538</v>
      </c>
      <c r="C1070" s="1" t="n">
        <v>45637</v>
      </c>
      <c r="D1070" t="inlineStr">
        <is>
          <t>VÄSTERNORRLANDS LÄN</t>
        </is>
      </c>
      <c r="E1070" t="inlineStr">
        <is>
          <t>SOLLEFTEÅ</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71079-2021</t>
        </is>
      </c>
      <c r="B1071" s="1" t="n">
        <v>44538</v>
      </c>
      <c r="C1071" s="1" t="n">
        <v>45637</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71348-2021</t>
        </is>
      </c>
      <c r="B1072" s="1" t="n">
        <v>44539</v>
      </c>
      <c r="C1072" s="1" t="n">
        <v>45637</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71351-2021</t>
        </is>
      </c>
      <c r="B1073" s="1" t="n">
        <v>44539</v>
      </c>
      <c r="C1073" s="1" t="n">
        <v>45637</v>
      </c>
      <c r="D1073" t="inlineStr">
        <is>
          <t>VÄSTERNORRLANDS LÄN</t>
        </is>
      </c>
      <c r="E1073" t="inlineStr">
        <is>
          <t>SOLLEFTEÅ</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71350-2021</t>
        </is>
      </c>
      <c r="B1074" s="1" t="n">
        <v>44539</v>
      </c>
      <c r="C1074" s="1" t="n">
        <v>45637</v>
      </c>
      <c r="D1074" t="inlineStr">
        <is>
          <t>VÄSTERNORRLANDS LÄN</t>
        </is>
      </c>
      <c r="E1074" t="inlineStr">
        <is>
          <t>SOLLEFTEÅ</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71580-2021</t>
        </is>
      </c>
      <c r="B1075" s="1" t="n">
        <v>44540</v>
      </c>
      <c r="C1075" s="1" t="n">
        <v>45637</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72244-2021</t>
        </is>
      </c>
      <c r="B1076" s="1" t="n">
        <v>44544</v>
      </c>
      <c r="C1076" s="1" t="n">
        <v>45637</v>
      </c>
      <c r="D1076" t="inlineStr">
        <is>
          <t>VÄSTERNORRLANDS LÄN</t>
        </is>
      </c>
      <c r="E1076" t="inlineStr">
        <is>
          <t>SOLLEFTEÅ</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72249-2021</t>
        </is>
      </c>
      <c r="B1077" s="1" t="n">
        <v>44544</v>
      </c>
      <c r="C1077" s="1" t="n">
        <v>45637</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72315-2021</t>
        </is>
      </c>
      <c r="B1078" s="1" t="n">
        <v>44545</v>
      </c>
      <c r="C1078" s="1" t="n">
        <v>45637</v>
      </c>
      <c r="D1078" t="inlineStr">
        <is>
          <t>VÄSTERNORRLANDS LÄN</t>
        </is>
      </c>
      <c r="E1078" t="inlineStr">
        <is>
          <t>SOLLEFTEÅ</t>
        </is>
      </c>
      <c r="F1078" t="inlineStr">
        <is>
          <t>SCA</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72485-2021</t>
        </is>
      </c>
      <c r="B1079" s="1" t="n">
        <v>44545</v>
      </c>
      <c r="C1079" s="1" t="n">
        <v>45637</v>
      </c>
      <c r="D1079" t="inlineStr">
        <is>
          <t>VÄSTERNORRLANDS LÄN</t>
        </is>
      </c>
      <c r="E1079" t="inlineStr">
        <is>
          <t>SOLLEFTEÅ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72496-2021</t>
        </is>
      </c>
      <c r="B1080" s="1" t="n">
        <v>44545</v>
      </c>
      <c r="C1080" s="1" t="n">
        <v>45637</v>
      </c>
      <c r="D1080" t="inlineStr">
        <is>
          <t>VÄSTERNORRLANDS LÄN</t>
        </is>
      </c>
      <c r="E1080" t="inlineStr">
        <is>
          <t>SOLLEFTEÅ</t>
        </is>
      </c>
      <c r="G1080" t="n">
        <v>20</v>
      </c>
      <c r="H1080" t="n">
        <v>0</v>
      </c>
      <c r="I1080" t="n">
        <v>0</v>
      </c>
      <c r="J1080" t="n">
        <v>0</v>
      </c>
      <c r="K1080" t="n">
        <v>0</v>
      </c>
      <c r="L1080" t="n">
        <v>0</v>
      </c>
      <c r="M1080" t="n">
        <v>0</v>
      </c>
      <c r="N1080" t="n">
        <v>0</v>
      </c>
      <c r="O1080" t="n">
        <v>0</v>
      </c>
      <c r="P1080" t="n">
        <v>0</v>
      </c>
      <c r="Q1080" t="n">
        <v>0</v>
      </c>
      <c r="R1080" s="2" t="inlineStr"/>
    </row>
    <row r="1081" ht="15" customHeight="1">
      <c r="A1081" t="inlineStr">
        <is>
          <t>A 72949-2021</t>
        </is>
      </c>
      <c r="B1081" s="1" t="n">
        <v>44547</v>
      </c>
      <c r="C1081" s="1" t="n">
        <v>45637</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72958-2021</t>
        </is>
      </c>
      <c r="B1082" s="1" t="n">
        <v>44547</v>
      </c>
      <c r="C1082" s="1" t="n">
        <v>45637</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72977-2021</t>
        </is>
      </c>
      <c r="B1083" s="1" t="n">
        <v>44548</v>
      </c>
      <c r="C1083" s="1" t="n">
        <v>45637</v>
      </c>
      <c r="D1083" t="inlineStr">
        <is>
          <t>VÄSTERNORRLANDS LÄN</t>
        </is>
      </c>
      <c r="E1083" t="inlineStr">
        <is>
          <t>SOLLEFTEÅ</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73285-2021</t>
        </is>
      </c>
      <c r="B1084" s="1" t="n">
        <v>44550</v>
      </c>
      <c r="C1084" s="1" t="n">
        <v>45637</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73367-2021</t>
        </is>
      </c>
      <c r="B1085" s="1" t="n">
        <v>44550</v>
      </c>
      <c r="C1085" s="1" t="n">
        <v>45637</v>
      </c>
      <c r="D1085" t="inlineStr">
        <is>
          <t>VÄSTERNORRLANDS LÄN</t>
        </is>
      </c>
      <c r="E1085" t="inlineStr">
        <is>
          <t>SOLLEFTEÅ</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73566-2021</t>
        </is>
      </c>
      <c r="B1086" s="1" t="n">
        <v>44551</v>
      </c>
      <c r="C1086" s="1" t="n">
        <v>45637</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73564-2021</t>
        </is>
      </c>
      <c r="B1087" s="1" t="n">
        <v>44551</v>
      </c>
      <c r="C1087" s="1" t="n">
        <v>45637</v>
      </c>
      <c r="D1087" t="inlineStr">
        <is>
          <t>VÄSTERNORRLANDS LÄN</t>
        </is>
      </c>
      <c r="E1087" t="inlineStr">
        <is>
          <t>SOLLEFTEÅ</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73567-2021</t>
        </is>
      </c>
      <c r="B1088" s="1" t="n">
        <v>44551</v>
      </c>
      <c r="C1088" s="1" t="n">
        <v>45637</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73886-2021</t>
        </is>
      </c>
      <c r="B1089" s="1" t="n">
        <v>44553</v>
      </c>
      <c r="C1089" s="1" t="n">
        <v>45637</v>
      </c>
      <c r="D1089" t="inlineStr">
        <is>
          <t>VÄSTERNORRLANDS LÄN</t>
        </is>
      </c>
      <c r="E1089" t="inlineStr">
        <is>
          <t>SOLLEFTEÅ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73847-2021</t>
        </is>
      </c>
      <c r="B1090" s="1" t="n">
        <v>44553</v>
      </c>
      <c r="C1090" s="1" t="n">
        <v>45637</v>
      </c>
      <c r="D1090" t="inlineStr">
        <is>
          <t>VÄSTERNORRLANDS LÄN</t>
        </is>
      </c>
      <c r="E1090" t="inlineStr">
        <is>
          <t>SOLLEFTEÅ</t>
        </is>
      </c>
      <c r="F1090" t="inlineStr">
        <is>
          <t>Övriga Aktiebolag</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2-2022</t>
        </is>
      </c>
      <c r="B1091" s="1" t="n">
        <v>44562</v>
      </c>
      <c r="C1091" s="1" t="n">
        <v>45637</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19-2022</t>
        </is>
      </c>
      <c r="B1092" s="1" t="n">
        <v>44564</v>
      </c>
      <c r="C1092" s="1" t="n">
        <v>45637</v>
      </c>
      <c r="D1092" t="inlineStr">
        <is>
          <t>VÄSTERNORRLANDS LÄN</t>
        </is>
      </c>
      <c r="E1092" t="inlineStr">
        <is>
          <t>SOLLEFTEÅ</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576-2022</t>
        </is>
      </c>
      <c r="B1093" s="1" t="n">
        <v>44566</v>
      </c>
      <c r="C1093" s="1" t="n">
        <v>45637</v>
      </c>
      <c r="D1093" t="inlineStr">
        <is>
          <t>VÄSTERNORRLANDS LÄN</t>
        </is>
      </c>
      <c r="E1093" t="inlineStr">
        <is>
          <t>SOLLEFTEÅ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1095-2022</t>
        </is>
      </c>
      <c r="B1094" s="1" t="n">
        <v>44571</v>
      </c>
      <c r="C1094" s="1" t="n">
        <v>45637</v>
      </c>
      <c r="D1094" t="inlineStr">
        <is>
          <t>VÄSTERNORRLANDS LÄN</t>
        </is>
      </c>
      <c r="E1094" t="inlineStr">
        <is>
          <t>SOLLEFTEÅ</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1094-2022</t>
        </is>
      </c>
      <c r="B1095" s="1" t="n">
        <v>44571</v>
      </c>
      <c r="C1095" s="1" t="n">
        <v>45637</v>
      </c>
      <c r="D1095" t="inlineStr">
        <is>
          <t>VÄSTERNORRLANDS LÄN</t>
        </is>
      </c>
      <c r="E1095" t="inlineStr">
        <is>
          <t>SOLLEFTEÅ</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1402-2022</t>
        </is>
      </c>
      <c r="B1096" s="1" t="n">
        <v>44573</v>
      </c>
      <c r="C1096" s="1" t="n">
        <v>45637</v>
      </c>
      <c r="D1096" t="inlineStr">
        <is>
          <t>VÄSTERNORRLANDS LÄN</t>
        </is>
      </c>
      <c r="E1096" t="inlineStr">
        <is>
          <t>SOLLEFTEÅ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1987-2022</t>
        </is>
      </c>
      <c r="B1097" s="1" t="n">
        <v>44575</v>
      </c>
      <c r="C1097" s="1" t="n">
        <v>45637</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1997-2022</t>
        </is>
      </c>
      <c r="B1098" s="1" t="n">
        <v>44575</v>
      </c>
      <c r="C1098" s="1" t="n">
        <v>45637</v>
      </c>
      <c r="D1098" t="inlineStr">
        <is>
          <t>VÄSTERNORRLANDS LÄN</t>
        </is>
      </c>
      <c r="E1098" t="inlineStr">
        <is>
          <t>SOLLEFTEÅ</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2536-2022</t>
        </is>
      </c>
      <c r="B1099" s="1" t="n">
        <v>44579</v>
      </c>
      <c r="C1099" s="1" t="n">
        <v>45637</v>
      </c>
      <c r="D1099" t="inlineStr">
        <is>
          <t>VÄSTERNORRLANDS LÄN</t>
        </is>
      </c>
      <c r="E1099" t="inlineStr">
        <is>
          <t>SOLLEFTEÅ</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2543-2022</t>
        </is>
      </c>
      <c r="B1100" s="1" t="n">
        <v>44580</v>
      </c>
      <c r="C1100" s="1" t="n">
        <v>45637</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2542-2022</t>
        </is>
      </c>
      <c r="B1101" s="1" t="n">
        <v>44580</v>
      </c>
      <c r="C1101" s="1" t="n">
        <v>45637</v>
      </c>
      <c r="D1101" t="inlineStr">
        <is>
          <t>VÄSTERNORRLANDS LÄN</t>
        </is>
      </c>
      <c r="E1101" t="inlineStr">
        <is>
          <t>SOLLEFTEÅ</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2541-2022</t>
        </is>
      </c>
      <c r="B1102" s="1" t="n">
        <v>44580</v>
      </c>
      <c r="C1102" s="1" t="n">
        <v>45637</v>
      </c>
      <c r="D1102" t="inlineStr">
        <is>
          <t>VÄSTERNORRLANDS LÄN</t>
        </is>
      </c>
      <c r="E1102" t="inlineStr">
        <is>
          <t>SOLLEFTEÅ</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2747-2022</t>
        </is>
      </c>
      <c r="B1103" s="1" t="n">
        <v>44580</v>
      </c>
      <c r="C1103" s="1" t="n">
        <v>45637</v>
      </c>
      <c r="D1103" t="inlineStr">
        <is>
          <t>VÄSTERNORRLANDS LÄN</t>
        </is>
      </c>
      <c r="E1103" t="inlineStr">
        <is>
          <t>SOLLEFTEÅ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3001-2022</t>
        </is>
      </c>
      <c r="B1104" s="1" t="n">
        <v>44581</v>
      </c>
      <c r="C1104" s="1" t="n">
        <v>45637</v>
      </c>
      <c r="D1104" t="inlineStr">
        <is>
          <t>VÄSTERNORRLANDS LÄN</t>
        </is>
      </c>
      <c r="E1104" t="inlineStr">
        <is>
          <t>SOLLEFTEÅ</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3541-2022</t>
        </is>
      </c>
      <c r="B1105" s="1" t="n">
        <v>44585</v>
      </c>
      <c r="C1105" s="1" t="n">
        <v>45637</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3548-2022</t>
        </is>
      </c>
      <c r="B1106" s="1" t="n">
        <v>44585</v>
      </c>
      <c r="C1106" s="1" t="n">
        <v>45637</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3554-2022</t>
        </is>
      </c>
      <c r="B1107" s="1" t="n">
        <v>44585</v>
      </c>
      <c r="C1107" s="1" t="n">
        <v>45637</v>
      </c>
      <c r="D1107" t="inlineStr">
        <is>
          <t>VÄSTERNORRLANDS LÄN</t>
        </is>
      </c>
      <c r="E1107" t="inlineStr">
        <is>
          <t>SOLLEFTEÅ</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3560-2022</t>
        </is>
      </c>
      <c r="B1108" s="1" t="n">
        <v>44585</v>
      </c>
      <c r="C1108" s="1" t="n">
        <v>45637</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3549-2022</t>
        </is>
      </c>
      <c r="B1109" s="1" t="n">
        <v>44585</v>
      </c>
      <c r="C1109" s="1" t="n">
        <v>45637</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3551-2022</t>
        </is>
      </c>
      <c r="B1110" s="1" t="n">
        <v>44585</v>
      </c>
      <c r="C1110" s="1" t="n">
        <v>45637</v>
      </c>
      <c r="D1110" t="inlineStr">
        <is>
          <t>VÄSTERNORRLANDS LÄN</t>
        </is>
      </c>
      <c r="E1110" t="inlineStr">
        <is>
          <t>SOLLEFTEÅ</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3556-2022</t>
        </is>
      </c>
      <c r="B1111" s="1" t="n">
        <v>44585</v>
      </c>
      <c r="C1111" s="1" t="n">
        <v>45637</v>
      </c>
      <c r="D1111" t="inlineStr">
        <is>
          <t>VÄSTERNORRLANDS LÄN</t>
        </is>
      </c>
      <c r="E1111" t="inlineStr">
        <is>
          <t>SOLLEFTEÅ</t>
        </is>
      </c>
      <c r="F1111" t="inlineStr">
        <is>
          <t>SCA</t>
        </is>
      </c>
      <c r="G1111" t="n">
        <v>18.2</v>
      </c>
      <c r="H1111" t="n">
        <v>0</v>
      </c>
      <c r="I1111" t="n">
        <v>0</v>
      </c>
      <c r="J1111" t="n">
        <v>0</v>
      </c>
      <c r="K1111" t="n">
        <v>0</v>
      </c>
      <c r="L1111" t="n">
        <v>0</v>
      </c>
      <c r="M1111" t="n">
        <v>0</v>
      </c>
      <c r="N1111" t="n">
        <v>0</v>
      </c>
      <c r="O1111" t="n">
        <v>0</v>
      </c>
      <c r="P1111" t="n">
        <v>0</v>
      </c>
      <c r="Q1111" t="n">
        <v>0</v>
      </c>
      <c r="R1111" s="2" t="inlineStr"/>
    </row>
    <row r="1112" ht="15" customHeight="1">
      <c r="A1112" t="inlineStr">
        <is>
          <t>A 3555-2022</t>
        </is>
      </c>
      <c r="B1112" s="1" t="n">
        <v>44585</v>
      </c>
      <c r="C1112" s="1" t="n">
        <v>45637</v>
      </c>
      <c r="D1112" t="inlineStr">
        <is>
          <t>VÄSTERNORRLANDS LÄN</t>
        </is>
      </c>
      <c r="E1112" t="inlineStr">
        <is>
          <t>SOLLEFTEÅ</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3552-2022</t>
        </is>
      </c>
      <c r="B1113" s="1" t="n">
        <v>44585</v>
      </c>
      <c r="C1113" s="1" t="n">
        <v>45637</v>
      </c>
      <c r="D1113" t="inlineStr">
        <is>
          <t>VÄSTERNORRLANDS LÄN</t>
        </is>
      </c>
      <c r="E1113" t="inlineStr">
        <is>
          <t>SOLLEFTEÅ</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3557-2022</t>
        </is>
      </c>
      <c r="B1114" s="1" t="n">
        <v>44585</v>
      </c>
      <c r="C1114" s="1" t="n">
        <v>45637</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3699-2022</t>
        </is>
      </c>
      <c r="B1115" s="1" t="n">
        <v>44586</v>
      </c>
      <c r="C1115" s="1" t="n">
        <v>45637</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3793-2022</t>
        </is>
      </c>
      <c r="B1116" s="1" t="n">
        <v>44586</v>
      </c>
      <c r="C1116" s="1" t="n">
        <v>45637</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3795-2022</t>
        </is>
      </c>
      <c r="B1117" s="1" t="n">
        <v>44586</v>
      </c>
      <c r="C1117" s="1" t="n">
        <v>45637</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4018-2022</t>
        </is>
      </c>
      <c r="B1118" s="1" t="n">
        <v>44587</v>
      </c>
      <c r="C1118" s="1" t="n">
        <v>45637</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4343-2022</t>
        </is>
      </c>
      <c r="B1119" s="1" t="n">
        <v>44588</v>
      </c>
      <c r="C1119" s="1" t="n">
        <v>45637</v>
      </c>
      <c r="D1119" t="inlineStr">
        <is>
          <t>VÄSTERNORRLANDS LÄN</t>
        </is>
      </c>
      <c r="E1119" t="inlineStr">
        <is>
          <t>SOLLEFTEÅ</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4555-2022</t>
        </is>
      </c>
      <c r="B1120" s="1" t="n">
        <v>44590</v>
      </c>
      <c r="C1120" s="1" t="n">
        <v>45637</v>
      </c>
      <c r="D1120" t="inlineStr">
        <is>
          <t>VÄSTERNORRLANDS LÄN</t>
        </is>
      </c>
      <c r="E1120" t="inlineStr">
        <is>
          <t>SOLLEFTEÅ</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5108-2022</t>
        </is>
      </c>
      <c r="B1121" s="1" t="n">
        <v>44593</v>
      </c>
      <c r="C1121" s="1" t="n">
        <v>45637</v>
      </c>
      <c r="D1121" t="inlineStr">
        <is>
          <t>VÄSTERNORRLANDS LÄN</t>
        </is>
      </c>
      <c r="E1121" t="inlineStr">
        <is>
          <t>SOLLEFTEÅ</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5110-2022</t>
        </is>
      </c>
      <c r="B1122" s="1" t="n">
        <v>44593</v>
      </c>
      <c r="C1122" s="1" t="n">
        <v>45637</v>
      </c>
      <c r="D1122" t="inlineStr">
        <is>
          <t>VÄSTERNORRLANDS LÄN</t>
        </is>
      </c>
      <c r="E1122" t="inlineStr">
        <is>
          <t>SOLLEFTEÅ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5111-2022</t>
        </is>
      </c>
      <c r="B1123" s="1" t="n">
        <v>44593</v>
      </c>
      <c r="C1123" s="1" t="n">
        <v>45637</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5134-2022</t>
        </is>
      </c>
      <c r="B1124" s="1" t="n">
        <v>44594</v>
      </c>
      <c r="C1124" s="1" t="n">
        <v>45637</v>
      </c>
      <c r="D1124" t="inlineStr">
        <is>
          <t>VÄSTERNORRLANDS LÄN</t>
        </is>
      </c>
      <c r="E1124" t="inlineStr">
        <is>
          <t>SOLLEFTEÅ</t>
        </is>
      </c>
      <c r="G1124" t="n">
        <v>20.4</v>
      </c>
      <c r="H1124" t="n">
        <v>0</v>
      </c>
      <c r="I1124" t="n">
        <v>0</v>
      </c>
      <c r="J1124" t="n">
        <v>0</v>
      </c>
      <c r="K1124" t="n">
        <v>0</v>
      </c>
      <c r="L1124" t="n">
        <v>0</v>
      </c>
      <c r="M1124" t="n">
        <v>0</v>
      </c>
      <c r="N1124" t="n">
        <v>0</v>
      </c>
      <c r="O1124" t="n">
        <v>0</v>
      </c>
      <c r="P1124" t="n">
        <v>0</v>
      </c>
      <c r="Q1124" t="n">
        <v>0</v>
      </c>
      <c r="R1124" s="2" t="inlineStr"/>
    </row>
    <row r="1125" ht="15" customHeight="1">
      <c r="A1125" t="inlineStr">
        <is>
          <t>A 5657-2022</t>
        </is>
      </c>
      <c r="B1125" s="1" t="n">
        <v>44595</v>
      </c>
      <c r="C1125" s="1" t="n">
        <v>45637</v>
      </c>
      <c r="D1125" t="inlineStr">
        <is>
          <t>VÄSTERNORRLANDS LÄN</t>
        </is>
      </c>
      <c r="E1125" t="inlineStr">
        <is>
          <t>SOLLEFTEÅ</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5909-2022</t>
        </is>
      </c>
      <c r="B1126" s="1" t="n">
        <v>44596</v>
      </c>
      <c r="C1126" s="1" t="n">
        <v>45637</v>
      </c>
      <c r="D1126" t="inlineStr">
        <is>
          <t>VÄSTERNORRLANDS LÄN</t>
        </is>
      </c>
      <c r="E1126" t="inlineStr">
        <is>
          <t>SOLLEFTEÅ</t>
        </is>
      </c>
      <c r="F1126" t="inlineStr">
        <is>
          <t>SCA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6121-2022</t>
        </is>
      </c>
      <c r="B1127" s="1" t="n">
        <v>44599</v>
      </c>
      <c r="C1127" s="1" t="n">
        <v>45637</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6172-2022</t>
        </is>
      </c>
      <c r="B1128" s="1" t="n">
        <v>44599</v>
      </c>
      <c r="C1128" s="1" t="n">
        <v>45637</v>
      </c>
      <c r="D1128" t="inlineStr">
        <is>
          <t>VÄSTERNORRLANDS LÄN</t>
        </is>
      </c>
      <c r="E1128" t="inlineStr">
        <is>
          <t>SOLLEFTEÅ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6170-2022</t>
        </is>
      </c>
      <c r="B1129" s="1" t="n">
        <v>44599</v>
      </c>
      <c r="C1129" s="1" t="n">
        <v>45637</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7667-2022</t>
        </is>
      </c>
      <c r="B1130" s="1" t="n">
        <v>44607</v>
      </c>
      <c r="C1130" s="1" t="n">
        <v>45637</v>
      </c>
      <c r="D1130" t="inlineStr">
        <is>
          <t>VÄSTERNORRLANDS LÄN</t>
        </is>
      </c>
      <c r="E1130" t="inlineStr">
        <is>
          <t>SOLLEFTEÅ</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7965-2022</t>
        </is>
      </c>
      <c r="B1131" s="1" t="n">
        <v>44608</v>
      </c>
      <c r="C1131" s="1" t="n">
        <v>45637</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7963-2022</t>
        </is>
      </c>
      <c r="B1132" s="1" t="n">
        <v>44608</v>
      </c>
      <c r="C1132" s="1" t="n">
        <v>45637</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7935-2022</t>
        </is>
      </c>
      <c r="B1133" s="1" t="n">
        <v>44608</v>
      </c>
      <c r="C1133" s="1" t="n">
        <v>45637</v>
      </c>
      <c r="D1133" t="inlineStr">
        <is>
          <t>VÄSTERNORRLANDS LÄN</t>
        </is>
      </c>
      <c r="E1133" t="inlineStr">
        <is>
          <t>SOLLEFTEÅ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7964-2022</t>
        </is>
      </c>
      <c r="B1134" s="1" t="n">
        <v>44608</v>
      </c>
      <c r="C1134" s="1" t="n">
        <v>45637</v>
      </c>
      <c r="D1134" t="inlineStr">
        <is>
          <t>VÄSTERNORRLANDS LÄN</t>
        </is>
      </c>
      <c r="E1134" t="inlineStr">
        <is>
          <t>SOLLEFTEÅ</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8221-2022</t>
        </is>
      </c>
      <c r="B1135" s="1" t="n">
        <v>44609</v>
      </c>
      <c r="C1135" s="1" t="n">
        <v>45637</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8222-2022</t>
        </is>
      </c>
      <c r="B1136" s="1" t="n">
        <v>44609</v>
      </c>
      <c r="C1136" s="1" t="n">
        <v>45637</v>
      </c>
      <c r="D1136" t="inlineStr">
        <is>
          <t>VÄSTERNORRLANDS LÄN</t>
        </is>
      </c>
      <c r="E1136" t="inlineStr">
        <is>
          <t>SOLLEFTEÅ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8728-2022</t>
        </is>
      </c>
      <c r="B1137" s="1" t="n">
        <v>44613</v>
      </c>
      <c r="C1137" s="1" t="n">
        <v>45637</v>
      </c>
      <c r="D1137" t="inlineStr">
        <is>
          <t>VÄSTERNORRLANDS LÄN</t>
        </is>
      </c>
      <c r="E1137" t="inlineStr">
        <is>
          <t>SOLLEFTEÅ</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8729-2022</t>
        </is>
      </c>
      <c r="B1138" s="1" t="n">
        <v>44613</v>
      </c>
      <c r="C1138" s="1" t="n">
        <v>45637</v>
      </c>
      <c r="D1138" t="inlineStr">
        <is>
          <t>VÄSTERNORRLANDS LÄN</t>
        </is>
      </c>
      <c r="E1138" t="inlineStr">
        <is>
          <t>SOLLEFTEÅ</t>
        </is>
      </c>
      <c r="F1138" t="inlineStr">
        <is>
          <t>SCA</t>
        </is>
      </c>
      <c r="G1138" t="n">
        <v>16.5</v>
      </c>
      <c r="H1138" t="n">
        <v>0</v>
      </c>
      <c r="I1138" t="n">
        <v>0</v>
      </c>
      <c r="J1138" t="n">
        <v>0</v>
      </c>
      <c r="K1138" t="n">
        <v>0</v>
      </c>
      <c r="L1138" t="n">
        <v>0</v>
      </c>
      <c r="M1138" t="n">
        <v>0</v>
      </c>
      <c r="N1138" t="n">
        <v>0</v>
      </c>
      <c r="O1138" t="n">
        <v>0</v>
      </c>
      <c r="P1138" t="n">
        <v>0</v>
      </c>
      <c r="Q1138" t="n">
        <v>0</v>
      </c>
      <c r="R1138" s="2" t="inlineStr"/>
    </row>
    <row r="1139" ht="15" customHeight="1">
      <c r="A1139" t="inlineStr">
        <is>
          <t>A 8734-2022</t>
        </is>
      </c>
      <c r="B1139" s="1" t="n">
        <v>44613</v>
      </c>
      <c r="C1139" s="1" t="n">
        <v>45637</v>
      </c>
      <c r="D1139" t="inlineStr">
        <is>
          <t>VÄSTERNORRLANDS LÄN</t>
        </is>
      </c>
      <c r="E1139" t="inlineStr">
        <is>
          <t>SOLLEFTEÅ</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9124-2022</t>
        </is>
      </c>
      <c r="B1140" s="1" t="n">
        <v>44615</v>
      </c>
      <c r="C1140" s="1" t="n">
        <v>45637</v>
      </c>
      <c r="D1140" t="inlineStr">
        <is>
          <t>VÄSTERNORRLANDS LÄN</t>
        </is>
      </c>
      <c r="E1140" t="inlineStr">
        <is>
          <t>SOLLEFTEÅ</t>
        </is>
      </c>
      <c r="G1140" t="n">
        <v>20.2</v>
      </c>
      <c r="H1140" t="n">
        <v>0</v>
      </c>
      <c r="I1140" t="n">
        <v>0</v>
      </c>
      <c r="J1140" t="n">
        <v>0</v>
      </c>
      <c r="K1140" t="n">
        <v>0</v>
      </c>
      <c r="L1140" t="n">
        <v>0</v>
      </c>
      <c r="M1140" t="n">
        <v>0</v>
      </c>
      <c r="N1140" t="n">
        <v>0</v>
      </c>
      <c r="O1140" t="n">
        <v>0</v>
      </c>
      <c r="P1140" t="n">
        <v>0</v>
      </c>
      <c r="Q1140" t="n">
        <v>0</v>
      </c>
      <c r="R1140" s="2" t="inlineStr"/>
    </row>
    <row r="1141" ht="15" customHeight="1">
      <c r="A1141" t="inlineStr">
        <is>
          <t>A 9487-2022</t>
        </is>
      </c>
      <c r="B1141" s="1" t="n">
        <v>44616</v>
      </c>
      <c r="C1141" s="1" t="n">
        <v>45637</v>
      </c>
      <c r="D1141" t="inlineStr">
        <is>
          <t>VÄSTERNORRLANDS LÄN</t>
        </is>
      </c>
      <c r="E1141" t="inlineStr">
        <is>
          <t>SOLLEFTEÅ</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9586-2022</t>
        </is>
      </c>
      <c r="B1142" s="1" t="n">
        <v>44617</v>
      </c>
      <c r="C1142" s="1" t="n">
        <v>45637</v>
      </c>
      <c r="D1142" t="inlineStr">
        <is>
          <t>VÄSTERNORRLANDS LÄN</t>
        </is>
      </c>
      <c r="E1142" t="inlineStr">
        <is>
          <t>SOLLEFTEÅ</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10138-2022</t>
        </is>
      </c>
      <c r="B1143" s="1" t="n">
        <v>44621</v>
      </c>
      <c r="C1143" s="1" t="n">
        <v>45637</v>
      </c>
      <c r="D1143" t="inlineStr">
        <is>
          <t>VÄSTERNORRLANDS LÄN</t>
        </is>
      </c>
      <c r="E1143" t="inlineStr">
        <is>
          <t>SOLLEFTEÅ</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10139-2022</t>
        </is>
      </c>
      <c r="B1144" s="1" t="n">
        <v>44621</v>
      </c>
      <c r="C1144" s="1" t="n">
        <v>45637</v>
      </c>
      <c r="D1144" t="inlineStr">
        <is>
          <t>VÄSTERNORRLANDS LÄN</t>
        </is>
      </c>
      <c r="E1144" t="inlineStr">
        <is>
          <t>SOLLEFTEÅ</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10140-2022</t>
        </is>
      </c>
      <c r="B1145" s="1" t="n">
        <v>44621</v>
      </c>
      <c r="C1145" s="1" t="n">
        <v>45637</v>
      </c>
      <c r="D1145" t="inlineStr">
        <is>
          <t>VÄSTERNORRLANDS LÄN</t>
        </is>
      </c>
      <c r="E1145" t="inlineStr">
        <is>
          <t>SOLLEFTEÅ</t>
        </is>
      </c>
      <c r="F1145" t="inlineStr">
        <is>
          <t>SCA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10141-2022</t>
        </is>
      </c>
      <c r="B1146" s="1" t="n">
        <v>44621</v>
      </c>
      <c r="C1146" s="1" t="n">
        <v>45637</v>
      </c>
      <c r="D1146" t="inlineStr">
        <is>
          <t>VÄSTERNORRLANDS LÄN</t>
        </is>
      </c>
      <c r="E1146" t="inlineStr">
        <is>
          <t>SOLLEFTEÅ</t>
        </is>
      </c>
      <c r="F1146" t="inlineStr">
        <is>
          <t>SCA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10198-2022</t>
        </is>
      </c>
      <c r="B1147" s="1" t="n">
        <v>44622</v>
      </c>
      <c r="C1147" s="1" t="n">
        <v>45637</v>
      </c>
      <c r="D1147" t="inlineStr">
        <is>
          <t>VÄSTERNORRLANDS LÄN</t>
        </is>
      </c>
      <c r="E1147" t="inlineStr">
        <is>
          <t>SOLLEFTEÅ</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10242-2022</t>
        </is>
      </c>
      <c r="B1148" s="1" t="n">
        <v>44622</v>
      </c>
      <c r="C1148" s="1" t="n">
        <v>45637</v>
      </c>
      <c r="D1148" t="inlineStr">
        <is>
          <t>VÄSTERNORRLANDS LÄN</t>
        </is>
      </c>
      <c r="E1148" t="inlineStr">
        <is>
          <t>SOLLEFTEÅ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10308-2022</t>
        </is>
      </c>
      <c r="B1149" s="1" t="n">
        <v>44622</v>
      </c>
      <c r="C1149" s="1" t="n">
        <v>45637</v>
      </c>
      <c r="D1149" t="inlineStr">
        <is>
          <t>VÄSTERNORRLANDS LÄN</t>
        </is>
      </c>
      <c r="E1149" t="inlineStr">
        <is>
          <t>SOLLEFTEÅ</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10250-2022</t>
        </is>
      </c>
      <c r="B1150" s="1" t="n">
        <v>44622</v>
      </c>
      <c r="C1150" s="1" t="n">
        <v>45637</v>
      </c>
      <c r="D1150" t="inlineStr">
        <is>
          <t>VÄSTERNORRLANDS LÄN</t>
        </is>
      </c>
      <c r="E1150" t="inlineStr">
        <is>
          <t>SOLLEFTEÅ</t>
        </is>
      </c>
      <c r="G1150" t="n">
        <v>17.6</v>
      </c>
      <c r="H1150" t="n">
        <v>0</v>
      </c>
      <c r="I1150" t="n">
        <v>0</v>
      </c>
      <c r="J1150" t="n">
        <v>0</v>
      </c>
      <c r="K1150" t="n">
        <v>0</v>
      </c>
      <c r="L1150" t="n">
        <v>0</v>
      </c>
      <c r="M1150" t="n">
        <v>0</v>
      </c>
      <c r="N1150" t="n">
        <v>0</v>
      </c>
      <c r="O1150" t="n">
        <v>0</v>
      </c>
      <c r="P1150" t="n">
        <v>0</v>
      </c>
      <c r="Q1150" t="n">
        <v>0</v>
      </c>
      <c r="R1150" s="2" t="inlineStr"/>
    </row>
    <row r="1151" ht="15" customHeight="1">
      <c r="A1151" t="inlineStr">
        <is>
          <t>A 10310-2022</t>
        </is>
      </c>
      <c r="B1151" s="1" t="n">
        <v>44622</v>
      </c>
      <c r="C1151" s="1" t="n">
        <v>45637</v>
      </c>
      <c r="D1151" t="inlineStr">
        <is>
          <t>VÄSTERNORRLANDS LÄN</t>
        </is>
      </c>
      <c r="E1151" t="inlineStr">
        <is>
          <t>SOLLEFTEÅ</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10307-2022</t>
        </is>
      </c>
      <c r="B1152" s="1" t="n">
        <v>44622</v>
      </c>
      <c r="C1152" s="1" t="n">
        <v>45637</v>
      </c>
      <c r="D1152" t="inlineStr">
        <is>
          <t>VÄSTERNORRLANDS LÄN</t>
        </is>
      </c>
      <c r="E1152" t="inlineStr">
        <is>
          <t>SOLLEFTEÅ</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10311-2022</t>
        </is>
      </c>
      <c r="B1153" s="1" t="n">
        <v>44622</v>
      </c>
      <c r="C1153" s="1" t="n">
        <v>45637</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10309-2022</t>
        </is>
      </c>
      <c r="B1154" s="1" t="n">
        <v>44622</v>
      </c>
      <c r="C1154" s="1" t="n">
        <v>45637</v>
      </c>
      <c r="D1154" t="inlineStr">
        <is>
          <t>VÄSTERNORRLANDS LÄN</t>
        </is>
      </c>
      <c r="E1154" t="inlineStr">
        <is>
          <t>SOLLEFTEÅ</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10314-2022</t>
        </is>
      </c>
      <c r="B1155" s="1" t="n">
        <v>44622</v>
      </c>
      <c r="C1155" s="1" t="n">
        <v>45637</v>
      </c>
      <c r="D1155" t="inlineStr">
        <is>
          <t>VÄSTERNORRLANDS LÄN</t>
        </is>
      </c>
      <c r="E1155" t="inlineStr">
        <is>
          <t>SOLLEFTEÅ</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10417-2022</t>
        </is>
      </c>
      <c r="B1156" s="1" t="n">
        <v>44623</v>
      </c>
      <c r="C1156" s="1" t="n">
        <v>45637</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10924-2022</t>
        </is>
      </c>
      <c r="B1157" s="1" t="n">
        <v>44627</v>
      </c>
      <c r="C1157" s="1" t="n">
        <v>45637</v>
      </c>
      <c r="D1157" t="inlineStr">
        <is>
          <t>VÄSTERNORRLANDS LÄN</t>
        </is>
      </c>
      <c r="E1157" t="inlineStr">
        <is>
          <t>SOLLEFTEÅ</t>
        </is>
      </c>
      <c r="F1157" t="inlineStr">
        <is>
          <t>SCA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10926-2022</t>
        </is>
      </c>
      <c r="B1158" s="1" t="n">
        <v>44627</v>
      </c>
      <c r="C1158" s="1" t="n">
        <v>45637</v>
      </c>
      <c r="D1158" t="inlineStr">
        <is>
          <t>VÄSTERNORRLANDS LÄN</t>
        </is>
      </c>
      <c r="E1158" t="inlineStr">
        <is>
          <t>SOLLEFTEÅ</t>
        </is>
      </c>
      <c r="F1158" t="inlineStr">
        <is>
          <t>SCA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10925-2022</t>
        </is>
      </c>
      <c r="B1159" s="1" t="n">
        <v>44627</v>
      </c>
      <c r="C1159" s="1" t="n">
        <v>45637</v>
      </c>
      <c r="D1159" t="inlineStr">
        <is>
          <t>VÄSTERNORRLANDS LÄN</t>
        </is>
      </c>
      <c r="E1159" t="inlineStr">
        <is>
          <t>SOLLEFTEÅ</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10927-2022</t>
        </is>
      </c>
      <c r="B1160" s="1" t="n">
        <v>44627</v>
      </c>
      <c r="C1160" s="1" t="n">
        <v>45637</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11117-2022</t>
        </is>
      </c>
      <c r="B1161" s="1" t="n">
        <v>44628</v>
      </c>
      <c r="C1161" s="1" t="n">
        <v>45637</v>
      </c>
      <c r="D1161" t="inlineStr">
        <is>
          <t>VÄSTERNORRLANDS LÄN</t>
        </is>
      </c>
      <c r="E1161" t="inlineStr">
        <is>
          <t>SOLLEFTEÅ</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11131-2022</t>
        </is>
      </c>
      <c r="B1162" s="1" t="n">
        <v>44628</v>
      </c>
      <c r="C1162" s="1" t="n">
        <v>45637</v>
      </c>
      <c r="D1162" t="inlineStr">
        <is>
          <t>VÄSTERNORRLANDS LÄN</t>
        </is>
      </c>
      <c r="E1162" t="inlineStr">
        <is>
          <t>SOLLEFTEÅ</t>
        </is>
      </c>
      <c r="F1162" t="inlineStr">
        <is>
          <t>SCA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11133-2022</t>
        </is>
      </c>
      <c r="B1163" s="1" t="n">
        <v>44628</v>
      </c>
      <c r="C1163" s="1" t="n">
        <v>45637</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11125-2022</t>
        </is>
      </c>
      <c r="B1164" s="1" t="n">
        <v>44628</v>
      </c>
      <c r="C1164" s="1" t="n">
        <v>45637</v>
      </c>
      <c r="D1164" t="inlineStr">
        <is>
          <t>VÄSTERNORRLANDS LÄN</t>
        </is>
      </c>
      <c r="E1164" t="inlineStr">
        <is>
          <t>SOLLEFTEÅ</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11241-2022</t>
        </is>
      </c>
      <c r="B1165" s="1" t="n">
        <v>44629</v>
      </c>
      <c r="C1165" s="1" t="n">
        <v>45637</v>
      </c>
      <c r="D1165" t="inlineStr">
        <is>
          <t>VÄSTERNORRLANDS LÄN</t>
        </is>
      </c>
      <c r="E1165" t="inlineStr">
        <is>
          <t>SOLLEFTEÅ</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11318-2022</t>
        </is>
      </c>
      <c r="B1166" s="1" t="n">
        <v>44629</v>
      </c>
      <c r="C1166" s="1" t="n">
        <v>45637</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11475-2022</t>
        </is>
      </c>
      <c r="B1167" s="1" t="n">
        <v>44630</v>
      </c>
      <c r="C1167" s="1" t="n">
        <v>45637</v>
      </c>
      <c r="D1167" t="inlineStr">
        <is>
          <t>VÄSTERNORRLANDS LÄN</t>
        </is>
      </c>
      <c r="E1167" t="inlineStr">
        <is>
          <t>SOLLEFTEÅ</t>
        </is>
      </c>
      <c r="G1167" t="n">
        <v>18.7</v>
      </c>
      <c r="H1167" t="n">
        <v>0</v>
      </c>
      <c r="I1167" t="n">
        <v>0</v>
      </c>
      <c r="J1167" t="n">
        <v>0</v>
      </c>
      <c r="K1167" t="n">
        <v>0</v>
      </c>
      <c r="L1167" t="n">
        <v>0</v>
      </c>
      <c r="M1167" t="n">
        <v>0</v>
      </c>
      <c r="N1167" t="n">
        <v>0</v>
      </c>
      <c r="O1167" t="n">
        <v>0</v>
      </c>
      <c r="P1167" t="n">
        <v>0</v>
      </c>
      <c r="Q1167" t="n">
        <v>0</v>
      </c>
      <c r="R1167" s="2" t="inlineStr"/>
    </row>
    <row r="1168" ht="15" customHeight="1">
      <c r="A1168" t="inlineStr">
        <is>
          <t>A 11484-2022</t>
        </is>
      </c>
      <c r="B1168" s="1" t="n">
        <v>44630</v>
      </c>
      <c r="C1168" s="1" t="n">
        <v>45637</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11474-2022</t>
        </is>
      </c>
      <c r="B1169" s="1" t="n">
        <v>44630</v>
      </c>
      <c r="C1169" s="1" t="n">
        <v>45637</v>
      </c>
      <c r="D1169" t="inlineStr">
        <is>
          <t>VÄSTERNORRLANDS LÄN</t>
        </is>
      </c>
      <c r="E1169" t="inlineStr">
        <is>
          <t>SOLLEFTEÅ</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11483-2022</t>
        </is>
      </c>
      <c r="B1170" s="1" t="n">
        <v>44630</v>
      </c>
      <c r="C1170" s="1" t="n">
        <v>45637</v>
      </c>
      <c r="D1170" t="inlineStr">
        <is>
          <t>VÄSTERNORRLANDS LÄN</t>
        </is>
      </c>
      <c r="E1170" t="inlineStr">
        <is>
          <t>SOLLEFTEÅ</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11652-2022</t>
        </is>
      </c>
      <c r="B1171" s="1" t="n">
        <v>44631</v>
      </c>
      <c r="C1171" s="1" t="n">
        <v>45637</v>
      </c>
      <c r="D1171" t="inlineStr">
        <is>
          <t>VÄSTERNORRLANDS LÄN</t>
        </is>
      </c>
      <c r="E1171" t="inlineStr">
        <is>
          <t>SOLLEFTEÅ</t>
        </is>
      </c>
      <c r="F1171" t="inlineStr">
        <is>
          <t>SCA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11656-2022</t>
        </is>
      </c>
      <c r="B1172" s="1" t="n">
        <v>44631</v>
      </c>
      <c r="C1172" s="1" t="n">
        <v>45637</v>
      </c>
      <c r="D1172" t="inlineStr">
        <is>
          <t>VÄSTERNORRLANDS LÄN</t>
        </is>
      </c>
      <c r="E1172" t="inlineStr">
        <is>
          <t>SOLLEFTEÅ</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11653-2022</t>
        </is>
      </c>
      <c r="B1173" s="1" t="n">
        <v>44631</v>
      </c>
      <c r="C1173" s="1" t="n">
        <v>45637</v>
      </c>
      <c r="D1173" t="inlineStr">
        <is>
          <t>VÄSTERNORRLANDS LÄN</t>
        </is>
      </c>
      <c r="E1173" t="inlineStr">
        <is>
          <t>SOLLEFTEÅ</t>
        </is>
      </c>
      <c r="F1173" t="inlineStr">
        <is>
          <t>SCA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11677-2022</t>
        </is>
      </c>
      <c r="B1174" s="1" t="n">
        <v>44633</v>
      </c>
      <c r="C1174" s="1" t="n">
        <v>45637</v>
      </c>
      <c r="D1174" t="inlineStr">
        <is>
          <t>VÄSTERNORRLANDS LÄN</t>
        </is>
      </c>
      <c r="E1174" t="inlineStr">
        <is>
          <t>SOLLEFTEÅ</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11842-2022</t>
        </is>
      </c>
      <c r="B1175" s="1" t="n">
        <v>44634</v>
      </c>
      <c r="C1175" s="1" t="n">
        <v>45637</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11845-2022</t>
        </is>
      </c>
      <c r="B1176" s="1" t="n">
        <v>44634</v>
      </c>
      <c r="C1176" s="1" t="n">
        <v>45637</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11846-2022</t>
        </is>
      </c>
      <c r="B1177" s="1" t="n">
        <v>44634</v>
      </c>
      <c r="C1177" s="1" t="n">
        <v>45637</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11870-2022</t>
        </is>
      </c>
      <c r="B1178" s="1" t="n">
        <v>44635</v>
      </c>
      <c r="C1178" s="1" t="n">
        <v>45637</v>
      </c>
      <c r="D1178" t="inlineStr">
        <is>
          <t>VÄSTERNORRLANDS LÄN</t>
        </is>
      </c>
      <c r="E1178" t="inlineStr">
        <is>
          <t>SOLLEFTEÅ</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11874-2022</t>
        </is>
      </c>
      <c r="B1179" s="1" t="n">
        <v>44635</v>
      </c>
      <c r="C1179" s="1" t="n">
        <v>45637</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12007-2022</t>
        </is>
      </c>
      <c r="B1180" s="1" t="n">
        <v>44635</v>
      </c>
      <c r="C1180" s="1" t="n">
        <v>45637</v>
      </c>
      <c r="D1180" t="inlineStr">
        <is>
          <t>VÄSTERNORRLANDS LÄN</t>
        </is>
      </c>
      <c r="E1180" t="inlineStr">
        <is>
          <t>SOLLEFTEÅ</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12001-2022</t>
        </is>
      </c>
      <c r="B1181" s="1" t="n">
        <v>44635</v>
      </c>
      <c r="C1181" s="1" t="n">
        <v>45637</v>
      </c>
      <c r="D1181" t="inlineStr">
        <is>
          <t>VÄSTERNORRLANDS LÄN</t>
        </is>
      </c>
      <c r="E1181" t="inlineStr">
        <is>
          <t>SOLLEFTEÅ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12006-2022</t>
        </is>
      </c>
      <c r="B1182" s="1" t="n">
        <v>44635</v>
      </c>
      <c r="C1182" s="1" t="n">
        <v>45637</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12022-2022</t>
        </is>
      </c>
      <c r="B1183" s="1" t="n">
        <v>44635</v>
      </c>
      <c r="C1183" s="1" t="n">
        <v>45637</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12191-2022</t>
        </is>
      </c>
      <c r="B1184" s="1" t="n">
        <v>44636</v>
      </c>
      <c r="C1184" s="1" t="n">
        <v>45637</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12201-2022</t>
        </is>
      </c>
      <c r="B1185" s="1" t="n">
        <v>44636</v>
      </c>
      <c r="C1185" s="1" t="n">
        <v>45637</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12395-2022</t>
        </is>
      </c>
      <c r="B1186" s="1" t="n">
        <v>44637</v>
      </c>
      <c r="C1186" s="1" t="n">
        <v>45637</v>
      </c>
      <c r="D1186" t="inlineStr">
        <is>
          <t>VÄSTERNORRLANDS LÄN</t>
        </is>
      </c>
      <c r="E1186" t="inlineStr">
        <is>
          <t>SOLLEFTEÅ</t>
        </is>
      </c>
      <c r="F1186" t="inlineStr">
        <is>
          <t>SCA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12561-2022</t>
        </is>
      </c>
      <c r="B1187" s="1" t="n">
        <v>44638</v>
      </c>
      <c r="C1187" s="1" t="n">
        <v>45637</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12565-2022</t>
        </is>
      </c>
      <c r="B1188" s="1" t="n">
        <v>44638</v>
      </c>
      <c r="C1188" s="1" t="n">
        <v>45637</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12572-2022</t>
        </is>
      </c>
      <c r="B1189" s="1" t="n">
        <v>44638</v>
      </c>
      <c r="C1189" s="1" t="n">
        <v>45637</v>
      </c>
      <c r="D1189" t="inlineStr">
        <is>
          <t>VÄSTERNORRLANDS LÄN</t>
        </is>
      </c>
      <c r="E1189" t="inlineStr">
        <is>
          <t>SOLLEFTEÅ</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12564-2022</t>
        </is>
      </c>
      <c r="B1190" s="1" t="n">
        <v>44638</v>
      </c>
      <c r="C1190" s="1" t="n">
        <v>45637</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12568-2022</t>
        </is>
      </c>
      <c r="B1191" s="1" t="n">
        <v>44638</v>
      </c>
      <c r="C1191" s="1" t="n">
        <v>45637</v>
      </c>
      <c r="D1191" t="inlineStr">
        <is>
          <t>VÄSTERNORRLANDS LÄN</t>
        </is>
      </c>
      <c r="E1191" t="inlineStr">
        <is>
          <t>SOLLEFTEÅ</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12557-2022</t>
        </is>
      </c>
      <c r="B1192" s="1" t="n">
        <v>44638</v>
      </c>
      <c r="C1192" s="1" t="n">
        <v>45637</v>
      </c>
      <c r="D1192" t="inlineStr">
        <is>
          <t>VÄSTERNORRLANDS LÄN</t>
        </is>
      </c>
      <c r="E1192" t="inlineStr">
        <is>
          <t>SOLLEFTEÅ</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12563-2022</t>
        </is>
      </c>
      <c r="B1193" s="1" t="n">
        <v>44638</v>
      </c>
      <c r="C1193" s="1" t="n">
        <v>45637</v>
      </c>
      <c r="D1193" t="inlineStr">
        <is>
          <t>VÄSTERNORRLANDS LÄN</t>
        </is>
      </c>
      <c r="E1193" t="inlineStr">
        <is>
          <t>SOLLEFTEÅ</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12567-2022</t>
        </is>
      </c>
      <c r="B1194" s="1" t="n">
        <v>44638</v>
      </c>
      <c r="C1194" s="1" t="n">
        <v>45637</v>
      </c>
      <c r="D1194" t="inlineStr">
        <is>
          <t>VÄSTERNORRLANDS LÄN</t>
        </is>
      </c>
      <c r="E1194" t="inlineStr">
        <is>
          <t>SOLLEFTEÅ</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12562-2022</t>
        </is>
      </c>
      <c r="B1195" s="1" t="n">
        <v>44638</v>
      </c>
      <c r="C1195" s="1" t="n">
        <v>45637</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12566-2022</t>
        </is>
      </c>
      <c r="B1196" s="1" t="n">
        <v>44638</v>
      </c>
      <c r="C1196" s="1" t="n">
        <v>45637</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12758-2022</t>
        </is>
      </c>
      <c r="B1197" s="1" t="n">
        <v>44641</v>
      </c>
      <c r="C1197" s="1" t="n">
        <v>45637</v>
      </c>
      <c r="D1197" t="inlineStr">
        <is>
          <t>VÄSTERNORRLANDS LÄN</t>
        </is>
      </c>
      <c r="E1197" t="inlineStr">
        <is>
          <t>SOLLEFTEÅ</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12764-2022</t>
        </is>
      </c>
      <c r="B1198" s="1" t="n">
        <v>44641</v>
      </c>
      <c r="C1198" s="1" t="n">
        <v>45637</v>
      </c>
      <c r="D1198" t="inlineStr">
        <is>
          <t>VÄSTERNORRLANDS LÄN</t>
        </is>
      </c>
      <c r="E1198" t="inlineStr">
        <is>
          <t>SOLLEFTEÅ</t>
        </is>
      </c>
      <c r="F1198" t="inlineStr">
        <is>
          <t>SCA</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12774-2022</t>
        </is>
      </c>
      <c r="B1199" s="1" t="n">
        <v>44641</v>
      </c>
      <c r="C1199" s="1" t="n">
        <v>45637</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13300-2022</t>
        </is>
      </c>
      <c r="B1200" s="1" t="n">
        <v>44644</v>
      </c>
      <c r="C1200" s="1" t="n">
        <v>45637</v>
      </c>
      <c r="D1200" t="inlineStr">
        <is>
          <t>VÄSTERNORRLANDS LÄN</t>
        </is>
      </c>
      <c r="E1200" t="inlineStr">
        <is>
          <t>SOLLEFTEÅ</t>
        </is>
      </c>
      <c r="F1200" t="inlineStr">
        <is>
          <t>SCA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13311-2022</t>
        </is>
      </c>
      <c r="B1201" s="1" t="n">
        <v>44644</v>
      </c>
      <c r="C1201" s="1" t="n">
        <v>45637</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13309-2022</t>
        </is>
      </c>
      <c r="B1202" s="1" t="n">
        <v>44644</v>
      </c>
      <c r="C1202" s="1" t="n">
        <v>45637</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13492-2022</t>
        </is>
      </c>
      <c r="B1203" s="1" t="n">
        <v>44646</v>
      </c>
      <c r="C1203" s="1" t="n">
        <v>45637</v>
      </c>
      <c r="D1203" t="inlineStr">
        <is>
          <t>VÄSTERNORRLANDS LÄN</t>
        </is>
      </c>
      <c r="E1203" t="inlineStr">
        <is>
          <t>SOLLEFTEÅ</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13598-2022</t>
        </is>
      </c>
      <c r="B1204" s="1" t="n">
        <v>44648</v>
      </c>
      <c r="C1204" s="1" t="n">
        <v>45637</v>
      </c>
      <c r="D1204" t="inlineStr">
        <is>
          <t>VÄSTERNORRLANDS LÄN</t>
        </is>
      </c>
      <c r="E1204" t="inlineStr">
        <is>
          <t>SOLLEFTEÅ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13710-2022</t>
        </is>
      </c>
      <c r="B1205" s="1" t="n">
        <v>44649</v>
      </c>
      <c r="C1205" s="1" t="n">
        <v>45637</v>
      </c>
      <c r="D1205" t="inlineStr">
        <is>
          <t>VÄSTERNORRLANDS LÄN</t>
        </is>
      </c>
      <c r="E1205" t="inlineStr">
        <is>
          <t>SOLLEFTEÅ</t>
        </is>
      </c>
      <c r="F1205" t="inlineStr">
        <is>
          <t>SCA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14061-2022</t>
        </is>
      </c>
      <c r="B1206" s="1" t="n">
        <v>44651</v>
      </c>
      <c r="C1206" s="1" t="n">
        <v>45637</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14066-2022</t>
        </is>
      </c>
      <c r="B1207" s="1" t="n">
        <v>44650</v>
      </c>
      <c r="C1207" s="1" t="n">
        <v>45637</v>
      </c>
      <c r="D1207" t="inlineStr">
        <is>
          <t>VÄSTERNORRLANDS LÄN</t>
        </is>
      </c>
      <c r="E1207" t="inlineStr">
        <is>
          <t>SOLLEFTEÅ</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14058-2022</t>
        </is>
      </c>
      <c r="B1208" s="1" t="n">
        <v>44651</v>
      </c>
      <c r="C1208" s="1" t="n">
        <v>45637</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14063-2022</t>
        </is>
      </c>
      <c r="B1209" s="1" t="n">
        <v>44651</v>
      </c>
      <c r="C1209" s="1" t="n">
        <v>45637</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14055-2022</t>
        </is>
      </c>
      <c r="B1210" s="1" t="n">
        <v>44651</v>
      </c>
      <c r="C1210" s="1" t="n">
        <v>45637</v>
      </c>
      <c r="D1210" t="inlineStr">
        <is>
          <t>VÄSTERNORRLANDS LÄN</t>
        </is>
      </c>
      <c r="E1210" t="inlineStr">
        <is>
          <t>SOLLEFTEÅ</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14060-2022</t>
        </is>
      </c>
      <c r="B1211" s="1" t="n">
        <v>44651</v>
      </c>
      <c r="C1211" s="1" t="n">
        <v>45637</v>
      </c>
      <c r="D1211" t="inlineStr">
        <is>
          <t>VÄSTERNORRLANDS LÄN</t>
        </is>
      </c>
      <c r="E1211" t="inlineStr">
        <is>
          <t>SOLLEFTEÅ</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14065-2022</t>
        </is>
      </c>
      <c r="B1212" s="1" t="n">
        <v>44650</v>
      </c>
      <c r="C1212" s="1" t="n">
        <v>45637</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14059-2022</t>
        </is>
      </c>
      <c r="B1213" s="1" t="n">
        <v>44651</v>
      </c>
      <c r="C1213" s="1" t="n">
        <v>45637</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14064-2022</t>
        </is>
      </c>
      <c r="B1214" s="1" t="n">
        <v>44651</v>
      </c>
      <c r="C1214" s="1" t="n">
        <v>45637</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14276-2022</t>
        </is>
      </c>
      <c r="B1215" s="1" t="n">
        <v>44652</v>
      </c>
      <c r="C1215" s="1" t="n">
        <v>45637</v>
      </c>
      <c r="D1215" t="inlineStr">
        <is>
          <t>VÄSTERNORRLANDS LÄN</t>
        </is>
      </c>
      <c r="E1215" t="inlineStr">
        <is>
          <t>SOLLEFTEÅ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14297-2022</t>
        </is>
      </c>
      <c r="B1216" s="1" t="n">
        <v>44651</v>
      </c>
      <c r="C1216" s="1" t="n">
        <v>45637</v>
      </c>
      <c r="D1216" t="inlineStr">
        <is>
          <t>VÄSTERNORRLANDS LÄN</t>
        </is>
      </c>
      <c r="E1216" t="inlineStr">
        <is>
          <t>SOLLEFTEÅ</t>
        </is>
      </c>
      <c r="F1216" t="inlineStr">
        <is>
          <t>SCA</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14300-2022</t>
        </is>
      </c>
      <c r="B1217" s="1" t="n">
        <v>44652</v>
      </c>
      <c r="C1217" s="1" t="n">
        <v>45637</v>
      </c>
      <c r="D1217" t="inlineStr">
        <is>
          <t>VÄSTERNORRLANDS LÄN</t>
        </is>
      </c>
      <c r="E1217" t="inlineStr">
        <is>
          <t>SOLLEFTEÅ</t>
        </is>
      </c>
      <c r="F1217" t="inlineStr">
        <is>
          <t>SCA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14308-2022</t>
        </is>
      </c>
      <c r="B1218" s="1" t="n">
        <v>44652</v>
      </c>
      <c r="C1218" s="1" t="n">
        <v>45637</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14275-2022</t>
        </is>
      </c>
      <c r="B1219" s="1" t="n">
        <v>44651</v>
      </c>
      <c r="C1219" s="1" t="n">
        <v>45637</v>
      </c>
      <c r="D1219" t="inlineStr">
        <is>
          <t>VÄSTERNORRLANDS LÄN</t>
        </is>
      </c>
      <c r="E1219" t="inlineStr">
        <is>
          <t>SOLLEFTEÅ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14299-2022</t>
        </is>
      </c>
      <c r="B1220" s="1" t="n">
        <v>44652</v>
      </c>
      <c r="C1220" s="1" t="n">
        <v>45637</v>
      </c>
      <c r="D1220" t="inlineStr">
        <is>
          <t>VÄSTERNORRLANDS LÄN</t>
        </is>
      </c>
      <c r="E1220" t="inlineStr">
        <is>
          <t>SOLLEFTEÅ</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14296-2022</t>
        </is>
      </c>
      <c r="B1221" s="1" t="n">
        <v>44652</v>
      </c>
      <c r="C1221" s="1" t="n">
        <v>45637</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14302-2022</t>
        </is>
      </c>
      <c r="B1222" s="1" t="n">
        <v>44651</v>
      </c>
      <c r="C1222" s="1" t="n">
        <v>45637</v>
      </c>
      <c r="D1222" t="inlineStr">
        <is>
          <t>VÄSTERNORRLANDS LÄN</t>
        </is>
      </c>
      <c r="E1222" t="inlineStr">
        <is>
          <t>SOLLEFTEÅ</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14448-2022</t>
        </is>
      </c>
      <c r="B1223" s="1" t="n">
        <v>44652</v>
      </c>
      <c r="C1223" s="1" t="n">
        <v>45637</v>
      </c>
      <c r="D1223" t="inlineStr">
        <is>
          <t>VÄSTERNORRLANDS LÄN</t>
        </is>
      </c>
      <c r="E1223" t="inlineStr">
        <is>
          <t>SOLLEFTEÅ</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14449-2022</t>
        </is>
      </c>
      <c r="B1224" s="1" t="n">
        <v>44652</v>
      </c>
      <c r="C1224" s="1" t="n">
        <v>45637</v>
      </c>
      <c r="D1224" t="inlineStr">
        <is>
          <t>VÄSTERNORRLANDS LÄN</t>
        </is>
      </c>
      <c r="E1224" t="inlineStr">
        <is>
          <t>SOLLEFTEÅ</t>
        </is>
      </c>
      <c r="F1224" t="inlineStr">
        <is>
          <t>SCA</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14450-2022</t>
        </is>
      </c>
      <c r="B1225" s="1" t="n">
        <v>44653</v>
      </c>
      <c r="C1225" s="1" t="n">
        <v>45637</v>
      </c>
      <c r="D1225" t="inlineStr">
        <is>
          <t>VÄSTERNORRLANDS LÄN</t>
        </is>
      </c>
      <c r="E1225" t="inlineStr">
        <is>
          <t>SOLLEFTEÅ</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14447-2022</t>
        </is>
      </c>
      <c r="B1226" s="1" t="n">
        <v>44653</v>
      </c>
      <c r="C1226" s="1" t="n">
        <v>45637</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14477-2022</t>
        </is>
      </c>
      <c r="B1227" s="1" t="n">
        <v>44655</v>
      </c>
      <c r="C1227" s="1" t="n">
        <v>45637</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14910-2022</t>
        </is>
      </c>
      <c r="B1228" s="1" t="n">
        <v>44657</v>
      </c>
      <c r="C1228" s="1" t="n">
        <v>45637</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15090-2022</t>
        </is>
      </c>
      <c r="B1229" s="1" t="n">
        <v>44658</v>
      </c>
      <c r="C1229" s="1" t="n">
        <v>45637</v>
      </c>
      <c r="D1229" t="inlineStr">
        <is>
          <t>VÄSTERNORRLANDS LÄN</t>
        </is>
      </c>
      <c r="E1229" t="inlineStr">
        <is>
          <t>SOLLEFTEÅ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15241-2022</t>
        </is>
      </c>
      <c r="B1230" s="1" t="n">
        <v>44659</v>
      </c>
      <c r="C1230" s="1" t="n">
        <v>45637</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15234-2022</t>
        </is>
      </c>
      <c r="B1231" s="1" t="n">
        <v>44659</v>
      </c>
      <c r="C1231" s="1" t="n">
        <v>45637</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15658-2022</t>
        </is>
      </c>
      <c r="B1232" s="1" t="n">
        <v>44663</v>
      </c>
      <c r="C1232" s="1" t="n">
        <v>45637</v>
      </c>
      <c r="D1232" t="inlineStr">
        <is>
          <t>VÄSTERNORRLANDS LÄN</t>
        </is>
      </c>
      <c r="E1232" t="inlineStr">
        <is>
          <t>SOLLEFTEÅ</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15809-2022</t>
        </is>
      </c>
      <c r="B1233" s="1" t="n">
        <v>44663</v>
      </c>
      <c r="C1233" s="1" t="n">
        <v>45637</v>
      </c>
      <c r="D1233" t="inlineStr">
        <is>
          <t>VÄSTERNORRLANDS LÄN</t>
        </is>
      </c>
      <c r="E1233" t="inlineStr">
        <is>
          <t>SOLLEFTEÅ</t>
        </is>
      </c>
      <c r="F1233" t="inlineStr">
        <is>
          <t>SCA</t>
        </is>
      </c>
      <c r="G1233" t="n">
        <v>16.3</v>
      </c>
      <c r="H1233" t="n">
        <v>0</v>
      </c>
      <c r="I1233" t="n">
        <v>0</v>
      </c>
      <c r="J1233" t="n">
        <v>0</v>
      </c>
      <c r="K1233" t="n">
        <v>0</v>
      </c>
      <c r="L1233" t="n">
        <v>0</v>
      </c>
      <c r="M1233" t="n">
        <v>0</v>
      </c>
      <c r="N1233" t="n">
        <v>0</v>
      </c>
      <c r="O1233" t="n">
        <v>0</v>
      </c>
      <c r="P1233" t="n">
        <v>0</v>
      </c>
      <c r="Q1233" t="n">
        <v>0</v>
      </c>
      <c r="R1233" s="2" t="inlineStr"/>
    </row>
    <row r="1234" ht="15" customHeight="1">
      <c r="A1234" t="inlineStr">
        <is>
          <t>A 15964-2022</t>
        </is>
      </c>
      <c r="B1234" s="1" t="n">
        <v>44665</v>
      </c>
      <c r="C1234" s="1" t="n">
        <v>45637</v>
      </c>
      <c r="D1234" t="inlineStr">
        <is>
          <t>VÄSTERNORRLANDS LÄN</t>
        </is>
      </c>
      <c r="E1234" t="inlineStr">
        <is>
          <t>SOLLEFTEÅ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15974-2022</t>
        </is>
      </c>
      <c r="B1235" s="1" t="n">
        <v>44665</v>
      </c>
      <c r="C1235" s="1" t="n">
        <v>45637</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16088-2022</t>
        </is>
      </c>
      <c r="B1236" s="1" t="n">
        <v>44665</v>
      </c>
      <c r="C1236" s="1" t="n">
        <v>45637</v>
      </c>
      <c r="D1236" t="inlineStr">
        <is>
          <t>VÄSTERNORRLANDS LÄN</t>
        </is>
      </c>
      <c r="E1236" t="inlineStr">
        <is>
          <t>SOLLEFTEÅ</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16000-2022</t>
        </is>
      </c>
      <c r="B1237" s="1" t="n">
        <v>44665</v>
      </c>
      <c r="C1237" s="1" t="n">
        <v>45637</v>
      </c>
      <c r="D1237" t="inlineStr">
        <is>
          <t>VÄSTERNORRLANDS LÄN</t>
        </is>
      </c>
      <c r="E1237" t="inlineStr">
        <is>
          <t>SOLLEFTEÅ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16083-2022</t>
        </is>
      </c>
      <c r="B1238" s="1" t="n">
        <v>44665</v>
      </c>
      <c r="C1238" s="1" t="n">
        <v>45637</v>
      </c>
      <c r="D1238" t="inlineStr">
        <is>
          <t>VÄSTERNORRLANDS LÄN</t>
        </is>
      </c>
      <c r="E1238" t="inlineStr">
        <is>
          <t>SOLLEFTEÅ</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16093-2022</t>
        </is>
      </c>
      <c r="B1239" s="1" t="n">
        <v>44665</v>
      </c>
      <c r="C1239" s="1" t="n">
        <v>45637</v>
      </c>
      <c r="D1239" t="inlineStr">
        <is>
          <t>VÄSTERNORRLANDS LÄN</t>
        </is>
      </c>
      <c r="E1239" t="inlineStr">
        <is>
          <t>SOLLEFTEÅ</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16365-2022</t>
        </is>
      </c>
      <c r="B1240" s="1" t="n">
        <v>44671</v>
      </c>
      <c r="C1240" s="1" t="n">
        <v>45637</v>
      </c>
      <c r="D1240" t="inlineStr">
        <is>
          <t>VÄSTERNORRLANDS LÄN</t>
        </is>
      </c>
      <c r="E1240" t="inlineStr">
        <is>
          <t>SOLLEFTEÅ</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16419-2022</t>
        </is>
      </c>
      <c r="B1241" s="1" t="n">
        <v>44671</v>
      </c>
      <c r="C1241" s="1" t="n">
        <v>45637</v>
      </c>
      <c r="D1241" t="inlineStr">
        <is>
          <t>VÄSTERNORRLANDS LÄN</t>
        </is>
      </c>
      <c r="E1241" t="inlineStr">
        <is>
          <t>SOLLEFTEÅ</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16521-2022</t>
        </is>
      </c>
      <c r="B1242" s="1" t="n">
        <v>44671</v>
      </c>
      <c r="C1242" s="1" t="n">
        <v>45637</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16675-2022</t>
        </is>
      </c>
      <c r="B1243" s="1" t="n">
        <v>44672</v>
      </c>
      <c r="C1243" s="1" t="n">
        <v>45637</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16611-2022</t>
        </is>
      </c>
      <c r="B1244" s="1" t="n">
        <v>44672</v>
      </c>
      <c r="C1244" s="1" t="n">
        <v>45637</v>
      </c>
      <c r="D1244" t="inlineStr">
        <is>
          <t>VÄSTERNORRLANDS LÄN</t>
        </is>
      </c>
      <c r="E1244" t="inlineStr">
        <is>
          <t>SOLLEFTEÅ</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16670-2022</t>
        </is>
      </c>
      <c r="B1245" s="1" t="n">
        <v>44673</v>
      </c>
      <c r="C1245" s="1" t="n">
        <v>45637</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17045-2022</t>
        </is>
      </c>
      <c r="B1246" s="1" t="n">
        <v>44676</v>
      </c>
      <c r="C1246" s="1" t="n">
        <v>45637</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17049-2022</t>
        </is>
      </c>
      <c r="B1247" s="1" t="n">
        <v>44676</v>
      </c>
      <c r="C1247" s="1" t="n">
        <v>45637</v>
      </c>
      <c r="D1247" t="inlineStr">
        <is>
          <t>VÄSTERNORRLANDS LÄN</t>
        </is>
      </c>
      <c r="E1247" t="inlineStr">
        <is>
          <t>SOLLEFTEÅ</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HYPERLINK("https://klasma.github.io/Logging_2283/knärot/A 17049-2022 karta knärot.png", "A 17049-2022")</f>
        <v/>
      </c>
      <c r="V1247">
        <f>HYPERLINK("https://klasma.github.io/Logging_2283/klagomål/A 17049-2022 FSC-klagomål.docx", "A 17049-2022")</f>
        <v/>
      </c>
      <c r="W1247">
        <f>HYPERLINK("https://klasma.github.io/Logging_2283/klagomålsmail/A 17049-2022 FSC-klagomål mail.docx", "A 17049-2022")</f>
        <v/>
      </c>
      <c r="X1247">
        <f>HYPERLINK("https://klasma.github.io/Logging_2283/tillsyn/A 17049-2022 tillsynsbegäran.docx", "A 17049-2022")</f>
        <v/>
      </c>
      <c r="Y1247">
        <f>HYPERLINK("https://klasma.github.io/Logging_2283/tillsynsmail/A 17049-2022 tillsynsbegäran mail.docx", "A 17049-2022")</f>
        <v/>
      </c>
    </row>
    <row r="1248" ht="15" customHeight="1">
      <c r="A1248" t="inlineStr">
        <is>
          <t>A 17344-2022</t>
        </is>
      </c>
      <c r="B1248" s="1" t="n">
        <v>44678</v>
      </c>
      <c r="C1248" s="1" t="n">
        <v>45637</v>
      </c>
      <c r="D1248" t="inlineStr">
        <is>
          <t>VÄSTERNORRLANDS LÄN</t>
        </is>
      </c>
      <c r="E1248" t="inlineStr">
        <is>
          <t>SOLLEFTEÅ</t>
        </is>
      </c>
      <c r="G1248" t="n">
        <v>34.2</v>
      </c>
      <c r="H1248" t="n">
        <v>0</v>
      </c>
      <c r="I1248" t="n">
        <v>0</v>
      </c>
      <c r="J1248" t="n">
        <v>0</v>
      </c>
      <c r="K1248" t="n">
        <v>0</v>
      </c>
      <c r="L1248" t="n">
        <v>0</v>
      </c>
      <c r="M1248" t="n">
        <v>0</v>
      </c>
      <c r="N1248" t="n">
        <v>0</v>
      </c>
      <c r="O1248" t="n">
        <v>0</v>
      </c>
      <c r="P1248" t="n">
        <v>0</v>
      </c>
      <c r="Q1248" t="n">
        <v>0</v>
      </c>
      <c r="R1248" s="2" t="inlineStr"/>
    </row>
    <row r="1249" ht="15" customHeight="1">
      <c r="A1249" t="inlineStr">
        <is>
          <t>A 17995-2022</t>
        </is>
      </c>
      <c r="B1249" s="1" t="n">
        <v>44684</v>
      </c>
      <c r="C1249" s="1" t="n">
        <v>45637</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18000-2022</t>
        </is>
      </c>
      <c r="B1250" s="1" t="n">
        <v>44684</v>
      </c>
      <c r="C1250" s="1" t="n">
        <v>45637</v>
      </c>
      <c r="D1250" t="inlineStr">
        <is>
          <t>VÄSTERNORRLANDS LÄN</t>
        </is>
      </c>
      <c r="E1250" t="inlineStr">
        <is>
          <t>SOLLEFTEÅ</t>
        </is>
      </c>
      <c r="F1250" t="inlineStr">
        <is>
          <t>SCA</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18011-2022</t>
        </is>
      </c>
      <c r="B1251" s="1" t="n">
        <v>44683</v>
      </c>
      <c r="C1251" s="1" t="n">
        <v>45637</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18015-2022</t>
        </is>
      </c>
      <c r="B1252" s="1" t="n">
        <v>44684</v>
      </c>
      <c r="C1252" s="1" t="n">
        <v>45637</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18016-2022</t>
        </is>
      </c>
      <c r="B1253" s="1" t="n">
        <v>44684</v>
      </c>
      <c r="C1253" s="1" t="n">
        <v>45637</v>
      </c>
      <c r="D1253" t="inlineStr">
        <is>
          <t>VÄSTERNORRLANDS LÄN</t>
        </is>
      </c>
      <c r="E1253" t="inlineStr">
        <is>
          <t>SOLLEFTEÅ</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17999-2022</t>
        </is>
      </c>
      <c r="B1254" s="1" t="n">
        <v>44683</v>
      </c>
      <c r="C1254" s="1" t="n">
        <v>45637</v>
      </c>
      <c r="D1254" t="inlineStr">
        <is>
          <t>VÄSTERNORRLANDS LÄN</t>
        </is>
      </c>
      <c r="E1254" t="inlineStr">
        <is>
          <t>SOLLEFTEÅ</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18013-2022</t>
        </is>
      </c>
      <c r="B1255" s="1" t="n">
        <v>44684</v>
      </c>
      <c r="C1255" s="1" t="n">
        <v>45637</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18017-2022</t>
        </is>
      </c>
      <c r="B1256" s="1" t="n">
        <v>44683</v>
      </c>
      <c r="C1256" s="1" t="n">
        <v>45637</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18187-2022</t>
        </is>
      </c>
      <c r="B1257" s="1" t="n">
        <v>44684</v>
      </c>
      <c r="C1257" s="1" t="n">
        <v>45637</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18190-2022</t>
        </is>
      </c>
      <c r="B1258" s="1" t="n">
        <v>44685</v>
      </c>
      <c r="C1258" s="1" t="n">
        <v>45637</v>
      </c>
      <c r="D1258" t="inlineStr">
        <is>
          <t>VÄSTERNORRLANDS LÄN</t>
        </is>
      </c>
      <c r="E1258" t="inlineStr">
        <is>
          <t>SOLLEFTEÅ</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18197-2022</t>
        </is>
      </c>
      <c r="B1259" s="1" t="n">
        <v>44684</v>
      </c>
      <c r="C1259" s="1" t="n">
        <v>45637</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18188-2022</t>
        </is>
      </c>
      <c r="B1260" s="1" t="n">
        <v>44685</v>
      </c>
      <c r="C1260" s="1" t="n">
        <v>45637</v>
      </c>
      <c r="D1260" t="inlineStr">
        <is>
          <t>VÄSTERNORRLANDS LÄN</t>
        </is>
      </c>
      <c r="E1260" t="inlineStr">
        <is>
          <t>SOLLEFTEÅ</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18196-2022</t>
        </is>
      </c>
      <c r="B1261" s="1" t="n">
        <v>44685</v>
      </c>
      <c r="C1261" s="1" t="n">
        <v>45637</v>
      </c>
      <c r="D1261" t="inlineStr">
        <is>
          <t>VÄSTERNORRLANDS LÄN</t>
        </is>
      </c>
      <c r="E1261" t="inlineStr">
        <is>
          <t>SOLLEFTEÅ</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18202-2022</t>
        </is>
      </c>
      <c r="B1262" s="1" t="n">
        <v>44684</v>
      </c>
      <c r="C1262" s="1" t="n">
        <v>45637</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18304-2022</t>
        </is>
      </c>
      <c r="B1263" s="1" t="n">
        <v>44685</v>
      </c>
      <c r="C1263" s="1" t="n">
        <v>45637</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18372-2022</t>
        </is>
      </c>
      <c r="B1264" s="1" t="n">
        <v>44685</v>
      </c>
      <c r="C1264" s="1" t="n">
        <v>45637</v>
      </c>
      <c r="D1264" t="inlineStr">
        <is>
          <t>VÄSTERNORRLANDS LÄN</t>
        </is>
      </c>
      <c r="E1264" t="inlineStr">
        <is>
          <t>SOLLEFTEÅ</t>
        </is>
      </c>
      <c r="F1264" t="inlineStr">
        <is>
          <t>SCA</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18570-2022</t>
        </is>
      </c>
      <c r="B1265" s="1" t="n">
        <v>44687</v>
      </c>
      <c r="C1265" s="1" t="n">
        <v>45637</v>
      </c>
      <c r="D1265" t="inlineStr">
        <is>
          <t>VÄSTERNORRLANDS LÄN</t>
        </is>
      </c>
      <c r="E1265" t="inlineStr">
        <is>
          <t>SOLLEFTEÅ</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18852-2022</t>
        </is>
      </c>
      <c r="B1266" s="1" t="n">
        <v>44690</v>
      </c>
      <c r="C1266" s="1" t="n">
        <v>45637</v>
      </c>
      <c r="D1266" t="inlineStr">
        <is>
          <t>VÄSTERNORRLANDS LÄN</t>
        </is>
      </c>
      <c r="E1266" t="inlineStr">
        <is>
          <t>SOLLEFTEÅ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19055-2022</t>
        </is>
      </c>
      <c r="B1267" s="1" t="n">
        <v>44691</v>
      </c>
      <c r="C1267" s="1" t="n">
        <v>45637</v>
      </c>
      <c r="D1267" t="inlineStr">
        <is>
          <t>VÄSTERNORRLANDS LÄN</t>
        </is>
      </c>
      <c r="E1267" t="inlineStr">
        <is>
          <t>SOLLEFTEÅ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19051-2022</t>
        </is>
      </c>
      <c r="B1268" s="1" t="n">
        <v>44691</v>
      </c>
      <c r="C1268" s="1" t="n">
        <v>45637</v>
      </c>
      <c r="D1268" t="inlineStr">
        <is>
          <t>VÄSTERNORRLANDS LÄN</t>
        </is>
      </c>
      <c r="E1268" t="inlineStr">
        <is>
          <t>SOLLEFTEÅ</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19053-2022</t>
        </is>
      </c>
      <c r="B1269" s="1" t="n">
        <v>44691</v>
      </c>
      <c r="C1269" s="1" t="n">
        <v>45637</v>
      </c>
      <c r="D1269" t="inlineStr">
        <is>
          <t>VÄSTERNORRLANDS LÄN</t>
        </is>
      </c>
      <c r="E1269" t="inlineStr">
        <is>
          <t>SOLLEFTEÅ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19203-2022</t>
        </is>
      </c>
      <c r="B1270" s="1" t="n">
        <v>44692</v>
      </c>
      <c r="C1270" s="1" t="n">
        <v>45637</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19208-2022</t>
        </is>
      </c>
      <c r="B1271" s="1" t="n">
        <v>44691</v>
      </c>
      <c r="C1271" s="1" t="n">
        <v>45637</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19295-2022</t>
        </is>
      </c>
      <c r="B1272" s="1" t="n">
        <v>44692</v>
      </c>
      <c r="C1272" s="1" t="n">
        <v>45637</v>
      </c>
      <c r="D1272" t="inlineStr">
        <is>
          <t>VÄSTERNORRLANDS LÄN</t>
        </is>
      </c>
      <c r="E1272" t="inlineStr">
        <is>
          <t>SOLLEFTEÅ</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19414-2022</t>
        </is>
      </c>
      <c r="B1273" s="1" t="n">
        <v>44693</v>
      </c>
      <c r="C1273" s="1" t="n">
        <v>45637</v>
      </c>
      <c r="D1273" t="inlineStr">
        <is>
          <t>VÄSTERNORRLANDS LÄN</t>
        </is>
      </c>
      <c r="E1273" t="inlineStr">
        <is>
          <t>SOLLEFTEÅ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19416-2022</t>
        </is>
      </c>
      <c r="B1274" s="1" t="n">
        <v>44693</v>
      </c>
      <c r="C1274" s="1" t="n">
        <v>45637</v>
      </c>
      <c r="D1274" t="inlineStr">
        <is>
          <t>VÄSTERNORRLANDS LÄN</t>
        </is>
      </c>
      <c r="E1274" t="inlineStr">
        <is>
          <t>SOLLEFTEÅ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19508-2022</t>
        </is>
      </c>
      <c r="B1275" s="1" t="n">
        <v>44693</v>
      </c>
      <c r="C1275" s="1" t="n">
        <v>45637</v>
      </c>
      <c r="D1275" t="inlineStr">
        <is>
          <t>VÄSTERNORRLANDS LÄN</t>
        </is>
      </c>
      <c r="E1275" t="inlineStr">
        <is>
          <t>SOLLEFTEÅ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19585-2022</t>
        </is>
      </c>
      <c r="B1276" s="1" t="n">
        <v>44693</v>
      </c>
      <c r="C1276" s="1" t="n">
        <v>45637</v>
      </c>
      <c r="D1276" t="inlineStr">
        <is>
          <t>VÄSTERNORRLANDS LÄN</t>
        </is>
      </c>
      <c r="E1276" t="inlineStr">
        <is>
          <t>SOLLEFTEÅ</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19583-2022</t>
        </is>
      </c>
      <c r="B1277" s="1" t="n">
        <v>44693</v>
      </c>
      <c r="C1277" s="1" t="n">
        <v>45637</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19593-2022</t>
        </is>
      </c>
      <c r="B1278" s="1" t="n">
        <v>44694</v>
      </c>
      <c r="C1278" s="1" t="n">
        <v>45637</v>
      </c>
      <c r="D1278" t="inlineStr">
        <is>
          <t>VÄSTERNORRLANDS LÄN</t>
        </is>
      </c>
      <c r="E1278" t="inlineStr">
        <is>
          <t>SOLLEFTEÅ</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19588-2022</t>
        </is>
      </c>
      <c r="B1279" s="1" t="n">
        <v>44694</v>
      </c>
      <c r="C1279" s="1" t="n">
        <v>45637</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19595-2022</t>
        </is>
      </c>
      <c r="B1280" s="1" t="n">
        <v>44693</v>
      </c>
      <c r="C1280" s="1" t="n">
        <v>45637</v>
      </c>
      <c r="D1280" t="inlineStr">
        <is>
          <t>VÄSTERNORRLANDS LÄN</t>
        </is>
      </c>
      <c r="E1280" t="inlineStr">
        <is>
          <t>SOLLEFTEÅ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19594-2022</t>
        </is>
      </c>
      <c r="B1281" s="1" t="n">
        <v>44694</v>
      </c>
      <c r="C1281" s="1" t="n">
        <v>45637</v>
      </c>
      <c r="D1281" t="inlineStr">
        <is>
          <t>VÄSTERNORRLANDS LÄN</t>
        </is>
      </c>
      <c r="E1281" t="inlineStr">
        <is>
          <t>SOLLEFTEÅ</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19825-2022</t>
        </is>
      </c>
      <c r="B1282" s="1" t="n">
        <v>44695</v>
      </c>
      <c r="C1282" s="1" t="n">
        <v>45637</v>
      </c>
      <c r="D1282" t="inlineStr">
        <is>
          <t>VÄSTERNORRLANDS LÄN</t>
        </is>
      </c>
      <c r="E1282" t="inlineStr">
        <is>
          <t>SOLLEFTEÅ</t>
        </is>
      </c>
      <c r="F1282" t="inlineStr">
        <is>
          <t>SCA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19813-2022</t>
        </is>
      </c>
      <c r="B1283" s="1" t="n">
        <v>44695</v>
      </c>
      <c r="C1283" s="1" t="n">
        <v>45637</v>
      </c>
      <c r="D1283" t="inlineStr">
        <is>
          <t>VÄSTERNORRLANDS LÄN</t>
        </is>
      </c>
      <c r="E1283" t="inlineStr">
        <is>
          <t>SOLLEFTEÅ</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19814-2022</t>
        </is>
      </c>
      <c r="B1284" s="1" t="n">
        <v>44695</v>
      </c>
      <c r="C1284" s="1" t="n">
        <v>45637</v>
      </c>
      <c r="D1284" t="inlineStr">
        <is>
          <t>VÄSTERNORRLANDS LÄN</t>
        </is>
      </c>
      <c r="E1284" t="inlineStr">
        <is>
          <t>SOLLEFTEÅ</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20061-2022</t>
        </is>
      </c>
      <c r="B1285" s="1" t="n">
        <v>44698</v>
      </c>
      <c r="C1285" s="1" t="n">
        <v>45637</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20062-2022</t>
        </is>
      </c>
      <c r="B1286" s="1" t="n">
        <v>44697</v>
      </c>
      <c r="C1286" s="1" t="n">
        <v>45637</v>
      </c>
      <c r="D1286" t="inlineStr">
        <is>
          <t>VÄSTERNORRLANDS LÄN</t>
        </is>
      </c>
      <c r="E1286" t="inlineStr">
        <is>
          <t>SOLLEFTEÅ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20296-2022</t>
        </is>
      </c>
      <c r="B1287" s="1" t="n">
        <v>44698</v>
      </c>
      <c r="C1287" s="1" t="n">
        <v>45637</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20551-2022</t>
        </is>
      </c>
      <c r="B1288" s="1" t="n">
        <v>44699</v>
      </c>
      <c r="C1288" s="1" t="n">
        <v>45637</v>
      </c>
      <c r="D1288" t="inlineStr">
        <is>
          <t>VÄSTERNORRLANDS LÄN</t>
        </is>
      </c>
      <c r="E1288" t="inlineStr">
        <is>
          <t>SOLLEFTEÅ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20699-2022</t>
        </is>
      </c>
      <c r="B1289" s="1" t="n">
        <v>44701</v>
      </c>
      <c r="C1289" s="1" t="n">
        <v>45637</v>
      </c>
      <c r="D1289" t="inlineStr">
        <is>
          <t>VÄSTERNORRLANDS LÄN</t>
        </is>
      </c>
      <c r="E1289" t="inlineStr">
        <is>
          <t>SOLLEFTEÅ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20704-2022</t>
        </is>
      </c>
      <c r="B1290" s="1" t="n">
        <v>44700</v>
      </c>
      <c r="C1290" s="1" t="n">
        <v>45637</v>
      </c>
      <c r="D1290" t="inlineStr">
        <is>
          <t>VÄSTERNORRLANDS LÄN</t>
        </is>
      </c>
      <c r="E1290" t="inlineStr">
        <is>
          <t>SOLLEFTEÅ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20702-2022</t>
        </is>
      </c>
      <c r="B1291" s="1" t="n">
        <v>44701</v>
      </c>
      <c r="C1291" s="1" t="n">
        <v>45637</v>
      </c>
      <c r="D1291" t="inlineStr">
        <is>
          <t>VÄSTERNORRLANDS LÄN</t>
        </is>
      </c>
      <c r="E1291" t="inlineStr">
        <is>
          <t>SOLLEFTEÅ</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20703-2022</t>
        </is>
      </c>
      <c r="B1292" s="1" t="n">
        <v>44701</v>
      </c>
      <c r="C1292" s="1" t="n">
        <v>45637</v>
      </c>
      <c r="D1292" t="inlineStr">
        <is>
          <t>VÄSTERNORRLANDS LÄN</t>
        </is>
      </c>
      <c r="E1292" t="inlineStr">
        <is>
          <t>SOLLEFTEÅ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20724-2022</t>
        </is>
      </c>
      <c r="B1293" s="1" t="n">
        <v>44700</v>
      </c>
      <c r="C1293" s="1" t="n">
        <v>45637</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20738-2022</t>
        </is>
      </c>
      <c r="B1294" s="1" t="n">
        <v>44700</v>
      </c>
      <c r="C1294" s="1" t="n">
        <v>45637</v>
      </c>
      <c r="D1294" t="inlineStr">
        <is>
          <t>VÄSTERNORRLANDS LÄN</t>
        </is>
      </c>
      <c r="E1294" t="inlineStr">
        <is>
          <t>SOLLEFTEÅ</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20955-2022</t>
        </is>
      </c>
      <c r="B1295" s="1" t="n">
        <v>44702</v>
      </c>
      <c r="C1295" s="1" t="n">
        <v>45637</v>
      </c>
      <c r="D1295" t="inlineStr">
        <is>
          <t>VÄSTERNORRLANDS LÄN</t>
        </is>
      </c>
      <c r="E1295" t="inlineStr">
        <is>
          <t>SOLLEFTEÅ</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20950-2022</t>
        </is>
      </c>
      <c r="B1296" s="1" t="n">
        <v>44701</v>
      </c>
      <c r="C1296" s="1" t="n">
        <v>45637</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20954-2022</t>
        </is>
      </c>
      <c r="B1297" s="1" t="n">
        <v>44702</v>
      </c>
      <c r="C1297" s="1" t="n">
        <v>45637</v>
      </c>
      <c r="D1297" t="inlineStr">
        <is>
          <t>VÄSTERNORRLANDS LÄN</t>
        </is>
      </c>
      <c r="E1297" t="inlineStr">
        <is>
          <t>SOLLEFTEÅ</t>
        </is>
      </c>
      <c r="F1297" t="inlineStr">
        <is>
          <t>SCA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20951-2022</t>
        </is>
      </c>
      <c r="B1298" s="1" t="n">
        <v>44701</v>
      </c>
      <c r="C1298" s="1" t="n">
        <v>45637</v>
      </c>
      <c r="D1298" t="inlineStr">
        <is>
          <t>VÄSTERNORRLANDS LÄN</t>
        </is>
      </c>
      <c r="E1298" t="inlineStr">
        <is>
          <t>SOLLEFTEÅ</t>
        </is>
      </c>
      <c r="F1298" t="inlineStr">
        <is>
          <t>SCA</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20942-2022</t>
        </is>
      </c>
      <c r="B1299" s="1" t="n">
        <v>44701</v>
      </c>
      <c r="C1299" s="1" t="n">
        <v>45637</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20996-2022</t>
        </is>
      </c>
      <c r="B1300" s="1" t="n">
        <v>44703</v>
      </c>
      <c r="C1300" s="1" t="n">
        <v>45637</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20994-2022</t>
        </is>
      </c>
      <c r="B1301" s="1" t="n">
        <v>44703</v>
      </c>
      <c r="C1301" s="1" t="n">
        <v>45637</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21050-2022</t>
        </is>
      </c>
      <c r="B1302" s="1" t="n">
        <v>44704</v>
      </c>
      <c r="C1302" s="1" t="n">
        <v>45637</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21191-2022</t>
        </is>
      </c>
      <c r="B1303" s="1" t="n">
        <v>44705</v>
      </c>
      <c r="C1303" s="1" t="n">
        <v>45637</v>
      </c>
      <c r="D1303" t="inlineStr">
        <is>
          <t>VÄSTERNORRLANDS LÄN</t>
        </is>
      </c>
      <c r="E1303" t="inlineStr">
        <is>
          <t>SOLLEFTEÅ</t>
        </is>
      </c>
      <c r="F1303" t="inlineStr">
        <is>
          <t>SCA</t>
        </is>
      </c>
      <c r="G1303" t="n">
        <v>26.5</v>
      </c>
      <c r="H1303" t="n">
        <v>0</v>
      </c>
      <c r="I1303" t="n">
        <v>0</v>
      </c>
      <c r="J1303" t="n">
        <v>0</v>
      </c>
      <c r="K1303" t="n">
        <v>0</v>
      </c>
      <c r="L1303" t="n">
        <v>0</v>
      </c>
      <c r="M1303" t="n">
        <v>0</v>
      </c>
      <c r="N1303" t="n">
        <v>0</v>
      </c>
      <c r="O1303" t="n">
        <v>0</v>
      </c>
      <c r="P1303" t="n">
        <v>0</v>
      </c>
      <c r="Q1303" t="n">
        <v>0</v>
      </c>
      <c r="R1303" s="2" t="inlineStr"/>
    </row>
    <row r="1304" ht="15" customHeight="1">
      <c r="A1304" t="inlineStr">
        <is>
          <t>A 21210-2022</t>
        </is>
      </c>
      <c r="B1304" s="1" t="n">
        <v>44705</v>
      </c>
      <c r="C1304" s="1" t="n">
        <v>45637</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21404-2022</t>
        </is>
      </c>
      <c r="B1305" s="1" t="n">
        <v>44706</v>
      </c>
      <c r="C1305" s="1" t="n">
        <v>45637</v>
      </c>
      <c r="D1305" t="inlineStr">
        <is>
          <t>VÄSTERNORRLANDS LÄN</t>
        </is>
      </c>
      <c r="E1305" t="inlineStr">
        <is>
          <t>SOLLEFTEÅ</t>
        </is>
      </c>
      <c r="F1305" t="inlineStr">
        <is>
          <t>SCA</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21582-2022</t>
        </is>
      </c>
      <c r="B1306" s="1" t="n">
        <v>44706</v>
      </c>
      <c r="C1306" s="1" t="n">
        <v>45637</v>
      </c>
      <c r="D1306" t="inlineStr">
        <is>
          <t>VÄSTERNORRLANDS LÄN</t>
        </is>
      </c>
      <c r="E1306" t="inlineStr">
        <is>
          <t>SOLLEFTEÅ</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21637-2022</t>
        </is>
      </c>
      <c r="B1307" s="1" t="n">
        <v>44707</v>
      </c>
      <c r="C1307" s="1" t="n">
        <v>45637</v>
      </c>
      <c r="D1307" t="inlineStr">
        <is>
          <t>VÄSTERNORRLANDS LÄN</t>
        </is>
      </c>
      <c r="E1307" t="inlineStr">
        <is>
          <t>SOLLEFTEÅ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21636-2022</t>
        </is>
      </c>
      <c r="B1308" s="1" t="n">
        <v>44707</v>
      </c>
      <c r="C1308" s="1" t="n">
        <v>45637</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21635-2022</t>
        </is>
      </c>
      <c r="B1309" s="1" t="n">
        <v>44707</v>
      </c>
      <c r="C1309" s="1" t="n">
        <v>45637</v>
      </c>
      <c r="D1309" t="inlineStr">
        <is>
          <t>VÄSTERNORRLANDS LÄN</t>
        </is>
      </c>
      <c r="E1309" t="inlineStr">
        <is>
          <t>SOLLEFTEÅ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21713-2022</t>
        </is>
      </c>
      <c r="B1310" s="1" t="n">
        <v>44708</v>
      </c>
      <c r="C1310" s="1" t="n">
        <v>45637</v>
      </c>
      <c r="D1310" t="inlineStr">
        <is>
          <t>VÄSTERNORRLANDS LÄN</t>
        </is>
      </c>
      <c r="E1310" t="inlineStr">
        <is>
          <t>SOLLEFTEÅ</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21714-2022</t>
        </is>
      </c>
      <c r="B1311" s="1" t="n">
        <v>44708</v>
      </c>
      <c r="C1311" s="1" t="n">
        <v>45637</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21715-2022</t>
        </is>
      </c>
      <c r="B1312" s="1" t="n">
        <v>44708</v>
      </c>
      <c r="C1312" s="1" t="n">
        <v>45637</v>
      </c>
      <c r="D1312" t="inlineStr">
        <is>
          <t>VÄSTERNORRLANDS LÄN</t>
        </is>
      </c>
      <c r="E1312" t="inlineStr">
        <is>
          <t>SOLLEFTEÅ</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21711-2022</t>
        </is>
      </c>
      <c r="B1313" s="1" t="n">
        <v>44707</v>
      </c>
      <c r="C1313" s="1" t="n">
        <v>45637</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21807-2022</t>
        </is>
      </c>
      <c r="B1314" s="1" t="n">
        <v>44708</v>
      </c>
      <c r="C1314" s="1" t="n">
        <v>45637</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22101-2022</t>
        </is>
      </c>
      <c r="B1315" s="1" t="n">
        <v>44712</v>
      </c>
      <c r="C1315" s="1" t="n">
        <v>45637</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22087-2022</t>
        </is>
      </c>
      <c r="B1316" s="1" t="n">
        <v>44712</v>
      </c>
      <c r="C1316" s="1" t="n">
        <v>45637</v>
      </c>
      <c r="D1316" t="inlineStr">
        <is>
          <t>VÄSTERNORRLANDS LÄN</t>
        </is>
      </c>
      <c r="E1316" t="inlineStr">
        <is>
          <t>SOLLEFTEÅ</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22103-2022</t>
        </is>
      </c>
      <c r="B1317" s="1" t="n">
        <v>44712</v>
      </c>
      <c r="C1317" s="1" t="n">
        <v>45637</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22330-2022</t>
        </is>
      </c>
      <c r="B1318" s="1" t="n">
        <v>44712</v>
      </c>
      <c r="C1318" s="1" t="n">
        <v>45637</v>
      </c>
      <c r="D1318" t="inlineStr">
        <is>
          <t>VÄSTERNORRLANDS LÄN</t>
        </is>
      </c>
      <c r="E1318" t="inlineStr">
        <is>
          <t>SOLLEFTEÅ</t>
        </is>
      </c>
      <c r="F1318" t="inlineStr">
        <is>
          <t>SCA</t>
        </is>
      </c>
      <c r="G1318" t="n">
        <v>21.9</v>
      </c>
      <c r="H1318" t="n">
        <v>0</v>
      </c>
      <c r="I1318" t="n">
        <v>0</v>
      </c>
      <c r="J1318" t="n">
        <v>0</v>
      </c>
      <c r="K1318" t="n">
        <v>0</v>
      </c>
      <c r="L1318" t="n">
        <v>0</v>
      </c>
      <c r="M1318" t="n">
        <v>0</v>
      </c>
      <c r="N1318" t="n">
        <v>0</v>
      </c>
      <c r="O1318" t="n">
        <v>0</v>
      </c>
      <c r="P1318" t="n">
        <v>0</v>
      </c>
      <c r="Q1318" t="n">
        <v>0</v>
      </c>
      <c r="R1318" s="2" t="inlineStr"/>
    </row>
    <row r="1319" ht="15" customHeight="1">
      <c r="A1319" t="inlineStr">
        <is>
          <t>A 22341-2022</t>
        </is>
      </c>
      <c r="B1319" s="1" t="n">
        <v>44713</v>
      </c>
      <c r="C1319" s="1" t="n">
        <v>45637</v>
      </c>
      <c r="D1319" t="inlineStr">
        <is>
          <t>VÄSTERNORRLANDS LÄN</t>
        </is>
      </c>
      <c r="E1319" t="inlineStr">
        <is>
          <t>SOLLEFTEÅ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22342-2022</t>
        </is>
      </c>
      <c r="B1320" s="1" t="n">
        <v>44713</v>
      </c>
      <c r="C1320" s="1" t="n">
        <v>45637</v>
      </c>
      <c r="D1320" t="inlineStr">
        <is>
          <t>VÄSTERNORRLANDS LÄN</t>
        </is>
      </c>
      <c r="E1320" t="inlineStr">
        <is>
          <t>SOLLEFTEÅ</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22343-2022</t>
        </is>
      </c>
      <c r="B1321" s="1" t="n">
        <v>44713</v>
      </c>
      <c r="C1321" s="1" t="n">
        <v>45637</v>
      </c>
      <c r="D1321" t="inlineStr">
        <is>
          <t>VÄSTERNORRLANDS LÄN</t>
        </is>
      </c>
      <c r="E1321" t="inlineStr">
        <is>
          <t>SOLLEFTEÅ</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22664-2022</t>
        </is>
      </c>
      <c r="B1322" s="1" t="n">
        <v>44714</v>
      </c>
      <c r="C1322" s="1" t="n">
        <v>45637</v>
      </c>
      <c r="D1322" t="inlineStr">
        <is>
          <t>VÄSTERNORRLANDS LÄN</t>
        </is>
      </c>
      <c r="E1322" t="inlineStr">
        <is>
          <t>SOLLEFTEÅ</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22762-2022</t>
        </is>
      </c>
      <c r="B1323" s="1" t="n">
        <v>44715</v>
      </c>
      <c r="C1323" s="1" t="n">
        <v>45637</v>
      </c>
      <c r="D1323" t="inlineStr">
        <is>
          <t>VÄSTERNORRLANDS LÄN</t>
        </is>
      </c>
      <c r="E1323" t="inlineStr">
        <is>
          <t>SOLLEFTEÅ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22956-2022</t>
        </is>
      </c>
      <c r="B1324" s="1" t="n">
        <v>44716</v>
      </c>
      <c r="C1324" s="1" t="n">
        <v>45637</v>
      </c>
      <c r="D1324" t="inlineStr">
        <is>
          <t>VÄSTERNORRLANDS LÄN</t>
        </is>
      </c>
      <c r="E1324" t="inlineStr">
        <is>
          <t>SOLLEFTEÅ</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22952-2022</t>
        </is>
      </c>
      <c r="B1325" s="1" t="n">
        <v>44716</v>
      </c>
      <c r="C1325" s="1" t="n">
        <v>45637</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22962-2022</t>
        </is>
      </c>
      <c r="B1326" s="1" t="n">
        <v>44715</v>
      </c>
      <c r="C1326" s="1" t="n">
        <v>45637</v>
      </c>
      <c r="D1326" t="inlineStr">
        <is>
          <t>VÄSTERNORRLANDS LÄN</t>
        </is>
      </c>
      <c r="E1326" t="inlineStr">
        <is>
          <t>SOLLEFTEÅ</t>
        </is>
      </c>
      <c r="F1326" t="inlineStr">
        <is>
          <t>SCA</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23111-2022</t>
        </is>
      </c>
      <c r="B1327" s="1" t="n">
        <v>44720</v>
      </c>
      <c r="C1327" s="1" t="n">
        <v>45637</v>
      </c>
      <c r="D1327" t="inlineStr">
        <is>
          <t>VÄSTERNORRLANDS LÄN</t>
        </is>
      </c>
      <c r="E1327" t="inlineStr">
        <is>
          <t>SOLLEFTEÅ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23230-2022</t>
        </is>
      </c>
      <c r="B1328" s="1" t="n">
        <v>44720</v>
      </c>
      <c r="C1328" s="1" t="n">
        <v>45637</v>
      </c>
      <c r="D1328" t="inlineStr">
        <is>
          <t>VÄSTERNORRLANDS LÄN</t>
        </is>
      </c>
      <c r="E1328" t="inlineStr">
        <is>
          <t>SOLLEFTEÅ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23282-2022</t>
        </is>
      </c>
      <c r="B1329" s="1" t="n">
        <v>44720</v>
      </c>
      <c r="C1329" s="1" t="n">
        <v>45637</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23436-2022</t>
        </is>
      </c>
      <c r="B1330" s="1" t="n">
        <v>44720</v>
      </c>
      <c r="C1330" s="1" t="n">
        <v>45637</v>
      </c>
      <c r="D1330" t="inlineStr">
        <is>
          <t>VÄSTERNORRLANDS LÄN</t>
        </is>
      </c>
      <c r="E1330" t="inlineStr">
        <is>
          <t>SOLLEFTEÅ</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23445-2022</t>
        </is>
      </c>
      <c r="B1331" s="1" t="n">
        <v>44721</v>
      </c>
      <c r="C1331" s="1" t="n">
        <v>45637</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23447-2022</t>
        </is>
      </c>
      <c r="B1332" s="1" t="n">
        <v>44721</v>
      </c>
      <c r="C1332" s="1" t="n">
        <v>45637</v>
      </c>
      <c r="D1332" t="inlineStr">
        <is>
          <t>VÄSTERNORRLANDS LÄN</t>
        </is>
      </c>
      <c r="E1332" t="inlineStr">
        <is>
          <t>SOLLEFTEÅ</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23450-2022</t>
        </is>
      </c>
      <c r="B1333" s="1" t="n">
        <v>44720</v>
      </c>
      <c r="C1333" s="1" t="n">
        <v>45637</v>
      </c>
      <c r="D1333" t="inlineStr">
        <is>
          <t>VÄSTERNORRLANDS LÄN</t>
        </is>
      </c>
      <c r="E1333" t="inlineStr">
        <is>
          <t>SOLLEFTEÅ</t>
        </is>
      </c>
      <c r="F1333" t="inlineStr">
        <is>
          <t>SCA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24008-2022</t>
        </is>
      </c>
      <c r="B1334" s="1" t="n">
        <v>44723</v>
      </c>
      <c r="C1334" s="1" t="n">
        <v>45637</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24024-2022</t>
        </is>
      </c>
      <c r="B1335" s="1" t="n">
        <v>44723</v>
      </c>
      <c r="C1335" s="1" t="n">
        <v>45637</v>
      </c>
      <c r="D1335" t="inlineStr">
        <is>
          <t>VÄSTERNORRLANDS LÄN</t>
        </is>
      </c>
      <c r="E1335" t="inlineStr">
        <is>
          <t>SOLLEFTEÅ</t>
        </is>
      </c>
      <c r="F1335" t="inlineStr">
        <is>
          <t>SCA</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24322-2022</t>
        </is>
      </c>
      <c r="B1336" s="1" t="n">
        <v>44726</v>
      </c>
      <c r="C1336" s="1" t="n">
        <v>45637</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24723-2022</t>
        </is>
      </c>
      <c r="B1337" s="1" t="n">
        <v>44728</v>
      </c>
      <c r="C1337" s="1" t="n">
        <v>45637</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24739-2022</t>
        </is>
      </c>
      <c r="B1338" s="1" t="n">
        <v>44728</v>
      </c>
      <c r="C1338" s="1" t="n">
        <v>45637</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24734-2022</t>
        </is>
      </c>
      <c r="B1339" s="1" t="n">
        <v>44728</v>
      </c>
      <c r="C1339" s="1" t="n">
        <v>45637</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24735-2022</t>
        </is>
      </c>
      <c r="B1340" s="1" t="n">
        <v>44728</v>
      </c>
      <c r="C1340" s="1" t="n">
        <v>45637</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24721-2022</t>
        </is>
      </c>
      <c r="B1341" s="1" t="n">
        <v>44728</v>
      </c>
      <c r="C1341" s="1" t="n">
        <v>45637</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24737-2022</t>
        </is>
      </c>
      <c r="B1342" s="1" t="n">
        <v>44728</v>
      </c>
      <c r="C1342" s="1" t="n">
        <v>45637</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25019-2022</t>
        </is>
      </c>
      <c r="B1343" s="1" t="n">
        <v>44728</v>
      </c>
      <c r="C1343" s="1" t="n">
        <v>45637</v>
      </c>
      <c r="D1343" t="inlineStr">
        <is>
          <t>VÄSTERNORRLANDS LÄN</t>
        </is>
      </c>
      <c r="E1343" t="inlineStr">
        <is>
          <t>SOLLEFTEÅ</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25024-2022</t>
        </is>
      </c>
      <c r="B1344" s="1" t="n">
        <v>44729</v>
      </c>
      <c r="C1344" s="1" t="n">
        <v>45637</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25026-2022</t>
        </is>
      </c>
      <c r="B1345" s="1" t="n">
        <v>44729</v>
      </c>
      <c r="C1345" s="1" t="n">
        <v>45637</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25017-2022</t>
        </is>
      </c>
      <c r="B1346" s="1" t="n">
        <v>44729</v>
      </c>
      <c r="C1346" s="1" t="n">
        <v>45637</v>
      </c>
      <c r="D1346" t="inlineStr">
        <is>
          <t>VÄSTERNORRLANDS LÄN</t>
        </is>
      </c>
      <c r="E1346" t="inlineStr">
        <is>
          <t>SOLLEFTEÅ</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25295-2022</t>
        </is>
      </c>
      <c r="B1347" s="1" t="n">
        <v>44731</v>
      </c>
      <c r="C1347" s="1" t="n">
        <v>45637</v>
      </c>
      <c r="D1347" t="inlineStr">
        <is>
          <t>VÄSTERNORRLANDS LÄN</t>
        </is>
      </c>
      <c r="E1347" t="inlineStr">
        <is>
          <t>SOLLEFTEÅ</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25339-2022</t>
        </is>
      </c>
      <c r="B1348" s="1" t="n">
        <v>44732</v>
      </c>
      <c r="C1348" s="1" t="n">
        <v>45637</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25338-2022</t>
        </is>
      </c>
      <c r="B1349" s="1" t="n">
        <v>44731</v>
      </c>
      <c r="C1349" s="1" t="n">
        <v>45637</v>
      </c>
      <c r="D1349" t="inlineStr">
        <is>
          <t>VÄSTERNORRLANDS LÄN</t>
        </is>
      </c>
      <c r="E1349" t="inlineStr">
        <is>
          <t>SOLLEFTEÅ</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25341-2022</t>
        </is>
      </c>
      <c r="B1350" s="1" t="n">
        <v>44731</v>
      </c>
      <c r="C1350" s="1" t="n">
        <v>45637</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26407-2022</t>
        </is>
      </c>
      <c r="B1351" s="1" t="n">
        <v>44735</v>
      </c>
      <c r="C1351" s="1" t="n">
        <v>45637</v>
      </c>
      <c r="D1351" t="inlineStr">
        <is>
          <t>VÄSTERNORRLANDS LÄN</t>
        </is>
      </c>
      <c r="E1351" t="inlineStr">
        <is>
          <t>SOLLEFTEÅ</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26416-2022</t>
        </is>
      </c>
      <c r="B1352" s="1" t="n">
        <v>44736</v>
      </c>
      <c r="C1352" s="1" t="n">
        <v>45637</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26415-2022</t>
        </is>
      </c>
      <c r="B1353" s="1" t="n">
        <v>44735</v>
      </c>
      <c r="C1353" s="1" t="n">
        <v>45637</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26435-2022</t>
        </is>
      </c>
      <c r="B1354" s="1" t="n">
        <v>44737</v>
      </c>
      <c r="C1354" s="1" t="n">
        <v>45637</v>
      </c>
      <c r="D1354" t="inlineStr">
        <is>
          <t>VÄSTERNORRLANDS LÄN</t>
        </is>
      </c>
      <c r="E1354" t="inlineStr">
        <is>
          <t>SOLLEFTEÅ</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26732-2022</t>
        </is>
      </c>
      <c r="B1355" s="1" t="n">
        <v>44740</v>
      </c>
      <c r="C1355" s="1" t="n">
        <v>45637</v>
      </c>
      <c r="D1355" t="inlineStr">
        <is>
          <t>VÄSTERNORRLANDS LÄN</t>
        </is>
      </c>
      <c r="E1355" t="inlineStr">
        <is>
          <t>SOLLEFTEÅ</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26744-2022</t>
        </is>
      </c>
      <c r="B1356" s="1" t="n">
        <v>44739</v>
      </c>
      <c r="C1356" s="1" t="n">
        <v>45637</v>
      </c>
      <c r="D1356" t="inlineStr">
        <is>
          <t>VÄSTERNORRLANDS LÄN</t>
        </is>
      </c>
      <c r="E1356" t="inlineStr">
        <is>
          <t>SOLLEFTEÅ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26736-2022</t>
        </is>
      </c>
      <c r="B1357" s="1" t="n">
        <v>44740</v>
      </c>
      <c r="C1357" s="1" t="n">
        <v>45637</v>
      </c>
      <c r="D1357" t="inlineStr">
        <is>
          <t>VÄSTERNORRLANDS LÄN</t>
        </is>
      </c>
      <c r="E1357" t="inlineStr">
        <is>
          <t>SOLLEFTEÅ</t>
        </is>
      </c>
      <c r="F1357" t="inlineStr">
        <is>
          <t>SCA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27016-2022</t>
        </is>
      </c>
      <c r="B1358" s="1" t="n">
        <v>44741</v>
      </c>
      <c r="C1358" s="1" t="n">
        <v>45637</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27019-2022</t>
        </is>
      </c>
      <c r="B1359" s="1" t="n">
        <v>44741</v>
      </c>
      <c r="C1359" s="1" t="n">
        <v>45637</v>
      </c>
      <c r="D1359" t="inlineStr">
        <is>
          <t>VÄSTERNORRLANDS LÄN</t>
        </is>
      </c>
      <c r="E1359" t="inlineStr">
        <is>
          <t>SOLLEFTEÅ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27012-2022</t>
        </is>
      </c>
      <c r="B1360" s="1" t="n">
        <v>44740</v>
      </c>
      <c r="C1360" s="1" t="n">
        <v>45637</v>
      </c>
      <c r="D1360" t="inlineStr">
        <is>
          <t>VÄSTERNORRLANDS LÄN</t>
        </is>
      </c>
      <c r="E1360" t="inlineStr">
        <is>
          <t>SOLLEFTEÅ</t>
        </is>
      </c>
      <c r="F1360" t="inlineStr">
        <is>
          <t>SCA</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27020-2022</t>
        </is>
      </c>
      <c r="B1361" s="1" t="n">
        <v>44741</v>
      </c>
      <c r="C1361" s="1" t="n">
        <v>45637</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27024-2022</t>
        </is>
      </c>
      <c r="B1362" s="1" t="n">
        <v>44741</v>
      </c>
      <c r="C1362" s="1" t="n">
        <v>45637</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27023-2022</t>
        </is>
      </c>
      <c r="B1363" s="1" t="n">
        <v>44741</v>
      </c>
      <c r="C1363" s="1" t="n">
        <v>45637</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27018-2022</t>
        </is>
      </c>
      <c r="B1364" s="1" t="n">
        <v>44740</v>
      </c>
      <c r="C1364" s="1" t="n">
        <v>45637</v>
      </c>
      <c r="D1364" t="inlineStr">
        <is>
          <t>VÄSTERNORRLANDS LÄN</t>
        </is>
      </c>
      <c r="E1364" t="inlineStr">
        <is>
          <t>SOLLEFTEÅ</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27022-2022</t>
        </is>
      </c>
      <c r="B1365" s="1" t="n">
        <v>44741</v>
      </c>
      <c r="C1365" s="1" t="n">
        <v>45637</v>
      </c>
      <c r="D1365" t="inlineStr">
        <is>
          <t>VÄSTERNORRLANDS LÄN</t>
        </is>
      </c>
      <c r="E1365" t="inlineStr">
        <is>
          <t>SOLLEFTEÅ</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27082-2022</t>
        </is>
      </c>
      <c r="B1366" s="1" t="n">
        <v>44741</v>
      </c>
      <c r="C1366" s="1" t="n">
        <v>45637</v>
      </c>
      <c r="D1366" t="inlineStr">
        <is>
          <t>VÄSTERNORRLANDS LÄN</t>
        </is>
      </c>
      <c r="E1366" t="inlineStr">
        <is>
          <t>SOLLEFTEÅ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27283-2022</t>
        </is>
      </c>
      <c r="B1367" s="1" t="n">
        <v>44742</v>
      </c>
      <c r="C1367" s="1" t="n">
        <v>45637</v>
      </c>
      <c r="D1367" t="inlineStr">
        <is>
          <t>VÄSTERNORRLANDS LÄN</t>
        </is>
      </c>
      <c r="E1367" t="inlineStr">
        <is>
          <t>SOLLEFTEÅ</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27282-2022</t>
        </is>
      </c>
      <c r="B1368" s="1" t="n">
        <v>44741</v>
      </c>
      <c r="C1368" s="1" t="n">
        <v>45637</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27573-2022</t>
        </is>
      </c>
      <c r="B1369" s="1" t="n">
        <v>44743</v>
      </c>
      <c r="C1369" s="1" t="n">
        <v>45637</v>
      </c>
      <c r="D1369" t="inlineStr">
        <is>
          <t>VÄSTERNORRLANDS LÄN</t>
        </is>
      </c>
      <c r="E1369" t="inlineStr">
        <is>
          <t>SOLLEFTEÅ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27572-2022</t>
        </is>
      </c>
      <c r="B1370" s="1" t="n">
        <v>44743</v>
      </c>
      <c r="C1370" s="1" t="n">
        <v>45637</v>
      </c>
      <c r="D1370" t="inlineStr">
        <is>
          <t>VÄSTERNORRLANDS LÄN</t>
        </is>
      </c>
      <c r="E1370" t="inlineStr">
        <is>
          <t>SOLLEFTEÅ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27603-2022</t>
        </is>
      </c>
      <c r="B1371" s="1" t="n">
        <v>44743</v>
      </c>
      <c r="C1371" s="1" t="n">
        <v>45637</v>
      </c>
      <c r="D1371" t="inlineStr">
        <is>
          <t>VÄSTERNORRLANDS LÄN</t>
        </is>
      </c>
      <c r="E1371" t="inlineStr">
        <is>
          <t>SOLLEFTEÅ</t>
        </is>
      </c>
      <c r="F1371" t="inlineStr">
        <is>
          <t>SCA</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27593-2022</t>
        </is>
      </c>
      <c r="B1372" s="1" t="n">
        <v>44742</v>
      </c>
      <c r="C1372" s="1" t="n">
        <v>45637</v>
      </c>
      <c r="D1372" t="inlineStr">
        <is>
          <t>VÄSTERNORRLANDS LÄN</t>
        </is>
      </c>
      <c r="E1372" t="inlineStr">
        <is>
          <t>SOLLEFTEÅ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27926-2022</t>
        </is>
      </c>
      <c r="B1373" s="1" t="n">
        <v>44743</v>
      </c>
      <c r="C1373" s="1" t="n">
        <v>45637</v>
      </c>
      <c r="D1373" t="inlineStr">
        <is>
          <t>VÄSTERNORRLANDS LÄN</t>
        </is>
      </c>
      <c r="E1373" t="inlineStr">
        <is>
          <t>SOLLEFTEÅ</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27943-2022</t>
        </is>
      </c>
      <c r="B1374" s="1" t="n">
        <v>44743</v>
      </c>
      <c r="C1374" s="1" t="n">
        <v>45637</v>
      </c>
      <c r="D1374" t="inlineStr">
        <is>
          <t>VÄSTERNORRLANDS LÄN</t>
        </is>
      </c>
      <c r="E1374" t="inlineStr">
        <is>
          <t>SOLLEFTEÅ</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28293-2022</t>
        </is>
      </c>
      <c r="B1375" s="1" t="n">
        <v>44747</v>
      </c>
      <c r="C1375" s="1" t="n">
        <v>45637</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28700-2022</t>
        </is>
      </c>
      <c r="B1376" s="1" t="n">
        <v>44748</v>
      </c>
      <c r="C1376" s="1" t="n">
        <v>45637</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28729-2022</t>
        </is>
      </c>
      <c r="B1377" s="1" t="n">
        <v>44748</v>
      </c>
      <c r="C1377" s="1" t="n">
        <v>45637</v>
      </c>
      <c r="D1377" t="inlineStr">
        <is>
          <t>VÄSTERNORRLANDS LÄN</t>
        </is>
      </c>
      <c r="E1377" t="inlineStr">
        <is>
          <t>SOLLEFTEÅ</t>
        </is>
      </c>
      <c r="F1377" t="inlineStr">
        <is>
          <t>SCA</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28730-2022</t>
        </is>
      </c>
      <c r="B1378" s="1" t="n">
        <v>44748</v>
      </c>
      <c r="C1378" s="1" t="n">
        <v>45637</v>
      </c>
      <c r="D1378" t="inlineStr">
        <is>
          <t>VÄSTERNORRLANDS LÄN</t>
        </is>
      </c>
      <c r="E1378" t="inlineStr">
        <is>
          <t>SOLLEFTEÅ</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28828-2022</t>
        </is>
      </c>
      <c r="B1379" s="1" t="n">
        <v>44749</v>
      </c>
      <c r="C1379" s="1" t="n">
        <v>45637</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28893-2022</t>
        </is>
      </c>
      <c r="B1380" s="1" t="n">
        <v>44749</v>
      </c>
      <c r="C1380" s="1" t="n">
        <v>45637</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28909-2022</t>
        </is>
      </c>
      <c r="B1381" s="1" t="n">
        <v>44749</v>
      </c>
      <c r="C1381" s="1" t="n">
        <v>45637</v>
      </c>
      <c r="D1381" t="inlineStr">
        <is>
          <t>VÄSTERNORRLANDS LÄN</t>
        </is>
      </c>
      <c r="E1381" t="inlineStr">
        <is>
          <t>SOLLEFTEÅ</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28896-2022</t>
        </is>
      </c>
      <c r="B1382" s="1" t="n">
        <v>44749</v>
      </c>
      <c r="C1382" s="1" t="n">
        <v>45637</v>
      </c>
      <c r="D1382" t="inlineStr">
        <is>
          <t>VÄSTERNORRLANDS LÄN</t>
        </is>
      </c>
      <c r="E1382" t="inlineStr">
        <is>
          <t>SOLLEFTEÅ</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28903-2022</t>
        </is>
      </c>
      <c r="B1383" s="1" t="n">
        <v>44749</v>
      </c>
      <c r="C1383" s="1" t="n">
        <v>45637</v>
      </c>
      <c r="D1383" t="inlineStr">
        <is>
          <t>VÄSTERNORRLANDS LÄN</t>
        </is>
      </c>
      <c r="E1383" t="inlineStr">
        <is>
          <t>SOLLEFTEÅ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28973-2022</t>
        </is>
      </c>
      <c r="B1384" s="1" t="n">
        <v>44749</v>
      </c>
      <c r="C1384" s="1" t="n">
        <v>45637</v>
      </c>
      <c r="D1384" t="inlineStr">
        <is>
          <t>VÄSTERNORRLANDS LÄN</t>
        </is>
      </c>
      <c r="E1384" t="inlineStr">
        <is>
          <t>SOLLEFTEÅ</t>
        </is>
      </c>
      <c r="F1384" t="inlineStr">
        <is>
          <t>Holmen skog AB</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29290-2022</t>
        </is>
      </c>
      <c r="B1385" s="1" t="n">
        <v>44750</v>
      </c>
      <c r="C1385" s="1" t="n">
        <v>45637</v>
      </c>
      <c r="D1385" t="inlineStr">
        <is>
          <t>VÄSTERNORRLANDS LÄN</t>
        </is>
      </c>
      <c r="E1385" t="inlineStr">
        <is>
          <t>SOLLEFTEÅ</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29294-2022</t>
        </is>
      </c>
      <c r="B1386" s="1" t="n">
        <v>44751</v>
      </c>
      <c r="C1386" s="1" t="n">
        <v>45637</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29300-2022</t>
        </is>
      </c>
      <c r="B1387" s="1" t="n">
        <v>44750</v>
      </c>
      <c r="C1387" s="1" t="n">
        <v>45637</v>
      </c>
      <c r="D1387" t="inlineStr">
        <is>
          <t>VÄSTERNORRLANDS LÄN</t>
        </is>
      </c>
      <c r="E1387" t="inlineStr">
        <is>
          <t>SOLLEFTEÅ</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29292-2022</t>
        </is>
      </c>
      <c r="B1388" s="1" t="n">
        <v>44750</v>
      </c>
      <c r="C1388" s="1" t="n">
        <v>45637</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29538-2022</t>
        </is>
      </c>
      <c r="B1389" s="1" t="n">
        <v>44754</v>
      </c>
      <c r="C1389" s="1" t="n">
        <v>45637</v>
      </c>
      <c r="D1389" t="inlineStr">
        <is>
          <t>VÄSTERNORRLANDS LÄN</t>
        </is>
      </c>
      <c r="E1389" t="inlineStr">
        <is>
          <t>SOLLEFTEÅ</t>
        </is>
      </c>
      <c r="F1389" t="inlineStr">
        <is>
          <t>SCA</t>
        </is>
      </c>
      <c r="G1389" t="n">
        <v>20.2</v>
      </c>
      <c r="H1389" t="n">
        <v>0</v>
      </c>
      <c r="I1389" t="n">
        <v>0</v>
      </c>
      <c r="J1389" t="n">
        <v>0</v>
      </c>
      <c r="K1389" t="n">
        <v>0</v>
      </c>
      <c r="L1389" t="n">
        <v>0</v>
      </c>
      <c r="M1389" t="n">
        <v>0</v>
      </c>
      <c r="N1389" t="n">
        <v>0</v>
      </c>
      <c r="O1389" t="n">
        <v>0</v>
      </c>
      <c r="P1389" t="n">
        <v>0</v>
      </c>
      <c r="Q1389" t="n">
        <v>0</v>
      </c>
      <c r="R1389" s="2" t="inlineStr"/>
    </row>
    <row r="1390" ht="15" customHeight="1">
      <c r="A1390" t="inlineStr">
        <is>
          <t>A 29842-2022</t>
        </is>
      </c>
      <c r="B1390" s="1" t="n">
        <v>44756</v>
      </c>
      <c r="C1390" s="1" t="n">
        <v>45637</v>
      </c>
      <c r="D1390" t="inlineStr">
        <is>
          <t>VÄSTERNORRLANDS LÄN</t>
        </is>
      </c>
      <c r="E1390" t="inlineStr">
        <is>
          <t>SOLLEFTEÅ</t>
        </is>
      </c>
      <c r="F1390" t="inlineStr">
        <is>
          <t>Holmen skog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30032-2022</t>
        </is>
      </c>
      <c r="B1391" s="1" t="n">
        <v>44756</v>
      </c>
      <c r="C1391" s="1" t="n">
        <v>45637</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30041-2022</t>
        </is>
      </c>
      <c r="B1392" s="1" t="n">
        <v>44756</v>
      </c>
      <c r="C1392" s="1" t="n">
        <v>45637</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30045-2022</t>
        </is>
      </c>
      <c r="B1393" s="1" t="n">
        <v>44756</v>
      </c>
      <c r="C1393" s="1" t="n">
        <v>45637</v>
      </c>
      <c r="D1393" t="inlineStr">
        <is>
          <t>VÄSTERNORRLANDS LÄN</t>
        </is>
      </c>
      <c r="E1393" t="inlineStr">
        <is>
          <t>SOLLEFTEÅ</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30013-2022</t>
        </is>
      </c>
      <c r="B1394" s="1" t="n">
        <v>44756</v>
      </c>
      <c r="C1394" s="1" t="n">
        <v>45637</v>
      </c>
      <c r="D1394" t="inlineStr">
        <is>
          <t>VÄSTERNORRLANDS LÄN</t>
        </is>
      </c>
      <c r="E1394" t="inlineStr">
        <is>
          <t>SOLLEFTEÅ</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30033-2022</t>
        </is>
      </c>
      <c r="B1395" s="1" t="n">
        <v>44756</v>
      </c>
      <c r="C1395" s="1" t="n">
        <v>45637</v>
      </c>
      <c r="D1395" t="inlineStr">
        <is>
          <t>VÄSTERNORRLANDS LÄN</t>
        </is>
      </c>
      <c r="E1395" t="inlineStr">
        <is>
          <t>SOLLEFTEÅ</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30040-2022</t>
        </is>
      </c>
      <c r="B1396" s="1" t="n">
        <v>44757</v>
      </c>
      <c r="C1396" s="1" t="n">
        <v>45637</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30034-2022</t>
        </is>
      </c>
      <c r="B1397" s="1" t="n">
        <v>44757</v>
      </c>
      <c r="C1397" s="1" t="n">
        <v>45637</v>
      </c>
      <c r="D1397" t="inlineStr">
        <is>
          <t>VÄSTERNORRLANDS LÄN</t>
        </is>
      </c>
      <c r="E1397" t="inlineStr">
        <is>
          <t>SOLLEFTEÅ</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30039-2022</t>
        </is>
      </c>
      <c r="B1398" s="1" t="n">
        <v>44757</v>
      </c>
      <c r="C1398" s="1" t="n">
        <v>45637</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30043-2022</t>
        </is>
      </c>
      <c r="B1399" s="1" t="n">
        <v>44756</v>
      </c>
      <c r="C1399" s="1" t="n">
        <v>45637</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30238-2022</t>
        </is>
      </c>
      <c r="B1400" s="1" t="n">
        <v>44757</v>
      </c>
      <c r="C1400" s="1" t="n">
        <v>45637</v>
      </c>
      <c r="D1400" t="inlineStr">
        <is>
          <t>VÄSTERNORRLANDS LÄN</t>
        </is>
      </c>
      <c r="E1400" t="inlineStr">
        <is>
          <t>SOLLEFTEÅ</t>
        </is>
      </c>
      <c r="F1400" t="inlineStr">
        <is>
          <t>SCA</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30239-2022</t>
        </is>
      </c>
      <c r="B1401" s="1" t="n">
        <v>44758</v>
      </c>
      <c r="C1401" s="1" t="n">
        <v>45637</v>
      </c>
      <c r="D1401" t="inlineStr">
        <is>
          <t>VÄSTERNORRLANDS LÄN</t>
        </is>
      </c>
      <c r="E1401" t="inlineStr">
        <is>
          <t>SOLLEFTEÅ</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30237-2022</t>
        </is>
      </c>
      <c r="B1402" s="1" t="n">
        <v>44758</v>
      </c>
      <c r="C1402" s="1" t="n">
        <v>45637</v>
      </c>
      <c r="D1402" t="inlineStr">
        <is>
          <t>VÄSTERNORRLANDS LÄN</t>
        </is>
      </c>
      <c r="E1402" t="inlineStr">
        <is>
          <t>SOLLEFTEÅ</t>
        </is>
      </c>
      <c r="F1402" t="inlineStr">
        <is>
          <t>SCA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30236-2022</t>
        </is>
      </c>
      <c r="B1403" s="1" t="n">
        <v>44757</v>
      </c>
      <c r="C1403" s="1" t="n">
        <v>45637</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30240-2022</t>
        </is>
      </c>
      <c r="B1404" s="1" t="n">
        <v>44757</v>
      </c>
      <c r="C1404" s="1" t="n">
        <v>45637</v>
      </c>
      <c r="D1404" t="inlineStr">
        <is>
          <t>VÄSTERNORRLANDS LÄN</t>
        </is>
      </c>
      <c r="E1404" t="inlineStr">
        <is>
          <t>SOLLEFTEÅ</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30606-2022</t>
        </is>
      </c>
      <c r="B1405" s="1" t="n">
        <v>44763</v>
      </c>
      <c r="C1405" s="1" t="n">
        <v>45637</v>
      </c>
      <c r="D1405" t="inlineStr">
        <is>
          <t>VÄSTERNORRLANDS LÄN</t>
        </is>
      </c>
      <c r="E1405" t="inlineStr">
        <is>
          <t>SOLLEFTEÅ</t>
        </is>
      </c>
      <c r="F1405" t="inlineStr">
        <is>
          <t>SCA</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30805-2022</t>
        </is>
      </c>
      <c r="B1406" s="1" t="n">
        <v>44765</v>
      </c>
      <c r="C1406" s="1" t="n">
        <v>45637</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30936-2022</t>
        </is>
      </c>
      <c r="B1407" s="1" t="n">
        <v>44768</v>
      </c>
      <c r="C1407" s="1" t="n">
        <v>45637</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30937-2022</t>
        </is>
      </c>
      <c r="B1408" s="1" t="n">
        <v>44768</v>
      </c>
      <c r="C1408" s="1" t="n">
        <v>45637</v>
      </c>
      <c r="D1408" t="inlineStr">
        <is>
          <t>VÄSTERNORRLANDS LÄN</t>
        </is>
      </c>
      <c r="E1408" t="inlineStr">
        <is>
          <t>SOLLEFTEÅ</t>
        </is>
      </c>
      <c r="F1408" t="inlineStr">
        <is>
          <t>SCA</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31005-2022</t>
        </is>
      </c>
      <c r="B1409" s="1" t="n">
        <v>44768</v>
      </c>
      <c r="C1409" s="1" t="n">
        <v>45637</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31444-2022</t>
        </is>
      </c>
      <c r="B1410" s="1" t="n">
        <v>44774</v>
      </c>
      <c r="C1410" s="1" t="n">
        <v>45637</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31453-2022</t>
        </is>
      </c>
      <c r="B1411" s="1" t="n">
        <v>44775</v>
      </c>
      <c r="C1411" s="1" t="n">
        <v>45637</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31474-2022</t>
        </is>
      </c>
      <c r="B1412" s="1" t="n">
        <v>44775</v>
      </c>
      <c r="C1412" s="1" t="n">
        <v>45637</v>
      </c>
      <c r="D1412" t="inlineStr">
        <is>
          <t>VÄSTERNORRLANDS LÄN</t>
        </is>
      </c>
      <c r="E1412" t="inlineStr">
        <is>
          <t>SOLLEFTEÅ</t>
        </is>
      </c>
      <c r="F1412" t="inlineStr">
        <is>
          <t>SCA</t>
        </is>
      </c>
      <c r="G1412" t="n">
        <v>28.3</v>
      </c>
      <c r="H1412" t="n">
        <v>0</v>
      </c>
      <c r="I1412" t="n">
        <v>0</v>
      </c>
      <c r="J1412" t="n">
        <v>0</v>
      </c>
      <c r="K1412" t="n">
        <v>0</v>
      </c>
      <c r="L1412" t="n">
        <v>0</v>
      </c>
      <c r="M1412" t="n">
        <v>0</v>
      </c>
      <c r="N1412" t="n">
        <v>0</v>
      </c>
      <c r="O1412" t="n">
        <v>0</v>
      </c>
      <c r="P1412" t="n">
        <v>0</v>
      </c>
      <c r="Q1412" t="n">
        <v>0</v>
      </c>
      <c r="R1412" s="2" t="inlineStr"/>
    </row>
    <row r="1413" ht="15" customHeight="1">
      <c r="A1413" t="inlineStr">
        <is>
          <t>A 31440-2022</t>
        </is>
      </c>
      <c r="B1413" s="1" t="n">
        <v>44775</v>
      </c>
      <c r="C1413" s="1" t="n">
        <v>45637</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31464-2022</t>
        </is>
      </c>
      <c r="B1414" s="1" t="n">
        <v>44774</v>
      </c>
      <c r="C1414" s="1" t="n">
        <v>45637</v>
      </c>
      <c r="D1414" t="inlineStr">
        <is>
          <t>VÄSTERNORRLANDS LÄN</t>
        </is>
      </c>
      <c r="E1414" t="inlineStr">
        <is>
          <t>SOLLEFTEÅ</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31452-2022</t>
        </is>
      </c>
      <c r="B1415" s="1" t="n">
        <v>44775</v>
      </c>
      <c r="C1415" s="1" t="n">
        <v>45637</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31490-2022</t>
        </is>
      </c>
      <c r="B1416" s="1" t="n">
        <v>44775</v>
      </c>
      <c r="C1416" s="1" t="n">
        <v>45637</v>
      </c>
      <c r="D1416" t="inlineStr">
        <is>
          <t>VÄSTERNORRLANDS LÄN</t>
        </is>
      </c>
      <c r="E1416" t="inlineStr">
        <is>
          <t>SOLLEFTEÅ</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31451-2022</t>
        </is>
      </c>
      <c r="B1417" s="1" t="n">
        <v>44775</v>
      </c>
      <c r="C1417" s="1" t="n">
        <v>45637</v>
      </c>
      <c r="D1417" t="inlineStr">
        <is>
          <t>VÄSTERNORRLANDS LÄN</t>
        </is>
      </c>
      <c r="E1417" t="inlineStr">
        <is>
          <t>SOLLEFTEÅ</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31482-2022</t>
        </is>
      </c>
      <c r="B1418" s="1" t="n">
        <v>44775</v>
      </c>
      <c r="C1418" s="1" t="n">
        <v>45637</v>
      </c>
      <c r="D1418" t="inlineStr">
        <is>
          <t>VÄSTERNORRLANDS LÄN</t>
        </is>
      </c>
      <c r="E1418" t="inlineStr">
        <is>
          <t>SOLLEFTEÅ</t>
        </is>
      </c>
      <c r="F1418" t="inlineStr">
        <is>
          <t>SCA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31588-2022</t>
        </is>
      </c>
      <c r="B1419" s="1" t="n">
        <v>44775</v>
      </c>
      <c r="C1419" s="1" t="n">
        <v>45637</v>
      </c>
      <c r="D1419" t="inlineStr">
        <is>
          <t>VÄSTERNORRLANDS LÄN</t>
        </is>
      </c>
      <c r="E1419" t="inlineStr">
        <is>
          <t>SOLLEFTEÅ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31646-2022</t>
        </is>
      </c>
      <c r="B1420" s="1" t="n">
        <v>44776</v>
      </c>
      <c r="C1420" s="1" t="n">
        <v>45637</v>
      </c>
      <c r="D1420" t="inlineStr">
        <is>
          <t>VÄSTERNORRLANDS LÄN</t>
        </is>
      </c>
      <c r="E1420" t="inlineStr">
        <is>
          <t>SOLLEFTEÅ</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31672-2022</t>
        </is>
      </c>
      <c r="B1421" s="1" t="n">
        <v>44776</v>
      </c>
      <c r="C1421" s="1" t="n">
        <v>45637</v>
      </c>
      <c r="D1421" t="inlineStr">
        <is>
          <t>VÄSTERNORRLANDS LÄN</t>
        </is>
      </c>
      <c r="E1421" t="inlineStr">
        <is>
          <t>SOLLEFTEÅ</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31856-2022</t>
        </is>
      </c>
      <c r="B1422" s="1" t="n">
        <v>44776</v>
      </c>
      <c r="C1422" s="1" t="n">
        <v>45637</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31968-2022</t>
        </is>
      </c>
      <c r="B1423" s="1" t="n">
        <v>44778</v>
      </c>
      <c r="C1423" s="1" t="n">
        <v>45637</v>
      </c>
      <c r="D1423" t="inlineStr">
        <is>
          <t>VÄSTERNORRLANDS LÄN</t>
        </is>
      </c>
      <c r="E1423" t="inlineStr">
        <is>
          <t>SOLLEFTEÅ</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31967-2022</t>
        </is>
      </c>
      <c r="B1424" s="1" t="n">
        <v>44778</v>
      </c>
      <c r="C1424" s="1" t="n">
        <v>45637</v>
      </c>
      <c r="D1424" t="inlineStr">
        <is>
          <t>VÄSTERNORRLANDS LÄN</t>
        </is>
      </c>
      <c r="E1424" t="inlineStr">
        <is>
          <t>SOLLEFTEÅ</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31965-2022</t>
        </is>
      </c>
      <c r="B1425" s="1" t="n">
        <v>44778</v>
      </c>
      <c r="C1425" s="1" t="n">
        <v>45637</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31966-2022</t>
        </is>
      </c>
      <c r="B1426" s="1" t="n">
        <v>44778</v>
      </c>
      <c r="C1426" s="1" t="n">
        <v>45637</v>
      </c>
      <c r="D1426" t="inlineStr">
        <is>
          <t>VÄSTERNORRLANDS LÄN</t>
        </is>
      </c>
      <c r="E1426" t="inlineStr">
        <is>
          <t>SOLLEFTEÅ</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32127-2022</t>
        </is>
      </c>
      <c r="B1427" s="1" t="n">
        <v>44779</v>
      </c>
      <c r="C1427" s="1" t="n">
        <v>45637</v>
      </c>
      <c r="D1427" t="inlineStr">
        <is>
          <t>VÄSTERNORRLANDS LÄN</t>
        </is>
      </c>
      <c r="E1427" t="inlineStr">
        <is>
          <t>SOLLEFTEÅ</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32129-2022</t>
        </is>
      </c>
      <c r="B1428" s="1" t="n">
        <v>44779</v>
      </c>
      <c r="C1428" s="1" t="n">
        <v>45637</v>
      </c>
      <c r="D1428" t="inlineStr">
        <is>
          <t>VÄSTERNORRLANDS LÄN</t>
        </is>
      </c>
      <c r="E1428" t="inlineStr">
        <is>
          <t>SOLLEFTEÅ</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32126-2022</t>
        </is>
      </c>
      <c r="B1429" s="1" t="n">
        <v>44778</v>
      </c>
      <c r="C1429" s="1" t="n">
        <v>45637</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32130-2022</t>
        </is>
      </c>
      <c r="B1430" s="1" t="n">
        <v>44779</v>
      </c>
      <c r="C1430" s="1" t="n">
        <v>45637</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32453-2022</t>
        </is>
      </c>
      <c r="B1431" s="1" t="n">
        <v>44782</v>
      </c>
      <c r="C1431" s="1" t="n">
        <v>45637</v>
      </c>
      <c r="D1431" t="inlineStr">
        <is>
          <t>VÄSTERNORRLANDS LÄN</t>
        </is>
      </c>
      <c r="E1431" t="inlineStr">
        <is>
          <t>SOLLEFTEÅ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32531-2022</t>
        </is>
      </c>
      <c r="B1432" s="1" t="n">
        <v>44783</v>
      </c>
      <c r="C1432" s="1" t="n">
        <v>45637</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32779-2022</t>
        </is>
      </c>
      <c r="B1433" s="1" t="n">
        <v>44784</v>
      </c>
      <c r="C1433" s="1" t="n">
        <v>45637</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32969-2022</t>
        </is>
      </c>
      <c r="B1434" s="1" t="n">
        <v>44785</v>
      </c>
      <c r="C1434" s="1" t="n">
        <v>45637</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33056-2022</t>
        </is>
      </c>
      <c r="B1435" s="1" t="n">
        <v>44785</v>
      </c>
      <c r="C1435" s="1" t="n">
        <v>45637</v>
      </c>
      <c r="D1435" t="inlineStr">
        <is>
          <t>VÄSTERNORRLANDS LÄN</t>
        </is>
      </c>
      <c r="E1435" t="inlineStr">
        <is>
          <t>SOLLEFTEÅ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33083-2022</t>
        </is>
      </c>
      <c r="B1436" s="1" t="n">
        <v>44785</v>
      </c>
      <c r="C1436" s="1" t="n">
        <v>45637</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33077-2022</t>
        </is>
      </c>
      <c r="B1437" s="1" t="n">
        <v>44785</v>
      </c>
      <c r="C1437" s="1" t="n">
        <v>45637</v>
      </c>
      <c r="D1437" t="inlineStr">
        <is>
          <t>VÄSTERNORRLANDS LÄN</t>
        </is>
      </c>
      <c r="E1437" t="inlineStr">
        <is>
          <t>SOLLEFTEÅ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33226-2022</t>
        </is>
      </c>
      <c r="B1438" s="1" t="n">
        <v>44786</v>
      </c>
      <c r="C1438" s="1" t="n">
        <v>45637</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33505-2022</t>
        </is>
      </c>
      <c r="B1439" s="1" t="n">
        <v>44789</v>
      </c>
      <c r="C1439" s="1" t="n">
        <v>45637</v>
      </c>
      <c r="D1439" t="inlineStr">
        <is>
          <t>VÄSTERNORRLANDS LÄN</t>
        </is>
      </c>
      <c r="E1439" t="inlineStr">
        <is>
          <t>SOLLEFTEÅ</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33519-2022</t>
        </is>
      </c>
      <c r="B1440" s="1" t="n">
        <v>44789</v>
      </c>
      <c r="C1440" s="1" t="n">
        <v>45637</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33528-2022</t>
        </is>
      </c>
      <c r="B1441" s="1" t="n">
        <v>44788</v>
      </c>
      <c r="C1441" s="1" t="n">
        <v>45637</v>
      </c>
      <c r="D1441" t="inlineStr">
        <is>
          <t>VÄSTERNORRLANDS LÄN</t>
        </is>
      </c>
      <c r="E1441" t="inlineStr">
        <is>
          <t>SOLLEFTEÅ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33734-2022</t>
        </is>
      </c>
      <c r="B1442" s="1" t="n">
        <v>44790</v>
      </c>
      <c r="C1442" s="1" t="n">
        <v>45637</v>
      </c>
      <c r="D1442" t="inlineStr">
        <is>
          <t>VÄSTERNORRLANDS LÄN</t>
        </is>
      </c>
      <c r="E1442" t="inlineStr">
        <is>
          <t>SOLLEFTEÅ</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33990-2022</t>
        </is>
      </c>
      <c r="B1443" s="1" t="n">
        <v>44790</v>
      </c>
      <c r="C1443" s="1" t="n">
        <v>45637</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33995-2022</t>
        </is>
      </c>
      <c r="B1444" s="1" t="n">
        <v>44791</v>
      </c>
      <c r="C1444" s="1" t="n">
        <v>45637</v>
      </c>
      <c r="D1444" t="inlineStr">
        <is>
          <t>VÄSTERNORRLANDS LÄN</t>
        </is>
      </c>
      <c r="E1444" t="inlineStr">
        <is>
          <t>SOLLEFTEÅ</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33994-2022</t>
        </is>
      </c>
      <c r="B1445" s="1" t="n">
        <v>44791</v>
      </c>
      <c r="C1445" s="1" t="n">
        <v>45637</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34242-2022</t>
        </is>
      </c>
      <c r="B1446" s="1" t="n">
        <v>44792</v>
      </c>
      <c r="C1446" s="1" t="n">
        <v>45637</v>
      </c>
      <c r="D1446" t="inlineStr">
        <is>
          <t>VÄSTERNORRLANDS LÄN</t>
        </is>
      </c>
      <c r="E1446" t="inlineStr">
        <is>
          <t>SOLLEFTEÅ</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34252-2022</t>
        </is>
      </c>
      <c r="B1447" s="1" t="n">
        <v>44792</v>
      </c>
      <c r="C1447" s="1" t="n">
        <v>45637</v>
      </c>
      <c r="D1447" t="inlineStr">
        <is>
          <t>VÄSTERNORRLANDS LÄN</t>
        </is>
      </c>
      <c r="E1447" t="inlineStr">
        <is>
          <t>SOLLEFTEÅ</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34267-2022</t>
        </is>
      </c>
      <c r="B1448" s="1" t="n">
        <v>44792</v>
      </c>
      <c r="C1448" s="1" t="n">
        <v>45637</v>
      </c>
      <c r="D1448" t="inlineStr">
        <is>
          <t>VÄSTERNORRLANDS LÄN</t>
        </is>
      </c>
      <c r="E1448" t="inlineStr">
        <is>
          <t>SOLLEFTEÅ</t>
        </is>
      </c>
      <c r="F1448" t="inlineStr">
        <is>
          <t>SCA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34281-2022</t>
        </is>
      </c>
      <c r="B1449" s="1" t="n">
        <v>44791</v>
      </c>
      <c r="C1449" s="1" t="n">
        <v>45637</v>
      </c>
      <c r="D1449" t="inlineStr">
        <is>
          <t>VÄSTERNORRLANDS LÄN</t>
        </is>
      </c>
      <c r="E1449" t="inlineStr">
        <is>
          <t>SOLLEFTEÅ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34518-2022</t>
        </is>
      </c>
      <c r="B1450" s="1" t="n">
        <v>44793</v>
      </c>
      <c r="C1450" s="1" t="n">
        <v>45637</v>
      </c>
      <c r="D1450" t="inlineStr">
        <is>
          <t>VÄSTERNORRLANDS LÄN</t>
        </is>
      </c>
      <c r="E1450" t="inlineStr">
        <is>
          <t>SOLLEFTEÅ</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34517-2022</t>
        </is>
      </c>
      <c r="B1451" s="1" t="n">
        <v>44793</v>
      </c>
      <c r="C1451" s="1" t="n">
        <v>45637</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34527-2022</t>
        </is>
      </c>
      <c r="B1452" s="1" t="n">
        <v>44793</v>
      </c>
      <c r="C1452" s="1" t="n">
        <v>45637</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34534-2022</t>
        </is>
      </c>
      <c r="B1453" s="1" t="n">
        <v>44793</v>
      </c>
      <c r="C1453" s="1" t="n">
        <v>45637</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34516-2022</t>
        </is>
      </c>
      <c r="B1454" s="1" t="n">
        <v>44792</v>
      </c>
      <c r="C1454" s="1" t="n">
        <v>45637</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34648-2022</t>
        </is>
      </c>
      <c r="B1455" s="1" t="n">
        <v>44792</v>
      </c>
      <c r="C1455" s="1" t="n">
        <v>45637</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34549-2022</t>
        </is>
      </c>
      <c r="B1456" s="1" t="n">
        <v>44793</v>
      </c>
      <c r="C1456" s="1" t="n">
        <v>45637</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34542-2022</t>
        </is>
      </c>
      <c r="B1457" s="1" t="n">
        <v>44793</v>
      </c>
      <c r="C1457" s="1" t="n">
        <v>45637</v>
      </c>
      <c r="D1457" t="inlineStr">
        <is>
          <t>VÄSTERNORRLANDS LÄN</t>
        </is>
      </c>
      <c r="E1457" t="inlineStr">
        <is>
          <t>SOLLEFTEÅ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34543-2022</t>
        </is>
      </c>
      <c r="B1458" s="1" t="n">
        <v>44793</v>
      </c>
      <c r="C1458" s="1" t="n">
        <v>45637</v>
      </c>
      <c r="D1458" t="inlineStr">
        <is>
          <t>VÄSTERNORRLANDS LÄN</t>
        </is>
      </c>
      <c r="E1458" t="inlineStr">
        <is>
          <t>SOLLEFTEÅ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34552-2022</t>
        </is>
      </c>
      <c r="B1459" s="1" t="n">
        <v>44794</v>
      </c>
      <c r="C1459" s="1" t="n">
        <v>45637</v>
      </c>
      <c r="D1459" t="inlineStr">
        <is>
          <t>VÄSTERNORRLANDS LÄN</t>
        </is>
      </c>
      <c r="E1459" t="inlineStr">
        <is>
          <t>SOLLEFTEÅ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34804-2022</t>
        </is>
      </c>
      <c r="B1460" s="1" t="n">
        <v>44796</v>
      </c>
      <c r="C1460" s="1" t="n">
        <v>45637</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35019-2022</t>
        </is>
      </c>
      <c r="B1461" s="1" t="n">
        <v>44797</v>
      </c>
      <c r="C1461" s="1" t="n">
        <v>45637</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35229-2022</t>
        </is>
      </c>
      <c r="B1462" s="1" t="n">
        <v>44798</v>
      </c>
      <c r="C1462" s="1" t="n">
        <v>45637</v>
      </c>
      <c r="D1462" t="inlineStr">
        <is>
          <t>VÄSTERNORRLANDS LÄN</t>
        </is>
      </c>
      <c r="E1462" t="inlineStr">
        <is>
          <t>SOLLEFTEÅ</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35747-2022</t>
        </is>
      </c>
      <c r="B1463" s="1" t="n">
        <v>44799</v>
      </c>
      <c r="C1463" s="1" t="n">
        <v>45637</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35797-2022</t>
        </is>
      </c>
      <c r="B1464" s="1" t="n">
        <v>44802</v>
      </c>
      <c r="C1464" s="1" t="n">
        <v>45637</v>
      </c>
      <c r="D1464" t="inlineStr">
        <is>
          <t>VÄSTERNORRLANDS LÄN</t>
        </is>
      </c>
      <c r="E1464" t="inlineStr">
        <is>
          <t>SOLLEFTEÅ</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36080-2022</t>
        </is>
      </c>
      <c r="B1465" s="1" t="n">
        <v>44803</v>
      </c>
      <c r="C1465" s="1" t="n">
        <v>45637</v>
      </c>
      <c r="D1465" t="inlineStr">
        <is>
          <t>VÄSTERNORRLANDS LÄN</t>
        </is>
      </c>
      <c r="E1465" t="inlineStr">
        <is>
          <t>SOLLEFTEÅ</t>
        </is>
      </c>
      <c r="F1465" t="inlineStr">
        <is>
          <t>SCA</t>
        </is>
      </c>
      <c r="G1465" t="n">
        <v>78.2</v>
      </c>
      <c r="H1465" t="n">
        <v>0</v>
      </c>
      <c r="I1465" t="n">
        <v>0</v>
      </c>
      <c r="J1465" t="n">
        <v>0</v>
      </c>
      <c r="K1465" t="n">
        <v>0</v>
      </c>
      <c r="L1465" t="n">
        <v>0</v>
      </c>
      <c r="M1465" t="n">
        <v>0</v>
      </c>
      <c r="N1465" t="n">
        <v>0</v>
      </c>
      <c r="O1465" t="n">
        <v>0</v>
      </c>
      <c r="P1465" t="n">
        <v>0</v>
      </c>
      <c r="Q1465" t="n">
        <v>0</v>
      </c>
      <c r="R1465" s="2" t="inlineStr"/>
    </row>
    <row r="1466" ht="15" customHeight="1">
      <c r="A1466" t="inlineStr">
        <is>
          <t>A 36078-2022</t>
        </is>
      </c>
      <c r="B1466" s="1" t="n">
        <v>44803</v>
      </c>
      <c r="C1466" s="1" t="n">
        <v>45637</v>
      </c>
      <c r="D1466" t="inlineStr">
        <is>
          <t>VÄSTERNORRLANDS LÄN</t>
        </is>
      </c>
      <c r="E1466" t="inlineStr">
        <is>
          <t>SOLLEFTEÅ</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36368-2022</t>
        </is>
      </c>
      <c r="B1467" s="1" t="n">
        <v>44804</v>
      </c>
      <c r="C1467" s="1" t="n">
        <v>45637</v>
      </c>
      <c r="D1467" t="inlineStr">
        <is>
          <t>VÄSTERNORRLANDS LÄN</t>
        </is>
      </c>
      <c r="E1467" t="inlineStr">
        <is>
          <t>SOLLEFTEÅ</t>
        </is>
      </c>
      <c r="F1467" t="inlineStr">
        <is>
          <t>SCA</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36367-2022</t>
        </is>
      </c>
      <c r="B1468" s="1" t="n">
        <v>44804</v>
      </c>
      <c r="C1468" s="1" t="n">
        <v>45637</v>
      </c>
      <c r="D1468" t="inlineStr">
        <is>
          <t>VÄSTERNORRLANDS LÄN</t>
        </is>
      </c>
      <c r="E1468" t="inlineStr">
        <is>
          <t>SOLLEFTEÅ</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36688-2022</t>
        </is>
      </c>
      <c r="B1469" s="1" t="n">
        <v>44804</v>
      </c>
      <c r="C1469" s="1" t="n">
        <v>45637</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36681-2022</t>
        </is>
      </c>
      <c r="B1470" s="1" t="n">
        <v>44804</v>
      </c>
      <c r="C1470" s="1" t="n">
        <v>45637</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36926-2022</t>
        </is>
      </c>
      <c r="B1471" s="1" t="n">
        <v>44806</v>
      </c>
      <c r="C1471" s="1" t="n">
        <v>45637</v>
      </c>
      <c r="D1471" t="inlineStr">
        <is>
          <t>VÄSTERNORRLANDS LÄN</t>
        </is>
      </c>
      <c r="E1471" t="inlineStr">
        <is>
          <t>SOLLEFTEÅ</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37242-2022</t>
        </is>
      </c>
      <c r="B1472" s="1" t="n">
        <v>44807</v>
      </c>
      <c r="C1472" s="1" t="n">
        <v>45637</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37589-2022</t>
        </is>
      </c>
      <c r="B1473" s="1" t="n">
        <v>44810</v>
      </c>
      <c r="C1473" s="1" t="n">
        <v>45637</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37596-2022</t>
        </is>
      </c>
      <c r="B1474" s="1" t="n">
        <v>44810</v>
      </c>
      <c r="C1474" s="1" t="n">
        <v>45637</v>
      </c>
      <c r="D1474" t="inlineStr">
        <is>
          <t>VÄSTERNORRLANDS LÄN</t>
        </is>
      </c>
      <c r="E1474" t="inlineStr">
        <is>
          <t>SOLLEFTEÅ</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37597-2022</t>
        </is>
      </c>
      <c r="B1475" s="1" t="n">
        <v>44810</v>
      </c>
      <c r="C1475" s="1" t="n">
        <v>45637</v>
      </c>
      <c r="D1475" t="inlineStr">
        <is>
          <t>VÄSTERNORRLANDS LÄN</t>
        </is>
      </c>
      <c r="E1475" t="inlineStr">
        <is>
          <t>SOLLEFTEÅ</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37835-2022</t>
        </is>
      </c>
      <c r="B1476" s="1" t="n">
        <v>44810</v>
      </c>
      <c r="C1476" s="1" t="n">
        <v>45637</v>
      </c>
      <c r="D1476" t="inlineStr">
        <is>
          <t>VÄSTERNORRLANDS LÄN</t>
        </is>
      </c>
      <c r="E1476" t="inlineStr">
        <is>
          <t>SOLLEFTEÅ</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37826-2022</t>
        </is>
      </c>
      <c r="B1477" s="1" t="n">
        <v>44811</v>
      </c>
      <c r="C1477" s="1" t="n">
        <v>45637</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37840-2022</t>
        </is>
      </c>
      <c r="B1478" s="1" t="n">
        <v>44810</v>
      </c>
      <c r="C1478" s="1" t="n">
        <v>45637</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38096-2022</t>
        </is>
      </c>
      <c r="B1479" s="1" t="n">
        <v>44812</v>
      </c>
      <c r="C1479" s="1" t="n">
        <v>45637</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38095-2022</t>
        </is>
      </c>
      <c r="B1480" s="1" t="n">
        <v>44811</v>
      </c>
      <c r="C1480" s="1" t="n">
        <v>45637</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37977-2022</t>
        </is>
      </c>
      <c r="B1481" s="1" t="n">
        <v>44811</v>
      </c>
      <c r="C1481" s="1" t="n">
        <v>45637</v>
      </c>
      <c r="D1481" t="inlineStr">
        <is>
          <t>VÄSTERNORRLANDS LÄN</t>
        </is>
      </c>
      <c r="E1481" t="inlineStr">
        <is>
          <t>SOLLEFTEÅ</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38102-2022</t>
        </is>
      </c>
      <c r="B1482" s="1" t="n">
        <v>44811</v>
      </c>
      <c r="C1482" s="1" t="n">
        <v>45637</v>
      </c>
      <c r="D1482" t="inlineStr">
        <is>
          <t>VÄSTERNORRLANDS LÄN</t>
        </is>
      </c>
      <c r="E1482" t="inlineStr">
        <is>
          <t>SOLLEFTEÅ</t>
        </is>
      </c>
      <c r="F1482" t="inlineStr">
        <is>
          <t>SCA</t>
        </is>
      </c>
      <c r="G1482" t="n">
        <v>4.9</v>
      </c>
      <c r="H1482" t="n">
        <v>0</v>
      </c>
      <c r="I1482" t="n">
        <v>0</v>
      </c>
      <c r="J1482" t="n">
        <v>0</v>
      </c>
      <c r="K1482" t="n">
        <v>0</v>
      </c>
      <c r="L1482" t="n">
        <v>0</v>
      </c>
      <c r="M1482" t="n">
        <v>0</v>
      </c>
      <c r="N1482" t="n">
        <v>0</v>
      </c>
      <c r="O1482" t="n">
        <v>0</v>
      </c>
      <c r="P1482" t="n">
        <v>0</v>
      </c>
      <c r="Q1482" t="n">
        <v>0</v>
      </c>
      <c r="R1482" s="2" t="inlineStr"/>
      <c r="U1482">
        <f>HYPERLINK("https://klasma.github.io/Logging_2283/knärot/A 38102-2022 karta knärot.png", "A 38102-2022")</f>
        <v/>
      </c>
      <c r="V1482">
        <f>HYPERLINK("https://klasma.github.io/Logging_2283/klagomål/A 38102-2022 FSC-klagomål.docx", "A 38102-2022")</f>
        <v/>
      </c>
      <c r="W1482">
        <f>HYPERLINK("https://klasma.github.io/Logging_2283/klagomålsmail/A 38102-2022 FSC-klagomål mail.docx", "A 38102-2022")</f>
        <v/>
      </c>
      <c r="X1482">
        <f>HYPERLINK("https://klasma.github.io/Logging_2283/tillsyn/A 38102-2022 tillsynsbegäran.docx", "A 38102-2022")</f>
        <v/>
      </c>
      <c r="Y1482">
        <f>HYPERLINK("https://klasma.github.io/Logging_2283/tillsynsmail/A 38102-2022 tillsynsbegäran mail.docx", "A 38102-2022")</f>
        <v/>
      </c>
    </row>
    <row r="1483" ht="15" customHeight="1">
      <c r="A1483" t="inlineStr">
        <is>
          <t>A 38230-2022</t>
        </is>
      </c>
      <c r="B1483" s="1" t="n">
        <v>44812</v>
      </c>
      <c r="C1483" s="1" t="n">
        <v>45637</v>
      </c>
      <c r="D1483" t="inlineStr">
        <is>
          <t>VÄSTERNORRLANDS LÄN</t>
        </is>
      </c>
      <c r="E1483" t="inlineStr">
        <is>
          <t>SOLLEFTEÅ</t>
        </is>
      </c>
      <c r="F1483" t="inlineStr">
        <is>
          <t>Kommuner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38430-2022</t>
        </is>
      </c>
      <c r="B1484" s="1" t="n">
        <v>44812</v>
      </c>
      <c r="C1484" s="1" t="n">
        <v>45637</v>
      </c>
      <c r="D1484" t="inlineStr">
        <is>
          <t>VÄSTERNORRLANDS LÄN</t>
        </is>
      </c>
      <c r="E1484" t="inlineStr">
        <is>
          <t>SOLLEFTEÅ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38433-2022</t>
        </is>
      </c>
      <c r="B1485" s="1" t="n">
        <v>44812</v>
      </c>
      <c r="C1485" s="1" t="n">
        <v>45637</v>
      </c>
      <c r="D1485" t="inlineStr">
        <is>
          <t>VÄSTERNORRLANDS LÄN</t>
        </is>
      </c>
      <c r="E1485" t="inlineStr">
        <is>
          <t>SOLLEFTEÅ</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38312-2022</t>
        </is>
      </c>
      <c r="B1486" s="1" t="n">
        <v>44812</v>
      </c>
      <c r="C1486" s="1" t="n">
        <v>45637</v>
      </c>
      <c r="D1486" t="inlineStr">
        <is>
          <t>VÄSTERNORRLANDS LÄN</t>
        </is>
      </c>
      <c r="E1486" t="inlineStr">
        <is>
          <t>SOLLEFTEÅ</t>
        </is>
      </c>
      <c r="F1486" t="inlineStr">
        <is>
          <t>Holmen skog AB</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38428-2022</t>
        </is>
      </c>
      <c r="B1487" s="1" t="n">
        <v>44812</v>
      </c>
      <c r="C1487" s="1" t="n">
        <v>45637</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38432-2022</t>
        </is>
      </c>
      <c r="B1488" s="1" t="n">
        <v>44812</v>
      </c>
      <c r="C1488" s="1" t="n">
        <v>45637</v>
      </c>
      <c r="D1488" t="inlineStr">
        <is>
          <t>VÄSTERNORRLANDS LÄN</t>
        </is>
      </c>
      <c r="E1488" t="inlineStr">
        <is>
          <t>SOLLEFTEÅ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38663-2022</t>
        </is>
      </c>
      <c r="B1489" s="1" t="n">
        <v>44814</v>
      </c>
      <c r="C1489" s="1" t="n">
        <v>45637</v>
      </c>
      <c r="D1489" t="inlineStr">
        <is>
          <t>VÄSTERNORRLANDS LÄN</t>
        </is>
      </c>
      <c r="E1489" t="inlineStr">
        <is>
          <t>SOLLEFTEÅ</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39006-2022</t>
        </is>
      </c>
      <c r="B1490" s="1" t="n">
        <v>44817</v>
      </c>
      <c r="C1490" s="1" t="n">
        <v>45637</v>
      </c>
      <c r="D1490" t="inlineStr">
        <is>
          <t>VÄSTERNORRLANDS LÄN</t>
        </is>
      </c>
      <c r="E1490" t="inlineStr">
        <is>
          <t>SOLLEFTEÅ</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39012-2022</t>
        </is>
      </c>
      <c r="B1491" s="1" t="n">
        <v>44816</v>
      </c>
      <c r="C1491" s="1" t="n">
        <v>45637</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39384-2022</t>
        </is>
      </c>
      <c r="B1492" s="1" t="n">
        <v>44818</v>
      </c>
      <c r="C1492" s="1" t="n">
        <v>45637</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39372-2022</t>
        </is>
      </c>
      <c r="B1493" s="1" t="n">
        <v>44818</v>
      </c>
      <c r="C1493" s="1" t="n">
        <v>45637</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39371-2022</t>
        </is>
      </c>
      <c r="B1494" s="1" t="n">
        <v>44818</v>
      </c>
      <c r="C1494" s="1" t="n">
        <v>45637</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39688-2022</t>
        </is>
      </c>
      <c r="B1495" s="1" t="n">
        <v>44818</v>
      </c>
      <c r="C1495" s="1" t="n">
        <v>45637</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39699-2022</t>
        </is>
      </c>
      <c r="B1496" s="1" t="n">
        <v>44819</v>
      </c>
      <c r="C1496" s="1" t="n">
        <v>45637</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39944-2022</t>
        </is>
      </c>
      <c r="B1497" s="1" t="n">
        <v>44819</v>
      </c>
      <c r="C1497" s="1" t="n">
        <v>45637</v>
      </c>
      <c r="D1497" t="inlineStr">
        <is>
          <t>VÄSTERNORRLANDS LÄN</t>
        </is>
      </c>
      <c r="E1497" t="inlineStr">
        <is>
          <t>SOLLEFTEÅ</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39942-2022</t>
        </is>
      </c>
      <c r="B1498" s="1" t="n">
        <v>44820</v>
      </c>
      <c r="C1498" s="1" t="n">
        <v>45637</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39947-2022</t>
        </is>
      </c>
      <c r="B1499" s="1" t="n">
        <v>44819</v>
      </c>
      <c r="C1499" s="1" t="n">
        <v>45637</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39943-2022</t>
        </is>
      </c>
      <c r="B1500" s="1" t="n">
        <v>44820</v>
      </c>
      <c r="C1500" s="1" t="n">
        <v>45637</v>
      </c>
      <c r="D1500" t="inlineStr">
        <is>
          <t>VÄSTERNORRLANDS LÄN</t>
        </is>
      </c>
      <c r="E1500" t="inlineStr">
        <is>
          <t>SOLLEFTEÅ</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39951-2022</t>
        </is>
      </c>
      <c r="B1501" s="1" t="n">
        <v>44820</v>
      </c>
      <c r="C1501" s="1" t="n">
        <v>45637</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39934-2022</t>
        </is>
      </c>
      <c r="B1502" s="1" t="n">
        <v>44820</v>
      </c>
      <c r="C1502" s="1" t="n">
        <v>45637</v>
      </c>
      <c r="D1502" t="inlineStr">
        <is>
          <t>VÄSTERNORRLANDS LÄN</t>
        </is>
      </c>
      <c r="E1502" t="inlineStr">
        <is>
          <t>SOLLEFTEÅ</t>
        </is>
      </c>
      <c r="F1502" t="inlineStr">
        <is>
          <t>SCA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39946-2022</t>
        </is>
      </c>
      <c r="B1503" s="1" t="n">
        <v>44819</v>
      </c>
      <c r="C1503" s="1" t="n">
        <v>45637</v>
      </c>
      <c r="D1503" t="inlineStr">
        <is>
          <t>VÄSTERNORRLANDS LÄN</t>
        </is>
      </c>
      <c r="E1503" t="inlineStr">
        <is>
          <t>SOLLEFTEÅ</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40608-2022</t>
        </is>
      </c>
      <c r="B1504" s="1" t="n">
        <v>44824</v>
      </c>
      <c r="C1504" s="1" t="n">
        <v>45637</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40609-2022</t>
        </is>
      </c>
      <c r="B1505" s="1" t="n">
        <v>44824</v>
      </c>
      <c r="C1505" s="1" t="n">
        <v>45637</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40610-2022</t>
        </is>
      </c>
      <c r="B1506" s="1" t="n">
        <v>44824</v>
      </c>
      <c r="C1506" s="1" t="n">
        <v>45637</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40599-2022</t>
        </is>
      </c>
      <c r="B1507" s="1" t="n">
        <v>44824</v>
      </c>
      <c r="C1507" s="1" t="n">
        <v>45637</v>
      </c>
      <c r="D1507" t="inlineStr">
        <is>
          <t>VÄSTERNORRLANDS LÄN</t>
        </is>
      </c>
      <c r="E1507" t="inlineStr">
        <is>
          <t>SOLLEFTEÅ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40611-2022</t>
        </is>
      </c>
      <c r="B1508" s="1" t="n">
        <v>44824</v>
      </c>
      <c r="C1508" s="1" t="n">
        <v>45637</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40832-2022</t>
        </is>
      </c>
      <c r="B1509" s="1" t="n">
        <v>44825</v>
      </c>
      <c r="C1509" s="1" t="n">
        <v>45637</v>
      </c>
      <c r="D1509" t="inlineStr">
        <is>
          <t>VÄSTERNORRLANDS LÄN</t>
        </is>
      </c>
      <c r="E1509" t="inlineStr">
        <is>
          <t>SOLLEFTEÅ</t>
        </is>
      </c>
      <c r="F1509" t="inlineStr">
        <is>
          <t>SCA</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41187-2022</t>
        </is>
      </c>
      <c r="B1510" s="1" t="n">
        <v>44826</v>
      </c>
      <c r="C1510" s="1" t="n">
        <v>45637</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41192-2022</t>
        </is>
      </c>
      <c r="B1511" s="1" t="n">
        <v>44826</v>
      </c>
      <c r="C1511" s="1" t="n">
        <v>45637</v>
      </c>
      <c r="D1511" t="inlineStr">
        <is>
          <t>VÄSTERNORRLANDS LÄN</t>
        </is>
      </c>
      <c r="E1511" t="inlineStr">
        <is>
          <t>SOLLEFTEÅ</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41168-2022</t>
        </is>
      </c>
      <c r="B1512" s="1" t="n">
        <v>44826</v>
      </c>
      <c r="C1512" s="1" t="n">
        <v>45637</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41172-2022</t>
        </is>
      </c>
      <c r="B1513" s="1" t="n">
        <v>44826</v>
      </c>
      <c r="C1513" s="1" t="n">
        <v>45637</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41176-2022</t>
        </is>
      </c>
      <c r="B1514" s="1" t="n">
        <v>44826</v>
      </c>
      <c r="C1514" s="1" t="n">
        <v>45637</v>
      </c>
      <c r="D1514" t="inlineStr">
        <is>
          <t>VÄSTERNORRLANDS LÄN</t>
        </is>
      </c>
      <c r="E1514" t="inlineStr">
        <is>
          <t>SOLLEFTEÅ</t>
        </is>
      </c>
      <c r="F1514" t="inlineStr">
        <is>
          <t>SCA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41189-2022</t>
        </is>
      </c>
      <c r="B1515" s="1" t="n">
        <v>44826</v>
      </c>
      <c r="C1515" s="1" t="n">
        <v>45637</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41196-2022</t>
        </is>
      </c>
      <c r="B1516" s="1" t="n">
        <v>44826</v>
      </c>
      <c r="C1516" s="1" t="n">
        <v>45637</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41195-2022</t>
        </is>
      </c>
      <c r="B1517" s="1" t="n">
        <v>44826</v>
      </c>
      <c r="C1517" s="1" t="n">
        <v>45637</v>
      </c>
      <c r="D1517" t="inlineStr">
        <is>
          <t>VÄSTERNORRLANDS LÄN</t>
        </is>
      </c>
      <c r="E1517" t="inlineStr">
        <is>
          <t>SOLLEFTEÅ</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41456-2022</t>
        </is>
      </c>
      <c r="B1518" s="1" t="n">
        <v>44826</v>
      </c>
      <c r="C1518" s="1" t="n">
        <v>45637</v>
      </c>
      <c r="D1518" t="inlineStr">
        <is>
          <t>VÄSTERNORRLANDS LÄN</t>
        </is>
      </c>
      <c r="E1518" t="inlineStr">
        <is>
          <t>SOLLEFTEÅ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41463-2022</t>
        </is>
      </c>
      <c r="B1519" s="1" t="n">
        <v>44827</v>
      </c>
      <c r="C1519" s="1" t="n">
        <v>45637</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41475-2022</t>
        </is>
      </c>
      <c r="B1520" s="1" t="n">
        <v>44826</v>
      </c>
      <c r="C1520" s="1" t="n">
        <v>45637</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41481-2022</t>
        </is>
      </c>
      <c r="B1521" s="1" t="n">
        <v>44827</v>
      </c>
      <c r="C1521" s="1" t="n">
        <v>45637</v>
      </c>
      <c r="D1521" t="inlineStr">
        <is>
          <t>VÄSTERNORRLANDS LÄN</t>
        </is>
      </c>
      <c r="E1521" t="inlineStr">
        <is>
          <t>SOLLEFTEÅ</t>
        </is>
      </c>
      <c r="F1521" t="inlineStr">
        <is>
          <t>SCA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41478-2022</t>
        </is>
      </c>
      <c r="B1522" s="1" t="n">
        <v>44827</v>
      </c>
      <c r="C1522" s="1" t="n">
        <v>45637</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41486-2022</t>
        </is>
      </c>
      <c r="B1523" s="1" t="n">
        <v>44827</v>
      </c>
      <c r="C1523" s="1" t="n">
        <v>45637</v>
      </c>
      <c r="D1523" t="inlineStr">
        <is>
          <t>VÄSTERNORRLANDS LÄN</t>
        </is>
      </c>
      <c r="E1523" t="inlineStr">
        <is>
          <t>SOLLEFTEÅ</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41455-2022</t>
        </is>
      </c>
      <c r="B1524" s="1" t="n">
        <v>44826</v>
      </c>
      <c r="C1524" s="1" t="n">
        <v>45637</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41474-2022</t>
        </is>
      </c>
      <c r="B1525" s="1" t="n">
        <v>44827</v>
      </c>
      <c r="C1525" s="1" t="n">
        <v>45637</v>
      </c>
      <c r="D1525" t="inlineStr">
        <is>
          <t>VÄSTERNORRLANDS LÄN</t>
        </is>
      </c>
      <c r="E1525" t="inlineStr">
        <is>
          <t>SOLLEFTEÅ</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41480-2022</t>
        </is>
      </c>
      <c r="B1526" s="1" t="n">
        <v>44827</v>
      </c>
      <c r="C1526" s="1" t="n">
        <v>45637</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41488-2022</t>
        </is>
      </c>
      <c r="B1527" s="1" t="n">
        <v>44826</v>
      </c>
      <c r="C1527" s="1" t="n">
        <v>45637</v>
      </c>
      <c r="D1527" t="inlineStr">
        <is>
          <t>VÄSTERNORRLANDS LÄN</t>
        </is>
      </c>
      <c r="E1527" t="inlineStr">
        <is>
          <t>SOLLEFTEÅ</t>
        </is>
      </c>
      <c r="F1527" t="inlineStr">
        <is>
          <t>SCA</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41487-2022</t>
        </is>
      </c>
      <c r="B1528" s="1" t="n">
        <v>44827</v>
      </c>
      <c r="C1528" s="1" t="n">
        <v>45637</v>
      </c>
      <c r="D1528" t="inlineStr">
        <is>
          <t>VÄSTERNORRLANDS LÄN</t>
        </is>
      </c>
      <c r="E1528" t="inlineStr">
        <is>
          <t>SOLLEFTEÅ</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41479-2022</t>
        </is>
      </c>
      <c r="B1529" s="1" t="n">
        <v>44827</v>
      </c>
      <c r="C1529" s="1" t="n">
        <v>45637</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41813-2022</t>
        </is>
      </c>
      <c r="B1530" s="1" t="n">
        <v>44828</v>
      </c>
      <c r="C1530" s="1" t="n">
        <v>45637</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42272-2022</t>
        </is>
      </c>
      <c r="B1531" s="1" t="n">
        <v>44831</v>
      </c>
      <c r="C1531" s="1" t="n">
        <v>45637</v>
      </c>
      <c r="D1531" t="inlineStr">
        <is>
          <t>VÄSTERNORRLANDS LÄN</t>
        </is>
      </c>
      <c r="E1531" t="inlineStr">
        <is>
          <t>SOLLEFTEÅ</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42299-2022</t>
        </is>
      </c>
      <c r="B1532" s="1" t="n">
        <v>44830</v>
      </c>
      <c r="C1532" s="1" t="n">
        <v>45637</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42303-2022</t>
        </is>
      </c>
      <c r="B1533" s="1" t="n">
        <v>44831</v>
      </c>
      <c r="C1533" s="1" t="n">
        <v>45637</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42275-2022</t>
        </is>
      </c>
      <c r="B1534" s="1" t="n">
        <v>44830</v>
      </c>
      <c r="C1534" s="1" t="n">
        <v>45637</v>
      </c>
      <c r="D1534" t="inlineStr">
        <is>
          <t>VÄSTERNORRLANDS LÄN</t>
        </is>
      </c>
      <c r="E1534" t="inlineStr">
        <is>
          <t>SOLLEFTEÅ</t>
        </is>
      </c>
      <c r="F1534" t="inlineStr">
        <is>
          <t>SCA</t>
        </is>
      </c>
      <c r="G1534" t="n">
        <v>26.9</v>
      </c>
      <c r="H1534" t="n">
        <v>0</v>
      </c>
      <c r="I1534" t="n">
        <v>0</v>
      </c>
      <c r="J1534" t="n">
        <v>0</v>
      </c>
      <c r="K1534" t="n">
        <v>0</v>
      </c>
      <c r="L1534" t="n">
        <v>0</v>
      </c>
      <c r="M1534" t="n">
        <v>0</v>
      </c>
      <c r="N1534" t="n">
        <v>0</v>
      </c>
      <c r="O1534" t="n">
        <v>0</v>
      </c>
      <c r="P1534" t="n">
        <v>0</v>
      </c>
      <c r="Q1534" t="n">
        <v>0</v>
      </c>
      <c r="R1534" s="2" t="inlineStr"/>
    </row>
    <row r="1535" ht="15" customHeight="1">
      <c r="A1535" t="inlineStr">
        <is>
          <t>A 42300-2022</t>
        </is>
      </c>
      <c r="B1535" s="1" t="n">
        <v>44831</v>
      </c>
      <c r="C1535" s="1" t="n">
        <v>45637</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42302-2022</t>
        </is>
      </c>
      <c r="B1536" s="1" t="n">
        <v>44830</v>
      </c>
      <c r="C1536" s="1" t="n">
        <v>45637</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42482-2022</t>
        </is>
      </c>
      <c r="B1537" s="1" t="n">
        <v>44831</v>
      </c>
      <c r="C1537" s="1" t="n">
        <v>45637</v>
      </c>
      <c r="D1537" t="inlineStr">
        <is>
          <t>VÄSTERNORRLANDS LÄN</t>
        </is>
      </c>
      <c r="E1537" t="inlineStr">
        <is>
          <t>SOLLEFTEÅ</t>
        </is>
      </c>
      <c r="F1537" t="inlineStr">
        <is>
          <t>Holmen skog AB</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42430-2022</t>
        </is>
      </c>
      <c r="B1538" s="1" t="n">
        <v>44831</v>
      </c>
      <c r="C1538" s="1" t="n">
        <v>45637</v>
      </c>
      <c r="D1538" t="inlineStr">
        <is>
          <t>VÄSTERNORRLANDS LÄN</t>
        </is>
      </c>
      <c r="E1538" t="inlineStr">
        <is>
          <t>SOLLEFTEÅ</t>
        </is>
      </c>
      <c r="F1538" t="inlineStr">
        <is>
          <t>Holmen skog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42634-2022</t>
        </is>
      </c>
      <c r="B1539" s="1" t="n">
        <v>44832</v>
      </c>
      <c r="C1539" s="1" t="n">
        <v>45637</v>
      </c>
      <c r="D1539" t="inlineStr">
        <is>
          <t>VÄSTERNORRLANDS LÄN</t>
        </is>
      </c>
      <c r="E1539" t="inlineStr">
        <is>
          <t>SOLLEFTEÅ</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42663-2022</t>
        </is>
      </c>
      <c r="B1540" s="1" t="n">
        <v>44831</v>
      </c>
      <c r="C1540" s="1" t="n">
        <v>45637</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42664-2022</t>
        </is>
      </c>
      <c r="B1541" s="1" t="n">
        <v>44831</v>
      </c>
      <c r="C1541" s="1" t="n">
        <v>45637</v>
      </c>
      <c r="D1541" t="inlineStr">
        <is>
          <t>VÄSTERNORRLANDS LÄN</t>
        </is>
      </c>
      <c r="E1541" t="inlineStr">
        <is>
          <t>SOLLEFTEÅ</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42654-2022</t>
        </is>
      </c>
      <c r="B1542" s="1" t="n">
        <v>44832</v>
      </c>
      <c r="C1542" s="1" t="n">
        <v>45637</v>
      </c>
      <c r="D1542" t="inlineStr">
        <is>
          <t>VÄSTERNORRLANDS LÄN</t>
        </is>
      </c>
      <c r="E1542" t="inlineStr">
        <is>
          <t>SOLLEFTEÅ</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42771-2022</t>
        </is>
      </c>
      <c r="B1543" s="1" t="n">
        <v>44832</v>
      </c>
      <c r="C1543" s="1" t="n">
        <v>45637</v>
      </c>
      <c r="D1543" t="inlineStr">
        <is>
          <t>VÄSTERNORRLANDS LÄN</t>
        </is>
      </c>
      <c r="E1543" t="inlineStr">
        <is>
          <t>SOLLEFTEÅ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42755-2022</t>
        </is>
      </c>
      <c r="B1544" s="1" t="n">
        <v>44832</v>
      </c>
      <c r="C1544" s="1" t="n">
        <v>45637</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42885-2022</t>
        </is>
      </c>
      <c r="B1545" s="1" t="n">
        <v>44833</v>
      </c>
      <c r="C1545" s="1" t="n">
        <v>45637</v>
      </c>
      <c r="D1545" t="inlineStr">
        <is>
          <t>VÄSTERNORRLANDS LÄN</t>
        </is>
      </c>
      <c r="E1545" t="inlineStr">
        <is>
          <t>SOLLEFTEÅ</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42891-2022</t>
        </is>
      </c>
      <c r="B1546" s="1" t="n">
        <v>44833</v>
      </c>
      <c r="C1546" s="1" t="n">
        <v>45637</v>
      </c>
      <c r="D1546" t="inlineStr">
        <is>
          <t>VÄSTERNORRLANDS LÄN</t>
        </is>
      </c>
      <c r="E1546" t="inlineStr">
        <is>
          <t>SOLLEFTEÅ</t>
        </is>
      </c>
      <c r="F1546" t="inlineStr">
        <is>
          <t>SCA</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43035-2022</t>
        </is>
      </c>
      <c r="B1547" s="1" t="n">
        <v>44833</v>
      </c>
      <c r="C1547" s="1" t="n">
        <v>45637</v>
      </c>
      <c r="D1547" t="inlineStr">
        <is>
          <t>VÄSTERNORRLANDS LÄN</t>
        </is>
      </c>
      <c r="E1547" t="inlineStr">
        <is>
          <t>SOLLEFTEÅ</t>
        </is>
      </c>
      <c r="F1547" t="inlineStr">
        <is>
          <t>Kommuner</t>
        </is>
      </c>
      <c r="G1547" t="n">
        <v>19.8</v>
      </c>
      <c r="H1547" t="n">
        <v>0</v>
      </c>
      <c r="I1547" t="n">
        <v>0</v>
      </c>
      <c r="J1547" t="n">
        <v>0</v>
      </c>
      <c r="K1547" t="n">
        <v>0</v>
      </c>
      <c r="L1547" t="n">
        <v>0</v>
      </c>
      <c r="M1547" t="n">
        <v>0</v>
      </c>
      <c r="N1547" t="n">
        <v>0</v>
      </c>
      <c r="O1547" t="n">
        <v>0</v>
      </c>
      <c r="P1547" t="n">
        <v>0</v>
      </c>
      <c r="Q1547" t="n">
        <v>0</v>
      </c>
      <c r="R1547" s="2" t="inlineStr"/>
    </row>
    <row r="1548" ht="15" customHeight="1">
      <c r="A1548" t="inlineStr">
        <is>
          <t>A 43130-2022</t>
        </is>
      </c>
      <c r="B1548" s="1" t="n">
        <v>44833</v>
      </c>
      <c r="C1548" s="1" t="n">
        <v>45637</v>
      </c>
      <c r="D1548" t="inlineStr">
        <is>
          <t>VÄSTERNORRLANDS LÄN</t>
        </is>
      </c>
      <c r="E1548" t="inlineStr">
        <is>
          <t>SOLLEFTEÅ</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43137-2022</t>
        </is>
      </c>
      <c r="B1549" s="1" t="n">
        <v>44834</v>
      </c>
      <c r="C1549" s="1" t="n">
        <v>45637</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43124-2022</t>
        </is>
      </c>
      <c r="B1550" s="1" t="n">
        <v>44834</v>
      </c>
      <c r="C1550" s="1" t="n">
        <v>45637</v>
      </c>
      <c r="D1550" t="inlineStr">
        <is>
          <t>VÄSTERNORRLANDS LÄN</t>
        </is>
      </c>
      <c r="E1550" t="inlineStr">
        <is>
          <t>SOLLEFTEÅ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43122-2022</t>
        </is>
      </c>
      <c r="B1551" s="1" t="n">
        <v>44834</v>
      </c>
      <c r="C1551" s="1" t="n">
        <v>45637</v>
      </c>
      <c r="D1551" t="inlineStr">
        <is>
          <t>VÄSTERNORRLANDS LÄN</t>
        </is>
      </c>
      <c r="E1551" t="inlineStr">
        <is>
          <t>SOLLEFTEÅ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43148-2022</t>
        </is>
      </c>
      <c r="B1552" s="1" t="n">
        <v>44834</v>
      </c>
      <c r="C1552" s="1" t="n">
        <v>45637</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43149-2022</t>
        </is>
      </c>
      <c r="B1553" s="1" t="n">
        <v>44834</v>
      </c>
      <c r="C1553" s="1" t="n">
        <v>45637</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43442-2022</t>
        </is>
      </c>
      <c r="B1554" s="1" t="n">
        <v>44834</v>
      </c>
      <c r="C1554" s="1" t="n">
        <v>45637</v>
      </c>
      <c r="D1554" t="inlineStr">
        <is>
          <t>VÄSTERNORRLANDS LÄN</t>
        </is>
      </c>
      <c r="E1554" t="inlineStr">
        <is>
          <t>SOLLEFTEÅ</t>
        </is>
      </c>
      <c r="F1554" t="inlineStr">
        <is>
          <t>Kyrkan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43469-2022</t>
        </is>
      </c>
      <c r="B1555" s="1" t="n">
        <v>44836</v>
      </c>
      <c r="C1555" s="1" t="n">
        <v>45637</v>
      </c>
      <c r="D1555" t="inlineStr">
        <is>
          <t>VÄSTERNORRLANDS LÄN</t>
        </is>
      </c>
      <c r="E1555" t="inlineStr">
        <is>
          <t>SOLLEFTEÅ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43774-2022</t>
        </is>
      </c>
      <c r="B1556" s="1" t="n">
        <v>44837</v>
      </c>
      <c r="C1556" s="1" t="n">
        <v>45637</v>
      </c>
      <c r="D1556" t="inlineStr">
        <is>
          <t>VÄSTERNORRLANDS LÄN</t>
        </is>
      </c>
      <c r="E1556" t="inlineStr">
        <is>
          <t>SOLLEFTEÅ</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43772-2022</t>
        </is>
      </c>
      <c r="B1557" s="1" t="n">
        <v>44837</v>
      </c>
      <c r="C1557" s="1" t="n">
        <v>45637</v>
      </c>
      <c r="D1557" t="inlineStr">
        <is>
          <t>VÄSTERNORRLANDS LÄN</t>
        </is>
      </c>
      <c r="E1557" t="inlineStr">
        <is>
          <t>SOLLEFTEÅ</t>
        </is>
      </c>
      <c r="F1557" t="inlineStr">
        <is>
          <t>Kyrkan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43762-2022</t>
        </is>
      </c>
      <c r="B1558" s="1" t="n">
        <v>44838</v>
      </c>
      <c r="C1558" s="1" t="n">
        <v>45637</v>
      </c>
      <c r="D1558" t="inlineStr">
        <is>
          <t>VÄSTERNORRLANDS LÄN</t>
        </is>
      </c>
      <c r="E1558" t="inlineStr">
        <is>
          <t>SOLLEFTEÅ</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43766-2022</t>
        </is>
      </c>
      <c r="B1559" s="1" t="n">
        <v>44838</v>
      </c>
      <c r="C1559" s="1" t="n">
        <v>45637</v>
      </c>
      <c r="D1559" t="inlineStr">
        <is>
          <t>VÄSTERNORRLANDS LÄN</t>
        </is>
      </c>
      <c r="E1559" t="inlineStr">
        <is>
          <t>SOLLEFTEÅ</t>
        </is>
      </c>
      <c r="F1559" t="inlineStr">
        <is>
          <t>Kyrkan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43782-2022</t>
        </is>
      </c>
      <c r="B1560" s="1" t="n">
        <v>44838</v>
      </c>
      <c r="C1560" s="1" t="n">
        <v>45637</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43786-2022</t>
        </is>
      </c>
      <c r="B1561" s="1" t="n">
        <v>44837</v>
      </c>
      <c r="C1561" s="1" t="n">
        <v>45637</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44042-2022</t>
        </is>
      </c>
      <c r="B1562" s="1" t="n">
        <v>44839</v>
      </c>
      <c r="C1562" s="1" t="n">
        <v>45637</v>
      </c>
      <c r="D1562" t="inlineStr">
        <is>
          <t>VÄSTERNORRLANDS LÄN</t>
        </is>
      </c>
      <c r="E1562" t="inlineStr">
        <is>
          <t>SOLLEFTEÅ</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44285-2022</t>
        </is>
      </c>
      <c r="B1563" s="1" t="n">
        <v>44839</v>
      </c>
      <c r="C1563" s="1" t="n">
        <v>45637</v>
      </c>
      <c r="D1563" t="inlineStr">
        <is>
          <t>VÄSTERNORRLANDS LÄN</t>
        </is>
      </c>
      <c r="E1563" t="inlineStr">
        <is>
          <t>SOLLEFTEÅ</t>
        </is>
      </c>
      <c r="F1563" t="inlineStr">
        <is>
          <t>Holmen skog AB</t>
        </is>
      </c>
      <c r="G1563" t="n">
        <v>13.9</v>
      </c>
      <c r="H1563" t="n">
        <v>0</v>
      </c>
      <c r="I1563" t="n">
        <v>0</v>
      </c>
      <c r="J1563" t="n">
        <v>0</v>
      </c>
      <c r="K1563" t="n">
        <v>0</v>
      </c>
      <c r="L1563" t="n">
        <v>0</v>
      </c>
      <c r="M1563" t="n">
        <v>0</v>
      </c>
      <c r="N1563" t="n">
        <v>0</v>
      </c>
      <c r="O1563" t="n">
        <v>0</v>
      </c>
      <c r="P1563" t="n">
        <v>0</v>
      </c>
      <c r="Q1563" t="n">
        <v>0</v>
      </c>
      <c r="R1563" s="2" t="inlineStr"/>
    </row>
    <row r="1564" ht="15" customHeight="1">
      <c r="A1564" t="inlineStr">
        <is>
          <t>A 44438-2022</t>
        </is>
      </c>
      <c r="B1564" s="1" t="n">
        <v>44840</v>
      </c>
      <c r="C1564" s="1" t="n">
        <v>45637</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44454-2022</t>
        </is>
      </c>
      <c r="B1565" s="1" t="n">
        <v>44840</v>
      </c>
      <c r="C1565" s="1" t="n">
        <v>45637</v>
      </c>
      <c r="D1565" t="inlineStr">
        <is>
          <t>VÄSTERNORRLANDS LÄN</t>
        </is>
      </c>
      <c r="E1565" t="inlineStr">
        <is>
          <t>SOLLEFTEÅ</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44208-2022</t>
        </is>
      </c>
      <c r="B1566" s="1" t="n">
        <v>44839</v>
      </c>
      <c r="C1566" s="1" t="n">
        <v>45637</v>
      </c>
      <c r="D1566" t="inlineStr">
        <is>
          <t>VÄSTERNORRLANDS LÄN</t>
        </is>
      </c>
      <c r="E1566" t="inlineStr">
        <is>
          <t>SOLLEFTEÅ</t>
        </is>
      </c>
      <c r="F1566" t="inlineStr">
        <is>
          <t>Holmen skog AB</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44755-2022</t>
        </is>
      </c>
      <c r="B1567" s="1" t="n">
        <v>44841</v>
      </c>
      <c r="C1567" s="1" t="n">
        <v>45637</v>
      </c>
      <c r="D1567" t="inlineStr">
        <is>
          <t>VÄSTERNORRLANDS LÄN</t>
        </is>
      </c>
      <c r="E1567" t="inlineStr">
        <is>
          <t>SOLLEFTEÅ</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44762-2022</t>
        </is>
      </c>
      <c r="B1568" s="1" t="n">
        <v>44840</v>
      </c>
      <c r="C1568" s="1" t="n">
        <v>45637</v>
      </c>
      <c r="D1568" t="inlineStr">
        <is>
          <t>VÄSTERNORRLANDS LÄN</t>
        </is>
      </c>
      <c r="E1568" t="inlineStr">
        <is>
          <t>SOLLEFTEÅ</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44761-2022</t>
        </is>
      </c>
      <c r="B1569" s="1" t="n">
        <v>44840</v>
      </c>
      <c r="C1569" s="1" t="n">
        <v>45637</v>
      </c>
      <c r="D1569" t="inlineStr">
        <is>
          <t>VÄSTERNORRLANDS LÄN</t>
        </is>
      </c>
      <c r="E1569" t="inlineStr">
        <is>
          <t>SOLLEFTEÅ</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44805-2022</t>
        </is>
      </c>
      <c r="B1570" s="1" t="n">
        <v>44841</v>
      </c>
      <c r="C1570" s="1" t="n">
        <v>45637</v>
      </c>
      <c r="D1570" t="inlineStr">
        <is>
          <t>VÄSTERNORRLANDS LÄN</t>
        </is>
      </c>
      <c r="E1570" t="inlineStr">
        <is>
          <t>SOLLEFTEÅ</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45085-2022</t>
        </is>
      </c>
      <c r="B1571" s="1" t="n">
        <v>44841</v>
      </c>
      <c r="C1571" s="1" t="n">
        <v>45637</v>
      </c>
      <c r="D1571" t="inlineStr">
        <is>
          <t>VÄSTERNORRLANDS LÄN</t>
        </is>
      </c>
      <c r="E1571" t="inlineStr">
        <is>
          <t>SOLLEFTEÅ</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45119-2022</t>
        </is>
      </c>
      <c r="B1572" s="1" t="n">
        <v>44843</v>
      </c>
      <c r="C1572" s="1" t="n">
        <v>45637</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45117-2022</t>
        </is>
      </c>
      <c r="B1573" s="1" t="n">
        <v>44844</v>
      </c>
      <c r="C1573" s="1" t="n">
        <v>45637</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45121-2022</t>
        </is>
      </c>
      <c r="B1574" s="1" t="n">
        <v>44844</v>
      </c>
      <c r="C1574" s="1" t="n">
        <v>45637</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45120-2022</t>
        </is>
      </c>
      <c r="B1575" s="1" t="n">
        <v>44843</v>
      </c>
      <c r="C1575" s="1" t="n">
        <v>45637</v>
      </c>
      <c r="D1575" t="inlineStr">
        <is>
          <t>VÄSTERNORRLANDS LÄN</t>
        </is>
      </c>
      <c r="E1575" t="inlineStr">
        <is>
          <t>SOLLEFTEÅ</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45118-2022</t>
        </is>
      </c>
      <c r="B1576" s="1" t="n">
        <v>44843</v>
      </c>
      <c r="C1576" s="1" t="n">
        <v>45637</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45419-2022</t>
        </is>
      </c>
      <c r="B1577" s="1" t="n">
        <v>44844</v>
      </c>
      <c r="C1577" s="1" t="n">
        <v>45637</v>
      </c>
      <c r="D1577" t="inlineStr">
        <is>
          <t>VÄSTERNORRLANDS LÄN</t>
        </is>
      </c>
      <c r="E1577" t="inlineStr">
        <is>
          <t>SOLLEFTEÅ</t>
        </is>
      </c>
      <c r="G1577" t="n">
        <v>12.7</v>
      </c>
      <c r="H1577" t="n">
        <v>0</v>
      </c>
      <c r="I1577" t="n">
        <v>0</v>
      </c>
      <c r="J1577" t="n">
        <v>0</v>
      </c>
      <c r="K1577" t="n">
        <v>0</v>
      </c>
      <c r="L1577" t="n">
        <v>0</v>
      </c>
      <c r="M1577" t="n">
        <v>0</v>
      </c>
      <c r="N1577" t="n">
        <v>0</v>
      </c>
      <c r="O1577" t="n">
        <v>0</v>
      </c>
      <c r="P1577" t="n">
        <v>0</v>
      </c>
      <c r="Q1577" t="n">
        <v>0</v>
      </c>
      <c r="R1577" s="2" t="inlineStr"/>
    </row>
    <row r="1578" ht="15" customHeight="1">
      <c r="A1578" t="inlineStr">
        <is>
          <t>A 45423-2022</t>
        </is>
      </c>
      <c r="B1578" s="1" t="n">
        <v>44845</v>
      </c>
      <c r="C1578" s="1" t="n">
        <v>45637</v>
      </c>
      <c r="D1578" t="inlineStr">
        <is>
          <t>VÄSTERNORRLANDS LÄN</t>
        </is>
      </c>
      <c r="E1578" t="inlineStr">
        <is>
          <t>SOLLEFTEÅ</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46130-2022</t>
        </is>
      </c>
      <c r="B1579" s="1" t="n">
        <v>44844</v>
      </c>
      <c r="C1579" s="1" t="n">
        <v>45637</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45719-2022</t>
        </is>
      </c>
      <c r="B1580" s="1" t="n">
        <v>44846</v>
      </c>
      <c r="C1580" s="1" t="n">
        <v>45637</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46039-2022</t>
        </is>
      </c>
      <c r="B1581" s="1" t="n">
        <v>44847</v>
      </c>
      <c r="C1581" s="1" t="n">
        <v>45637</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46032-2022</t>
        </is>
      </c>
      <c r="B1582" s="1" t="n">
        <v>44846</v>
      </c>
      <c r="C1582" s="1" t="n">
        <v>45637</v>
      </c>
      <c r="D1582" t="inlineStr">
        <is>
          <t>VÄSTERNORRLANDS LÄN</t>
        </is>
      </c>
      <c r="E1582" t="inlineStr">
        <is>
          <t>SOLLEFTEÅ</t>
        </is>
      </c>
      <c r="F1582" t="inlineStr">
        <is>
          <t>SCA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46036-2022</t>
        </is>
      </c>
      <c r="B1583" s="1" t="n">
        <v>44846</v>
      </c>
      <c r="C1583" s="1" t="n">
        <v>45637</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46052-2022</t>
        </is>
      </c>
      <c r="B1584" s="1" t="n">
        <v>44846</v>
      </c>
      <c r="C1584" s="1" t="n">
        <v>45637</v>
      </c>
      <c r="D1584" t="inlineStr">
        <is>
          <t>VÄSTERNORRLANDS LÄN</t>
        </is>
      </c>
      <c r="E1584" t="inlineStr">
        <is>
          <t>SOLLEFTEÅ</t>
        </is>
      </c>
      <c r="F1584" t="inlineStr">
        <is>
          <t>SCA</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46053-2022</t>
        </is>
      </c>
      <c r="B1585" s="1" t="n">
        <v>44846</v>
      </c>
      <c r="C1585" s="1" t="n">
        <v>45637</v>
      </c>
      <c r="D1585" t="inlineStr">
        <is>
          <t>VÄSTERNORRLANDS LÄN</t>
        </is>
      </c>
      <c r="E1585" t="inlineStr">
        <is>
          <t>SOLLEFTEÅ</t>
        </is>
      </c>
      <c r="F1585" t="inlineStr">
        <is>
          <t>SCA</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46324-2022</t>
        </is>
      </c>
      <c r="B1586" s="1" t="n">
        <v>44847</v>
      </c>
      <c r="C1586" s="1" t="n">
        <v>45637</v>
      </c>
      <c r="D1586" t="inlineStr">
        <is>
          <t>VÄSTERNORRLANDS LÄN</t>
        </is>
      </c>
      <c r="E1586" t="inlineStr">
        <is>
          <t>SOLLEFTEÅ</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46626-2022</t>
        </is>
      </c>
      <c r="B1587" s="1" t="n">
        <v>44848</v>
      </c>
      <c r="C1587" s="1" t="n">
        <v>45637</v>
      </c>
      <c r="D1587" t="inlineStr">
        <is>
          <t>VÄSTERNORRLANDS LÄN</t>
        </is>
      </c>
      <c r="E1587" t="inlineStr">
        <is>
          <t>SOLLEFTEÅ</t>
        </is>
      </c>
      <c r="F1587" t="inlineStr">
        <is>
          <t>SCA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46616-2022</t>
        </is>
      </c>
      <c r="B1588" s="1" t="n">
        <v>44848</v>
      </c>
      <c r="C1588" s="1" t="n">
        <v>45637</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46664-2022</t>
        </is>
      </c>
      <c r="B1589" s="1" t="n">
        <v>44851</v>
      </c>
      <c r="C1589" s="1" t="n">
        <v>45637</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46871-2022</t>
        </is>
      </c>
      <c r="B1590" s="1" t="n">
        <v>44851</v>
      </c>
      <c r="C1590" s="1" t="n">
        <v>45637</v>
      </c>
      <c r="D1590" t="inlineStr">
        <is>
          <t>VÄSTERNORRLANDS LÄN</t>
        </is>
      </c>
      <c r="E1590" t="inlineStr">
        <is>
          <t>SOLLEFTEÅ</t>
        </is>
      </c>
      <c r="F1590" t="inlineStr">
        <is>
          <t>Kyrkan</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46880-2022</t>
        </is>
      </c>
      <c r="B1591" s="1" t="n">
        <v>44851</v>
      </c>
      <c r="C1591" s="1" t="n">
        <v>45637</v>
      </c>
      <c r="D1591" t="inlineStr">
        <is>
          <t>VÄSTERNORRLANDS LÄN</t>
        </is>
      </c>
      <c r="E1591" t="inlineStr">
        <is>
          <t>SOLLEFTEÅ</t>
        </is>
      </c>
      <c r="F1591" t="inlineStr">
        <is>
          <t>Kyrkan</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46986-2022</t>
        </is>
      </c>
      <c r="B1592" s="1" t="n">
        <v>44851</v>
      </c>
      <c r="C1592" s="1" t="n">
        <v>45637</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46985-2022</t>
        </is>
      </c>
      <c r="B1593" s="1" t="n">
        <v>44851</v>
      </c>
      <c r="C1593" s="1" t="n">
        <v>45637</v>
      </c>
      <c r="D1593" t="inlineStr">
        <is>
          <t>VÄSTERNORRLANDS LÄN</t>
        </is>
      </c>
      <c r="E1593" t="inlineStr">
        <is>
          <t>SOLLEFTEÅ</t>
        </is>
      </c>
      <c r="F1593" t="inlineStr">
        <is>
          <t>Kyrkan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47250-2022</t>
        </is>
      </c>
      <c r="B1594" s="1" t="n">
        <v>44852</v>
      </c>
      <c r="C1594" s="1" t="n">
        <v>45637</v>
      </c>
      <c r="D1594" t="inlineStr">
        <is>
          <t>VÄSTERNORRLANDS LÄN</t>
        </is>
      </c>
      <c r="E1594" t="inlineStr">
        <is>
          <t>SOLLEFTEÅ</t>
        </is>
      </c>
      <c r="F1594" t="inlineStr">
        <is>
          <t>SCA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47268-2022</t>
        </is>
      </c>
      <c r="B1595" s="1" t="n">
        <v>44853</v>
      </c>
      <c r="C1595" s="1" t="n">
        <v>45637</v>
      </c>
      <c r="D1595" t="inlineStr">
        <is>
          <t>VÄSTERNORRLANDS LÄN</t>
        </is>
      </c>
      <c r="E1595" t="inlineStr">
        <is>
          <t>SOLLEFTEÅ</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47269-2022</t>
        </is>
      </c>
      <c r="B1596" s="1" t="n">
        <v>44853</v>
      </c>
      <c r="C1596" s="1" t="n">
        <v>45637</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47272-2022</t>
        </is>
      </c>
      <c r="B1597" s="1" t="n">
        <v>44853</v>
      </c>
      <c r="C1597" s="1" t="n">
        <v>45637</v>
      </c>
      <c r="D1597" t="inlineStr">
        <is>
          <t>VÄSTERNORRLANDS LÄN</t>
        </is>
      </c>
      <c r="E1597" t="inlineStr">
        <is>
          <t>SOLLEFTEÅ</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47564-2022</t>
        </is>
      </c>
      <c r="B1598" s="1" t="n">
        <v>44854</v>
      </c>
      <c r="C1598" s="1" t="n">
        <v>45637</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47580-2022</t>
        </is>
      </c>
      <c r="B1599" s="1" t="n">
        <v>44854</v>
      </c>
      <c r="C1599" s="1" t="n">
        <v>45637</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47787-2022</t>
        </is>
      </c>
      <c r="B1600" s="1" t="n">
        <v>44855</v>
      </c>
      <c r="C1600" s="1" t="n">
        <v>45637</v>
      </c>
      <c r="D1600" t="inlineStr">
        <is>
          <t>VÄSTERNORRLANDS LÄN</t>
        </is>
      </c>
      <c r="E1600" t="inlineStr">
        <is>
          <t>SOLLEFTEÅ</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47814-2022</t>
        </is>
      </c>
      <c r="B1601" s="1" t="n">
        <v>44855</v>
      </c>
      <c r="C1601" s="1" t="n">
        <v>45637</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47812-2022</t>
        </is>
      </c>
      <c r="B1602" s="1" t="n">
        <v>44855</v>
      </c>
      <c r="C1602" s="1" t="n">
        <v>45637</v>
      </c>
      <c r="D1602" t="inlineStr">
        <is>
          <t>VÄSTERNORRLANDS LÄN</t>
        </is>
      </c>
      <c r="E1602" t="inlineStr">
        <is>
          <t>SOLLEFTEÅ</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47875-2022</t>
        </is>
      </c>
      <c r="B1603" s="1" t="n">
        <v>44855</v>
      </c>
      <c r="C1603" s="1" t="n">
        <v>45637</v>
      </c>
      <c r="D1603" t="inlineStr">
        <is>
          <t>VÄSTERNORRLANDS LÄN</t>
        </is>
      </c>
      <c r="E1603" t="inlineStr">
        <is>
          <t>SOLLEFTEÅ</t>
        </is>
      </c>
      <c r="F1603" t="inlineStr">
        <is>
          <t>Holmen skog AB</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48056-2022</t>
        </is>
      </c>
      <c r="B1604" s="1" t="n">
        <v>44856</v>
      </c>
      <c r="C1604" s="1" t="n">
        <v>45637</v>
      </c>
      <c r="D1604" t="inlineStr">
        <is>
          <t>VÄSTERNORRLANDS LÄN</t>
        </is>
      </c>
      <c r="E1604" t="inlineStr">
        <is>
          <t>SOLLEFTEÅ</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48064-2022</t>
        </is>
      </c>
      <c r="B1605" s="1" t="n">
        <v>44856</v>
      </c>
      <c r="C1605" s="1" t="n">
        <v>45637</v>
      </c>
      <c r="D1605" t="inlineStr">
        <is>
          <t>VÄSTERNORRLANDS LÄN</t>
        </is>
      </c>
      <c r="E1605" t="inlineStr">
        <is>
          <t>SOLLEFTEÅ</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48067-2022</t>
        </is>
      </c>
      <c r="B1606" s="1" t="n">
        <v>44855</v>
      </c>
      <c r="C1606" s="1" t="n">
        <v>45637</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48062-2022</t>
        </is>
      </c>
      <c r="B1607" s="1" t="n">
        <v>44856</v>
      </c>
      <c r="C1607" s="1" t="n">
        <v>45637</v>
      </c>
      <c r="D1607" t="inlineStr">
        <is>
          <t>VÄSTERNORRLANDS LÄN</t>
        </is>
      </c>
      <c r="E1607" t="inlineStr">
        <is>
          <t>SOLLEFTEÅ</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47826-2022</t>
        </is>
      </c>
      <c r="B1608" s="1" t="n">
        <v>44855</v>
      </c>
      <c r="C1608" s="1" t="n">
        <v>45637</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48057-2022</t>
        </is>
      </c>
      <c r="B1609" s="1" t="n">
        <v>44856</v>
      </c>
      <c r="C1609" s="1" t="n">
        <v>45637</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48065-2022</t>
        </is>
      </c>
      <c r="B1610" s="1" t="n">
        <v>44856</v>
      </c>
      <c r="C1610" s="1" t="n">
        <v>45637</v>
      </c>
      <c r="D1610" t="inlineStr">
        <is>
          <t>VÄSTERNORRLANDS LÄN</t>
        </is>
      </c>
      <c r="E1610" t="inlineStr">
        <is>
          <t>SOLLEFTEÅ</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48738-2022</t>
        </is>
      </c>
      <c r="B1611" s="1" t="n">
        <v>44855</v>
      </c>
      <c r="C1611" s="1" t="n">
        <v>45637</v>
      </c>
      <c r="D1611" t="inlineStr">
        <is>
          <t>VÄSTERNORRLANDS LÄN</t>
        </is>
      </c>
      <c r="E1611" t="inlineStr">
        <is>
          <t>SOLLEFTEÅ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48240-2022</t>
        </is>
      </c>
      <c r="B1612" s="1" t="n">
        <v>44858</v>
      </c>
      <c r="C1612" s="1" t="n">
        <v>45637</v>
      </c>
      <c r="D1612" t="inlineStr">
        <is>
          <t>VÄSTERNORRLANDS LÄN</t>
        </is>
      </c>
      <c r="E1612" t="inlineStr">
        <is>
          <t>SOLLEFTEÅ</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48511-2022</t>
        </is>
      </c>
      <c r="B1613" s="1" t="n">
        <v>44859</v>
      </c>
      <c r="C1613" s="1" t="n">
        <v>45637</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48512-2022</t>
        </is>
      </c>
      <c r="B1614" s="1" t="n">
        <v>44859</v>
      </c>
      <c r="C1614" s="1" t="n">
        <v>45637</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48519-2022</t>
        </is>
      </c>
      <c r="B1615" s="1" t="n">
        <v>44858</v>
      </c>
      <c r="C1615" s="1" t="n">
        <v>45637</v>
      </c>
      <c r="D1615" t="inlineStr">
        <is>
          <t>VÄSTERNORRLANDS LÄN</t>
        </is>
      </c>
      <c r="E1615" t="inlineStr">
        <is>
          <t>SOLLEFTEÅ</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48296-2022</t>
        </is>
      </c>
      <c r="B1616" s="1" t="n">
        <v>44858</v>
      </c>
      <c r="C1616" s="1" t="n">
        <v>45637</v>
      </c>
      <c r="D1616" t="inlineStr">
        <is>
          <t>VÄSTERNORRLANDS LÄN</t>
        </is>
      </c>
      <c r="E1616" t="inlineStr">
        <is>
          <t>SOLLEFTEÅ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48510-2022</t>
        </is>
      </c>
      <c r="B1617" s="1" t="n">
        <v>44858</v>
      </c>
      <c r="C1617" s="1" t="n">
        <v>45637</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48535-2022</t>
        </is>
      </c>
      <c r="B1618" s="1" t="n">
        <v>44859</v>
      </c>
      <c r="C1618" s="1" t="n">
        <v>45637</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48513-2022</t>
        </is>
      </c>
      <c r="B1619" s="1" t="n">
        <v>44859</v>
      </c>
      <c r="C1619" s="1" t="n">
        <v>45637</v>
      </c>
      <c r="D1619" t="inlineStr">
        <is>
          <t>VÄSTERNORRLANDS LÄN</t>
        </is>
      </c>
      <c r="E1619" t="inlineStr">
        <is>
          <t>SOLLEFTEÅ</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48905-2022</t>
        </is>
      </c>
      <c r="B1620" s="1" t="n">
        <v>44859</v>
      </c>
      <c r="C1620" s="1" t="n">
        <v>45637</v>
      </c>
      <c r="D1620" t="inlineStr">
        <is>
          <t>VÄSTERNORRLANDS LÄN</t>
        </is>
      </c>
      <c r="E1620" t="inlineStr">
        <is>
          <t>SOLLEFTEÅ</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48915-2022</t>
        </is>
      </c>
      <c r="B1621" s="1" t="n">
        <v>44860</v>
      </c>
      <c r="C1621" s="1" t="n">
        <v>45637</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48919-2022</t>
        </is>
      </c>
      <c r="B1622" s="1" t="n">
        <v>44859</v>
      </c>
      <c r="C1622" s="1" t="n">
        <v>45637</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48901-2022</t>
        </is>
      </c>
      <c r="B1623" s="1" t="n">
        <v>44860</v>
      </c>
      <c r="C1623" s="1" t="n">
        <v>45637</v>
      </c>
      <c r="D1623" t="inlineStr">
        <is>
          <t>VÄSTERNORRLANDS LÄN</t>
        </is>
      </c>
      <c r="E1623" t="inlineStr">
        <is>
          <t>SOLLEFTEÅ</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48913-2022</t>
        </is>
      </c>
      <c r="B1624" s="1" t="n">
        <v>44860</v>
      </c>
      <c r="C1624" s="1" t="n">
        <v>45637</v>
      </c>
      <c r="D1624" t="inlineStr">
        <is>
          <t>VÄSTERNORRLANDS LÄN</t>
        </is>
      </c>
      <c r="E1624" t="inlineStr">
        <is>
          <t>SOLLEFTEÅ</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48923-2022</t>
        </is>
      </c>
      <c r="B1625" s="1" t="n">
        <v>44860</v>
      </c>
      <c r="C1625" s="1" t="n">
        <v>45637</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48902-2022</t>
        </is>
      </c>
      <c r="B1626" s="1" t="n">
        <v>44859</v>
      </c>
      <c r="C1626" s="1" t="n">
        <v>45637</v>
      </c>
      <c r="D1626" t="inlineStr">
        <is>
          <t>VÄSTERNORRLANDS LÄN</t>
        </is>
      </c>
      <c r="E1626" t="inlineStr">
        <is>
          <t>SOLLEFTEÅ</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48914-2022</t>
        </is>
      </c>
      <c r="B1627" s="1" t="n">
        <v>44860</v>
      </c>
      <c r="C1627" s="1" t="n">
        <v>45637</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49694-2022</t>
        </is>
      </c>
      <c r="B1628" s="1" t="n">
        <v>44859</v>
      </c>
      <c r="C1628" s="1" t="n">
        <v>45637</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49708-2022</t>
        </is>
      </c>
      <c r="B1629" s="1" t="n">
        <v>44859</v>
      </c>
      <c r="C1629" s="1" t="n">
        <v>45637</v>
      </c>
      <c r="D1629" t="inlineStr">
        <is>
          <t>VÄSTERNORRLANDS LÄN</t>
        </is>
      </c>
      <c r="E1629" t="inlineStr">
        <is>
          <t>SOLLEFTEÅ</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49176-2022</t>
        </is>
      </c>
      <c r="B1630" s="1" t="n">
        <v>44861</v>
      </c>
      <c r="C1630" s="1" t="n">
        <v>45637</v>
      </c>
      <c r="D1630" t="inlineStr">
        <is>
          <t>VÄSTERNORRLANDS LÄN</t>
        </is>
      </c>
      <c r="E1630" t="inlineStr">
        <is>
          <t>SOLLEFTEÅ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49181-2022</t>
        </is>
      </c>
      <c r="B1631" s="1" t="n">
        <v>44861</v>
      </c>
      <c r="C1631" s="1" t="n">
        <v>45637</v>
      </c>
      <c r="D1631" t="inlineStr">
        <is>
          <t>VÄSTERNORRLANDS LÄN</t>
        </is>
      </c>
      <c r="E1631" t="inlineStr">
        <is>
          <t>SOLLEFTEÅ</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49170-2022</t>
        </is>
      </c>
      <c r="B1632" s="1" t="n">
        <v>44861</v>
      </c>
      <c r="C1632" s="1" t="n">
        <v>45637</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49198-2022</t>
        </is>
      </c>
      <c r="B1633" s="1" t="n">
        <v>44860</v>
      </c>
      <c r="C1633" s="1" t="n">
        <v>45637</v>
      </c>
      <c r="D1633" t="inlineStr">
        <is>
          <t>VÄSTERNORRLANDS LÄN</t>
        </is>
      </c>
      <c r="E1633" t="inlineStr">
        <is>
          <t>SOLLEFTEÅ</t>
        </is>
      </c>
      <c r="F1633" t="inlineStr">
        <is>
          <t>SCA</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49177-2022</t>
        </is>
      </c>
      <c r="B1634" s="1" t="n">
        <v>44861</v>
      </c>
      <c r="C1634" s="1" t="n">
        <v>45637</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49171-2022</t>
        </is>
      </c>
      <c r="B1635" s="1" t="n">
        <v>44861</v>
      </c>
      <c r="C1635" s="1" t="n">
        <v>45637</v>
      </c>
      <c r="D1635" t="inlineStr">
        <is>
          <t>VÄSTERNORRLANDS LÄN</t>
        </is>
      </c>
      <c r="E1635" t="inlineStr">
        <is>
          <t>SOLLEFTEÅ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49175-2022</t>
        </is>
      </c>
      <c r="B1636" s="1" t="n">
        <v>44861</v>
      </c>
      <c r="C1636" s="1" t="n">
        <v>45637</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49200-2022</t>
        </is>
      </c>
      <c r="B1637" s="1" t="n">
        <v>44861</v>
      </c>
      <c r="C1637" s="1" t="n">
        <v>45637</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49520-2022</t>
        </is>
      </c>
      <c r="B1638" s="1" t="n">
        <v>44862</v>
      </c>
      <c r="C1638" s="1" t="n">
        <v>45637</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49513-2022</t>
        </is>
      </c>
      <c r="B1639" s="1" t="n">
        <v>44862</v>
      </c>
      <c r="C1639" s="1" t="n">
        <v>45637</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49512-2022</t>
        </is>
      </c>
      <c r="B1640" s="1" t="n">
        <v>44861</v>
      </c>
      <c r="C1640" s="1" t="n">
        <v>45637</v>
      </c>
      <c r="D1640" t="inlineStr">
        <is>
          <t>VÄSTERNORRLANDS LÄN</t>
        </is>
      </c>
      <c r="E1640" t="inlineStr">
        <is>
          <t>SOLLEFTEÅ</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49521-2022</t>
        </is>
      </c>
      <c r="B1641" s="1" t="n">
        <v>44861</v>
      </c>
      <c r="C1641" s="1" t="n">
        <v>45637</v>
      </c>
      <c r="D1641" t="inlineStr">
        <is>
          <t>VÄSTERNORRLANDS LÄN</t>
        </is>
      </c>
      <c r="E1641" t="inlineStr">
        <is>
          <t>SOLLEFTEÅ</t>
        </is>
      </c>
      <c r="F1641" t="inlineStr">
        <is>
          <t>SCA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49538-2022</t>
        </is>
      </c>
      <c r="B1642" s="1" t="n">
        <v>44861</v>
      </c>
      <c r="C1642" s="1" t="n">
        <v>45637</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49665-2022</t>
        </is>
      </c>
      <c r="B1643" s="1" t="n">
        <v>44862</v>
      </c>
      <c r="C1643" s="1" t="n">
        <v>45637</v>
      </c>
      <c r="D1643" t="inlineStr">
        <is>
          <t>VÄSTERNORRLANDS LÄN</t>
        </is>
      </c>
      <c r="E1643" t="inlineStr">
        <is>
          <t>SOLLEFTEÅ</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49860-2022</t>
        </is>
      </c>
      <c r="B1644" s="1" t="n">
        <v>44862</v>
      </c>
      <c r="C1644" s="1" t="n">
        <v>45637</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49866-2022</t>
        </is>
      </c>
      <c r="B1645" s="1" t="n">
        <v>44863</v>
      </c>
      <c r="C1645" s="1" t="n">
        <v>45637</v>
      </c>
      <c r="D1645" t="inlineStr">
        <is>
          <t>VÄSTERNORRLANDS LÄN</t>
        </is>
      </c>
      <c r="E1645" t="inlineStr">
        <is>
          <t>SOLLEFTEÅ</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50813-2022</t>
        </is>
      </c>
      <c r="B1646" s="1" t="n">
        <v>44862</v>
      </c>
      <c r="C1646" s="1" t="n">
        <v>45637</v>
      </c>
      <c r="D1646" t="inlineStr">
        <is>
          <t>VÄSTERNORRLANDS LÄN</t>
        </is>
      </c>
      <c r="E1646" t="inlineStr">
        <is>
          <t>SOLLEFTEÅ</t>
        </is>
      </c>
      <c r="F1646" t="inlineStr">
        <is>
          <t>Övriga statliga verk och myndigheter</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50825-2022</t>
        </is>
      </c>
      <c r="B1647" s="1" t="n">
        <v>44862</v>
      </c>
      <c r="C1647" s="1" t="n">
        <v>45637</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49911-2022</t>
        </is>
      </c>
      <c r="B1648" s="1" t="n">
        <v>44865</v>
      </c>
      <c r="C1648" s="1" t="n">
        <v>45637</v>
      </c>
      <c r="D1648" t="inlineStr">
        <is>
          <t>VÄSTERNORRLANDS LÄN</t>
        </is>
      </c>
      <c r="E1648" t="inlineStr">
        <is>
          <t>SOLLEFTEÅ</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50318-2022</t>
        </is>
      </c>
      <c r="B1649" s="1" t="n">
        <v>44865</v>
      </c>
      <c r="C1649" s="1" t="n">
        <v>45637</v>
      </c>
      <c r="D1649" t="inlineStr">
        <is>
          <t>VÄSTERNORRLANDS LÄN</t>
        </is>
      </c>
      <c r="E1649" t="inlineStr">
        <is>
          <t>SOLLEFTEÅ</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51080-2022</t>
        </is>
      </c>
      <c r="B1650" s="1" t="n">
        <v>44865</v>
      </c>
      <c r="C1650" s="1" t="n">
        <v>45637</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50641-2022</t>
        </is>
      </c>
      <c r="B1651" s="1" t="n">
        <v>44866</v>
      </c>
      <c r="C1651" s="1" t="n">
        <v>45637</v>
      </c>
      <c r="D1651" t="inlineStr">
        <is>
          <t>VÄSTERNORRLANDS LÄN</t>
        </is>
      </c>
      <c r="E1651" t="inlineStr">
        <is>
          <t>SOLLEFTEÅ</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50642-2022</t>
        </is>
      </c>
      <c r="B1652" s="1" t="n">
        <v>44866</v>
      </c>
      <c r="C1652" s="1" t="n">
        <v>45637</v>
      </c>
      <c r="D1652" t="inlineStr">
        <is>
          <t>VÄSTERNORRLANDS LÄN</t>
        </is>
      </c>
      <c r="E1652" t="inlineStr">
        <is>
          <t>SOLLEFTEÅ</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50655-2022</t>
        </is>
      </c>
      <c r="B1653" s="1" t="n">
        <v>44866</v>
      </c>
      <c r="C1653" s="1" t="n">
        <v>45637</v>
      </c>
      <c r="D1653" t="inlineStr">
        <is>
          <t>VÄSTERNORRLANDS LÄN</t>
        </is>
      </c>
      <c r="E1653" t="inlineStr">
        <is>
          <t>SOLLEFTEÅ</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50656-2022</t>
        </is>
      </c>
      <c r="B1654" s="1" t="n">
        <v>44866</v>
      </c>
      <c r="C1654" s="1" t="n">
        <v>45637</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50662-2022</t>
        </is>
      </c>
      <c r="B1655" s="1" t="n">
        <v>44866</v>
      </c>
      <c r="C1655" s="1" t="n">
        <v>45637</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51249-2022</t>
        </is>
      </c>
      <c r="B1656" s="1" t="n">
        <v>44866</v>
      </c>
      <c r="C1656" s="1" t="n">
        <v>45637</v>
      </c>
      <c r="D1656" t="inlineStr">
        <is>
          <t>VÄSTERNORRLANDS LÄN</t>
        </is>
      </c>
      <c r="E1656" t="inlineStr">
        <is>
          <t>SOLLEFTEÅ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51006-2022</t>
        </is>
      </c>
      <c r="B1657" s="1" t="n">
        <v>44867</v>
      </c>
      <c r="C1657" s="1" t="n">
        <v>45637</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51212-2022</t>
        </is>
      </c>
      <c r="B1658" s="1" t="n">
        <v>44868</v>
      </c>
      <c r="C1658" s="1" t="n">
        <v>45637</v>
      </c>
      <c r="D1658" t="inlineStr">
        <is>
          <t>VÄSTERNORRLANDS LÄN</t>
        </is>
      </c>
      <c r="E1658" t="inlineStr">
        <is>
          <t>SOLLEFTEÅ</t>
        </is>
      </c>
      <c r="F1658" t="inlineStr">
        <is>
          <t>Holmen skog AB</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51317-2022</t>
        </is>
      </c>
      <c r="B1659" s="1" t="n">
        <v>44868</v>
      </c>
      <c r="C1659" s="1" t="n">
        <v>45637</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51314-2022</t>
        </is>
      </c>
      <c r="B1660" s="1" t="n">
        <v>44868</v>
      </c>
      <c r="C1660" s="1" t="n">
        <v>45637</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51544-2022</t>
        </is>
      </c>
      <c r="B1661" s="1" t="n">
        <v>44869</v>
      </c>
      <c r="C1661" s="1" t="n">
        <v>45637</v>
      </c>
      <c r="D1661" t="inlineStr">
        <is>
          <t>VÄSTERNORRLANDS LÄN</t>
        </is>
      </c>
      <c r="E1661" t="inlineStr">
        <is>
          <t>SOLLEFTEÅ</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51541-2022</t>
        </is>
      </c>
      <c r="B1662" s="1" t="n">
        <v>44869</v>
      </c>
      <c r="C1662" s="1" t="n">
        <v>45637</v>
      </c>
      <c r="D1662" t="inlineStr">
        <is>
          <t>VÄSTERNORRLANDS LÄN</t>
        </is>
      </c>
      <c r="E1662" t="inlineStr">
        <is>
          <t>SOLLEFTEÅ</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51543-2022</t>
        </is>
      </c>
      <c r="B1663" s="1" t="n">
        <v>44869</v>
      </c>
      <c r="C1663" s="1" t="n">
        <v>45637</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51739-2022</t>
        </is>
      </c>
      <c r="B1664" s="1" t="n">
        <v>44872</v>
      </c>
      <c r="C1664" s="1" t="n">
        <v>45637</v>
      </c>
      <c r="D1664" t="inlineStr">
        <is>
          <t>VÄSTERNORRLANDS LÄN</t>
        </is>
      </c>
      <c r="E1664" t="inlineStr">
        <is>
          <t>SOLLEFTEÅ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52013-2022</t>
        </is>
      </c>
      <c r="B1665" s="1" t="n">
        <v>44872</v>
      </c>
      <c r="C1665" s="1" t="n">
        <v>45637</v>
      </c>
      <c r="D1665" t="inlineStr">
        <is>
          <t>VÄSTERNORRLANDS LÄN</t>
        </is>
      </c>
      <c r="E1665" t="inlineStr">
        <is>
          <t>SOLLEFTEÅ</t>
        </is>
      </c>
      <c r="F1665" t="inlineStr">
        <is>
          <t>SCA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52034-2022</t>
        </is>
      </c>
      <c r="B1666" s="1" t="n">
        <v>44872</v>
      </c>
      <c r="C1666" s="1" t="n">
        <v>45637</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52040-2022</t>
        </is>
      </c>
      <c r="B1667" s="1" t="n">
        <v>44872</v>
      </c>
      <c r="C1667" s="1" t="n">
        <v>45637</v>
      </c>
      <c r="D1667" t="inlineStr">
        <is>
          <t>VÄSTERNORRLANDS LÄN</t>
        </is>
      </c>
      <c r="E1667" t="inlineStr">
        <is>
          <t>SOLLEFTEÅ</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52035-2022</t>
        </is>
      </c>
      <c r="B1668" s="1" t="n">
        <v>44872</v>
      </c>
      <c r="C1668" s="1" t="n">
        <v>45637</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52039-2022</t>
        </is>
      </c>
      <c r="B1669" s="1" t="n">
        <v>44872</v>
      </c>
      <c r="C1669" s="1" t="n">
        <v>45637</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53128-2022</t>
        </is>
      </c>
      <c r="B1670" s="1" t="n">
        <v>44873</v>
      </c>
      <c r="C1670" s="1" t="n">
        <v>45637</v>
      </c>
      <c r="D1670" t="inlineStr">
        <is>
          <t>VÄSTERNORRLANDS LÄN</t>
        </is>
      </c>
      <c r="E1670" t="inlineStr">
        <is>
          <t>SOLLEFTEÅ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53123-2022</t>
        </is>
      </c>
      <c r="B1671" s="1" t="n">
        <v>44873</v>
      </c>
      <c r="C1671" s="1" t="n">
        <v>45637</v>
      </c>
      <c r="D1671" t="inlineStr">
        <is>
          <t>VÄSTERNORRLANDS LÄN</t>
        </is>
      </c>
      <c r="E1671" t="inlineStr">
        <is>
          <t>SOLLEFTEÅ</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52549-2022</t>
        </is>
      </c>
      <c r="B1672" s="1" t="n">
        <v>44874</v>
      </c>
      <c r="C1672" s="1" t="n">
        <v>45637</v>
      </c>
      <c r="D1672" t="inlineStr">
        <is>
          <t>VÄSTERNORRLANDS LÄN</t>
        </is>
      </c>
      <c r="E1672" t="inlineStr">
        <is>
          <t>SOLLEFTEÅ</t>
        </is>
      </c>
      <c r="F1672" t="inlineStr">
        <is>
          <t>Holmen skog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52735-2022</t>
        </is>
      </c>
      <c r="B1673" s="1" t="n">
        <v>44874</v>
      </c>
      <c r="C1673" s="1" t="n">
        <v>45637</v>
      </c>
      <c r="D1673" t="inlineStr">
        <is>
          <t>VÄSTERNORRLANDS LÄN</t>
        </is>
      </c>
      <c r="E1673" t="inlineStr">
        <is>
          <t>SOLLEFTEÅ</t>
        </is>
      </c>
      <c r="F1673" t="inlineStr">
        <is>
          <t>SCA</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52595-2022</t>
        </is>
      </c>
      <c r="B1674" s="1" t="n">
        <v>44874</v>
      </c>
      <c r="C1674" s="1" t="n">
        <v>45637</v>
      </c>
      <c r="D1674" t="inlineStr">
        <is>
          <t>VÄSTERNORRLANDS LÄN</t>
        </is>
      </c>
      <c r="E1674" t="inlineStr">
        <is>
          <t>SOLLEFTEÅ</t>
        </is>
      </c>
      <c r="F1674" t="inlineStr">
        <is>
          <t>Holmen skog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52717-2022</t>
        </is>
      </c>
      <c r="B1675" s="1" t="n">
        <v>44874</v>
      </c>
      <c r="C1675" s="1" t="n">
        <v>45637</v>
      </c>
      <c r="D1675" t="inlineStr">
        <is>
          <t>VÄSTERNORRLANDS LÄN</t>
        </is>
      </c>
      <c r="E1675" t="inlineStr">
        <is>
          <t>SOLLEFTEÅ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52718-2022</t>
        </is>
      </c>
      <c r="B1676" s="1" t="n">
        <v>44874</v>
      </c>
      <c r="C1676" s="1" t="n">
        <v>45637</v>
      </c>
      <c r="D1676" t="inlineStr">
        <is>
          <t>VÄSTERNORRLANDS LÄN</t>
        </is>
      </c>
      <c r="E1676" t="inlineStr">
        <is>
          <t>SOLLEFTEÅ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53012-2022</t>
        </is>
      </c>
      <c r="B1677" s="1" t="n">
        <v>44875</v>
      </c>
      <c r="C1677" s="1" t="n">
        <v>45637</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52777-2022</t>
        </is>
      </c>
      <c r="B1678" s="1" t="n">
        <v>44875</v>
      </c>
      <c r="C1678" s="1" t="n">
        <v>45637</v>
      </c>
      <c r="D1678" t="inlineStr">
        <is>
          <t>VÄSTERNORRLANDS LÄN</t>
        </is>
      </c>
      <c r="E1678" t="inlineStr">
        <is>
          <t>SOLLEFTEÅ</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53000-2022</t>
        </is>
      </c>
      <c r="B1679" s="1" t="n">
        <v>44875</v>
      </c>
      <c r="C1679" s="1" t="n">
        <v>45637</v>
      </c>
      <c r="D1679" t="inlineStr">
        <is>
          <t>VÄSTERNORRLANDS LÄN</t>
        </is>
      </c>
      <c r="E1679" t="inlineStr">
        <is>
          <t>SOLLEFTEÅ</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53011-2022</t>
        </is>
      </c>
      <c r="B1680" s="1" t="n">
        <v>44875</v>
      </c>
      <c r="C1680" s="1" t="n">
        <v>45637</v>
      </c>
      <c r="D1680" t="inlineStr">
        <is>
          <t>VÄSTERNORRLANDS LÄN</t>
        </is>
      </c>
      <c r="E1680" t="inlineStr">
        <is>
          <t>SOLLEFTEÅ</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53669-2022</t>
        </is>
      </c>
      <c r="B1681" s="1" t="n">
        <v>44879</v>
      </c>
      <c r="C1681" s="1" t="n">
        <v>45637</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53933-2022</t>
        </is>
      </c>
      <c r="B1682" s="1" t="n">
        <v>44880</v>
      </c>
      <c r="C1682" s="1" t="n">
        <v>45637</v>
      </c>
      <c r="D1682" t="inlineStr">
        <is>
          <t>VÄSTERNORRLANDS LÄN</t>
        </is>
      </c>
      <c r="E1682" t="inlineStr">
        <is>
          <t>SOLLEFTEÅ</t>
        </is>
      </c>
      <c r="F1682" t="inlineStr">
        <is>
          <t>SCA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53929-2022</t>
        </is>
      </c>
      <c r="B1683" s="1" t="n">
        <v>44880</v>
      </c>
      <c r="C1683" s="1" t="n">
        <v>45637</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53944-2022</t>
        </is>
      </c>
      <c r="B1684" s="1" t="n">
        <v>44880</v>
      </c>
      <c r="C1684" s="1" t="n">
        <v>45637</v>
      </c>
      <c r="D1684" t="inlineStr">
        <is>
          <t>VÄSTERNORRLANDS LÄN</t>
        </is>
      </c>
      <c r="E1684" t="inlineStr">
        <is>
          <t>SOLLEFTEÅ</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53947-2022</t>
        </is>
      </c>
      <c r="B1685" s="1" t="n">
        <v>44880</v>
      </c>
      <c r="C1685" s="1" t="n">
        <v>45637</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53985-2022</t>
        </is>
      </c>
      <c r="B1686" s="1" t="n">
        <v>44881</v>
      </c>
      <c r="C1686" s="1" t="n">
        <v>45637</v>
      </c>
      <c r="D1686" t="inlineStr">
        <is>
          <t>VÄSTERNORRLANDS LÄN</t>
        </is>
      </c>
      <c r="E1686" t="inlineStr">
        <is>
          <t>SOLLEFTEÅ</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54256-2022</t>
        </is>
      </c>
      <c r="B1687" s="1" t="n">
        <v>44881</v>
      </c>
      <c r="C1687" s="1" t="n">
        <v>45637</v>
      </c>
      <c r="D1687" t="inlineStr">
        <is>
          <t>VÄSTERNORRLANDS LÄN</t>
        </is>
      </c>
      <c r="E1687" t="inlineStr">
        <is>
          <t>SOLLEFTEÅ</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54242-2022</t>
        </is>
      </c>
      <c r="B1688" s="1" t="n">
        <v>44881</v>
      </c>
      <c r="C1688" s="1" t="n">
        <v>45637</v>
      </c>
      <c r="D1688" t="inlineStr">
        <is>
          <t>VÄSTERNORRLANDS LÄN</t>
        </is>
      </c>
      <c r="E1688" t="inlineStr">
        <is>
          <t>SOLLEFTEÅ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54249-2022</t>
        </is>
      </c>
      <c r="B1689" s="1" t="n">
        <v>44881</v>
      </c>
      <c r="C1689" s="1" t="n">
        <v>45637</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54255-2022</t>
        </is>
      </c>
      <c r="B1690" s="1" t="n">
        <v>44881</v>
      </c>
      <c r="C1690" s="1" t="n">
        <v>45637</v>
      </c>
      <c r="D1690" t="inlineStr">
        <is>
          <t>VÄSTERNORRLANDS LÄN</t>
        </is>
      </c>
      <c r="E1690" t="inlineStr">
        <is>
          <t>SOLLEFTEÅ</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54280-2022</t>
        </is>
      </c>
      <c r="B1691" s="1" t="n">
        <v>44882</v>
      </c>
      <c r="C1691" s="1" t="n">
        <v>45637</v>
      </c>
      <c r="D1691" t="inlineStr">
        <is>
          <t>VÄSTERNORRLANDS LÄN</t>
        </is>
      </c>
      <c r="E1691" t="inlineStr">
        <is>
          <t>SOLLEFTEÅ</t>
        </is>
      </c>
      <c r="F1691" t="inlineStr">
        <is>
          <t>Holmen skog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54538-2022</t>
        </is>
      </c>
      <c r="B1692" s="1" t="n">
        <v>44882</v>
      </c>
      <c r="C1692" s="1" t="n">
        <v>45637</v>
      </c>
      <c r="D1692" t="inlineStr">
        <is>
          <t>VÄSTERNORRLANDS LÄN</t>
        </is>
      </c>
      <c r="E1692" t="inlineStr">
        <is>
          <t>SOLLEFTEÅ</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54559-2022</t>
        </is>
      </c>
      <c r="B1693" s="1" t="n">
        <v>44882</v>
      </c>
      <c r="C1693" s="1" t="n">
        <v>45637</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54573-2022</t>
        </is>
      </c>
      <c r="B1694" s="1" t="n">
        <v>44882</v>
      </c>
      <c r="C1694" s="1" t="n">
        <v>45637</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54569-2022</t>
        </is>
      </c>
      <c r="B1695" s="1" t="n">
        <v>44882</v>
      </c>
      <c r="C1695" s="1" t="n">
        <v>45637</v>
      </c>
      <c r="D1695" t="inlineStr">
        <is>
          <t>VÄSTERNORRLANDS LÄN</t>
        </is>
      </c>
      <c r="E1695" t="inlineStr">
        <is>
          <t>SOLLEFTEÅ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55209-2022</t>
        </is>
      </c>
      <c r="B1696" s="1" t="n">
        <v>44887</v>
      </c>
      <c r="C1696" s="1" t="n">
        <v>45637</v>
      </c>
      <c r="D1696" t="inlineStr">
        <is>
          <t>VÄSTERNORRLANDS LÄN</t>
        </is>
      </c>
      <c r="E1696" t="inlineStr">
        <is>
          <t>SOLLEFTEÅ</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55692-2022</t>
        </is>
      </c>
      <c r="B1697" s="1" t="n">
        <v>44888</v>
      </c>
      <c r="C1697" s="1" t="n">
        <v>45637</v>
      </c>
      <c r="D1697" t="inlineStr">
        <is>
          <t>VÄSTERNORRLANDS LÄN</t>
        </is>
      </c>
      <c r="E1697" t="inlineStr">
        <is>
          <t>SOLLEFTEÅ</t>
        </is>
      </c>
      <c r="F1697" t="inlineStr">
        <is>
          <t>Holmen skog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55898-2022</t>
        </is>
      </c>
      <c r="B1698" s="1" t="n">
        <v>44888</v>
      </c>
      <c r="C1698" s="1" t="n">
        <v>45637</v>
      </c>
      <c r="D1698" t="inlineStr">
        <is>
          <t>VÄSTERNORRLANDS LÄN</t>
        </is>
      </c>
      <c r="E1698" t="inlineStr">
        <is>
          <t>SOLLEFTEÅ</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56176-2022</t>
        </is>
      </c>
      <c r="B1699" s="1" t="n">
        <v>44889</v>
      </c>
      <c r="C1699" s="1" t="n">
        <v>45637</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56175-2022</t>
        </is>
      </c>
      <c r="B1700" s="1" t="n">
        <v>44889</v>
      </c>
      <c r="C1700" s="1" t="n">
        <v>45637</v>
      </c>
      <c r="D1700" t="inlineStr">
        <is>
          <t>VÄSTERNORRLANDS LÄN</t>
        </is>
      </c>
      <c r="E1700" t="inlineStr">
        <is>
          <t>SOLLEFTEÅ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56184-2022</t>
        </is>
      </c>
      <c r="B1701" s="1" t="n">
        <v>44889</v>
      </c>
      <c r="C1701" s="1" t="n">
        <v>45637</v>
      </c>
      <c r="D1701" t="inlineStr">
        <is>
          <t>VÄSTERNORRLANDS LÄN</t>
        </is>
      </c>
      <c r="E1701" t="inlineStr">
        <is>
          <t>SOLLEFTEÅ</t>
        </is>
      </c>
      <c r="F1701" t="inlineStr">
        <is>
          <t>SCA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56544-2022</t>
        </is>
      </c>
      <c r="B1702" s="1" t="n">
        <v>44893</v>
      </c>
      <c r="C1702" s="1" t="n">
        <v>45637</v>
      </c>
      <c r="D1702" t="inlineStr">
        <is>
          <t>VÄSTERNORRLANDS LÄN</t>
        </is>
      </c>
      <c r="E1702" t="inlineStr">
        <is>
          <t>SOLLEFTEÅ</t>
        </is>
      </c>
      <c r="F1702" t="inlineStr">
        <is>
          <t>Holmen skog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57019-2022</t>
        </is>
      </c>
      <c r="B1703" s="1" t="n">
        <v>44895</v>
      </c>
      <c r="C1703" s="1" t="n">
        <v>45637</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57020-2022</t>
        </is>
      </c>
      <c r="B1704" s="1" t="n">
        <v>44895</v>
      </c>
      <c r="C1704" s="1" t="n">
        <v>45637</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57282-2022</t>
        </is>
      </c>
      <c r="B1705" s="1" t="n">
        <v>44895</v>
      </c>
      <c r="C1705" s="1" t="n">
        <v>45637</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57273-2022</t>
        </is>
      </c>
      <c r="B1706" s="1" t="n">
        <v>44895</v>
      </c>
      <c r="C1706" s="1" t="n">
        <v>45637</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58643-2022</t>
        </is>
      </c>
      <c r="B1707" s="1" t="n">
        <v>44895</v>
      </c>
      <c r="C1707" s="1" t="n">
        <v>45637</v>
      </c>
      <c r="D1707" t="inlineStr">
        <is>
          <t>VÄSTERNORRLANDS LÄN</t>
        </is>
      </c>
      <c r="E1707" t="inlineStr">
        <is>
          <t>SOLLEFTEÅ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58636-2022</t>
        </is>
      </c>
      <c r="B1708" s="1" t="n">
        <v>44895</v>
      </c>
      <c r="C1708" s="1" t="n">
        <v>45637</v>
      </c>
      <c r="D1708" t="inlineStr">
        <is>
          <t>VÄSTERNORRLANDS LÄN</t>
        </is>
      </c>
      <c r="E1708" t="inlineStr">
        <is>
          <t>SOLLEFTEÅ</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58646-2022</t>
        </is>
      </c>
      <c r="B1709" s="1" t="n">
        <v>44895</v>
      </c>
      <c r="C1709" s="1" t="n">
        <v>45637</v>
      </c>
      <c r="D1709" t="inlineStr">
        <is>
          <t>VÄSTERNORRLANDS LÄN</t>
        </is>
      </c>
      <c r="E1709" t="inlineStr">
        <is>
          <t>SOLLEFTEÅ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57991-2022</t>
        </is>
      </c>
      <c r="B1710" s="1" t="n">
        <v>44900</v>
      </c>
      <c r="C1710" s="1" t="n">
        <v>45637</v>
      </c>
      <c r="D1710" t="inlineStr">
        <is>
          <t>VÄSTERNORRLANDS LÄN</t>
        </is>
      </c>
      <c r="E1710" t="inlineStr">
        <is>
          <t>SOLLEFTEÅ</t>
        </is>
      </c>
      <c r="G1710" t="n">
        <v>14.2</v>
      </c>
      <c r="H1710" t="n">
        <v>0</v>
      </c>
      <c r="I1710" t="n">
        <v>0</v>
      </c>
      <c r="J1710" t="n">
        <v>0</v>
      </c>
      <c r="K1710" t="n">
        <v>0</v>
      </c>
      <c r="L1710" t="n">
        <v>0</v>
      </c>
      <c r="M1710" t="n">
        <v>0</v>
      </c>
      <c r="N1710" t="n">
        <v>0</v>
      </c>
      <c r="O1710" t="n">
        <v>0</v>
      </c>
      <c r="P1710" t="n">
        <v>0</v>
      </c>
      <c r="Q1710" t="n">
        <v>0</v>
      </c>
      <c r="R1710" s="2" t="inlineStr"/>
    </row>
    <row r="1711" ht="15" customHeight="1">
      <c r="A1711" t="inlineStr">
        <is>
          <t>A 58173-2022</t>
        </is>
      </c>
      <c r="B1711" s="1" t="n">
        <v>44900</v>
      </c>
      <c r="C1711" s="1" t="n">
        <v>45637</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58172-2022</t>
        </is>
      </c>
      <c r="B1712" s="1" t="n">
        <v>44900</v>
      </c>
      <c r="C1712" s="1" t="n">
        <v>45637</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58171-2022</t>
        </is>
      </c>
      <c r="B1713" s="1" t="n">
        <v>44900</v>
      </c>
      <c r="C1713" s="1" t="n">
        <v>45637</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58401-2022</t>
        </is>
      </c>
      <c r="B1714" s="1" t="n">
        <v>44901</v>
      </c>
      <c r="C1714" s="1" t="n">
        <v>45637</v>
      </c>
      <c r="D1714" t="inlineStr">
        <is>
          <t>VÄSTERNORRLANDS LÄN</t>
        </is>
      </c>
      <c r="E1714" t="inlineStr">
        <is>
          <t>SOLLEFTEÅ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58765-2022</t>
        </is>
      </c>
      <c r="B1715" s="1" t="n">
        <v>44903</v>
      </c>
      <c r="C1715" s="1" t="n">
        <v>45637</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59036-2022</t>
        </is>
      </c>
      <c r="B1716" s="1" t="n">
        <v>44903</v>
      </c>
      <c r="C1716" s="1" t="n">
        <v>45637</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59038-2022</t>
        </is>
      </c>
      <c r="B1717" s="1" t="n">
        <v>44903</v>
      </c>
      <c r="C1717" s="1" t="n">
        <v>45637</v>
      </c>
      <c r="D1717" t="inlineStr">
        <is>
          <t>VÄSTERNORRLANDS LÄN</t>
        </is>
      </c>
      <c r="E1717" t="inlineStr">
        <is>
          <t>SOLLEFTEÅ</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59037-2022</t>
        </is>
      </c>
      <c r="B1718" s="1" t="n">
        <v>44903</v>
      </c>
      <c r="C1718" s="1" t="n">
        <v>45637</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59371-2022</t>
        </is>
      </c>
      <c r="B1719" s="1" t="n">
        <v>44904</v>
      </c>
      <c r="C1719" s="1" t="n">
        <v>45637</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60482-2022</t>
        </is>
      </c>
      <c r="B1720" s="1" t="n">
        <v>44904</v>
      </c>
      <c r="C1720" s="1" t="n">
        <v>45637</v>
      </c>
      <c r="D1720" t="inlineStr">
        <is>
          <t>VÄSTERNORRLANDS LÄN</t>
        </is>
      </c>
      <c r="E1720" t="inlineStr">
        <is>
          <t>SOLLEFTEÅ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60856-2022</t>
        </is>
      </c>
      <c r="B1721" s="1" t="n">
        <v>44907</v>
      </c>
      <c r="C1721" s="1" t="n">
        <v>45637</v>
      </c>
      <c r="D1721" t="inlineStr">
        <is>
          <t>VÄSTERNORRLANDS LÄN</t>
        </is>
      </c>
      <c r="E1721" t="inlineStr">
        <is>
          <t>SOLLEFTEÅ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59647-2022</t>
        </is>
      </c>
      <c r="B1722" s="1" t="n">
        <v>44908</v>
      </c>
      <c r="C1722" s="1" t="n">
        <v>45637</v>
      </c>
      <c r="D1722" t="inlineStr">
        <is>
          <t>VÄSTERNORRLANDS LÄN</t>
        </is>
      </c>
      <c r="E1722" t="inlineStr">
        <is>
          <t>SOLLEFTEÅ</t>
        </is>
      </c>
      <c r="F1722" t="inlineStr">
        <is>
          <t>SCA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59908-2022</t>
        </is>
      </c>
      <c r="B1723" s="1" t="n">
        <v>44908</v>
      </c>
      <c r="C1723" s="1" t="n">
        <v>45637</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59854-2022</t>
        </is>
      </c>
      <c r="B1724" s="1" t="n">
        <v>44908</v>
      </c>
      <c r="C1724" s="1" t="n">
        <v>45637</v>
      </c>
      <c r="D1724" t="inlineStr">
        <is>
          <t>VÄSTERNORRLANDS LÄN</t>
        </is>
      </c>
      <c r="E1724" t="inlineStr">
        <is>
          <t>SOLLEFTEÅ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60170-2022</t>
        </is>
      </c>
      <c r="B1725" s="1" t="n">
        <v>44909</v>
      </c>
      <c r="C1725" s="1" t="n">
        <v>45637</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60169-2022</t>
        </is>
      </c>
      <c r="B1726" s="1" t="n">
        <v>44909</v>
      </c>
      <c r="C1726" s="1" t="n">
        <v>45637</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60171-2022</t>
        </is>
      </c>
      <c r="B1727" s="1" t="n">
        <v>44909</v>
      </c>
      <c r="C1727" s="1" t="n">
        <v>45637</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60168-2022</t>
        </is>
      </c>
      <c r="B1728" s="1" t="n">
        <v>44909</v>
      </c>
      <c r="C1728" s="1" t="n">
        <v>45637</v>
      </c>
      <c r="D1728" t="inlineStr">
        <is>
          <t>VÄSTERNORRLANDS LÄN</t>
        </is>
      </c>
      <c r="E1728" t="inlineStr">
        <is>
          <t>SOLLEFTEÅ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60338-2022</t>
        </is>
      </c>
      <c r="B1729" s="1" t="n">
        <v>44910</v>
      </c>
      <c r="C1729" s="1" t="n">
        <v>45637</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60420-2022</t>
        </is>
      </c>
      <c r="B1730" s="1" t="n">
        <v>44910</v>
      </c>
      <c r="C1730" s="1" t="n">
        <v>45637</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61473-2022</t>
        </is>
      </c>
      <c r="B1731" s="1" t="n">
        <v>44910</v>
      </c>
      <c r="C1731" s="1" t="n">
        <v>45637</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61459-2022</t>
        </is>
      </c>
      <c r="B1732" s="1" t="n">
        <v>44910</v>
      </c>
      <c r="C1732" s="1" t="n">
        <v>45637</v>
      </c>
      <c r="D1732" t="inlineStr">
        <is>
          <t>VÄSTERNORRLANDS LÄN</t>
        </is>
      </c>
      <c r="E1732" t="inlineStr">
        <is>
          <t>SOLLEFTEÅ</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60665-2022</t>
        </is>
      </c>
      <c r="B1733" s="1" t="n">
        <v>44911</v>
      </c>
      <c r="C1733" s="1" t="n">
        <v>45637</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60664-2022</t>
        </is>
      </c>
      <c r="B1734" s="1" t="n">
        <v>44911</v>
      </c>
      <c r="C1734" s="1" t="n">
        <v>45637</v>
      </c>
      <c r="D1734" t="inlineStr">
        <is>
          <t>VÄSTERNORRLANDS LÄN</t>
        </is>
      </c>
      <c r="E1734" t="inlineStr">
        <is>
          <t>SOLLEFTEÅ</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60666-2022</t>
        </is>
      </c>
      <c r="B1735" s="1" t="n">
        <v>44911</v>
      </c>
      <c r="C1735" s="1" t="n">
        <v>45637</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61384-2022</t>
        </is>
      </c>
      <c r="B1736" s="1" t="n">
        <v>44915</v>
      </c>
      <c r="C1736" s="1" t="n">
        <v>45637</v>
      </c>
      <c r="D1736" t="inlineStr">
        <is>
          <t>VÄSTERNORRLANDS LÄN</t>
        </is>
      </c>
      <c r="E1736" t="inlineStr">
        <is>
          <t>SOLLEFTEÅ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61345-2022</t>
        </is>
      </c>
      <c r="B1737" s="1" t="n">
        <v>44915</v>
      </c>
      <c r="C1737" s="1" t="n">
        <v>45637</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61341-2022</t>
        </is>
      </c>
      <c r="B1738" s="1" t="n">
        <v>44915</v>
      </c>
      <c r="C1738" s="1" t="n">
        <v>45637</v>
      </c>
      <c r="D1738" t="inlineStr">
        <is>
          <t>VÄSTERNORRLANDS LÄN</t>
        </is>
      </c>
      <c r="E1738" t="inlineStr">
        <is>
          <t>SOLLEFTEÅ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61376-2022</t>
        </is>
      </c>
      <c r="B1739" s="1" t="n">
        <v>44915</v>
      </c>
      <c r="C1739" s="1" t="n">
        <v>45637</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61391-2022</t>
        </is>
      </c>
      <c r="B1740" s="1" t="n">
        <v>44915</v>
      </c>
      <c r="C1740" s="1" t="n">
        <v>45637</v>
      </c>
      <c r="D1740" t="inlineStr">
        <is>
          <t>VÄSTERNORRLANDS LÄN</t>
        </is>
      </c>
      <c r="E1740" t="inlineStr">
        <is>
          <t>SOLLEFTEÅ</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61383-2022</t>
        </is>
      </c>
      <c r="B1741" s="1" t="n">
        <v>44915</v>
      </c>
      <c r="C1741" s="1" t="n">
        <v>45637</v>
      </c>
      <c r="D1741" t="inlineStr">
        <is>
          <t>VÄSTERNORRLANDS LÄN</t>
        </is>
      </c>
      <c r="E1741" t="inlineStr">
        <is>
          <t>SOLLEFTEÅ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62217-2022</t>
        </is>
      </c>
      <c r="B1742" s="1" t="n">
        <v>44916</v>
      </c>
      <c r="C1742" s="1" t="n">
        <v>45637</v>
      </c>
      <c r="D1742" t="inlineStr">
        <is>
          <t>VÄSTERNORRLANDS LÄN</t>
        </is>
      </c>
      <c r="E1742" t="inlineStr">
        <is>
          <t>SOLLEFTEÅ</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61920-2022</t>
        </is>
      </c>
      <c r="B1743" s="1" t="n">
        <v>44917</v>
      </c>
      <c r="C1743" s="1" t="n">
        <v>45637</v>
      </c>
      <c r="D1743" t="inlineStr">
        <is>
          <t>VÄSTERNORRLANDS LÄN</t>
        </is>
      </c>
      <c r="E1743" t="inlineStr">
        <is>
          <t>SOLLEFTEÅ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61936-2022</t>
        </is>
      </c>
      <c r="B1744" s="1" t="n">
        <v>44917</v>
      </c>
      <c r="C1744" s="1" t="n">
        <v>45637</v>
      </c>
      <c r="D1744" t="inlineStr">
        <is>
          <t>VÄSTERNORRLANDS LÄN</t>
        </is>
      </c>
      <c r="E1744" t="inlineStr">
        <is>
          <t>SOLLEFTEÅ</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62662-2022</t>
        </is>
      </c>
      <c r="B1745" s="1" t="n">
        <v>44917</v>
      </c>
      <c r="C1745" s="1" t="n">
        <v>45637</v>
      </c>
      <c r="D1745" t="inlineStr">
        <is>
          <t>VÄSTERNORRLANDS LÄN</t>
        </is>
      </c>
      <c r="E1745" t="inlineStr">
        <is>
          <t>SOLLEFTEÅ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28-2023</t>
        </is>
      </c>
      <c r="B1746" s="1" t="n">
        <v>44918</v>
      </c>
      <c r="C1746" s="1" t="n">
        <v>45637</v>
      </c>
      <c r="D1746" t="inlineStr">
        <is>
          <t>VÄSTERNORRLANDS LÄN</t>
        </is>
      </c>
      <c r="E1746" t="inlineStr">
        <is>
          <t>SOLLEFTEÅ</t>
        </is>
      </c>
      <c r="G1746" t="n">
        <v>23.8</v>
      </c>
      <c r="H1746" t="n">
        <v>0</v>
      </c>
      <c r="I1746" t="n">
        <v>0</v>
      </c>
      <c r="J1746" t="n">
        <v>0</v>
      </c>
      <c r="K1746" t="n">
        <v>0</v>
      </c>
      <c r="L1746" t="n">
        <v>0</v>
      </c>
      <c r="M1746" t="n">
        <v>0</v>
      </c>
      <c r="N1746" t="n">
        <v>0</v>
      </c>
      <c r="O1746" t="n">
        <v>0</v>
      </c>
      <c r="P1746" t="n">
        <v>0</v>
      </c>
      <c r="Q1746" t="n">
        <v>0</v>
      </c>
      <c r="R1746" s="2" t="inlineStr"/>
    </row>
    <row r="1747" ht="15" customHeight="1">
      <c r="A1747" t="inlineStr">
        <is>
          <t>A 62262-2022</t>
        </is>
      </c>
      <c r="B1747" s="1" t="n">
        <v>44922</v>
      </c>
      <c r="C1747" s="1" t="n">
        <v>45637</v>
      </c>
      <c r="D1747" t="inlineStr">
        <is>
          <t>VÄSTERNORRLANDS LÄN</t>
        </is>
      </c>
      <c r="E1747" t="inlineStr">
        <is>
          <t>SOLLEFTEÅ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62260-2022</t>
        </is>
      </c>
      <c r="B1748" s="1" t="n">
        <v>44922</v>
      </c>
      <c r="C1748" s="1" t="n">
        <v>45637</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192-2023</t>
        </is>
      </c>
      <c r="B1749" s="1" t="n">
        <v>44922</v>
      </c>
      <c r="C1749" s="1" t="n">
        <v>45637</v>
      </c>
      <c r="D1749" t="inlineStr">
        <is>
          <t>VÄSTERNORRLANDS LÄN</t>
        </is>
      </c>
      <c r="E1749" t="inlineStr">
        <is>
          <t>SOLLEFTEÅ</t>
        </is>
      </c>
      <c r="G1749" t="n">
        <v>20.9</v>
      </c>
      <c r="H1749" t="n">
        <v>0</v>
      </c>
      <c r="I1749" t="n">
        <v>0</v>
      </c>
      <c r="J1749" t="n">
        <v>0</v>
      </c>
      <c r="K1749" t="n">
        <v>0</v>
      </c>
      <c r="L1749" t="n">
        <v>0</v>
      </c>
      <c r="M1749" t="n">
        <v>0</v>
      </c>
      <c r="N1749" t="n">
        <v>0</v>
      </c>
      <c r="O1749" t="n">
        <v>0</v>
      </c>
      <c r="P1749" t="n">
        <v>0</v>
      </c>
      <c r="Q1749" t="n">
        <v>0</v>
      </c>
      <c r="R1749" s="2" t="inlineStr"/>
    </row>
    <row r="1750" ht="15" customHeight="1">
      <c r="A1750" t="inlineStr">
        <is>
          <t>A 62406-2022</t>
        </is>
      </c>
      <c r="B1750" s="1" t="n">
        <v>44923</v>
      </c>
      <c r="C1750" s="1" t="n">
        <v>45637</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62507-2022</t>
        </is>
      </c>
      <c r="B1751" s="1" t="n">
        <v>44924</v>
      </c>
      <c r="C1751" s="1" t="n">
        <v>45637</v>
      </c>
      <c r="D1751" t="inlineStr">
        <is>
          <t>VÄSTERNORRLANDS LÄN</t>
        </is>
      </c>
      <c r="E1751" t="inlineStr">
        <is>
          <t>SOLLEFTEÅ</t>
        </is>
      </c>
      <c r="F1751" t="inlineStr">
        <is>
          <t>Holmen skog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62745-2022</t>
        </is>
      </c>
      <c r="B1752" s="1" t="n">
        <v>44925</v>
      </c>
      <c r="C1752" s="1" t="n">
        <v>45637</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62750-2022</t>
        </is>
      </c>
      <c r="B1753" s="1" t="n">
        <v>44925</v>
      </c>
      <c r="C1753" s="1" t="n">
        <v>45637</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62710-2022</t>
        </is>
      </c>
      <c r="B1754" s="1" t="n">
        <v>44925</v>
      </c>
      <c r="C1754" s="1" t="n">
        <v>45637</v>
      </c>
      <c r="D1754" t="inlineStr">
        <is>
          <t>VÄSTERNORRLANDS LÄN</t>
        </is>
      </c>
      <c r="E1754" t="inlineStr">
        <is>
          <t>SOLLEFTEÅ</t>
        </is>
      </c>
      <c r="F1754" t="inlineStr">
        <is>
          <t>Holmen skog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279-2023</t>
        </is>
      </c>
      <c r="B1755" s="1" t="n">
        <v>44928</v>
      </c>
      <c r="C1755" s="1" t="n">
        <v>45637</v>
      </c>
      <c r="D1755" t="inlineStr">
        <is>
          <t>VÄSTERNORRLANDS LÄN</t>
        </is>
      </c>
      <c r="E1755" t="inlineStr">
        <is>
          <t>SOLLEFTEÅ</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282-2023</t>
        </is>
      </c>
      <c r="B1756" s="1" t="n">
        <v>44928</v>
      </c>
      <c r="C1756" s="1" t="n">
        <v>45637</v>
      </c>
      <c r="D1756" t="inlineStr">
        <is>
          <t>VÄSTERNORRLANDS LÄN</t>
        </is>
      </c>
      <c r="E1756" t="inlineStr">
        <is>
          <t>SOLLEFTEÅ</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714-2023</t>
        </is>
      </c>
      <c r="B1757" s="1" t="n">
        <v>44930</v>
      </c>
      <c r="C1757" s="1" t="n">
        <v>45637</v>
      </c>
      <c r="D1757" t="inlineStr">
        <is>
          <t>VÄSTERNORRLANDS LÄN</t>
        </is>
      </c>
      <c r="E1757" t="inlineStr">
        <is>
          <t>SOLLEFTEÅ</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918-2023</t>
        </is>
      </c>
      <c r="B1758" s="1" t="n">
        <v>44931</v>
      </c>
      <c r="C1758" s="1" t="n">
        <v>45637</v>
      </c>
      <c r="D1758" t="inlineStr">
        <is>
          <t>VÄSTERNORRLANDS LÄN</t>
        </is>
      </c>
      <c r="E1758" t="inlineStr">
        <is>
          <t>SOLLEFTEÅ</t>
        </is>
      </c>
      <c r="F1758" t="inlineStr">
        <is>
          <t>SCA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965-2023</t>
        </is>
      </c>
      <c r="B1759" s="1" t="n">
        <v>44934</v>
      </c>
      <c r="C1759" s="1" t="n">
        <v>45637</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964-2023</t>
        </is>
      </c>
      <c r="B1760" s="1" t="n">
        <v>44934</v>
      </c>
      <c r="C1760" s="1" t="n">
        <v>45637</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1275-2023</t>
        </is>
      </c>
      <c r="B1761" s="1" t="n">
        <v>44936</v>
      </c>
      <c r="C1761" s="1" t="n">
        <v>45637</v>
      </c>
      <c r="D1761" t="inlineStr">
        <is>
          <t>VÄSTERNORRLANDS LÄN</t>
        </is>
      </c>
      <c r="E1761" t="inlineStr">
        <is>
          <t>SOLLEFTEÅ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1803-2023</t>
        </is>
      </c>
      <c r="B1762" s="1" t="n">
        <v>44937</v>
      </c>
      <c r="C1762" s="1" t="n">
        <v>45637</v>
      </c>
      <c r="D1762" t="inlineStr">
        <is>
          <t>VÄSTERNORRLANDS LÄN</t>
        </is>
      </c>
      <c r="E1762" t="inlineStr">
        <is>
          <t>SOLLEFTEÅ</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1868-2023</t>
        </is>
      </c>
      <c r="B1763" s="1" t="n">
        <v>44938</v>
      </c>
      <c r="C1763" s="1" t="n">
        <v>45637</v>
      </c>
      <c r="D1763" t="inlineStr">
        <is>
          <t>VÄSTERNORRLANDS LÄN</t>
        </is>
      </c>
      <c r="E1763" t="inlineStr">
        <is>
          <t>SOLLEFTEÅ</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1874-2023</t>
        </is>
      </c>
      <c r="B1764" s="1" t="n">
        <v>44938</v>
      </c>
      <c r="C1764" s="1" t="n">
        <v>45637</v>
      </c>
      <c r="D1764" t="inlineStr">
        <is>
          <t>VÄSTERNORRLANDS LÄN</t>
        </is>
      </c>
      <c r="E1764" t="inlineStr">
        <is>
          <t>SOLLEFTEÅ</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2058-2023</t>
        </is>
      </c>
      <c r="B1765" s="1" t="n">
        <v>44938</v>
      </c>
      <c r="C1765" s="1" t="n">
        <v>45637</v>
      </c>
      <c r="D1765" t="inlineStr">
        <is>
          <t>VÄSTERNORRLANDS LÄN</t>
        </is>
      </c>
      <c r="E1765" t="inlineStr">
        <is>
          <t>SOLLEFTEÅ</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2121-2023</t>
        </is>
      </c>
      <c r="B1766" s="1" t="n">
        <v>44939</v>
      </c>
      <c r="C1766" s="1" t="n">
        <v>45637</v>
      </c>
      <c r="D1766" t="inlineStr">
        <is>
          <t>VÄSTERNORRLANDS LÄN</t>
        </is>
      </c>
      <c r="E1766" t="inlineStr">
        <is>
          <t>SOLLEFTEÅ</t>
        </is>
      </c>
      <c r="F1766" t="inlineStr">
        <is>
          <t>SCA</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2119-2023</t>
        </is>
      </c>
      <c r="B1767" s="1" t="n">
        <v>44939</v>
      </c>
      <c r="C1767" s="1" t="n">
        <v>45637</v>
      </c>
      <c r="D1767" t="inlineStr">
        <is>
          <t>VÄSTERNORRLANDS LÄN</t>
        </is>
      </c>
      <c r="E1767" t="inlineStr">
        <is>
          <t>SOLLEFTEÅ</t>
        </is>
      </c>
      <c r="F1767" t="inlineStr">
        <is>
          <t>SCA</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2132-2023</t>
        </is>
      </c>
      <c r="B1768" s="1" t="n">
        <v>44939</v>
      </c>
      <c r="C1768" s="1" t="n">
        <v>45637</v>
      </c>
      <c r="D1768" t="inlineStr">
        <is>
          <t>VÄSTERNORRLANDS LÄN</t>
        </is>
      </c>
      <c r="E1768" t="inlineStr">
        <is>
          <t>SOLLEFTEÅ</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2120-2023</t>
        </is>
      </c>
      <c r="B1769" s="1" t="n">
        <v>44939</v>
      </c>
      <c r="C1769" s="1" t="n">
        <v>45637</v>
      </c>
      <c r="D1769" t="inlineStr">
        <is>
          <t>VÄSTERNORRLANDS LÄN</t>
        </is>
      </c>
      <c r="E1769" t="inlineStr">
        <is>
          <t>SOLLEFTEÅ</t>
        </is>
      </c>
      <c r="F1769" t="inlineStr">
        <is>
          <t>SCA</t>
        </is>
      </c>
      <c r="G1769" t="n">
        <v>126.9</v>
      </c>
      <c r="H1769" t="n">
        <v>0</v>
      </c>
      <c r="I1769" t="n">
        <v>0</v>
      </c>
      <c r="J1769" t="n">
        <v>0</v>
      </c>
      <c r="K1769" t="n">
        <v>0</v>
      </c>
      <c r="L1769" t="n">
        <v>0</v>
      </c>
      <c r="M1769" t="n">
        <v>0</v>
      </c>
      <c r="N1769" t="n">
        <v>0</v>
      </c>
      <c r="O1769" t="n">
        <v>0</v>
      </c>
      <c r="P1769" t="n">
        <v>0</v>
      </c>
      <c r="Q1769" t="n">
        <v>0</v>
      </c>
      <c r="R1769" s="2" t="inlineStr"/>
    </row>
    <row r="1770" ht="15" customHeight="1">
      <c r="A1770" t="inlineStr">
        <is>
          <t>A 2114-2023</t>
        </is>
      </c>
      <c r="B1770" s="1" t="n">
        <v>44939</v>
      </c>
      <c r="C1770" s="1" t="n">
        <v>45637</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2118-2023</t>
        </is>
      </c>
      <c r="B1771" s="1" t="n">
        <v>44939</v>
      </c>
      <c r="C1771" s="1" t="n">
        <v>45637</v>
      </c>
      <c r="D1771" t="inlineStr">
        <is>
          <t>VÄSTERNORRLANDS LÄN</t>
        </is>
      </c>
      <c r="E1771" t="inlineStr">
        <is>
          <t>SOLLEFTEÅ</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2139-2023</t>
        </is>
      </c>
      <c r="B1772" s="1" t="n">
        <v>44940</v>
      </c>
      <c r="C1772" s="1" t="n">
        <v>45637</v>
      </c>
      <c r="D1772" t="inlineStr">
        <is>
          <t>VÄSTERNORRLANDS LÄN</t>
        </is>
      </c>
      <c r="E1772" t="inlineStr">
        <is>
          <t>SOLLEFTEÅ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2183-2023</t>
        </is>
      </c>
      <c r="B1773" s="1" t="n">
        <v>44942</v>
      </c>
      <c r="C1773" s="1" t="n">
        <v>45637</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2408-2023</t>
        </is>
      </c>
      <c r="B1774" s="1" t="n">
        <v>44942</v>
      </c>
      <c r="C1774" s="1" t="n">
        <v>45637</v>
      </c>
      <c r="D1774" t="inlineStr">
        <is>
          <t>VÄSTERNORRLANDS LÄN</t>
        </is>
      </c>
      <c r="E1774" t="inlineStr">
        <is>
          <t>SOLLEFTEÅ</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2412-2023</t>
        </is>
      </c>
      <c r="B1775" s="1" t="n">
        <v>44942</v>
      </c>
      <c r="C1775" s="1" t="n">
        <v>45637</v>
      </c>
      <c r="D1775" t="inlineStr">
        <is>
          <t>VÄSTERNORRLANDS LÄN</t>
        </is>
      </c>
      <c r="E1775" t="inlineStr">
        <is>
          <t>SOLLEFTEÅ</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2597-2023</t>
        </is>
      </c>
      <c r="B1776" s="1" t="n">
        <v>44943</v>
      </c>
      <c r="C1776" s="1" t="n">
        <v>45637</v>
      </c>
      <c r="D1776" t="inlineStr">
        <is>
          <t>VÄSTERNORRLANDS LÄN</t>
        </is>
      </c>
      <c r="E1776" t="inlineStr">
        <is>
          <t>SOLLEFTEÅ</t>
        </is>
      </c>
      <c r="F1776" t="inlineStr">
        <is>
          <t>SCA</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2756-2023</t>
        </is>
      </c>
      <c r="B1777" s="1" t="n">
        <v>44943</v>
      </c>
      <c r="C1777" s="1" t="n">
        <v>45637</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2598-2023</t>
        </is>
      </c>
      <c r="B1778" s="1" t="n">
        <v>44943</v>
      </c>
      <c r="C1778" s="1" t="n">
        <v>45637</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2927-2023</t>
        </is>
      </c>
      <c r="B1779" s="1" t="n">
        <v>44945</v>
      </c>
      <c r="C1779" s="1" t="n">
        <v>45637</v>
      </c>
      <c r="D1779" t="inlineStr">
        <is>
          <t>VÄSTERNORRLANDS LÄN</t>
        </is>
      </c>
      <c r="E1779" t="inlineStr">
        <is>
          <t>SOLLEFTEÅ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3019-2023</t>
        </is>
      </c>
      <c r="B1780" s="1" t="n">
        <v>44945</v>
      </c>
      <c r="C1780" s="1" t="n">
        <v>45637</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3319-2023</t>
        </is>
      </c>
      <c r="B1781" s="1" t="n">
        <v>44949</v>
      </c>
      <c r="C1781" s="1" t="n">
        <v>45637</v>
      </c>
      <c r="D1781" t="inlineStr">
        <is>
          <t>VÄSTERNORRLANDS LÄN</t>
        </is>
      </c>
      <c r="E1781" t="inlineStr">
        <is>
          <t>SOLLEFTEÅ</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3692-2023</t>
        </is>
      </c>
      <c r="B1782" s="1" t="n">
        <v>44950</v>
      </c>
      <c r="C1782" s="1" t="n">
        <v>45637</v>
      </c>
      <c r="D1782" t="inlineStr">
        <is>
          <t>VÄSTERNORRLANDS LÄN</t>
        </is>
      </c>
      <c r="E1782" t="inlineStr">
        <is>
          <t>SOLLEFTEÅ</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3691-2023</t>
        </is>
      </c>
      <c r="B1783" s="1" t="n">
        <v>44950</v>
      </c>
      <c r="C1783" s="1" t="n">
        <v>45637</v>
      </c>
      <c r="D1783" t="inlineStr">
        <is>
          <t>VÄSTERNORRLANDS LÄN</t>
        </is>
      </c>
      <c r="E1783" t="inlineStr">
        <is>
          <t>SOLLEFTEÅ</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3689-2023</t>
        </is>
      </c>
      <c r="B1784" s="1" t="n">
        <v>44950</v>
      </c>
      <c r="C1784" s="1" t="n">
        <v>45637</v>
      </c>
      <c r="D1784" t="inlineStr">
        <is>
          <t>VÄSTERNORRLANDS LÄN</t>
        </is>
      </c>
      <c r="E1784" t="inlineStr">
        <is>
          <t>SOLLEFTEÅ</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4154-2023</t>
        </is>
      </c>
      <c r="B1785" s="1" t="n">
        <v>44950</v>
      </c>
      <c r="C1785" s="1" t="n">
        <v>45637</v>
      </c>
      <c r="D1785" t="inlineStr">
        <is>
          <t>VÄSTERNORRLANDS LÄN</t>
        </is>
      </c>
      <c r="E1785" t="inlineStr">
        <is>
          <t>SOLLEFTEÅ</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4406-2023</t>
        </is>
      </c>
      <c r="B1786" s="1" t="n">
        <v>44951</v>
      </c>
      <c r="C1786" s="1" t="n">
        <v>45637</v>
      </c>
      <c r="D1786" t="inlineStr">
        <is>
          <t>VÄSTERNORRLANDS LÄN</t>
        </is>
      </c>
      <c r="E1786" t="inlineStr">
        <is>
          <t>SOLLEFTEÅ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4132-2023</t>
        </is>
      </c>
      <c r="B1787" s="1" t="n">
        <v>44952</v>
      </c>
      <c r="C1787" s="1" t="n">
        <v>45637</v>
      </c>
      <c r="D1787" t="inlineStr">
        <is>
          <t>VÄSTERNORRLANDS LÄN</t>
        </is>
      </c>
      <c r="E1787" t="inlineStr">
        <is>
          <t>SOLLEFTEÅ</t>
        </is>
      </c>
      <c r="F1787" t="inlineStr">
        <is>
          <t>SCA</t>
        </is>
      </c>
      <c r="G1787" t="n">
        <v>50.4</v>
      </c>
      <c r="H1787" t="n">
        <v>0</v>
      </c>
      <c r="I1787" t="n">
        <v>0</v>
      </c>
      <c r="J1787" t="n">
        <v>0</v>
      </c>
      <c r="K1787" t="n">
        <v>0</v>
      </c>
      <c r="L1787" t="n">
        <v>0</v>
      </c>
      <c r="M1787" t="n">
        <v>0</v>
      </c>
      <c r="N1787" t="n">
        <v>0</v>
      </c>
      <c r="O1787" t="n">
        <v>0</v>
      </c>
      <c r="P1787" t="n">
        <v>0</v>
      </c>
      <c r="Q1787" t="n">
        <v>0</v>
      </c>
      <c r="R1787" s="2" t="inlineStr"/>
    </row>
    <row r="1788" ht="15" customHeight="1">
      <c r="A1788" t="inlineStr">
        <is>
          <t>A 4138-2023</t>
        </is>
      </c>
      <c r="B1788" s="1" t="n">
        <v>44952</v>
      </c>
      <c r="C1788" s="1" t="n">
        <v>45637</v>
      </c>
      <c r="D1788" t="inlineStr">
        <is>
          <t>VÄSTERNORRLANDS LÄN</t>
        </is>
      </c>
      <c r="E1788" t="inlineStr">
        <is>
          <t>SOLLEFTEÅ</t>
        </is>
      </c>
      <c r="F1788" t="inlineStr">
        <is>
          <t>SCA</t>
        </is>
      </c>
      <c r="G1788" t="n">
        <v>70</v>
      </c>
      <c r="H1788" t="n">
        <v>0</v>
      </c>
      <c r="I1788" t="n">
        <v>0</v>
      </c>
      <c r="J1788" t="n">
        <v>0</v>
      </c>
      <c r="K1788" t="n">
        <v>0</v>
      </c>
      <c r="L1788" t="n">
        <v>0</v>
      </c>
      <c r="M1788" t="n">
        <v>0</v>
      </c>
      <c r="N1788" t="n">
        <v>0</v>
      </c>
      <c r="O1788" t="n">
        <v>0</v>
      </c>
      <c r="P1788" t="n">
        <v>0</v>
      </c>
      <c r="Q1788" t="n">
        <v>0</v>
      </c>
      <c r="R1788" s="2" t="inlineStr"/>
    </row>
    <row r="1789" ht="15" customHeight="1">
      <c r="A1789" t="inlineStr">
        <is>
          <t>A 4501-2023</t>
        </is>
      </c>
      <c r="B1789" s="1" t="n">
        <v>44952</v>
      </c>
      <c r="C1789" s="1" t="n">
        <v>45637</v>
      </c>
      <c r="D1789" t="inlineStr">
        <is>
          <t>VÄSTERNORRLANDS LÄN</t>
        </is>
      </c>
      <c r="E1789" t="inlineStr">
        <is>
          <t>SOLLEFTEÅ</t>
        </is>
      </c>
      <c r="F1789" t="inlineStr">
        <is>
          <t>Övriga Aktiebolag</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4613-2023</t>
        </is>
      </c>
      <c r="B1790" s="1" t="n">
        <v>44956</v>
      </c>
      <c r="C1790" s="1" t="n">
        <v>45637</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4611-2023</t>
        </is>
      </c>
      <c r="B1791" s="1" t="n">
        <v>44956</v>
      </c>
      <c r="C1791" s="1" t="n">
        <v>45637</v>
      </c>
      <c r="D1791" t="inlineStr">
        <is>
          <t>VÄSTERNORRLANDS LÄN</t>
        </is>
      </c>
      <c r="E1791" t="inlineStr">
        <is>
          <t>SOLLEFTEÅ</t>
        </is>
      </c>
      <c r="F1791" t="inlineStr">
        <is>
          <t>SCA</t>
        </is>
      </c>
      <c r="G1791" t="n">
        <v>19.2</v>
      </c>
      <c r="H1791" t="n">
        <v>0</v>
      </c>
      <c r="I1791" t="n">
        <v>0</v>
      </c>
      <c r="J1791" t="n">
        <v>0</v>
      </c>
      <c r="K1791" t="n">
        <v>0</v>
      </c>
      <c r="L1791" t="n">
        <v>0</v>
      </c>
      <c r="M1791" t="n">
        <v>0</v>
      </c>
      <c r="N1791" t="n">
        <v>0</v>
      </c>
      <c r="O1791" t="n">
        <v>0</v>
      </c>
      <c r="P1791" t="n">
        <v>0</v>
      </c>
      <c r="Q1791" t="n">
        <v>0</v>
      </c>
      <c r="R1791" s="2" t="inlineStr"/>
    </row>
    <row r="1792" ht="15" customHeight="1">
      <c r="A1792" t="inlineStr">
        <is>
          <t>A 4612-2023</t>
        </is>
      </c>
      <c r="B1792" s="1" t="n">
        <v>44956</v>
      </c>
      <c r="C1792" s="1" t="n">
        <v>45637</v>
      </c>
      <c r="D1792" t="inlineStr">
        <is>
          <t>VÄSTERNORRLANDS LÄN</t>
        </is>
      </c>
      <c r="E1792" t="inlineStr">
        <is>
          <t>SOLLEFTEÅ</t>
        </is>
      </c>
      <c r="F1792" t="inlineStr">
        <is>
          <t>SCA</t>
        </is>
      </c>
      <c r="G1792" t="n">
        <v>25.5</v>
      </c>
      <c r="H1792" t="n">
        <v>0</v>
      </c>
      <c r="I1792" t="n">
        <v>0</v>
      </c>
      <c r="J1792" t="n">
        <v>0</v>
      </c>
      <c r="K1792" t="n">
        <v>0</v>
      </c>
      <c r="L1792" t="n">
        <v>0</v>
      </c>
      <c r="M1792" t="n">
        <v>0</v>
      </c>
      <c r="N1792" t="n">
        <v>0</v>
      </c>
      <c r="O1792" t="n">
        <v>0</v>
      </c>
      <c r="P1792" t="n">
        <v>0</v>
      </c>
      <c r="Q1792" t="n">
        <v>0</v>
      </c>
      <c r="R1792" s="2" t="inlineStr"/>
    </row>
    <row r="1793" ht="15" customHeight="1">
      <c r="A1793" t="inlineStr">
        <is>
          <t>A 4623-2023</t>
        </is>
      </c>
      <c r="B1793" s="1" t="n">
        <v>44956</v>
      </c>
      <c r="C1793" s="1" t="n">
        <v>45637</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5001-2023</t>
        </is>
      </c>
      <c r="B1794" s="1" t="n">
        <v>44956</v>
      </c>
      <c r="C1794" s="1" t="n">
        <v>45637</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5168-2023</t>
        </is>
      </c>
      <c r="B1795" s="1" t="n">
        <v>44958</v>
      </c>
      <c r="C1795" s="1" t="n">
        <v>45637</v>
      </c>
      <c r="D1795" t="inlineStr">
        <is>
          <t>VÄSTERNORRLANDS LÄN</t>
        </is>
      </c>
      <c r="E1795" t="inlineStr">
        <is>
          <t>SOLLEFTEÅ</t>
        </is>
      </c>
      <c r="F1795" t="inlineStr">
        <is>
          <t>SCA</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5149-2023</t>
        </is>
      </c>
      <c r="B1796" s="1" t="n">
        <v>44958</v>
      </c>
      <c r="C1796" s="1" t="n">
        <v>45637</v>
      </c>
      <c r="D1796" t="inlineStr">
        <is>
          <t>VÄSTERNORRLANDS LÄN</t>
        </is>
      </c>
      <c r="E1796" t="inlineStr">
        <is>
          <t>SOLLEFTEÅ</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5161-2023</t>
        </is>
      </c>
      <c r="B1797" s="1" t="n">
        <v>44958</v>
      </c>
      <c r="C1797" s="1" t="n">
        <v>45637</v>
      </c>
      <c r="D1797" t="inlineStr">
        <is>
          <t>VÄSTERNORRLANDS LÄN</t>
        </is>
      </c>
      <c r="E1797" t="inlineStr">
        <is>
          <t>SOLLEFTEÅ</t>
        </is>
      </c>
      <c r="F1797" t="inlineStr">
        <is>
          <t>SCA</t>
        </is>
      </c>
      <c r="G1797" t="n">
        <v>30.3</v>
      </c>
      <c r="H1797" t="n">
        <v>0</v>
      </c>
      <c r="I1797" t="n">
        <v>0</v>
      </c>
      <c r="J1797" t="n">
        <v>0</v>
      </c>
      <c r="K1797" t="n">
        <v>0</v>
      </c>
      <c r="L1797" t="n">
        <v>0</v>
      </c>
      <c r="M1797" t="n">
        <v>0</v>
      </c>
      <c r="N1797" t="n">
        <v>0</v>
      </c>
      <c r="O1797" t="n">
        <v>0</v>
      </c>
      <c r="P1797" t="n">
        <v>0</v>
      </c>
      <c r="Q1797" t="n">
        <v>0</v>
      </c>
      <c r="R1797" s="2" t="inlineStr"/>
    </row>
    <row r="1798" ht="15" customHeight="1">
      <c r="A1798" t="inlineStr">
        <is>
          <t>A 5166-2023</t>
        </is>
      </c>
      <c r="B1798" s="1" t="n">
        <v>44958</v>
      </c>
      <c r="C1798" s="1" t="n">
        <v>45637</v>
      </c>
      <c r="D1798" t="inlineStr">
        <is>
          <t>VÄSTERNORRLANDS LÄN</t>
        </is>
      </c>
      <c r="E1798" t="inlineStr">
        <is>
          <t>SOLLEFTEÅ</t>
        </is>
      </c>
      <c r="F1798" t="inlineStr">
        <is>
          <t>SCA</t>
        </is>
      </c>
      <c r="G1798" t="n">
        <v>29.3</v>
      </c>
      <c r="H1798" t="n">
        <v>0</v>
      </c>
      <c r="I1798" t="n">
        <v>0</v>
      </c>
      <c r="J1798" t="n">
        <v>0</v>
      </c>
      <c r="K1798" t="n">
        <v>0</v>
      </c>
      <c r="L1798" t="n">
        <v>0</v>
      </c>
      <c r="M1798" t="n">
        <v>0</v>
      </c>
      <c r="N1798" t="n">
        <v>0</v>
      </c>
      <c r="O1798" t="n">
        <v>0</v>
      </c>
      <c r="P1798" t="n">
        <v>0</v>
      </c>
      <c r="Q1798" t="n">
        <v>0</v>
      </c>
      <c r="R1798" s="2" t="inlineStr"/>
    </row>
    <row r="1799" ht="15" customHeight="1">
      <c r="A1799" t="inlineStr">
        <is>
          <t>A 5167-2023</t>
        </is>
      </c>
      <c r="B1799" s="1" t="n">
        <v>44958</v>
      </c>
      <c r="C1799" s="1" t="n">
        <v>45637</v>
      </c>
      <c r="D1799" t="inlineStr">
        <is>
          <t>VÄSTERNORRLANDS LÄN</t>
        </is>
      </c>
      <c r="E1799" t="inlineStr">
        <is>
          <t>SOLLEFTEÅ</t>
        </is>
      </c>
      <c r="F1799" t="inlineStr">
        <is>
          <t>SCA</t>
        </is>
      </c>
      <c r="G1799" t="n">
        <v>14.8</v>
      </c>
      <c r="H1799" t="n">
        <v>0</v>
      </c>
      <c r="I1799" t="n">
        <v>0</v>
      </c>
      <c r="J1799" t="n">
        <v>0</v>
      </c>
      <c r="K1799" t="n">
        <v>0</v>
      </c>
      <c r="L1799" t="n">
        <v>0</v>
      </c>
      <c r="M1799" t="n">
        <v>0</v>
      </c>
      <c r="N1799" t="n">
        <v>0</v>
      </c>
      <c r="O1799" t="n">
        <v>0</v>
      </c>
      <c r="P1799" t="n">
        <v>0</v>
      </c>
      <c r="Q1799" t="n">
        <v>0</v>
      </c>
      <c r="R1799" s="2" t="inlineStr"/>
    </row>
    <row r="1800" ht="15" customHeight="1">
      <c r="A1800" t="inlineStr">
        <is>
          <t>A 5448-2023</t>
        </is>
      </c>
      <c r="B1800" s="1" t="n">
        <v>44959</v>
      </c>
      <c r="C1800" s="1" t="n">
        <v>45637</v>
      </c>
      <c r="D1800" t="inlineStr">
        <is>
          <t>VÄSTERNORRLANDS LÄN</t>
        </is>
      </c>
      <c r="E1800" t="inlineStr">
        <is>
          <t>SOLLEFTEÅ</t>
        </is>
      </c>
      <c r="F1800" t="inlineStr">
        <is>
          <t>SCA</t>
        </is>
      </c>
      <c r="G1800" t="n">
        <v>138.3</v>
      </c>
      <c r="H1800" t="n">
        <v>0</v>
      </c>
      <c r="I1800" t="n">
        <v>0</v>
      </c>
      <c r="J1800" t="n">
        <v>0</v>
      </c>
      <c r="K1800" t="n">
        <v>0</v>
      </c>
      <c r="L1800" t="n">
        <v>0</v>
      </c>
      <c r="M1800" t="n">
        <v>0</v>
      </c>
      <c r="N1800" t="n">
        <v>0</v>
      </c>
      <c r="O1800" t="n">
        <v>0</v>
      </c>
      <c r="P1800" t="n">
        <v>0</v>
      </c>
      <c r="Q1800" t="n">
        <v>0</v>
      </c>
      <c r="R1800" s="2" t="inlineStr"/>
    </row>
    <row r="1801" ht="15" customHeight="1">
      <c r="A1801" t="inlineStr">
        <is>
          <t>A 5451-2023</t>
        </is>
      </c>
      <c r="B1801" s="1" t="n">
        <v>44959</v>
      </c>
      <c r="C1801" s="1" t="n">
        <v>45637</v>
      </c>
      <c r="D1801" t="inlineStr">
        <is>
          <t>VÄSTERNORRLANDS LÄN</t>
        </is>
      </c>
      <c r="E1801" t="inlineStr">
        <is>
          <t>SOLLEFTEÅ</t>
        </is>
      </c>
      <c r="F1801" t="inlineStr">
        <is>
          <t>SCA</t>
        </is>
      </c>
      <c r="G1801" t="n">
        <v>20.1</v>
      </c>
      <c r="H1801" t="n">
        <v>0</v>
      </c>
      <c r="I1801" t="n">
        <v>0</v>
      </c>
      <c r="J1801" t="n">
        <v>0</v>
      </c>
      <c r="K1801" t="n">
        <v>0</v>
      </c>
      <c r="L1801" t="n">
        <v>0</v>
      </c>
      <c r="M1801" t="n">
        <v>0</v>
      </c>
      <c r="N1801" t="n">
        <v>0</v>
      </c>
      <c r="O1801" t="n">
        <v>0</v>
      </c>
      <c r="P1801" t="n">
        <v>0</v>
      </c>
      <c r="Q1801" t="n">
        <v>0</v>
      </c>
      <c r="R1801" s="2" t="inlineStr"/>
    </row>
    <row r="1802" ht="15" customHeight="1">
      <c r="A1802" t="inlineStr">
        <is>
          <t>A 6271-2023</t>
        </is>
      </c>
      <c r="B1802" s="1" t="n">
        <v>44959</v>
      </c>
      <c r="C1802" s="1" t="n">
        <v>45637</v>
      </c>
      <c r="D1802" t="inlineStr">
        <is>
          <t>VÄSTERNORRLANDS LÄN</t>
        </is>
      </c>
      <c r="E1802" t="inlineStr">
        <is>
          <t>SOLLEFTEÅ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5519-2023</t>
        </is>
      </c>
      <c r="B1803" s="1" t="n">
        <v>44960</v>
      </c>
      <c r="C1803" s="1" t="n">
        <v>45637</v>
      </c>
      <c r="D1803" t="inlineStr">
        <is>
          <t>VÄSTERNORRLANDS LÄN</t>
        </is>
      </c>
      <c r="E1803" t="inlineStr">
        <is>
          <t>SOLLEFTEÅ</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5529-2023</t>
        </is>
      </c>
      <c r="B1804" s="1" t="n">
        <v>44960</v>
      </c>
      <c r="C1804" s="1" t="n">
        <v>45637</v>
      </c>
      <c r="D1804" t="inlineStr">
        <is>
          <t>VÄSTERNORRLANDS LÄN</t>
        </is>
      </c>
      <c r="E1804" t="inlineStr">
        <is>
          <t>SOLLEFTEÅ</t>
        </is>
      </c>
      <c r="F1804" t="inlineStr">
        <is>
          <t>Holmen skog AB</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5952-2023</t>
        </is>
      </c>
      <c r="B1805" s="1" t="n">
        <v>44963</v>
      </c>
      <c r="C1805" s="1" t="n">
        <v>45637</v>
      </c>
      <c r="D1805" t="inlineStr">
        <is>
          <t>VÄSTERNORRLANDS LÄN</t>
        </is>
      </c>
      <c r="E1805" t="inlineStr">
        <is>
          <t>SOLLEFTEÅ</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6236-2023</t>
        </is>
      </c>
      <c r="B1806" s="1" t="n">
        <v>44964</v>
      </c>
      <c r="C1806" s="1" t="n">
        <v>45637</v>
      </c>
      <c r="D1806" t="inlineStr">
        <is>
          <t>VÄSTERNORRLANDS LÄN</t>
        </is>
      </c>
      <c r="E1806" t="inlineStr">
        <is>
          <t>SOLLEFTEÅ</t>
        </is>
      </c>
      <c r="F1806" t="inlineStr">
        <is>
          <t>SCA</t>
        </is>
      </c>
      <c r="G1806" t="n">
        <v>0.1</v>
      </c>
      <c r="H1806" t="n">
        <v>0</v>
      </c>
      <c r="I1806" t="n">
        <v>0</v>
      </c>
      <c r="J1806" t="n">
        <v>0</v>
      </c>
      <c r="K1806" t="n">
        <v>0</v>
      </c>
      <c r="L1806" t="n">
        <v>0</v>
      </c>
      <c r="M1806" t="n">
        <v>0</v>
      </c>
      <c r="N1806" t="n">
        <v>0</v>
      </c>
      <c r="O1806" t="n">
        <v>0</v>
      </c>
      <c r="P1806" t="n">
        <v>0</v>
      </c>
      <c r="Q1806" t="n">
        <v>0</v>
      </c>
      <c r="R1806" s="2" t="inlineStr"/>
      <c r="U1806">
        <f>HYPERLINK("https://klasma.github.io/Logging_2283/knärot/A 6236-2023 karta knärot.png", "A 6236-2023")</f>
        <v/>
      </c>
      <c r="V1806">
        <f>HYPERLINK("https://klasma.github.io/Logging_2283/klagomål/A 6236-2023 FSC-klagomål.docx", "A 6236-2023")</f>
        <v/>
      </c>
      <c r="W1806">
        <f>HYPERLINK("https://klasma.github.io/Logging_2283/klagomålsmail/A 6236-2023 FSC-klagomål mail.docx", "A 6236-2023")</f>
        <v/>
      </c>
      <c r="X1806">
        <f>HYPERLINK("https://klasma.github.io/Logging_2283/tillsyn/A 6236-2023 tillsynsbegäran.docx", "A 6236-2023")</f>
        <v/>
      </c>
      <c r="Y1806">
        <f>HYPERLINK("https://klasma.github.io/Logging_2283/tillsynsmail/A 6236-2023 tillsynsbegäran mail.docx", "A 6236-2023")</f>
        <v/>
      </c>
    </row>
    <row r="1807" ht="15" customHeight="1">
      <c r="A1807" t="inlineStr">
        <is>
          <t>A 6474-2023</t>
        </is>
      </c>
      <c r="B1807" s="1" t="n">
        <v>44965</v>
      </c>
      <c r="C1807" s="1" t="n">
        <v>45637</v>
      </c>
      <c r="D1807" t="inlineStr">
        <is>
          <t>VÄSTERNORRLANDS LÄN</t>
        </is>
      </c>
      <c r="E1807" t="inlineStr">
        <is>
          <t>SOLLEFTEÅ</t>
        </is>
      </c>
      <c r="F1807" t="inlineStr">
        <is>
          <t>SCA</t>
        </is>
      </c>
      <c r="G1807" t="n">
        <v>47.3</v>
      </c>
      <c r="H1807" t="n">
        <v>0</v>
      </c>
      <c r="I1807" t="n">
        <v>0</v>
      </c>
      <c r="J1807" t="n">
        <v>0</v>
      </c>
      <c r="K1807" t="n">
        <v>0</v>
      </c>
      <c r="L1807" t="n">
        <v>0</v>
      </c>
      <c r="M1807" t="n">
        <v>0</v>
      </c>
      <c r="N1807" t="n">
        <v>0</v>
      </c>
      <c r="O1807" t="n">
        <v>0</v>
      </c>
      <c r="P1807" t="n">
        <v>0</v>
      </c>
      <c r="Q1807" t="n">
        <v>0</v>
      </c>
      <c r="R1807" s="2" t="inlineStr"/>
    </row>
    <row r="1808" ht="15" customHeight="1">
      <c r="A1808" t="inlineStr">
        <is>
          <t>A 7009-2023</t>
        </is>
      </c>
      <c r="B1808" s="1" t="n">
        <v>44967</v>
      </c>
      <c r="C1808" s="1" t="n">
        <v>45637</v>
      </c>
      <c r="D1808" t="inlineStr">
        <is>
          <t>VÄSTERNORRLANDS LÄN</t>
        </is>
      </c>
      <c r="E1808" t="inlineStr">
        <is>
          <t>SOLLEFTEÅ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7332-2023</t>
        </is>
      </c>
      <c r="B1809" s="1" t="n">
        <v>44970</v>
      </c>
      <c r="C1809" s="1" t="n">
        <v>45637</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7324-2023</t>
        </is>
      </c>
      <c r="B1810" s="1" t="n">
        <v>44970</v>
      </c>
      <c r="C1810" s="1" t="n">
        <v>45637</v>
      </c>
      <c r="D1810" t="inlineStr">
        <is>
          <t>VÄSTERNORRLANDS LÄN</t>
        </is>
      </c>
      <c r="E1810" t="inlineStr">
        <is>
          <t>SOLLEFTEÅ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7325-2023</t>
        </is>
      </c>
      <c r="B1811" s="1" t="n">
        <v>44970</v>
      </c>
      <c r="C1811" s="1" t="n">
        <v>45637</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7330-2023</t>
        </is>
      </c>
      <c r="B1812" s="1" t="n">
        <v>44971</v>
      </c>
      <c r="C1812" s="1" t="n">
        <v>45637</v>
      </c>
      <c r="D1812" t="inlineStr">
        <is>
          <t>VÄSTERNORRLANDS LÄN</t>
        </is>
      </c>
      <c r="E1812" t="inlineStr">
        <is>
          <t>SOLLEFTEÅ</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7331-2023</t>
        </is>
      </c>
      <c r="B1813" s="1" t="n">
        <v>44970</v>
      </c>
      <c r="C1813" s="1" t="n">
        <v>45637</v>
      </c>
      <c r="D1813" t="inlineStr">
        <is>
          <t>VÄSTERNORRLANDS LÄN</t>
        </is>
      </c>
      <c r="E1813" t="inlineStr">
        <is>
          <t>SOLLEFTEÅ</t>
        </is>
      </c>
      <c r="F1813" t="inlineStr">
        <is>
          <t>SCA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7333-2023</t>
        </is>
      </c>
      <c r="B1814" s="1" t="n">
        <v>44971</v>
      </c>
      <c r="C1814" s="1" t="n">
        <v>45637</v>
      </c>
      <c r="D1814" t="inlineStr">
        <is>
          <t>VÄSTERNORRLANDS LÄN</t>
        </is>
      </c>
      <c r="E1814" t="inlineStr">
        <is>
          <t>SOLLEFTEÅ</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7713-2023</t>
        </is>
      </c>
      <c r="B1815" s="1" t="n">
        <v>44972</v>
      </c>
      <c r="C1815" s="1" t="n">
        <v>45637</v>
      </c>
      <c r="D1815" t="inlineStr">
        <is>
          <t>VÄSTERNORRLANDS LÄN</t>
        </is>
      </c>
      <c r="E1815" t="inlineStr">
        <is>
          <t>SOLLEFTEÅ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7721-2023</t>
        </is>
      </c>
      <c r="B1816" s="1" t="n">
        <v>44972</v>
      </c>
      <c r="C1816" s="1" t="n">
        <v>45637</v>
      </c>
      <c r="D1816" t="inlineStr">
        <is>
          <t>VÄSTERNORRLANDS LÄN</t>
        </is>
      </c>
      <c r="E1816" t="inlineStr">
        <is>
          <t>SOLLEFTEÅ</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8030-2023</t>
        </is>
      </c>
      <c r="B1817" s="1" t="n">
        <v>44973</v>
      </c>
      <c r="C1817" s="1" t="n">
        <v>45637</v>
      </c>
      <c r="D1817" t="inlineStr">
        <is>
          <t>VÄSTERNORRLANDS LÄN</t>
        </is>
      </c>
      <c r="E1817" t="inlineStr">
        <is>
          <t>SOLLEFTEÅ</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8959-2023</t>
        </is>
      </c>
      <c r="B1818" s="1" t="n">
        <v>44974</v>
      </c>
      <c r="C1818" s="1" t="n">
        <v>45637</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8640-2023</t>
        </is>
      </c>
      <c r="B1819" s="1" t="n">
        <v>44978</v>
      </c>
      <c r="C1819" s="1" t="n">
        <v>45637</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8658-2023</t>
        </is>
      </c>
      <c r="B1820" s="1" t="n">
        <v>44978</v>
      </c>
      <c r="C1820" s="1" t="n">
        <v>45637</v>
      </c>
      <c r="D1820" t="inlineStr">
        <is>
          <t>VÄSTERNORRLANDS LÄN</t>
        </is>
      </c>
      <c r="E1820" t="inlineStr">
        <is>
          <t>SOLLEFTEÅ</t>
        </is>
      </c>
      <c r="F1820" t="inlineStr">
        <is>
          <t>SCA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8668-2023</t>
        </is>
      </c>
      <c r="B1821" s="1" t="n">
        <v>44978</v>
      </c>
      <c r="C1821" s="1" t="n">
        <v>45637</v>
      </c>
      <c r="D1821" t="inlineStr">
        <is>
          <t>VÄSTERNORRLANDS LÄN</t>
        </is>
      </c>
      <c r="E1821" t="inlineStr">
        <is>
          <t>SOLLEFTEÅ</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8672-2023</t>
        </is>
      </c>
      <c r="B1822" s="1" t="n">
        <v>44977</v>
      </c>
      <c r="C1822" s="1" t="n">
        <v>45637</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8656-2023</t>
        </is>
      </c>
      <c r="B1823" s="1" t="n">
        <v>44978</v>
      </c>
      <c r="C1823" s="1" t="n">
        <v>45637</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8670-2023</t>
        </is>
      </c>
      <c r="B1824" s="1" t="n">
        <v>44977</v>
      </c>
      <c r="C1824" s="1" t="n">
        <v>45637</v>
      </c>
      <c r="D1824" t="inlineStr">
        <is>
          <t>VÄSTERNORRLANDS LÄN</t>
        </is>
      </c>
      <c r="E1824" t="inlineStr">
        <is>
          <t>SOLLEFTEÅ</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8667-2023</t>
        </is>
      </c>
      <c r="B1825" s="1" t="n">
        <v>44978</v>
      </c>
      <c r="C1825" s="1" t="n">
        <v>45637</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8671-2023</t>
        </is>
      </c>
      <c r="B1826" s="1" t="n">
        <v>44978</v>
      </c>
      <c r="C1826" s="1" t="n">
        <v>45637</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8875-2023</t>
        </is>
      </c>
      <c r="B1827" s="1" t="n">
        <v>44978</v>
      </c>
      <c r="C1827" s="1" t="n">
        <v>45637</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8880-2023</t>
        </is>
      </c>
      <c r="B1828" s="1" t="n">
        <v>44978</v>
      </c>
      <c r="C1828" s="1" t="n">
        <v>45637</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9097-2023</t>
        </is>
      </c>
      <c r="B1829" s="1" t="n">
        <v>44979</v>
      </c>
      <c r="C1829" s="1" t="n">
        <v>45637</v>
      </c>
      <c r="D1829" t="inlineStr">
        <is>
          <t>VÄSTERNORRLANDS LÄN</t>
        </is>
      </c>
      <c r="E1829" t="inlineStr">
        <is>
          <t>SOLLEFTEÅ</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9095-2023</t>
        </is>
      </c>
      <c r="B1830" s="1" t="n">
        <v>44979</v>
      </c>
      <c r="C1830" s="1" t="n">
        <v>45637</v>
      </c>
      <c r="D1830" t="inlineStr">
        <is>
          <t>VÄSTERNORRLANDS LÄN</t>
        </is>
      </c>
      <c r="E1830" t="inlineStr">
        <is>
          <t>SOLLEFTEÅ</t>
        </is>
      </c>
      <c r="F1830" t="inlineStr">
        <is>
          <t>SCA</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9099-2023</t>
        </is>
      </c>
      <c r="B1831" s="1" t="n">
        <v>44979</v>
      </c>
      <c r="C1831" s="1" t="n">
        <v>45637</v>
      </c>
      <c r="D1831" t="inlineStr">
        <is>
          <t>VÄSTERNORRLANDS LÄN</t>
        </is>
      </c>
      <c r="E1831" t="inlineStr">
        <is>
          <t>SOLLEFTEÅ</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9096-2023</t>
        </is>
      </c>
      <c r="B1832" s="1" t="n">
        <v>44979</v>
      </c>
      <c r="C1832" s="1" t="n">
        <v>45637</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9104-2023</t>
        </is>
      </c>
      <c r="B1833" s="1" t="n">
        <v>44979</v>
      </c>
      <c r="C1833" s="1" t="n">
        <v>45637</v>
      </c>
      <c r="D1833" t="inlineStr">
        <is>
          <t>VÄSTERNORRLANDS LÄN</t>
        </is>
      </c>
      <c r="E1833" t="inlineStr">
        <is>
          <t>SOLLEFTEÅ</t>
        </is>
      </c>
      <c r="F1833" t="inlineStr">
        <is>
          <t>SCA</t>
        </is>
      </c>
      <c r="G1833" t="n">
        <v>22.1</v>
      </c>
      <c r="H1833" t="n">
        <v>0</v>
      </c>
      <c r="I1833" t="n">
        <v>0</v>
      </c>
      <c r="J1833" t="n">
        <v>0</v>
      </c>
      <c r="K1833" t="n">
        <v>0</v>
      </c>
      <c r="L1833" t="n">
        <v>0</v>
      </c>
      <c r="M1833" t="n">
        <v>0</v>
      </c>
      <c r="N1833" t="n">
        <v>0</v>
      </c>
      <c r="O1833" t="n">
        <v>0</v>
      </c>
      <c r="P1833" t="n">
        <v>0</v>
      </c>
      <c r="Q1833" t="n">
        <v>0</v>
      </c>
      <c r="R1833" s="2" t="inlineStr"/>
    </row>
    <row r="1834" ht="15" customHeight="1">
      <c r="A1834" t="inlineStr">
        <is>
          <t>A 9098-2023</t>
        </is>
      </c>
      <c r="B1834" s="1" t="n">
        <v>44979</v>
      </c>
      <c r="C1834" s="1" t="n">
        <v>45637</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9105-2023</t>
        </is>
      </c>
      <c r="B1835" s="1" t="n">
        <v>44979</v>
      </c>
      <c r="C1835" s="1" t="n">
        <v>45637</v>
      </c>
      <c r="D1835" t="inlineStr">
        <is>
          <t>VÄSTERNORRLANDS LÄN</t>
        </is>
      </c>
      <c r="E1835" t="inlineStr">
        <is>
          <t>SOLLEFTEÅ</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9358-2023</t>
        </is>
      </c>
      <c r="B1836" s="1" t="n">
        <v>44980</v>
      </c>
      <c r="C1836" s="1" t="n">
        <v>45637</v>
      </c>
      <c r="D1836" t="inlineStr">
        <is>
          <t>VÄSTERNORRLANDS LÄN</t>
        </is>
      </c>
      <c r="E1836" t="inlineStr">
        <is>
          <t>SOLLEFTEÅ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10256-2023</t>
        </is>
      </c>
      <c r="B1837" s="1" t="n">
        <v>44980</v>
      </c>
      <c r="C1837" s="1" t="n">
        <v>45637</v>
      </c>
      <c r="D1837" t="inlineStr">
        <is>
          <t>VÄSTERNORRLANDS LÄN</t>
        </is>
      </c>
      <c r="E1837" t="inlineStr">
        <is>
          <t>SOLLEFTEÅ</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9362-2023</t>
        </is>
      </c>
      <c r="B1838" s="1" t="n">
        <v>44980</v>
      </c>
      <c r="C1838" s="1" t="n">
        <v>45637</v>
      </c>
      <c r="D1838" t="inlineStr">
        <is>
          <t>VÄSTERNORRLANDS LÄN</t>
        </is>
      </c>
      <c r="E1838" t="inlineStr">
        <is>
          <t>SOLLEFTEÅ</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9549-2023</t>
        </is>
      </c>
      <c r="B1839" s="1" t="n">
        <v>44981</v>
      </c>
      <c r="C1839" s="1" t="n">
        <v>45637</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10428-2023</t>
        </is>
      </c>
      <c r="B1840" s="1" t="n">
        <v>44981</v>
      </c>
      <c r="C1840" s="1" t="n">
        <v>45637</v>
      </c>
      <c r="D1840" t="inlineStr">
        <is>
          <t>VÄSTERNORRLANDS LÄN</t>
        </is>
      </c>
      <c r="E1840" t="inlineStr">
        <is>
          <t>SOLLEFTEÅ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9617-2023</t>
        </is>
      </c>
      <c r="B1841" s="1" t="n">
        <v>44983</v>
      </c>
      <c r="C1841" s="1" t="n">
        <v>45637</v>
      </c>
      <c r="D1841" t="inlineStr">
        <is>
          <t>VÄSTERNORRLANDS LÄN</t>
        </is>
      </c>
      <c r="E1841" t="inlineStr">
        <is>
          <t>SOLLEFTEÅ</t>
        </is>
      </c>
      <c r="F1841" t="inlineStr">
        <is>
          <t>SCA</t>
        </is>
      </c>
      <c r="G1841" t="n">
        <v>39.6</v>
      </c>
      <c r="H1841" t="n">
        <v>0</v>
      </c>
      <c r="I1841" t="n">
        <v>0</v>
      </c>
      <c r="J1841" t="n">
        <v>0</v>
      </c>
      <c r="K1841" t="n">
        <v>0</v>
      </c>
      <c r="L1841" t="n">
        <v>0</v>
      </c>
      <c r="M1841" t="n">
        <v>0</v>
      </c>
      <c r="N1841" t="n">
        <v>0</v>
      </c>
      <c r="O1841" t="n">
        <v>0</v>
      </c>
      <c r="P1841" t="n">
        <v>0</v>
      </c>
      <c r="Q1841" t="n">
        <v>0</v>
      </c>
      <c r="R1841" s="2" t="inlineStr"/>
    </row>
    <row r="1842" ht="15" customHeight="1">
      <c r="A1842" t="inlineStr">
        <is>
          <t>A 9616-2023</t>
        </is>
      </c>
      <c r="B1842" s="1" t="n">
        <v>44983</v>
      </c>
      <c r="C1842" s="1" t="n">
        <v>45637</v>
      </c>
      <c r="D1842" t="inlineStr">
        <is>
          <t>VÄSTERNORRLANDS LÄN</t>
        </is>
      </c>
      <c r="E1842" t="inlineStr">
        <is>
          <t>SOLLEFTEÅ</t>
        </is>
      </c>
      <c r="F1842" t="inlineStr">
        <is>
          <t>SCA</t>
        </is>
      </c>
      <c r="G1842" t="n">
        <v>45.9</v>
      </c>
      <c r="H1842" t="n">
        <v>0</v>
      </c>
      <c r="I1842" t="n">
        <v>0</v>
      </c>
      <c r="J1842" t="n">
        <v>0</v>
      </c>
      <c r="K1842" t="n">
        <v>0</v>
      </c>
      <c r="L1842" t="n">
        <v>0</v>
      </c>
      <c r="M1842" t="n">
        <v>0</v>
      </c>
      <c r="N1842" t="n">
        <v>0</v>
      </c>
      <c r="O1842" t="n">
        <v>0</v>
      </c>
      <c r="P1842" t="n">
        <v>0</v>
      </c>
      <c r="Q1842" t="n">
        <v>0</v>
      </c>
      <c r="R1842" s="2" t="inlineStr"/>
    </row>
    <row r="1843" ht="15" customHeight="1">
      <c r="A1843" t="inlineStr">
        <is>
          <t>A 9614-2023</t>
        </is>
      </c>
      <c r="B1843" s="1" t="n">
        <v>44983</v>
      </c>
      <c r="C1843" s="1" t="n">
        <v>45637</v>
      </c>
      <c r="D1843" t="inlineStr">
        <is>
          <t>VÄSTERNORRLANDS LÄN</t>
        </is>
      </c>
      <c r="E1843" t="inlineStr">
        <is>
          <t>SOLLEFTEÅ</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9741-2023</t>
        </is>
      </c>
      <c r="B1844" s="1" t="n">
        <v>44984</v>
      </c>
      <c r="C1844" s="1" t="n">
        <v>45637</v>
      </c>
      <c r="D1844" t="inlineStr">
        <is>
          <t>VÄSTERNORRLANDS LÄN</t>
        </is>
      </c>
      <c r="E1844" t="inlineStr">
        <is>
          <t>SOLLEFTEÅ</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9829-2023</t>
        </is>
      </c>
      <c r="B1845" s="1" t="n">
        <v>44984</v>
      </c>
      <c r="C1845" s="1" t="n">
        <v>45637</v>
      </c>
      <c r="D1845" t="inlineStr">
        <is>
          <t>VÄSTERNORRLANDS LÄN</t>
        </is>
      </c>
      <c r="E1845" t="inlineStr">
        <is>
          <t>SOLLEFTEÅ</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9858-2023</t>
        </is>
      </c>
      <c r="B1846" s="1" t="n">
        <v>44984</v>
      </c>
      <c r="C1846" s="1" t="n">
        <v>45637</v>
      </c>
      <c r="D1846" t="inlineStr">
        <is>
          <t>VÄSTERNORRLANDS LÄN</t>
        </is>
      </c>
      <c r="E1846" t="inlineStr">
        <is>
          <t>SOLLEFTEÅ</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9879-2023</t>
        </is>
      </c>
      <c r="B1847" s="1" t="n">
        <v>44984</v>
      </c>
      <c r="C1847" s="1" t="n">
        <v>45637</v>
      </c>
      <c r="D1847" t="inlineStr">
        <is>
          <t>VÄSTERNORRLANDS LÄN</t>
        </is>
      </c>
      <c r="E1847" t="inlineStr">
        <is>
          <t>SOLLEFTEÅ</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9871-2023</t>
        </is>
      </c>
      <c r="B1848" s="1" t="n">
        <v>44984</v>
      </c>
      <c r="C1848" s="1" t="n">
        <v>45637</v>
      </c>
      <c r="D1848" t="inlineStr">
        <is>
          <t>VÄSTERNORRLANDS LÄN</t>
        </is>
      </c>
      <c r="E1848" t="inlineStr">
        <is>
          <t>SOLLEFTEÅ</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10079-2023</t>
        </is>
      </c>
      <c r="B1849" s="1" t="n">
        <v>44985</v>
      </c>
      <c r="C1849" s="1" t="n">
        <v>45637</v>
      </c>
      <c r="D1849" t="inlineStr">
        <is>
          <t>VÄSTERNORRLANDS LÄN</t>
        </is>
      </c>
      <c r="E1849" t="inlineStr">
        <is>
          <t>SOLLEFTEÅ</t>
        </is>
      </c>
      <c r="F1849" t="inlineStr">
        <is>
          <t>SCA</t>
        </is>
      </c>
      <c r="G1849" t="n">
        <v>32.7</v>
      </c>
      <c r="H1849" t="n">
        <v>0</v>
      </c>
      <c r="I1849" t="n">
        <v>0</v>
      </c>
      <c r="J1849" t="n">
        <v>0</v>
      </c>
      <c r="K1849" t="n">
        <v>0</v>
      </c>
      <c r="L1849" t="n">
        <v>0</v>
      </c>
      <c r="M1849" t="n">
        <v>0</v>
      </c>
      <c r="N1849" t="n">
        <v>0</v>
      </c>
      <c r="O1849" t="n">
        <v>0</v>
      </c>
      <c r="P1849" t="n">
        <v>0</v>
      </c>
      <c r="Q1849" t="n">
        <v>0</v>
      </c>
      <c r="R1849" s="2" t="inlineStr"/>
    </row>
    <row r="1850" ht="15" customHeight="1">
      <c r="A1850" t="inlineStr">
        <is>
          <t>A 10094-2023</t>
        </is>
      </c>
      <c r="B1850" s="1" t="n">
        <v>44985</v>
      </c>
      <c r="C1850" s="1" t="n">
        <v>45637</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10095-2023</t>
        </is>
      </c>
      <c r="B1851" s="1" t="n">
        <v>44985</v>
      </c>
      <c r="C1851" s="1" t="n">
        <v>45637</v>
      </c>
      <c r="D1851" t="inlineStr">
        <is>
          <t>VÄSTERNORRLANDS LÄN</t>
        </is>
      </c>
      <c r="E1851" t="inlineStr">
        <is>
          <t>SOLLEFTEÅ</t>
        </is>
      </c>
      <c r="F1851" t="inlineStr">
        <is>
          <t>SCA</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10077-2023</t>
        </is>
      </c>
      <c r="B1852" s="1" t="n">
        <v>44985</v>
      </c>
      <c r="C1852" s="1" t="n">
        <v>45637</v>
      </c>
      <c r="D1852" t="inlineStr">
        <is>
          <t>VÄSTERNORRLANDS LÄN</t>
        </is>
      </c>
      <c r="E1852" t="inlineStr">
        <is>
          <t>SOLLEFTEÅ</t>
        </is>
      </c>
      <c r="F1852" t="inlineStr">
        <is>
          <t>SCA</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10099-2023</t>
        </is>
      </c>
      <c r="B1853" s="1" t="n">
        <v>44985</v>
      </c>
      <c r="C1853" s="1" t="n">
        <v>45637</v>
      </c>
      <c r="D1853" t="inlineStr">
        <is>
          <t>VÄSTERNORRLANDS LÄN</t>
        </is>
      </c>
      <c r="E1853" t="inlineStr">
        <is>
          <t>SOLLEFTEÅ</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10078-2023</t>
        </is>
      </c>
      <c r="B1854" s="1" t="n">
        <v>44985</v>
      </c>
      <c r="C1854" s="1" t="n">
        <v>45637</v>
      </c>
      <c r="D1854" t="inlineStr">
        <is>
          <t>VÄSTERNORRLANDS LÄN</t>
        </is>
      </c>
      <c r="E1854" t="inlineStr">
        <is>
          <t>SOLLEFTEÅ</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10093-2023</t>
        </is>
      </c>
      <c r="B1855" s="1" t="n">
        <v>44985</v>
      </c>
      <c r="C1855" s="1" t="n">
        <v>45637</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10294-2023</t>
        </is>
      </c>
      <c r="B1856" s="1" t="n">
        <v>44986</v>
      </c>
      <c r="C1856" s="1" t="n">
        <v>45637</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10311-2023</t>
        </is>
      </c>
      <c r="B1857" s="1" t="n">
        <v>44986</v>
      </c>
      <c r="C1857" s="1" t="n">
        <v>45637</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11094-2023</t>
        </is>
      </c>
      <c r="B1858" s="1" t="n">
        <v>44986</v>
      </c>
      <c r="C1858" s="1" t="n">
        <v>45637</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10526-2023</t>
        </is>
      </c>
      <c r="B1859" s="1" t="n">
        <v>44987</v>
      </c>
      <c r="C1859" s="1" t="n">
        <v>45637</v>
      </c>
      <c r="D1859" t="inlineStr">
        <is>
          <t>VÄSTERNORRLANDS LÄN</t>
        </is>
      </c>
      <c r="E1859" t="inlineStr">
        <is>
          <t>SOLLEFTEÅ</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10541-2023</t>
        </is>
      </c>
      <c r="B1860" s="1" t="n">
        <v>44987</v>
      </c>
      <c r="C1860" s="1" t="n">
        <v>45637</v>
      </c>
      <c r="D1860" t="inlineStr">
        <is>
          <t>VÄSTERNORRLANDS LÄN</t>
        </is>
      </c>
      <c r="E1860" t="inlineStr">
        <is>
          <t>SOLLEFTEÅ</t>
        </is>
      </c>
      <c r="F1860" t="inlineStr">
        <is>
          <t>SCA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10549-2023</t>
        </is>
      </c>
      <c r="B1861" s="1" t="n">
        <v>44987</v>
      </c>
      <c r="C1861" s="1" t="n">
        <v>45637</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10777-2023</t>
        </is>
      </c>
      <c r="B1862" s="1" t="n">
        <v>44988</v>
      </c>
      <c r="C1862" s="1" t="n">
        <v>45637</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10771-2023</t>
        </is>
      </c>
      <c r="B1863" s="1" t="n">
        <v>44988</v>
      </c>
      <c r="C1863" s="1" t="n">
        <v>45637</v>
      </c>
      <c r="D1863" t="inlineStr">
        <is>
          <t>VÄSTERNORRLANDS LÄN</t>
        </is>
      </c>
      <c r="E1863" t="inlineStr">
        <is>
          <t>SOLLEFTEÅ</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10783-2023</t>
        </is>
      </c>
      <c r="B1864" s="1" t="n">
        <v>44988</v>
      </c>
      <c r="C1864" s="1" t="n">
        <v>45637</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10768-2023</t>
        </is>
      </c>
      <c r="B1865" s="1" t="n">
        <v>44988</v>
      </c>
      <c r="C1865" s="1" t="n">
        <v>45637</v>
      </c>
      <c r="D1865" t="inlineStr">
        <is>
          <t>VÄSTERNORRLANDS LÄN</t>
        </is>
      </c>
      <c r="E1865" t="inlineStr">
        <is>
          <t>SOLLEFTEÅ</t>
        </is>
      </c>
      <c r="F1865" t="inlineStr">
        <is>
          <t>SCA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10785-2023</t>
        </is>
      </c>
      <c r="B1866" s="1" t="n">
        <v>44988</v>
      </c>
      <c r="C1866" s="1" t="n">
        <v>45637</v>
      </c>
      <c r="D1866" t="inlineStr">
        <is>
          <t>VÄSTERNORRLANDS LÄN</t>
        </is>
      </c>
      <c r="E1866" t="inlineStr">
        <is>
          <t>SOLLEFTEÅ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11038-2023</t>
        </is>
      </c>
      <c r="B1867" s="1" t="n">
        <v>44991</v>
      </c>
      <c r="C1867" s="1" t="n">
        <v>45637</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11052-2023</t>
        </is>
      </c>
      <c r="B1868" s="1" t="n">
        <v>44991</v>
      </c>
      <c r="C1868" s="1" t="n">
        <v>45637</v>
      </c>
      <c r="D1868" t="inlineStr">
        <is>
          <t>VÄSTERNORRLANDS LÄN</t>
        </is>
      </c>
      <c r="E1868" t="inlineStr">
        <is>
          <t>SOLLEFTEÅ</t>
        </is>
      </c>
      <c r="F1868" t="inlineStr">
        <is>
          <t>SCA</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11039-2023</t>
        </is>
      </c>
      <c r="B1869" s="1" t="n">
        <v>44991</v>
      </c>
      <c r="C1869" s="1" t="n">
        <v>45637</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11301-2023</t>
        </is>
      </c>
      <c r="B1870" s="1" t="n">
        <v>44993</v>
      </c>
      <c r="C1870" s="1" t="n">
        <v>45637</v>
      </c>
      <c r="D1870" t="inlineStr">
        <is>
          <t>VÄSTERNORRLANDS LÄN</t>
        </is>
      </c>
      <c r="E1870" t="inlineStr">
        <is>
          <t>SOLLEFTEÅ</t>
        </is>
      </c>
      <c r="F1870" t="inlineStr">
        <is>
          <t>SCA</t>
        </is>
      </c>
      <c r="G1870" t="n">
        <v>19.9</v>
      </c>
      <c r="H1870" t="n">
        <v>0</v>
      </c>
      <c r="I1870" t="n">
        <v>0</v>
      </c>
      <c r="J1870" t="n">
        <v>0</v>
      </c>
      <c r="K1870" t="n">
        <v>0</v>
      </c>
      <c r="L1870" t="n">
        <v>0</v>
      </c>
      <c r="M1870" t="n">
        <v>0</v>
      </c>
      <c r="N1870" t="n">
        <v>0</v>
      </c>
      <c r="O1870" t="n">
        <v>0</v>
      </c>
      <c r="P1870" t="n">
        <v>0</v>
      </c>
      <c r="Q1870" t="n">
        <v>0</v>
      </c>
      <c r="R1870" s="2" t="inlineStr"/>
    </row>
    <row r="1871" ht="15" customHeight="1">
      <c r="A1871" t="inlineStr">
        <is>
          <t>A 11306-2023</t>
        </is>
      </c>
      <c r="B1871" s="1" t="n">
        <v>44993</v>
      </c>
      <c r="C1871" s="1" t="n">
        <v>45637</v>
      </c>
      <c r="D1871" t="inlineStr">
        <is>
          <t>VÄSTERNORRLANDS LÄN</t>
        </is>
      </c>
      <c r="E1871" t="inlineStr">
        <is>
          <t>SOLLEFTEÅ</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11551-2023</t>
        </is>
      </c>
      <c r="B1872" s="1" t="n">
        <v>44993</v>
      </c>
      <c r="C1872" s="1" t="n">
        <v>45637</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11555-2023</t>
        </is>
      </c>
      <c r="B1873" s="1" t="n">
        <v>44993</v>
      </c>
      <c r="C1873" s="1" t="n">
        <v>45637</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11554-2023</t>
        </is>
      </c>
      <c r="B1874" s="1" t="n">
        <v>44993</v>
      </c>
      <c r="C1874" s="1" t="n">
        <v>45637</v>
      </c>
      <c r="D1874" t="inlineStr">
        <is>
          <t>VÄSTERNORRLANDS LÄN</t>
        </is>
      </c>
      <c r="E1874" t="inlineStr">
        <is>
          <t>SOLLEFTEÅ</t>
        </is>
      </c>
      <c r="F1874" t="inlineStr">
        <is>
          <t>SCA</t>
        </is>
      </c>
      <c r="G1874" t="n">
        <v>23.1</v>
      </c>
      <c r="H1874" t="n">
        <v>0</v>
      </c>
      <c r="I1874" t="n">
        <v>0</v>
      </c>
      <c r="J1874" t="n">
        <v>0</v>
      </c>
      <c r="K1874" t="n">
        <v>0</v>
      </c>
      <c r="L1874" t="n">
        <v>0</v>
      </c>
      <c r="M1874" t="n">
        <v>0</v>
      </c>
      <c r="N1874" t="n">
        <v>0</v>
      </c>
      <c r="O1874" t="n">
        <v>0</v>
      </c>
      <c r="P1874" t="n">
        <v>0</v>
      </c>
      <c r="Q1874" t="n">
        <v>0</v>
      </c>
      <c r="R1874" s="2" t="inlineStr"/>
    </row>
    <row r="1875" ht="15" customHeight="1">
      <c r="A1875" t="inlineStr">
        <is>
          <t>A 11831-2023</t>
        </is>
      </c>
      <c r="B1875" s="1" t="n">
        <v>44994</v>
      </c>
      <c r="C1875" s="1" t="n">
        <v>45637</v>
      </c>
      <c r="D1875" t="inlineStr">
        <is>
          <t>VÄSTERNORRLANDS LÄN</t>
        </is>
      </c>
      <c r="E1875" t="inlineStr">
        <is>
          <t>SOLLEFTEÅ</t>
        </is>
      </c>
      <c r="F1875" t="inlineStr">
        <is>
          <t>SCA</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12107-2023</t>
        </is>
      </c>
      <c r="B1876" s="1" t="n">
        <v>44995</v>
      </c>
      <c r="C1876" s="1" t="n">
        <v>45637</v>
      </c>
      <c r="D1876" t="inlineStr">
        <is>
          <t>VÄSTERNORRLANDS LÄN</t>
        </is>
      </c>
      <c r="E1876" t="inlineStr">
        <is>
          <t>SOLLEFTEÅ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12135-2023</t>
        </is>
      </c>
      <c r="B1877" s="1" t="n">
        <v>44995</v>
      </c>
      <c r="C1877" s="1" t="n">
        <v>45637</v>
      </c>
      <c r="D1877" t="inlineStr">
        <is>
          <t>VÄSTERNORRLANDS LÄN</t>
        </is>
      </c>
      <c r="E1877" t="inlineStr">
        <is>
          <t>SOLLEFTEÅ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12038-2023</t>
        </is>
      </c>
      <c r="B1878" s="1" t="n">
        <v>44996</v>
      </c>
      <c r="C1878" s="1" t="n">
        <v>45637</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12053-2023</t>
        </is>
      </c>
      <c r="B1879" s="1" t="n">
        <v>44996</v>
      </c>
      <c r="C1879" s="1" t="n">
        <v>45637</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12129-2023</t>
        </is>
      </c>
      <c r="B1880" s="1" t="n">
        <v>44995</v>
      </c>
      <c r="C1880" s="1" t="n">
        <v>45637</v>
      </c>
      <c r="D1880" t="inlineStr">
        <is>
          <t>VÄSTERNORRLANDS LÄN</t>
        </is>
      </c>
      <c r="E1880" t="inlineStr">
        <is>
          <t>SOLLEFTEÅ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12164-2023</t>
        </is>
      </c>
      <c r="B1881" s="1" t="n">
        <v>44995</v>
      </c>
      <c r="C1881" s="1" t="n">
        <v>45637</v>
      </c>
      <c r="D1881" t="inlineStr">
        <is>
          <t>VÄSTERNORRLANDS LÄN</t>
        </is>
      </c>
      <c r="E1881" t="inlineStr">
        <is>
          <t>SOLLEFTEÅ</t>
        </is>
      </c>
      <c r="G1881" t="n">
        <v>18.3</v>
      </c>
      <c r="H1881" t="n">
        <v>0</v>
      </c>
      <c r="I1881" t="n">
        <v>0</v>
      </c>
      <c r="J1881" t="n">
        <v>0</v>
      </c>
      <c r="K1881" t="n">
        <v>0</v>
      </c>
      <c r="L1881" t="n">
        <v>0</v>
      </c>
      <c r="M1881" t="n">
        <v>0</v>
      </c>
      <c r="N1881" t="n">
        <v>0</v>
      </c>
      <c r="O1881" t="n">
        <v>0</v>
      </c>
      <c r="P1881" t="n">
        <v>0</v>
      </c>
      <c r="Q1881" t="n">
        <v>0</v>
      </c>
      <c r="R1881" s="2" t="inlineStr"/>
    </row>
    <row r="1882" ht="15" customHeight="1">
      <c r="A1882" t="inlineStr">
        <is>
          <t>A 12311-2023</t>
        </is>
      </c>
      <c r="B1882" s="1" t="n">
        <v>44995</v>
      </c>
      <c r="C1882" s="1" t="n">
        <v>45637</v>
      </c>
      <c r="D1882" t="inlineStr">
        <is>
          <t>VÄSTERNORRLANDS LÄN</t>
        </is>
      </c>
      <c r="E1882" t="inlineStr">
        <is>
          <t>SOLLEFTEÅ</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12054-2023</t>
        </is>
      </c>
      <c r="B1883" s="1" t="n">
        <v>44996</v>
      </c>
      <c r="C1883" s="1" t="n">
        <v>45637</v>
      </c>
      <c r="D1883" t="inlineStr">
        <is>
          <t>VÄSTERNORRLANDS LÄN</t>
        </is>
      </c>
      <c r="E1883" t="inlineStr">
        <is>
          <t>SOLLEFTEÅ</t>
        </is>
      </c>
      <c r="F1883" t="inlineStr">
        <is>
          <t>SCA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12045-2023</t>
        </is>
      </c>
      <c r="B1884" s="1" t="n">
        <v>44996</v>
      </c>
      <c r="C1884" s="1" t="n">
        <v>45637</v>
      </c>
      <c r="D1884" t="inlineStr">
        <is>
          <t>VÄSTERNORRLANDS LÄN</t>
        </is>
      </c>
      <c r="E1884" t="inlineStr">
        <is>
          <t>SOLLEFTEÅ</t>
        </is>
      </c>
      <c r="F1884" t="inlineStr">
        <is>
          <t>SCA</t>
        </is>
      </c>
      <c r="G1884" t="n">
        <v>16.4</v>
      </c>
      <c r="H1884" t="n">
        <v>0</v>
      </c>
      <c r="I1884" t="n">
        <v>0</v>
      </c>
      <c r="J1884" t="n">
        <v>0</v>
      </c>
      <c r="K1884" t="n">
        <v>0</v>
      </c>
      <c r="L1884" t="n">
        <v>0</v>
      </c>
      <c r="M1884" t="n">
        <v>0</v>
      </c>
      <c r="N1884" t="n">
        <v>0</v>
      </c>
      <c r="O1884" t="n">
        <v>0</v>
      </c>
      <c r="P1884" t="n">
        <v>0</v>
      </c>
      <c r="Q1884" t="n">
        <v>0</v>
      </c>
      <c r="R1884" s="2" t="inlineStr"/>
    </row>
    <row r="1885" ht="15" customHeight="1">
      <c r="A1885" t="inlineStr">
        <is>
          <t>A 12429-2023</t>
        </is>
      </c>
      <c r="B1885" s="1" t="n">
        <v>44998</v>
      </c>
      <c r="C1885" s="1" t="n">
        <v>45637</v>
      </c>
      <c r="D1885" t="inlineStr">
        <is>
          <t>VÄSTERNORRLANDS LÄN</t>
        </is>
      </c>
      <c r="E1885" t="inlineStr">
        <is>
          <t>SOLLEFTEÅ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12515-2023</t>
        </is>
      </c>
      <c r="B1886" s="1" t="n">
        <v>45000</v>
      </c>
      <c r="C1886" s="1" t="n">
        <v>45637</v>
      </c>
      <c r="D1886" t="inlineStr">
        <is>
          <t>VÄSTERNORRLANDS LÄN</t>
        </is>
      </c>
      <c r="E1886" t="inlineStr">
        <is>
          <t>SOLLEFTEÅ</t>
        </is>
      </c>
      <c r="F1886" t="inlineStr">
        <is>
          <t>SCA</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12726-2023</t>
        </is>
      </c>
      <c r="B1887" s="1" t="n">
        <v>45000</v>
      </c>
      <c r="C1887" s="1" t="n">
        <v>45637</v>
      </c>
      <c r="D1887" t="inlineStr">
        <is>
          <t>VÄSTERNORRLANDS LÄN</t>
        </is>
      </c>
      <c r="E1887" t="inlineStr">
        <is>
          <t>SOLLEFTEÅ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12512-2023</t>
        </is>
      </c>
      <c r="B1888" s="1" t="n">
        <v>45000</v>
      </c>
      <c r="C1888" s="1" t="n">
        <v>45637</v>
      </c>
      <c r="D1888" t="inlineStr">
        <is>
          <t>VÄSTERNORRLANDS LÄN</t>
        </is>
      </c>
      <c r="E1888" t="inlineStr">
        <is>
          <t>SOLLEFTEÅ</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12536-2023</t>
        </is>
      </c>
      <c r="B1889" s="1" t="n">
        <v>45000</v>
      </c>
      <c r="C1889" s="1" t="n">
        <v>45637</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12540-2023</t>
        </is>
      </c>
      <c r="B1890" s="1" t="n">
        <v>45000</v>
      </c>
      <c r="C1890" s="1" t="n">
        <v>45637</v>
      </c>
      <c r="D1890" t="inlineStr">
        <is>
          <t>VÄSTERNORRLANDS LÄN</t>
        </is>
      </c>
      <c r="E1890" t="inlineStr">
        <is>
          <t>SOLLEFTEÅ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12730-2023</t>
        </is>
      </c>
      <c r="B1891" s="1" t="n">
        <v>45000</v>
      </c>
      <c r="C1891" s="1" t="n">
        <v>45637</v>
      </c>
      <c r="D1891" t="inlineStr">
        <is>
          <t>VÄSTERNORRLANDS LÄN</t>
        </is>
      </c>
      <c r="E1891" t="inlineStr">
        <is>
          <t>SOLLEFTEÅ</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12735-2023</t>
        </is>
      </c>
      <c r="B1892" s="1" t="n">
        <v>45000</v>
      </c>
      <c r="C1892" s="1" t="n">
        <v>45637</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12539-2023</t>
        </is>
      </c>
      <c r="B1893" s="1" t="n">
        <v>45000</v>
      </c>
      <c r="C1893" s="1" t="n">
        <v>45637</v>
      </c>
      <c r="D1893" t="inlineStr">
        <is>
          <t>VÄSTERNORRLANDS LÄN</t>
        </is>
      </c>
      <c r="E1893" t="inlineStr">
        <is>
          <t>SOLLEFTEÅ</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12727-2023</t>
        </is>
      </c>
      <c r="B1894" s="1" t="n">
        <v>45000</v>
      </c>
      <c r="C1894" s="1" t="n">
        <v>45637</v>
      </c>
      <c r="D1894" t="inlineStr">
        <is>
          <t>VÄSTERNORRLANDS LÄN</t>
        </is>
      </c>
      <c r="E1894" t="inlineStr">
        <is>
          <t>SOLLEFTEÅ</t>
        </is>
      </c>
      <c r="G1894" t="n">
        <v>15.7</v>
      </c>
      <c r="H1894" t="n">
        <v>0</v>
      </c>
      <c r="I1894" t="n">
        <v>0</v>
      </c>
      <c r="J1894" t="n">
        <v>0</v>
      </c>
      <c r="K1894" t="n">
        <v>0</v>
      </c>
      <c r="L1894" t="n">
        <v>0</v>
      </c>
      <c r="M1894" t="n">
        <v>0</v>
      </c>
      <c r="N1894" t="n">
        <v>0</v>
      </c>
      <c r="O1894" t="n">
        <v>0</v>
      </c>
      <c r="P1894" t="n">
        <v>0</v>
      </c>
      <c r="Q1894" t="n">
        <v>0</v>
      </c>
      <c r="R1894" s="2" t="inlineStr"/>
    </row>
    <row r="1895" ht="15" customHeight="1">
      <c r="A1895" t="inlineStr">
        <is>
          <t>A 12733-2023</t>
        </is>
      </c>
      <c r="B1895" s="1" t="n">
        <v>45000</v>
      </c>
      <c r="C1895" s="1" t="n">
        <v>45637</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12747-2023</t>
        </is>
      </c>
      <c r="B1896" s="1" t="n">
        <v>45000</v>
      </c>
      <c r="C1896" s="1" t="n">
        <v>45637</v>
      </c>
      <c r="D1896" t="inlineStr">
        <is>
          <t>VÄSTERNORRLANDS LÄN</t>
        </is>
      </c>
      <c r="E1896" t="inlineStr">
        <is>
          <t>SOLLEFTEÅ</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12734-2023</t>
        </is>
      </c>
      <c r="B1897" s="1" t="n">
        <v>45000</v>
      </c>
      <c r="C1897" s="1" t="n">
        <v>45637</v>
      </c>
      <c r="D1897" t="inlineStr">
        <is>
          <t>VÄSTERNORRLANDS LÄN</t>
        </is>
      </c>
      <c r="E1897" t="inlineStr">
        <is>
          <t>SOLLEFTEÅ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12752-2023</t>
        </is>
      </c>
      <c r="B1898" s="1" t="n">
        <v>45000</v>
      </c>
      <c r="C1898" s="1" t="n">
        <v>45637</v>
      </c>
      <c r="D1898" t="inlineStr">
        <is>
          <t>VÄSTERNORRLANDS LÄN</t>
        </is>
      </c>
      <c r="E1898" t="inlineStr">
        <is>
          <t>SOLLEFTEÅ</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12746-2023</t>
        </is>
      </c>
      <c r="B1899" s="1" t="n">
        <v>45000</v>
      </c>
      <c r="C1899" s="1" t="n">
        <v>45637</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12755-2023</t>
        </is>
      </c>
      <c r="B1900" s="1" t="n">
        <v>45000</v>
      </c>
      <c r="C1900" s="1" t="n">
        <v>45637</v>
      </c>
      <c r="D1900" t="inlineStr">
        <is>
          <t>VÄSTERNORRLANDS LÄN</t>
        </is>
      </c>
      <c r="E1900" t="inlineStr">
        <is>
          <t>SOLLEFTEÅ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12820-2023</t>
        </is>
      </c>
      <c r="B1901" s="1" t="n">
        <v>45000</v>
      </c>
      <c r="C1901" s="1" t="n">
        <v>45637</v>
      </c>
      <c r="D1901" t="inlineStr">
        <is>
          <t>VÄSTERNORRLANDS LÄN</t>
        </is>
      </c>
      <c r="E1901" t="inlineStr">
        <is>
          <t>SOLLEFTEÅ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12972-2023</t>
        </is>
      </c>
      <c r="B1902" s="1" t="n">
        <v>45001</v>
      </c>
      <c r="C1902" s="1" t="n">
        <v>45637</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13066-2023</t>
        </is>
      </c>
      <c r="B1903" s="1" t="n">
        <v>45001</v>
      </c>
      <c r="C1903" s="1" t="n">
        <v>45637</v>
      </c>
      <c r="D1903" t="inlineStr">
        <is>
          <t>VÄSTERNORRLANDS LÄN</t>
        </is>
      </c>
      <c r="E1903" t="inlineStr">
        <is>
          <t>SOLLEFTEÅ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13050-2023</t>
        </is>
      </c>
      <c r="B1904" s="1" t="n">
        <v>45001</v>
      </c>
      <c r="C1904" s="1" t="n">
        <v>45637</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12996-2023</t>
        </is>
      </c>
      <c r="B1905" s="1" t="n">
        <v>45002</v>
      </c>
      <c r="C1905" s="1" t="n">
        <v>45637</v>
      </c>
      <c r="D1905" t="inlineStr">
        <is>
          <t>VÄSTERNORRLANDS LÄN</t>
        </is>
      </c>
      <c r="E1905" t="inlineStr">
        <is>
          <t>SOLLEFTEÅ</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13009-2023</t>
        </is>
      </c>
      <c r="B1906" s="1" t="n">
        <v>45002</v>
      </c>
      <c r="C1906" s="1" t="n">
        <v>45637</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13006-2023</t>
        </is>
      </c>
      <c r="B1907" s="1" t="n">
        <v>45002</v>
      </c>
      <c r="C1907" s="1" t="n">
        <v>45637</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12983-2023</t>
        </is>
      </c>
      <c r="B1908" s="1" t="n">
        <v>45002</v>
      </c>
      <c r="C1908" s="1" t="n">
        <v>45637</v>
      </c>
      <c r="D1908" t="inlineStr">
        <is>
          <t>VÄSTERNORRLANDS LÄN</t>
        </is>
      </c>
      <c r="E1908" t="inlineStr">
        <is>
          <t>SOLLEFTEÅ</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13008-2023</t>
        </is>
      </c>
      <c r="B1909" s="1" t="n">
        <v>45002</v>
      </c>
      <c r="C1909" s="1" t="n">
        <v>45637</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13007-2023</t>
        </is>
      </c>
      <c r="B1910" s="1" t="n">
        <v>45002</v>
      </c>
      <c r="C1910" s="1" t="n">
        <v>45637</v>
      </c>
      <c r="D1910" t="inlineStr">
        <is>
          <t>VÄSTERNORRLANDS LÄN</t>
        </is>
      </c>
      <c r="E1910" t="inlineStr">
        <is>
          <t>SOLLEFTEÅ</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13252-2023</t>
        </is>
      </c>
      <c r="B1911" s="1" t="n">
        <v>45002</v>
      </c>
      <c r="C1911" s="1" t="n">
        <v>45637</v>
      </c>
      <c r="D1911" t="inlineStr">
        <is>
          <t>VÄSTERNORRLANDS LÄN</t>
        </is>
      </c>
      <c r="E1911" t="inlineStr">
        <is>
          <t>SOLLEFTEÅ</t>
        </is>
      </c>
      <c r="F1911" t="inlineStr">
        <is>
          <t>SCA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13264-2023</t>
        </is>
      </c>
      <c r="B1912" s="1" t="n">
        <v>45002</v>
      </c>
      <c r="C1912" s="1" t="n">
        <v>45637</v>
      </c>
      <c r="D1912" t="inlineStr">
        <is>
          <t>VÄSTERNORRLANDS LÄN</t>
        </is>
      </c>
      <c r="E1912" t="inlineStr">
        <is>
          <t>SOLLEFTEÅ</t>
        </is>
      </c>
      <c r="F1912" t="inlineStr">
        <is>
          <t>SCA</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13292-2023</t>
        </is>
      </c>
      <c r="B1913" s="1" t="n">
        <v>45004</v>
      </c>
      <c r="C1913" s="1" t="n">
        <v>45637</v>
      </c>
      <c r="D1913" t="inlineStr">
        <is>
          <t>VÄSTERNORRLANDS LÄN</t>
        </is>
      </c>
      <c r="E1913" t="inlineStr">
        <is>
          <t>SOLLEFTEÅ</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13489-2023</t>
        </is>
      </c>
      <c r="B1914" s="1" t="n">
        <v>45005</v>
      </c>
      <c r="C1914" s="1" t="n">
        <v>45637</v>
      </c>
      <c r="D1914" t="inlineStr">
        <is>
          <t>VÄSTERNORRLANDS LÄN</t>
        </is>
      </c>
      <c r="E1914" t="inlineStr">
        <is>
          <t>SOLLEFTEÅ</t>
        </is>
      </c>
      <c r="F1914" t="inlineStr">
        <is>
          <t>SCA</t>
        </is>
      </c>
      <c r="G1914" t="n">
        <v>26.3</v>
      </c>
      <c r="H1914" t="n">
        <v>0</v>
      </c>
      <c r="I1914" t="n">
        <v>0</v>
      </c>
      <c r="J1914" t="n">
        <v>0</v>
      </c>
      <c r="K1914" t="n">
        <v>0</v>
      </c>
      <c r="L1914" t="n">
        <v>0</v>
      </c>
      <c r="M1914" t="n">
        <v>0</v>
      </c>
      <c r="N1914" t="n">
        <v>0</v>
      </c>
      <c r="O1914" t="n">
        <v>0</v>
      </c>
      <c r="P1914" t="n">
        <v>0</v>
      </c>
      <c r="Q1914" t="n">
        <v>0</v>
      </c>
      <c r="R1914" s="2" t="inlineStr"/>
    </row>
    <row r="1915" ht="15" customHeight="1">
      <c r="A1915" t="inlineStr">
        <is>
          <t>A 13487-2023</t>
        </is>
      </c>
      <c r="B1915" s="1" t="n">
        <v>45005</v>
      </c>
      <c r="C1915" s="1" t="n">
        <v>45637</v>
      </c>
      <c r="D1915" t="inlineStr">
        <is>
          <t>VÄSTERNORRLANDS LÄN</t>
        </is>
      </c>
      <c r="E1915" t="inlineStr">
        <is>
          <t>SOLLEFTEÅ</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13521-2023</t>
        </is>
      </c>
      <c r="B1916" s="1" t="n">
        <v>45005</v>
      </c>
      <c r="C1916" s="1" t="n">
        <v>45637</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13567-2023</t>
        </is>
      </c>
      <c r="B1917" s="1" t="n">
        <v>45005</v>
      </c>
      <c r="C1917" s="1" t="n">
        <v>45637</v>
      </c>
      <c r="D1917" t="inlineStr">
        <is>
          <t>VÄSTERNORRLANDS LÄN</t>
        </is>
      </c>
      <c r="E1917" t="inlineStr">
        <is>
          <t>SOLLEFTEÅ</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13570-2023</t>
        </is>
      </c>
      <c r="B1918" s="1" t="n">
        <v>45005</v>
      </c>
      <c r="C1918" s="1" t="n">
        <v>45637</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13499-2023</t>
        </is>
      </c>
      <c r="B1919" s="1" t="n">
        <v>45005</v>
      </c>
      <c r="C1919" s="1" t="n">
        <v>45637</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13565-2023</t>
        </is>
      </c>
      <c r="B1920" s="1" t="n">
        <v>45005</v>
      </c>
      <c r="C1920" s="1" t="n">
        <v>45637</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13689-2023</t>
        </is>
      </c>
      <c r="B1921" s="1" t="n">
        <v>45006</v>
      </c>
      <c r="C1921" s="1" t="n">
        <v>45637</v>
      </c>
      <c r="D1921" t="inlineStr">
        <is>
          <t>VÄSTERNORRLANDS LÄN</t>
        </is>
      </c>
      <c r="E1921" t="inlineStr">
        <is>
          <t>SOLLEFTEÅ</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13695-2023</t>
        </is>
      </c>
      <c r="B1922" s="1" t="n">
        <v>45006</v>
      </c>
      <c r="C1922" s="1" t="n">
        <v>45637</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13697-2023</t>
        </is>
      </c>
      <c r="B1923" s="1" t="n">
        <v>45006</v>
      </c>
      <c r="C1923" s="1" t="n">
        <v>45637</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14109-2023</t>
        </is>
      </c>
      <c r="B1924" s="1" t="n">
        <v>45008</v>
      </c>
      <c r="C1924" s="1" t="n">
        <v>45637</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14134-2023</t>
        </is>
      </c>
      <c r="B1925" s="1" t="n">
        <v>45008</v>
      </c>
      <c r="C1925" s="1" t="n">
        <v>45637</v>
      </c>
      <c r="D1925" t="inlineStr">
        <is>
          <t>VÄSTERNORRLANDS LÄN</t>
        </is>
      </c>
      <c r="E1925" t="inlineStr">
        <is>
          <t>SOLLEFTEÅ</t>
        </is>
      </c>
      <c r="F1925" t="inlineStr">
        <is>
          <t>Övriga Aktiebolag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14718-2023</t>
        </is>
      </c>
      <c r="B1926" s="1" t="n">
        <v>45012</v>
      </c>
      <c r="C1926" s="1" t="n">
        <v>45637</v>
      </c>
      <c r="D1926" t="inlineStr">
        <is>
          <t>VÄSTERNORRLANDS LÄN</t>
        </is>
      </c>
      <c r="E1926" t="inlineStr">
        <is>
          <t>SOLLEFTEÅ</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14675-2023</t>
        </is>
      </c>
      <c r="B1927" s="1" t="n">
        <v>45014</v>
      </c>
      <c r="C1927" s="1" t="n">
        <v>45637</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14668-2023</t>
        </is>
      </c>
      <c r="B1928" s="1" t="n">
        <v>45014</v>
      </c>
      <c r="C1928" s="1" t="n">
        <v>45637</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14937-2023</t>
        </is>
      </c>
      <c r="B1929" s="1" t="n">
        <v>45014</v>
      </c>
      <c r="C1929" s="1" t="n">
        <v>45637</v>
      </c>
      <c r="D1929" t="inlineStr">
        <is>
          <t>VÄSTERNORRLANDS LÄN</t>
        </is>
      </c>
      <c r="E1929" t="inlineStr">
        <is>
          <t>SOLLEFTEÅ</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14859-2023</t>
        </is>
      </c>
      <c r="B1930" s="1" t="n">
        <v>45015</v>
      </c>
      <c r="C1930" s="1" t="n">
        <v>45637</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14875-2023</t>
        </is>
      </c>
      <c r="B1931" s="1" t="n">
        <v>45015</v>
      </c>
      <c r="C1931" s="1" t="n">
        <v>45637</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15080-2023</t>
        </is>
      </c>
      <c r="B1932" s="1" t="n">
        <v>45016</v>
      </c>
      <c r="C1932" s="1" t="n">
        <v>45637</v>
      </c>
      <c r="D1932" t="inlineStr">
        <is>
          <t>VÄSTERNORRLANDS LÄN</t>
        </is>
      </c>
      <c r="E1932" t="inlineStr">
        <is>
          <t>SOLLEFTEÅ</t>
        </is>
      </c>
      <c r="F1932" t="inlineStr">
        <is>
          <t>SCA</t>
        </is>
      </c>
      <c r="G1932" t="n">
        <v>33.6</v>
      </c>
      <c r="H1932" t="n">
        <v>0</v>
      </c>
      <c r="I1932" t="n">
        <v>0</v>
      </c>
      <c r="J1932" t="n">
        <v>0</v>
      </c>
      <c r="K1932" t="n">
        <v>0</v>
      </c>
      <c r="L1932" t="n">
        <v>0</v>
      </c>
      <c r="M1932" t="n">
        <v>0</v>
      </c>
      <c r="N1932" t="n">
        <v>0</v>
      </c>
      <c r="O1932" t="n">
        <v>0</v>
      </c>
      <c r="P1932" t="n">
        <v>0</v>
      </c>
      <c r="Q1932" t="n">
        <v>0</v>
      </c>
      <c r="R1932" s="2" t="inlineStr"/>
    </row>
    <row r="1933" ht="15" customHeight="1">
      <c r="A1933" t="inlineStr">
        <is>
          <t>A 15632-2023</t>
        </is>
      </c>
      <c r="B1933" s="1" t="n">
        <v>45019</v>
      </c>
      <c r="C1933" s="1" t="n">
        <v>45637</v>
      </c>
      <c r="D1933" t="inlineStr">
        <is>
          <t>VÄSTERNORRLANDS LÄN</t>
        </is>
      </c>
      <c r="E1933" t="inlineStr">
        <is>
          <t>SOLLEFTEÅ</t>
        </is>
      </c>
      <c r="G1933" t="n">
        <v>12.8</v>
      </c>
      <c r="H1933" t="n">
        <v>0</v>
      </c>
      <c r="I1933" t="n">
        <v>0</v>
      </c>
      <c r="J1933" t="n">
        <v>0</v>
      </c>
      <c r="K1933" t="n">
        <v>0</v>
      </c>
      <c r="L1933" t="n">
        <v>0</v>
      </c>
      <c r="M1933" t="n">
        <v>0</v>
      </c>
      <c r="N1933" t="n">
        <v>0</v>
      </c>
      <c r="O1933" t="n">
        <v>0</v>
      </c>
      <c r="P1933" t="n">
        <v>0</v>
      </c>
      <c r="Q1933" t="n">
        <v>0</v>
      </c>
      <c r="R1933" s="2" t="inlineStr"/>
    </row>
    <row r="1934" ht="15" customHeight="1">
      <c r="A1934" t="inlineStr">
        <is>
          <t>A 15723-2023</t>
        </is>
      </c>
      <c r="B1934" s="1" t="n">
        <v>45020</v>
      </c>
      <c r="C1934" s="1" t="n">
        <v>45637</v>
      </c>
      <c r="D1934" t="inlineStr">
        <is>
          <t>VÄSTERNORRLANDS LÄN</t>
        </is>
      </c>
      <c r="E1934" t="inlineStr">
        <is>
          <t>SOLLEFTEÅ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15978-2023</t>
        </is>
      </c>
      <c r="B1935" s="1" t="n">
        <v>45023</v>
      </c>
      <c r="C1935" s="1" t="n">
        <v>45637</v>
      </c>
      <c r="D1935" t="inlineStr">
        <is>
          <t>VÄSTERNORRLANDS LÄN</t>
        </is>
      </c>
      <c r="E1935" t="inlineStr">
        <is>
          <t>SOLLEFTEÅ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15987-2023</t>
        </is>
      </c>
      <c r="B1936" s="1" t="n">
        <v>45023</v>
      </c>
      <c r="C1936" s="1" t="n">
        <v>45637</v>
      </c>
      <c r="D1936" t="inlineStr">
        <is>
          <t>VÄSTERNORRLANDS LÄN</t>
        </is>
      </c>
      <c r="E1936" t="inlineStr">
        <is>
          <t>SOLLEFTEÅ</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15998-2023</t>
        </is>
      </c>
      <c r="B1937" s="1" t="n">
        <v>45024</v>
      </c>
      <c r="C1937" s="1" t="n">
        <v>45637</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16189-2023</t>
        </is>
      </c>
      <c r="B1938" s="1" t="n">
        <v>45028</v>
      </c>
      <c r="C1938" s="1" t="n">
        <v>45637</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16190-2023</t>
        </is>
      </c>
      <c r="B1939" s="1" t="n">
        <v>45028</v>
      </c>
      <c r="C1939" s="1" t="n">
        <v>45637</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16196-2023</t>
        </is>
      </c>
      <c r="B1940" s="1" t="n">
        <v>45028</v>
      </c>
      <c r="C1940" s="1" t="n">
        <v>45637</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16370-2023</t>
        </is>
      </c>
      <c r="B1941" s="1" t="n">
        <v>45029</v>
      </c>
      <c r="C1941" s="1" t="n">
        <v>45637</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16376-2023</t>
        </is>
      </c>
      <c r="B1942" s="1" t="n">
        <v>45029</v>
      </c>
      <c r="C1942" s="1" t="n">
        <v>45637</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16562-2023</t>
        </is>
      </c>
      <c r="B1943" s="1" t="n">
        <v>45029</v>
      </c>
      <c r="C1943" s="1" t="n">
        <v>45637</v>
      </c>
      <c r="D1943" t="inlineStr">
        <is>
          <t>VÄSTERNORRLANDS LÄN</t>
        </is>
      </c>
      <c r="E1943" t="inlineStr">
        <is>
          <t>SOLLEFTEÅ</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16760-2023</t>
        </is>
      </c>
      <c r="B1944" s="1" t="n">
        <v>45030</v>
      </c>
      <c r="C1944" s="1" t="n">
        <v>45637</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17007-2023</t>
        </is>
      </c>
      <c r="B1945" s="1" t="n">
        <v>45034</v>
      </c>
      <c r="C1945" s="1" t="n">
        <v>45637</v>
      </c>
      <c r="D1945" t="inlineStr">
        <is>
          <t>VÄSTERNORRLANDS LÄN</t>
        </is>
      </c>
      <c r="E1945" t="inlineStr">
        <is>
          <t>SOLLEFTEÅ</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17064-2023</t>
        </is>
      </c>
      <c r="B1946" s="1" t="n">
        <v>45034</v>
      </c>
      <c r="C1946" s="1" t="n">
        <v>45637</v>
      </c>
      <c r="D1946" t="inlineStr">
        <is>
          <t>VÄSTERNORRLANDS LÄN</t>
        </is>
      </c>
      <c r="E1946" t="inlineStr">
        <is>
          <t>SOLLEFTEÅ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17218-2023</t>
        </is>
      </c>
      <c r="B1947" s="1" t="n">
        <v>45035</v>
      </c>
      <c r="C1947" s="1" t="n">
        <v>45637</v>
      </c>
      <c r="D1947" t="inlineStr">
        <is>
          <t>VÄSTERNORRLANDS LÄN</t>
        </is>
      </c>
      <c r="E1947" t="inlineStr">
        <is>
          <t>SOLLEFTEÅ</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17219-2023</t>
        </is>
      </c>
      <c r="B1948" s="1" t="n">
        <v>45034</v>
      </c>
      <c r="C1948" s="1" t="n">
        <v>45637</v>
      </c>
      <c r="D1948" t="inlineStr">
        <is>
          <t>VÄSTERNORRLANDS LÄN</t>
        </is>
      </c>
      <c r="E1948" t="inlineStr">
        <is>
          <t>SOLLEFTEÅ</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17416-2023</t>
        </is>
      </c>
      <c r="B1949" s="1" t="n">
        <v>45036</v>
      </c>
      <c r="C1949" s="1" t="n">
        <v>45637</v>
      </c>
      <c r="D1949" t="inlineStr">
        <is>
          <t>VÄSTERNORRLANDS LÄN</t>
        </is>
      </c>
      <c r="E1949" t="inlineStr">
        <is>
          <t>SOLLEFTEÅ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17683-2023</t>
        </is>
      </c>
      <c r="B1950" s="1" t="n">
        <v>45035</v>
      </c>
      <c r="C1950" s="1" t="n">
        <v>45637</v>
      </c>
      <c r="D1950" t="inlineStr">
        <is>
          <t>VÄSTERNORRLANDS LÄN</t>
        </is>
      </c>
      <c r="E1950" t="inlineStr">
        <is>
          <t>SOLLEFTEÅ</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17664-2023</t>
        </is>
      </c>
      <c r="B1951" s="1" t="n">
        <v>45037</v>
      </c>
      <c r="C1951" s="1" t="n">
        <v>45637</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18149-2023</t>
        </is>
      </c>
      <c r="B1952" s="1" t="n">
        <v>45040</v>
      </c>
      <c r="C1952" s="1" t="n">
        <v>45637</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18160-2023</t>
        </is>
      </c>
      <c r="B1953" s="1" t="n">
        <v>45040</v>
      </c>
      <c r="C1953" s="1" t="n">
        <v>45637</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18167-2023</t>
        </is>
      </c>
      <c r="B1954" s="1" t="n">
        <v>45040</v>
      </c>
      <c r="C1954" s="1" t="n">
        <v>45637</v>
      </c>
      <c r="D1954" t="inlineStr">
        <is>
          <t>VÄSTERNORRLANDS LÄN</t>
        </is>
      </c>
      <c r="E1954" t="inlineStr">
        <is>
          <t>SOLLEFTEÅ</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18459-2023</t>
        </is>
      </c>
      <c r="B1955" s="1" t="n">
        <v>45041</v>
      </c>
      <c r="C1955" s="1" t="n">
        <v>45637</v>
      </c>
      <c r="D1955" t="inlineStr">
        <is>
          <t>VÄSTERNORRLANDS LÄN</t>
        </is>
      </c>
      <c r="E1955" t="inlineStr">
        <is>
          <t>SOLLEFTEÅ</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18378-2023</t>
        </is>
      </c>
      <c r="B1956" s="1" t="n">
        <v>45041</v>
      </c>
      <c r="C1956" s="1" t="n">
        <v>45637</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18456-2023</t>
        </is>
      </c>
      <c r="B1957" s="1" t="n">
        <v>45041</v>
      </c>
      <c r="C1957" s="1" t="n">
        <v>45637</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18861-2023</t>
        </is>
      </c>
      <c r="B1958" s="1" t="n">
        <v>45042</v>
      </c>
      <c r="C1958" s="1" t="n">
        <v>45637</v>
      </c>
      <c r="D1958" t="inlineStr">
        <is>
          <t>VÄSTERNORRLANDS LÄN</t>
        </is>
      </c>
      <c r="E1958" t="inlineStr">
        <is>
          <t>SOLLEFTEÅ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18762-2023</t>
        </is>
      </c>
      <c r="B1959" s="1" t="n">
        <v>45043</v>
      </c>
      <c r="C1959" s="1" t="n">
        <v>45637</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18781-2023</t>
        </is>
      </c>
      <c r="B1960" s="1" t="n">
        <v>45043</v>
      </c>
      <c r="C1960" s="1" t="n">
        <v>45637</v>
      </c>
      <c r="D1960" t="inlineStr">
        <is>
          <t>VÄSTERNORRLANDS LÄN</t>
        </is>
      </c>
      <c r="E1960" t="inlineStr">
        <is>
          <t>SOLLEFTEÅ</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18785-2023</t>
        </is>
      </c>
      <c r="B1961" s="1" t="n">
        <v>45043</v>
      </c>
      <c r="C1961" s="1" t="n">
        <v>45637</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18753-2023</t>
        </is>
      </c>
      <c r="B1962" s="1" t="n">
        <v>45044</v>
      </c>
      <c r="C1962" s="1" t="n">
        <v>45637</v>
      </c>
      <c r="D1962" t="inlineStr">
        <is>
          <t>VÄSTERNORRLANDS LÄN</t>
        </is>
      </c>
      <c r="E1962" t="inlineStr">
        <is>
          <t>SOLLEFTEÅ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18761-2023</t>
        </is>
      </c>
      <c r="B1963" s="1" t="n">
        <v>45043</v>
      </c>
      <c r="C1963" s="1" t="n">
        <v>45637</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18782-2023</t>
        </is>
      </c>
      <c r="B1964" s="1" t="n">
        <v>45044</v>
      </c>
      <c r="C1964" s="1" t="n">
        <v>45637</v>
      </c>
      <c r="D1964" t="inlineStr">
        <is>
          <t>VÄSTERNORRLANDS LÄN</t>
        </is>
      </c>
      <c r="E1964" t="inlineStr">
        <is>
          <t>SOLLEFTEÅ</t>
        </is>
      </c>
      <c r="F1964" t="inlineStr">
        <is>
          <t>SCA</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18786-2023</t>
        </is>
      </c>
      <c r="B1965" s="1" t="n">
        <v>45043</v>
      </c>
      <c r="C1965" s="1" t="n">
        <v>45637</v>
      </c>
      <c r="D1965" t="inlineStr">
        <is>
          <t>VÄSTERNORRLANDS LÄN</t>
        </is>
      </c>
      <c r="E1965" t="inlineStr">
        <is>
          <t>SOLLEFTEÅ</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18755-2023</t>
        </is>
      </c>
      <c r="B1966" s="1" t="n">
        <v>45043</v>
      </c>
      <c r="C1966" s="1" t="n">
        <v>45637</v>
      </c>
      <c r="D1966" t="inlineStr">
        <is>
          <t>VÄSTERNORRLANDS LÄN</t>
        </is>
      </c>
      <c r="E1966" t="inlineStr">
        <is>
          <t>SOLLEFTEÅ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18780-2023</t>
        </is>
      </c>
      <c r="B1967" s="1" t="n">
        <v>45044</v>
      </c>
      <c r="C1967" s="1" t="n">
        <v>45637</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18784-2023</t>
        </is>
      </c>
      <c r="B1968" s="1" t="n">
        <v>45044</v>
      </c>
      <c r="C1968" s="1" t="n">
        <v>45637</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18980-2023</t>
        </is>
      </c>
      <c r="B1969" s="1" t="n">
        <v>45044</v>
      </c>
      <c r="C1969" s="1" t="n">
        <v>45637</v>
      </c>
      <c r="D1969" t="inlineStr">
        <is>
          <t>VÄSTERNORRLANDS LÄN</t>
        </is>
      </c>
      <c r="E1969" t="inlineStr">
        <is>
          <t>SOLLEFTEÅ</t>
        </is>
      </c>
      <c r="F1969" t="inlineStr">
        <is>
          <t>Övriga statliga verk och myndigheter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18989-2023</t>
        </is>
      </c>
      <c r="B1970" s="1" t="n">
        <v>45044</v>
      </c>
      <c r="C1970" s="1" t="n">
        <v>45637</v>
      </c>
      <c r="D1970" t="inlineStr">
        <is>
          <t>VÄSTERNORRLANDS LÄN</t>
        </is>
      </c>
      <c r="E1970" t="inlineStr">
        <is>
          <t>SOLLEFTEÅ</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19154-2023</t>
        </is>
      </c>
      <c r="B1971" s="1" t="n">
        <v>45044</v>
      </c>
      <c r="C1971" s="1" t="n">
        <v>45637</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19433-2023</t>
        </is>
      </c>
      <c r="B1972" s="1" t="n">
        <v>45049</v>
      </c>
      <c r="C1972" s="1" t="n">
        <v>45637</v>
      </c>
      <c r="D1972" t="inlineStr">
        <is>
          <t>VÄSTERNORRLANDS LÄN</t>
        </is>
      </c>
      <c r="E1972" t="inlineStr">
        <is>
          <t>SOLLEFTEÅ</t>
        </is>
      </c>
      <c r="F1972" t="inlineStr">
        <is>
          <t>SCA</t>
        </is>
      </c>
      <c r="G1972" t="n">
        <v>12.3</v>
      </c>
      <c r="H1972" t="n">
        <v>0</v>
      </c>
      <c r="I1972" t="n">
        <v>0</v>
      </c>
      <c r="J1972" t="n">
        <v>0</v>
      </c>
      <c r="K1972" t="n">
        <v>0</v>
      </c>
      <c r="L1972" t="n">
        <v>0</v>
      </c>
      <c r="M1972" t="n">
        <v>0</v>
      </c>
      <c r="N1972" t="n">
        <v>0</v>
      </c>
      <c r="O1972" t="n">
        <v>0</v>
      </c>
      <c r="P1972" t="n">
        <v>0</v>
      </c>
      <c r="Q1972" t="n">
        <v>0</v>
      </c>
      <c r="R1972" s="2" t="inlineStr"/>
    </row>
    <row r="1973" ht="15" customHeight="1">
      <c r="A1973" t="inlineStr">
        <is>
          <t>A 19434-2023</t>
        </is>
      </c>
      <c r="B1973" s="1" t="n">
        <v>45049</v>
      </c>
      <c r="C1973" s="1" t="n">
        <v>45637</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19609-2023</t>
        </is>
      </c>
      <c r="B1974" s="1" t="n">
        <v>45050</v>
      </c>
      <c r="C1974" s="1" t="n">
        <v>45637</v>
      </c>
      <c r="D1974" t="inlineStr">
        <is>
          <t>VÄSTERNORRLANDS LÄN</t>
        </is>
      </c>
      <c r="E1974" t="inlineStr">
        <is>
          <t>SOLLEFTEÅ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19610-2023</t>
        </is>
      </c>
      <c r="B1975" s="1" t="n">
        <v>45050</v>
      </c>
      <c r="C1975" s="1" t="n">
        <v>45637</v>
      </c>
      <c r="D1975" t="inlineStr">
        <is>
          <t>VÄSTERNORRLANDS LÄN</t>
        </is>
      </c>
      <c r="E1975" t="inlineStr">
        <is>
          <t>SOLLEFTEÅ</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19615-2023</t>
        </is>
      </c>
      <c r="B1976" s="1" t="n">
        <v>45051</v>
      </c>
      <c r="C1976" s="1" t="n">
        <v>45637</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19625-2023</t>
        </is>
      </c>
      <c r="B1977" s="1" t="n">
        <v>45050</v>
      </c>
      <c r="C1977" s="1" t="n">
        <v>45637</v>
      </c>
      <c r="D1977" t="inlineStr">
        <is>
          <t>VÄSTERNORRLANDS LÄN</t>
        </is>
      </c>
      <c r="E1977" t="inlineStr">
        <is>
          <t>SOLLEFTEÅ</t>
        </is>
      </c>
      <c r="F1977" t="inlineStr">
        <is>
          <t>SCA</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19614-2023</t>
        </is>
      </c>
      <c r="B1978" s="1" t="n">
        <v>45050</v>
      </c>
      <c r="C1978" s="1" t="n">
        <v>45637</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19816-2023</t>
        </is>
      </c>
      <c r="B1979" s="1" t="n">
        <v>45052</v>
      </c>
      <c r="C1979" s="1" t="n">
        <v>45637</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19829-2023</t>
        </is>
      </c>
      <c r="B1980" s="1" t="n">
        <v>45052</v>
      </c>
      <c r="C1980" s="1" t="n">
        <v>45637</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19830-2023</t>
        </is>
      </c>
      <c r="B1981" s="1" t="n">
        <v>45052</v>
      </c>
      <c r="C1981" s="1" t="n">
        <v>45637</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20089-2023</t>
        </is>
      </c>
      <c r="B1982" s="1" t="n">
        <v>45055</v>
      </c>
      <c r="C1982" s="1" t="n">
        <v>45637</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20269-2023</t>
        </is>
      </c>
      <c r="B1983" s="1" t="n">
        <v>45055</v>
      </c>
      <c r="C1983" s="1" t="n">
        <v>45637</v>
      </c>
      <c r="D1983" t="inlineStr">
        <is>
          <t>VÄSTERNORRLANDS LÄN</t>
        </is>
      </c>
      <c r="E1983" t="inlineStr">
        <is>
          <t>SOLLEFTEÅ</t>
        </is>
      </c>
      <c r="F1983" t="inlineStr">
        <is>
          <t>SCA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20268-2023</t>
        </is>
      </c>
      <c r="B1984" s="1" t="n">
        <v>45055</v>
      </c>
      <c r="C1984" s="1" t="n">
        <v>45637</v>
      </c>
      <c r="D1984" t="inlineStr">
        <is>
          <t>VÄSTERNORRLANDS LÄN</t>
        </is>
      </c>
      <c r="E1984" t="inlineStr">
        <is>
          <t>SOLLEFTEÅ</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20266-2023</t>
        </is>
      </c>
      <c r="B1985" s="1" t="n">
        <v>45055</v>
      </c>
      <c r="C1985" s="1" t="n">
        <v>45637</v>
      </c>
      <c r="D1985" t="inlineStr">
        <is>
          <t>VÄSTERNORRLANDS LÄN</t>
        </is>
      </c>
      <c r="E1985" t="inlineStr">
        <is>
          <t>SOLLEFTEÅ</t>
        </is>
      </c>
      <c r="F1985" t="inlineStr">
        <is>
          <t>SCA</t>
        </is>
      </c>
      <c r="G1985" t="n">
        <v>21.3</v>
      </c>
      <c r="H1985" t="n">
        <v>0</v>
      </c>
      <c r="I1985" t="n">
        <v>0</v>
      </c>
      <c r="J1985" t="n">
        <v>0</v>
      </c>
      <c r="K1985" t="n">
        <v>0</v>
      </c>
      <c r="L1985" t="n">
        <v>0</v>
      </c>
      <c r="M1985" t="n">
        <v>0</v>
      </c>
      <c r="N1985" t="n">
        <v>0</v>
      </c>
      <c r="O1985" t="n">
        <v>0</v>
      </c>
      <c r="P1985" t="n">
        <v>0</v>
      </c>
      <c r="Q1985" t="n">
        <v>0</v>
      </c>
      <c r="R1985" s="2" t="inlineStr"/>
    </row>
    <row r="1986" ht="15" customHeight="1">
      <c r="A1986" t="inlineStr">
        <is>
          <t>A 20271-2023</t>
        </is>
      </c>
      <c r="B1986" s="1" t="n">
        <v>45056</v>
      </c>
      <c r="C1986" s="1" t="n">
        <v>45637</v>
      </c>
      <c r="D1986" t="inlineStr">
        <is>
          <t>VÄSTERNORRLANDS LÄN</t>
        </is>
      </c>
      <c r="E1986" t="inlineStr">
        <is>
          <t>SOLLEFTEÅ</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20461-2023</t>
        </is>
      </c>
      <c r="B1987" s="1" t="n">
        <v>45057</v>
      </c>
      <c r="C1987" s="1" t="n">
        <v>45637</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20460-2023</t>
        </is>
      </c>
      <c r="B1988" s="1" t="n">
        <v>45057</v>
      </c>
      <c r="C1988" s="1" t="n">
        <v>45637</v>
      </c>
      <c r="D1988" t="inlineStr">
        <is>
          <t>VÄSTERNORRLANDS LÄN</t>
        </is>
      </c>
      <c r="E1988" t="inlineStr">
        <is>
          <t>SOLLEFTEÅ</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20599-2023</t>
        </is>
      </c>
      <c r="B1989" s="1" t="n">
        <v>45058</v>
      </c>
      <c r="C1989" s="1" t="n">
        <v>45637</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20598-2023</t>
        </is>
      </c>
      <c r="B1990" s="1" t="n">
        <v>45058</v>
      </c>
      <c r="C1990" s="1" t="n">
        <v>45637</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21195-2023</t>
        </is>
      </c>
      <c r="B1991" s="1" t="n">
        <v>45057</v>
      </c>
      <c r="C1991" s="1" t="n">
        <v>45637</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20629-2023</t>
        </is>
      </c>
      <c r="B1992" s="1" t="n">
        <v>45058</v>
      </c>
      <c r="C1992" s="1" t="n">
        <v>45637</v>
      </c>
      <c r="D1992" t="inlineStr">
        <is>
          <t>VÄSTERNORRLANDS LÄN</t>
        </is>
      </c>
      <c r="E1992" t="inlineStr">
        <is>
          <t>SOLLEFTEÅ</t>
        </is>
      </c>
      <c r="F1992" t="inlineStr">
        <is>
          <t>SCA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20628-2023</t>
        </is>
      </c>
      <c r="B1993" s="1" t="n">
        <v>45058</v>
      </c>
      <c r="C1993" s="1" t="n">
        <v>45637</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21230-2023</t>
        </is>
      </c>
      <c r="B1994" s="1" t="n">
        <v>45057</v>
      </c>
      <c r="C1994" s="1" t="n">
        <v>45637</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20754-2023</t>
        </is>
      </c>
      <c r="B1995" s="1" t="n">
        <v>45058</v>
      </c>
      <c r="C1995" s="1" t="n">
        <v>45637</v>
      </c>
      <c r="D1995" t="inlineStr">
        <is>
          <t>VÄSTERNORRLANDS LÄN</t>
        </is>
      </c>
      <c r="E1995" t="inlineStr">
        <is>
          <t>SOLLEFTEÅ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20859-2023</t>
        </is>
      </c>
      <c r="B1996" s="1" t="n">
        <v>45059</v>
      </c>
      <c r="C1996" s="1" t="n">
        <v>45637</v>
      </c>
      <c r="D1996" t="inlineStr">
        <is>
          <t>VÄSTERNORRLANDS LÄN</t>
        </is>
      </c>
      <c r="E1996" t="inlineStr">
        <is>
          <t>SOLLEFTEÅ</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20862-2023</t>
        </is>
      </c>
      <c r="B1997" s="1" t="n">
        <v>45059</v>
      </c>
      <c r="C1997" s="1" t="n">
        <v>45637</v>
      </c>
      <c r="D1997" t="inlineStr">
        <is>
          <t>VÄSTERNORRLANDS LÄN</t>
        </is>
      </c>
      <c r="E1997" t="inlineStr">
        <is>
          <t>SOLLEFTEÅ</t>
        </is>
      </c>
      <c r="F1997" t="inlineStr">
        <is>
          <t>SCA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20817-2023</t>
        </is>
      </c>
      <c r="B1998" s="1" t="n">
        <v>45058</v>
      </c>
      <c r="C1998" s="1" t="n">
        <v>45637</v>
      </c>
      <c r="D1998" t="inlineStr">
        <is>
          <t>VÄSTERNORRLANDS LÄN</t>
        </is>
      </c>
      <c r="E1998" t="inlineStr">
        <is>
          <t>SOLLEFTEÅ</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20873-2023</t>
        </is>
      </c>
      <c r="B1999" s="1" t="n">
        <v>45059</v>
      </c>
      <c r="C1999" s="1" t="n">
        <v>45637</v>
      </c>
      <c r="D1999" t="inlineStr">
        <is>
          <t>VÄSTERNORRLANDS LÄN</t>
        </is>
      </c>
      <c r="E1999" t="inlineStr">
        <is>
          <t>SOLLEFTEÅ</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20878-2023</t>
        </is>
      </c>
      <c r="B2000" s="1" t="n">
        <v>45059</v>
      </c>
      <c r="C2000" s="1" t="n">
        <v>45637</v>
      </c>
      <c r="D2000" t="inlineStr">
        <is>
          <t>VÄSTERNORRLANDS LÄN</t>
        </is>
      </c>
      <c r="E2000" t="inlineStr">
        <is>
          <t>SOLLEFTEÅ</t>
        </is>
      </c>
      <c r="F2000" t="inlineStr">
        <is>
          <t>SCA</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20872-2023</t>
        </is>
      </c>
      <c r="B2001" s="1" t="n">
        <v>45058</v>
      </c>
      <c r="C2001" s="1" t="n">
        <v>45637</v>
      </c>
      <c r="D2001" t="inlineStr">
        <is>
          <t>VÄSTERNORRLANDS LÄN</t>
        </is>
      </c>
      <c r="E2001" t="inlineStr">
        <is>
          <t>SOLLEFTEÅ</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21513-2023</t>
        </is>
      </c>
      <c r="B2002" s="1" t="n">
        <v>45061</v>
      </c>
      <c r="C2002" s="1" t="n">
        <v>45637</v>
      </c>
      <c r="D2002" t="inlineStr">
        <is>
          <t>VÄSTERNORRLANDS LÄN</t>
        </is>
      </c>
      <c r="E2002" t="inlineStr">
        <is>
          <t>SOLLEFTEÅ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21349-2023</t>
        </is>
      </c>
      <c r="B2003" s="1" t="n">
        <v>45063</v>
      </c>
      <c r="C2003" s="1" t="n">
        <v>45637</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21346-2023</t>
        </is>
      </c>
      <c r="B2004" s="1" t="n">
        <v>45063</v>
      </c>
      <c r="C2004" s="1" t="n">
        <v>45637</v>
      </c>
      <c r="D2004" t="inlineStr">
        <is>
          <t>VÄSTERNORRLANDS LÄN</t>
        </is>
      </c>
      <c r="E2004" t="inlineStr">
        <is>
          <t>SOLLEFTEÅ</t>
        </is>
      </c>
      <c r="F2004" t="inlineStr">
        <is>
          <t>SCA</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21340-2023</t>
        </is>
      </c>
      <c r="B2005" s="1" t="n">
        <v>45062</v>
      </c>
      <c r="C2005" s="1" t="n">
        <v>45637</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21344-2023</t>
        </is>
      </c>
      <c r="B2006" s="1" t="n">
        <v>45062</v>
      </c>
      <c r="C2006" s="1" t="n">
        <v>45637</v>
      </c>
      <c r="D2006" t="inlineStr">
        <is>
          <t>VÄSTERNORRLANDS LÄN</t>
        </is>
      </c>
      <c r="E2006" t="inlineStr">
        <is>
          <t>SOLLEFTEÅ</t>
        </is>
      </c>
      <c r="F2006" t="inlineStr">
        <is>
          <t>SCA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21361-2023</t>
        </is>
      </c>
      <c r="B2007" s="1" t="n">
        <v>45063</v>
      </c>
      <c r="C2007" s="1" t="n">
        <v>45637</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21690-2023</t>
        </is>
      </c>
      <c r="B2008" s="1" t="n">
        <v>45064</v>
      </c>
      <c r="C2008" s="1" t="n">
        <v>45637</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21674-2023</t>
        </is>
      </c>
      <c r="B2009" s="1" t="n">
        <v>45064</v>
      </c>
      <c r="C2009" s="1" t="n">
        <v>45637</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22008-2023</t>
        </is>
      </c>
      <c r="B2010" s="1" t="n">
        <v>45068</v>
      </c>
      <c r="C2010" s="1" t="n">
        <v>45637</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22220-2023</t>
        </is>
      </c>
      <c r="B2011" s="1" t="n">
        <v>45070</v>
      </c>
      <c r="C2011" s="1" t="n">
        <v>45637</v>
      </c>
      <c r="D2011" t="inlineStr">
        <is>
          <t>VÄSTERNORRLANDS LÄN</t>
        </is>
      </c>
      <c r="E2011" t="inlineStr">
        <is>
          <t>SOLLEFTEÅ</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22229-2023</t>
        </is>
      </c>
      <c r="B2012" s="1" t="n">
        <v>45070</v>
      </c>
      <c r="C2012" s="1" t="n">
        <v>45637</v>
      </c>
      <c r="D2012" t="inlineStr">
        <is>
          <t>VÄSTERNORRLANDS LÄN</t>
        </is>
      </c>
      <c r="E2012" t="inlineStr">
        <is>
          <t>SOLLEFTEÅ</t>
        </is>
      </c>
      <c r="F2012" t="inlineStr">
        <is>
          <t>SCA</t>
        </is>
      </c>
      <c r="G2012" t="n">
        <v>20.8</v>
      </c>
      <c r="H2012" t="n">
        <v>0</v>
      </c>
      <c r="I2012" t="n">
        <v>0</v>
      </c>
      <c r="J2012" t="n">
        <v>0</v>
      </c>
      <c r="K2012" t="n">
        <v>0</v>
      </c>
      <c r="L2012" t="n">
        <v>0</v>
      </c>
      <c r="M2012" t="n">
        <v>0</v>
      </c>
      <c r="N2012" t="n">
        <v>0</v>
      </c>
      <c r="O2012" t="n">
        <v>0</v>
      </c>
      <c r="P2012" t="n">
        <v>0</v>
      </c>
      <c r="Q2012" t="n">
        <v>0</v>
      </c>
      <c r="R2012" s="2" t="inlineStr"/>
    </row>
    <row r="2013" ht="15" customHeight="1">
      <c r="A2013" t="inlineStr">
        <is>
          <t>A 22750-2023</t>
        </is>
      </c>
      <c r="B2013" s="1" t="n">
        <v>45072</v>
      </c>
      <c r="C2013" s="1" t="n">
        <v>45637</v>
      </c>
      <c r="D2013" t="inlineStr">
        <is>
          <t>VÄSTERNORRLANDS LÄN</t>
        </is>
      </c>
      <c r="E2013" t="inlineStr">
        <is>
          <t>SOLLEFTEÅ</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22994-2023</t>
        </is>
      </c>
      <c r="B2014" s="1" t="n">
        <v>45072</v>
      </c>
      <c r="C2014" s="1" t="n">
        <v>45637</v>
      </c>
      <c r="D2014" t="inlineStr">
        <is>
          <t>VÄSTERNORRLANDS LÄN</t>
        </is>
      </c>
      <c r="E2014" t="inlineStr">
        <is>
          <t>SOLLEFTEÅ</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22992-2023</t>
        </is>
      </c>
      <c r="B2015" s="1" t="n">
        <v>45072</v>
      </c>
      <c r="C2015" s="1" t="n">
        <v>45637</v>
      </c>
      <c r="D2015" t="inlineStr">
        <is>
          <t>VÄSTERNORRLANDS LÄN</t>
        </is>
      </c>
      <c r="E2015" t="inlineStr">
        <is>
          <t>SOLLEFTEÅ</t>
        </is>
      </c>
      <c r="F2015" t="inlineStr">
        <is>
          <t>SCA</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22995-2023</t>
        </is>
      </c>
      <c r="B2016" s="1" t="n">
        <v>45073</v>
      </c>
      <c r="C2016" s="1" t="n">
        <v>45637</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23488-2023</t>
        </is>
      </c>
      <c r="B2017" s="1" t="n">
        <v>45072</v>
      </c>
      <c r="C2017" s="1" t="n">
        <v>45637</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23016-2023</t>
        </is>
      </c>
      <c r="B2018" s="1" t="n">
        <v>45073</v>
      </c>
      <c r="C2018" s="1" t="n">
        <v>45637</v>
      </c>
      <c r="D2018" t="inlineStr">
        <is>
          <t>VÄSTERNORRLANDS LÄN</t>
        </is>
      </c>
      <c r="E2018" t="inlineStr">
        <is>
          <t>SOLLEFTEÅ</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23286-2023</t>
        </is>
      </c>
      <c r="B2019" s="1" t="n">
        <v>45075</v>
      </c>
      <c r="C2019" s="1" t="n">
        <v>45637</v>
      </c>
      <c r="D2019" t="inlineStr">
        <is>
          <t>VÄSTERNORRLANDS LÄN</t>
        </is>
      </c>
      <c r="E2019" t="inlineStr">
        <is>
          <t>SOLLEFTEÅ</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23277-2023</t>
        </is>
      </c>
      <c r="B2020" s="1" t="n">
        <v>45075</v>
      </c>
      <c r="C2020" s="1" t="n">
        <v>45637</v>
      </c>
      <c r="D2020" t="inlineStr">
        <is>
          <t>VÄSTERNORRLANDS LÄN</t>
        </is>
      </c>
      <c r="E2020" t="inlineStr">
        <is>
          <t>SOLLEFTEÅ</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23285-2023</t>
        </is>
      </c>
      <c r="B2021" s="1" t="n">
        <v>45075</v>
      </c>
      <c r="C2021" s="1" t="n">
        <v>45637</v>
      </c>
      <c r="D2021" t="inlineStr">
        <is>
          <t>VÄSTERNORRLANDS LÄN</t>
        </is>
      </c>
      <c r="E2021" t="inlineStr">
        <is>
          <t>SOLLEFTEÅ</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23289-2023</t>
        </is>
      </c>
      <c r="B2022" s="1" t="n">
        <v>45075</v>
      </c>
      <c r="C2022" s="1" t="n">
        <v>45637</v>
      </c>
      <c r="D2022" t="inlineStr">
        <is>
          <t>VÄSTERNORRLANDS LÄN</t>
        </is>
      </c>
      <c r="E2022" t="inlineStr">
        <is>
          <t>SOLLEFTEÅ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23287-2023</t>
        </is>
      </c>
      <c r="B2023" s="1" t="n">
        <v>45075</v>
      </c>
      <c r="C2023" s="1" t="n">
        <v>45637</v>
      </c>
      <c r="D2023" t="inlineStr">
        <is>
          <t>VÄSTERNORRLANDS LÄN</t>
        </is>
      </c>
      <c r="E2023" t="inlineStr">
        <is>
          <t>SOLLEFTEÅ</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23288-2023</t>
        </is>
      </c>
      <c r="B2024" s="1" t="n">
        <v>45075</v>
      </c>
      <c r="C2024" s="1" t="n">
        <v>45637</v>
      </c>
      <c r="D2024" t="inlineStr">
        <is>
          <t>VÄSTERNORRLANDS LÄN</t>
        </is>
      </c>
      <c r="E2024" t="inlineStr">
        <is>
          <t>SOLLEFTEÅ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23523-2023</t>
        </is>
      </c>
      <c r="B2025" s="1" t="n">
        <v>45076</v>
      </c>
      <c r="C2025" s="1" t="n">
        <v>45637</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23527-2023</t>
        </is>
      </c>
      <c r="B2026" s="1" t="n">
        <v>45076</v>
      </c>
      <c r="C2026" s="1" t="n">
        <v>45637</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24306-2023</t>
        </is>
      </c>
      <c r="B2027" s="1" t="n">
        <v>45080</v>
      </c>
      <c r="C2027" s="1" t="n">
        <v>45637</v>
      </c>
      <c r="D2027" t="inlineStr">
        <is>
          <t>VÄSTERNORRLANDS LÄN</t>
        </is>
      </c>
      <c r="E2027" t="inlineStr">
        <is>
          <t>SOLLEFTEÅ</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24314-2023</t>
        </is>
      </c>
      <c r="B2028" s="1" t="n">
        <v>45079</v>
      </c>
      <c r="C2028" s="1" t="n">
        <v>45637</v>
      </c>
      <c r="D2028" t="inlineStr">
        <is>
          <t>VÄSTERNORRLANDS LÄN</t>
        </is>
      </c>
      <c r="E2028" t="inlineStr">
        <is>
          <t>SOLLEFTEÅ</t>
        </is>
      </c>
      <c r="F2028" t="inlineStr">
        <is>
          <t>SCA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25259-2023</t>
        </is>
      </c>
      <c r="B2029" s="1" t="n">
        <v>45079</v>
      </c>
      <c r="C2029" s="1" t="n">
        <v>45637</v>
      </c>
      <c r="D2029" t="inlineStr">
        <is>
          <t>VÄSTERNORRLANDS LÄN</t>
        </is>
      </c>
      <c r="E2029" t="inlineStr">
        <is>
          <t>SOLLEFTEÅ</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25267-2023</t>
        </is>
      </c>
      <c r="B2030" s="1" t="n">
        <v>45079</v>
      </c>
      <c r="C2030" s="1" t="n">
        <v>45637</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25550-2023</t>
        </is>
      </c>
      <c r="B2031" s="1" t="n">
        <v>45082</v>
      </c>
      <c r="C2031" s="1" t="n">
        <v>45637</v>
      </c>
      <c r="D2031" t="inlineStr">
        <is>
          <t>VÄSTERNORRLANDS LÄN</t>
        </is>
      </c>
      <c r="E2031" t="inlineStr">
        <is>
          <t>SOLLEFTEÅ</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24595-2023</t>
        </is>
      </c>
      <c r="B2032" s="1" t="n">
        <v>45084</v>
      </c>
      <c r="C2032" s="1" t="n">
        <v>45637</v>
      </c>
      <c r="D2032" t="inlineStr">
        <is>
          <t>VÄSTERNORRLANDS LÄN</t>
        </is>
      </c>
      <c r="E2032" t="inlineStr">
        <is>
          <t>SOLLEFTEÅ</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24597-2023</t>
        </is>
      </c>
      <c r="B2033" s="1" t="n">
        <v>45083</v>
      </c>
      <c r="C2033" s="1" t="n">
        <v>45637</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24596-2023</t>
        </is>
      </c>
      <c r="B2034" s="1" t="n">
        <v>45084</v>
      </c>
      <c r="C2034" s="1" t="n">
        <v>45637</v>
      </c>
      <c r="D2034" t="inlineStr">
        <is>
          <t>VÄSTERNORRLANDS LÄN</t>
        </is>
      </c>
      <c r="E2034" t="inlineStr">
        <is>
          <t>SOLLEFTEÅ</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25795-2023</t>
        </is>
      </c>
      <c r="B2035" s="1" t="n">
        <v>45085</v>
      </c>
      <c r="C2035" s="1" t="n">
        <v>45637</v>
      </c>
      <c r="D2035" t="inlineStr">
        <is>
          <t>VÄSTERNORRLANDS LÄN</t>
        </is>
      </c>
      <c r="E2035" t="inlineStr">
        <is>
          <t>SOLLEFTEÅ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25848-2023</t>
        </is>
      </c>
      <c r="B2036" s="1" t="n">
        <v>45085</v>
      </c>
      <c r="C2036" s="1" t="n">
        <v>45637</v>
      </c>
      <c r="D2036" t="inlineStr">
        <is>
          <t>VÄSTERNORRLANDS LÄN</t>
        </is>
      </c>
      <c r="E2036" t="inlineStr">
        <is>
          <t>SOLLEFTEÅ</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25079-2023</t>
        </is>
      </c>
      <c r="B2037" s="1" t="n">
        <v>45086</v>
      </c>
      <c r="C2037" s="1" t="n">
        <v>45637</v>
      </c>
      <c r="D2037" t="inlineStr">
        <is>
          <t>VÄSTERNORRLANDS LÄN</t>
        </is>
      </c>
      <c r="E2037" t="inlineStr">
        <is>
          <t>SOLLEFTEÅ</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25314-2023</t>
        </is>
      </c>
      <c r="B2038" s="1" t="n">
        <v>45086</v>
      </c>
      <c r="C2038" s="1" t="n">
        <v>45637</v>
      </c>
      <c r="D2038" t="inlineStr">
        <is>
          <t>VÄSTERNORRLANDS LÄN</t>
        </is>
      </c>
      <c r="E2038" t="inlineStr">
        <is>
          <t>SOLLEFTEÅ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25392-2023</t>
        </is>
      </c>
      <c r="B2039" s="1" t="n">
        <v>45089</v>
      </c>
      <c r="C2039" s="1" t="n">
        <v>45637</v>
      </c>
      <c r="D2039" t="inlineStr">
        <is>
          <t>VÄSTERNORRLANDS LÄN</t>
        </is>
      </c>
      <c r="E2039" t="inlineStr">
        <is>
          <t>SOLLEFTEÅ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25987-2023</t>
        </is>
      </c>
      <c r="B2040" s="1" t="n">
        <v>45091</v>
      </c>
      <c r="C2040" s="1" t="n">
        <v>45637</v>
      </c>
      <c r="D2040" t="inlineStr">
        <is>
          <t>VÄSTERNORRLANDS LÄN</t>
        </is>
      </c>
      <c r="E2040" t="inlineStr">
        <is>
          <t>SOLLEFTEÅ</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26210-2023</t>
        </is>
      </c>
      <c r="B2041" s="1" t="n">
        <v>45090</v>
      </c>
      <c r="C2041" s="1" t="n">
        <v>45637</v>
      </c>
      <c r="D2041" t="inlineStr">
        <is>
          <t>VÄSTERNORRLANDS LÄN</t>
        </is>
      </c>
      <c r="E2041" t="inlineStr">
        <is>
          <t>SOLLEFTEÅ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25986-2023</t>
        </is>
      </c>
      <c r="B2042" s="1" t="n">
        <v>45090</v>
      </c>
      <c r="C2042" s="1" t="n">
        <v>45637</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26373-2023</t>
        </is>
      </c>
      <c r="B2043" s="1" t="n">
        <v>45092</v>
      </c>
      <c r="C2043" s="1" t="n">
        <v>45637</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27544-2023</t>
        </is>
      </c>
      <c r="B2044" s="1" t="n">
        <v>45092</v>
      </c>
      <c r="C2044" s="1" t="n">
        <v>45637</v>
      </c>
      <c r="D2044" t="inlineStr">
        <is>
          <t>VÄSTERNORRLANDS LÄN</t>
        </is>
      </c>
      <c r="E2044" t="inlineStr">
        <is>
          <t>SOLLEFTEÅ</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27534-2023</t>
        </is>
      </c>
      <c r="B2045" s="1" t="n">
        <v>45092</v>
      </c>
      <c r="C2045" s="1" t="n">
        <v>45637</v>
      </c>
      <c r="D2045" t="inlineStr">
        <is>
          <t>VÄSTERNORRLANDS LÄN</t>
        </is>
      </c>
      <c r="E2045" t="inlineStr">
        <is>
          <t>SOLLEFTEÅ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27381-2023</t>
        </is>
      </c>
      <c r="B2046" s="1" t="n">
        <v>45097</v>
      </c>
      <c r="C2046" s="1" t="n">
        <v>45637</v>
      </c>
      <c r="D2046" t="inlineStr">
        <is>
          <t>VÄSTERNORRLANDS LÄN</t>
        </is>
      </c>
      <c r="E2046" t="inlineStr">
        <is>
          <t>SOLLEFTEÅ</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27382-2023</t>
        </is>
      </c>
      <c r="B2047" s="1" t="n">
        <v>45097</v>
      </c>
      <c r="C2047" s="1" t="n">
        <v>45637</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27384-2023</t>
        </is>
      </c>
      <c r="B2048" s="1" t="n">
        <v>45097</v>
      </c>
      <c r="C2048" s="1" t="n">
        <v>45637</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27392-2023</t>
        </is>
      </c>
      <c r="B2049" s="1" t="n">
        <v>45097</v>
      </c>
      <c r="C2049" s="1" t="n">
        <v>45637</v>
      </c>
      <c r="D2049" t="inlineStr">
        <is>
          <t>VÄSTERNORRLANDS LÄN</t>
        </is>
      </c>
      <c r="E2049" t="inlineStr">
        <is>
          <t>SOLLEFTEÅ</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28653-2023</t>
        </is>
      </c>
      <c r="B2050" s="1" t="n">
        <v>45096</v>
      </c>
      <c r="C2050" s="1" t="n">
        <v>45637</v>
      </c>
      <c r="D2050" t="inlineStr">
        <is>
          <t>VÄSTERNORRLANDS LÄN</t>
        </is>
      </c>
      <c r="E2050" t="inlineStr">
        <is>
          <t>SOLLEFTEÅ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27383-2023</t>
        </is>
      </c>
      <c r="B2051" s="1" t="n">
        <v>45097</v>
      </c>
      <c r="C2051" s="1" t="n">
        <v>45637</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27391-2023</t>
        </is>
      </c>
      <c r="B2052" s="1" t="n">
        <v>45097</v>
      </c>
      <c r="C2052" s="1" t="n">
        <v>45637</v>
      </c>
      <c r="D2052" t="inlineStr">
        <is>
          <t>VÄSTERNORRLANDS LÄN</t>
        </is>
      </c>
      <c r="E2052" t="inlineStr">
        <is>
          <t>SOLLEFTEÅ</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27674-2023</t>
        </is>
      </c>
      <c r="B2053" s="1" t="n">
        <v>45097</v>
      </c>
      <c r="C2053" s="1" t="n">
        <v>45637</v>
      </c>
      <c r="D2053" t="inlineStr">
        <is>
          <t>VÄSTERNORRLANDS LÄN</t>
        </is>
      </c>
      <c r="E2053" t="inlineStr">
        <is>
          <t>SOLLEFTEÅ</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29210-2023</t>
        </is>
      </c>
      <c r="B2054" s="1" t="n">
        <v>45097</v>
      </c>
      <c r="C2054" s="1" t="n">
        <v>45637</v>
      </c>
      <c r="D2054" t="inlineStr">
        <is>
          <t>VÄSTERNORRLANDS LÄN</t>
        </is>
      </c>
      <c r="E2054" t="inlineStr">
        <is>
          <t>SOLLEFTEÅ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29197-2023</t>
        </is>
      </c>
      <c r="B2055" s="1" t="n">
        <v>45097</v>
      </c>
      <c r="C2055" s="1" t="n">
        <v>45637</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28384-2023</t>
        </is>
      </c>
      <c r="B2056" s="1" t="n">
        <v>45100</v>
      </c>
      <c r="C2056" s="1" t="n">
        <v>45637</v>
      </c>
      <c r="D2056" t="inlineStr">
        <is>
          <t>VÄSTERNORRLANDS LÄN</t>
        </is>
      </c>
      <c r="E2056" t="inlineStr">
        <is>
          <t>SOLLEFTEÅ</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28385-2023</t>
        </is>
      </c>
      <c r="B2057" s="1" t="n">
        <v>45099</v>
      </c>
      <c r="C2057" s="1" t="n">
        <v>45637</v>
      </c>
      <c r="D2057" t="inlineStr">
        <is>
          <t>VÄSTERNORRLANDS LÄN</t>
        </is>
      </c>
      <c r="E2057" t="inlineStr">
        <is>
          <t>SOLLEFTEÅ</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28374-2023</t>
        </is>
      </c>
      <c r="B2058" s="1" t="n">
        <v>45099</v>
      </c>
      <c r="C2058" s="1" t="n">
        <v>45637</v>
      </c>
      <c r="D2058" t="inlineStr">
        <is>
          <t>VÄSTERNORRLANDS LÄN</t>
        </is>
      </c>
      <c r="E2058" t="inlineStr">
        <is>
          <t>SOLLEFTEÅ</t>
        </is>
      </c>
      <c r="F2058" t="inlineStr">
        <is>
          <t>SCA</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28366-2023</t>
        </is>
      </c>
      <c r="B2059" s="1" t="n">
        <v>45099</v>
      </c>
      <c r="C2059" s="1" t="n">
        <v>45637</v>
      </c>
      <c r="D2059" t="inlineStr">
        <is>
          <t>VÄSTERNORRLANDS LÄN</t>
        </is>
      </c>
      <c r="E2059" t="inlineStr">
        <is>
          <t>SOLLEFTEÅ</t>
        </is>
      </c>
      <c r="F2059" t="inlineStr">
        <is>
          <t>SCA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28383-2023</t>
        </is>
      </c>
      <c r="B2060" s="1" t="n">
        <v>45099</v>
      </c>
      <c r="C2060" s="1" t="n">
        <v>45637</v>
      </c>
      <c r="D2060" t="inlineStr">
        <is>
          <t>VÄSTERNORRLANDS LÄN</t>
        </is>
      </c>
      <c r="E2060" t="inlineStr">
        <is>
          <t>SOLLEFTEÅ</t>
        </is>
      </c>
      <c r="F2060" t="inlineStr">
        <is>
          <t>SCA</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28375-2023</t>
        </is>
      </c>
      <c r="B2061" s="1" t="n">
        <v>45100</v>
      </c>
      <c r="C2061" s="1" t="n">
        <v>45637</v>
      </c>
      <c r="D2061" t="inlineStr">
        <is>
          <t>VÄSTERNORRLANDS LÄN</t>
        </is>
      </c>
      <c r="E2061" t="inlineStr">
        <is>
          <t>SOLLEFTEÅ</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30163-2023</t>
        </is>
      </c>
      <c r="B2062" s="1" t="n">
        <v>45099</v>
      </c>
      <c r="C2062" s="1" t="n">
        <v>45637</v>
      </c>
      <c r="D2062" t="inlineStr">
        <is>
          <t>VÄSTERNORRLANDS LÄN</t>
        </is>
      </c>
      <c r="E2062" t="inlineStr">
        <is>
          <t>SOLLEFTEÅ</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28736-2023</t>
        </is>
      </c>
      <c r="B2063" s="1" t="n">
        <v>45104</v>
      </c>
      <c r="C2063" s="1" t="n">
        <v>45637</v>
      </c>
      <c r="D2063" t="inlineStr">
        <is>
          <t>VÄSTERNORRLANDS LÄN</t>
        </is>
      </c>
      <c r="E2063" t="inlineStr">
        <is>
          <t>SOLLEFTEÅ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28749-2023</t>
        </is>
      </c>
      <c r="B2064" s="1" t="n">
        <v>45103</v>
      </c>
      <c r="C2064" s="1" t="n">
        <v>45637</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29065-2023</t>
        </is>
      </c>
      <c r="B2065" s="1" t="n">
        <v>45105</v>
      </c>
      <c r="C2065" s="1" t="n">
        <v>45637</v>
      </c>
      <c r="D2065" t="inlineStr">
        <is>
          <t>VÄSTERNORRLANDS LÄN</t>
        </is>
      </c>
      <c r="E2065" t="inlineStr">
        <is>
          <t>SOLLEFTEÅ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29062-2023</t>
        </is>
      </c>
      <c r="B2066" s="1" t="n">
        <v>45104</v>
      </c>
      <c r="C2066" s="1" t="n">
        <v>45637</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29064-2023</t>
        </is>
      </c>
      <c r="B2067" s="1" t="n">
        <v>45105</v>
      </c>
      <c r="C2067" s="1" t="n">
        <v>45637</v>
      </c>
      <c r="D2067" t="inlineStr">
        <is>
          <t>VÄSTERNORRLANDS LÄN</t>
        </is>
      </c>
      <c r="E2067" t="inlineStr">
        <is>
          <t>SOLLEFTEÅ</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29070-2023</t>
        </is>
      </c>
      <c r="B2068" s="1" t="n">
        <v>45105</v>
      </c>
      <c r="C2068" s="1" t="n">
        <v>45637</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29306-2023</t>
        </is>
      </c>
      <c r="B2069" s="1" t="n">
        <v>45106</v>
      </c>
      <c r="C2069" s="1" t="n">
        <v>45637</v>
      </c>
      <c r="D2069" t="inlineStr">
        <is>
          <t>VÄSTERNORRLANDS LÄN</t>
        </is>
      </c>
      <c r="E2069" t="inlineStr">
        <is>
          <t>SOLLEFTEÅ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29337-2023</t>
        </is>
      </c>
      <c r="B2070" s="1" t="n">
        <v>45105</v>
      </c>
      <c r="C2070" s="1" t="n">
        <v>45637</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29336-2023</t>
        </is>
      </c>
      <c r="B2071" s="1" t="n">
        <v>45105</v>
      </c>
      <c r="C2071" s="1" t="n">
        <v>45637</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29614-2023</t>
        </is>
      </c>
      <c r="B2072" s="1" t="n">
        <v>45107</v>
      </c>
      <c r="C2072" s="1" t="n">
        <v>45637</v>
      </c>
      <c r="D2072" t="inlineStr">
        <is>
          <t>VÄSTERNORRLANDS LÄN</t>
        </is>
      </c>
      <c r="E2072" t="inlineStr">
        <is>
          <t>SOLLEFTEÅ</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29446-2023</t>
        </is>
      </c>
      <c r="B2073" s="1" t="n">
        <v>45106</v>
      </c>
      <c r="C2073" s="1" t="n">
        <v>45637</v>
      </c>
      <c r="D2073" t="inlineStr">
        <is>
          <t>VÄSTERNORRLANDS LÄN</t>
        </is>
      </c>
      <c r="E2073" t="inlineStr">
        <is>
          <t>SOLLEFTEÅ</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29612-2023</t>
        </is>
      </c>
      <c r="B2074" s="1" t="n">
        <v>45106</v>
      </c>
      <c r="C2074" s="1" t="n">
        <v>45637</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29619-2023</t>
        </is>
      </c>
      <c r="B2075" s="1" t="n">
        <v>45106</v>
      </c>
      <c r="C2075" s="1" t="n">
        <v>45637</v>
      </c>
      <c r="D2075" t="inlineStr">
        <is>
          <t>VÄSTERNORRLANDS LÄN</t>
        </is>
      </c>
      <c r="E2075" t="inlineStr">
        <is>
          <t>SOLLEFTEÅ</t>
        </is>
      </c>
      <c r="F2075" t="inlineStr">
        <is>
          <t>SCA</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29611-2023</t>
        </is>
      </c>
      <c r="B2076" s="1" t="n">
        <v>45106</v>
      </c>
      <c r="C2076" s="1" t="n">
        <v>45637</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29832-2023</t>
        </is>
      </c>
      <c r="B2077" s="1" t="n">
        <v>45107</v>
      </c>
      <c r="C2077" s="1" t="n">
        <v>45637</v>
      </c>
      <c r="D2077" t="inlineStr">
        <is>
          <t>VÄSTERNORRLANDS LÄN</t>
        </is>
      </c>
      <c r="E2077" t="inlineStr">
        <is>
          <t>SOLLEFTEÅ</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29952-2023</t>
        </is>
      </c>
      <c r="B2078" s="1" t="n">
        <v>45107</v>
      </c>
      <c r="C2078" s="1" t="n">
        <v>45637</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29944-2023</t>
        </is>
      </c>
      <c r="B2079" s="1" t="n">
        <v>45108</v>
      </c>
      <c r="C2079" s="1" t="n">
        <v>45637</v>
      </c>
      <c r="D2079" t="inlineStr">
        <is>
          <t>VÄSTERNORRLANDS LÄN</t>
        </is>
      </c>
      <c r="E2079" t="inlineStr">
        <is>
          <t>SOLLEFTEÅ</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29956-2023</t>
        </is>
      </c>
      <c r="B2080" s="1" t="n">
        <v>45107</v>
      </c>
      <c r="C2080" s="1" t="n">
        <v>45637</v>
      </c>
      <c r="D2080" t="inlineStr">
        <is>
          <t>VÄSTERNORRLANDS LÄN</t>
        </is>
      </c>
      <c r="E2080" t="inlineStr">
        <is>
          <t>SOLLEFTEÅ</t>
        </is>
      </c>
      <c r="F2080" t="inlineStr">
        <is>
          <t>SCA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29949-2023</t>
        </is>
      </c>
      <c r="B2081" s="1" t="n">
        <v>45107</v>
      </c>
      <c r="C2081" s="1" t="n">
        <v>45637</v>
      </c>
      <c r="D2081" t="inlineStr">
        <is>
          <t>VÄSTERNORRLANDS LÄN</t>
        </is>
      </c>
      <c r="E2081" t="inlineStr">
        <is>
          <t>SOLLEFTEÅ</t>
        </is>
      </c>
      <c r="F2081" t="inlineStr">
        <is>
          <t>SCA</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29957-2023</t>
        </is>
      </c>
      <c r="B2082" s="1" t="n">
        <v>45107</v>
      </c>
      <c r="C2082" s="1" t="n">
        <v>45637</v>
      </c>
      <c r="D2082" t="inlineStr">
        <is>
          <t>VÄSTERNORRLANDS LÄN</t>
        </is>
      </c>
      <c r="E2082" t="inlineStr">
        <is>
          <t>SOLLEFTEÅ</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29946-2023</t>
        </is>
      </c>
      <c r="B2083" s="1" t="n">
        <v>45108</v>
      </c>
      <c r="C2083" s="1" t="n">
        <v>45637</v>
      </c>
      <c r="D2083" t="inlineStr">
        <is>
          <t>VÄSTERNORRLANDS LÄN</t>
        </is>
      </c>
      <c r="E2083" t="inlineStr">
        <is>
          <t>SOLLEFTEÅ</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29964-2023</t>
        </is>
      </c>
      <c r="B2084" s="1" t="n">
        <v>45108</v>
      </c>
      <c r="C2084" s="1" t="n">
        <v>45637</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30295-2023</t>
        </is>
      </c>
      <c r="B2085" s="1" t="n">
        <v>45110</v>
      </c>
      <c r="C2085" s="1" t="n">
        <v>45637</v>
      </c>
      <c r="D2085" t="inlineStr">
        <is>
          <t>VÄSTERNORRLANDS LÄN</t>
        </is>
      </c>
      <c r="E2085" t="inlineStr">
        <is>
          <t>SOLLEFTEÅ</t>
        </is>
      </c>
      <c r="F2085" t="inlineStr">
        <is>
          <t>SCA</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30567-2023</t>
        </is>
      </c>
      <c r="B2086" s="1" t="n">
        <v>45112</v>
      </c>
      <c r="C2086" s="1" t="n">
        <v>45637</v>
      </c>
      <c r="D2086" t="inlineStr">
        <is>
          <t>VÄSTERNORRLANDS LÄN</t>
        </is>
      </c>
      <c r="E2086" t="inlineStr">
        <is>
          <t>SOLLEFTEÅ</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30822-2023</t>
        </is>
      </c>
      <c r="B2087" s="1" t="n">
        <v>45113</v>
      </c>
      <c r="C2087" s="1" t="n">
        <v>45637</v>
      </c>
      <c r="D2087" t="inlineStr">
        <is>
          <t>VÄSTERNORRLANDS LÄN</t>
        </is>
      </c>
      <c r="E2087" t="inlineStr">
        <is>
          <t>SOLLEFTEÅ</t>
        </is>
      </c>
      <c r="F2087" t="inlineStr">
        <is>
          <t>SCA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30829-2023</t>
        </is>
      </c>
      <c r="B2088" s="1" t="n">
        <v>45113</v>
      </c>
      <c r="C2088" s="1" t="n">
        <v>45637</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31177-2023</t>
        </is>
      </c>
      <c r="B2089" s="1" t="n">
        <v>45113</v>
      </c>
      <c r="C2089" s="1" t="n">
        <v>45637</v>
      </c>
      <c r="D2089" t="inlineStr">
        <is>
          <t>VÄSTERNORRLANDS LÄN</t>
        </is>
      </c>
      <c r="E2089" t="inlineStr">
        <is>
          <t>SOLLEFTEÅ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31179-2023</t>
        </is>
      </c>
      <c r="B2090" s="1" t="n">
        <v>45114</v>
      </c>
      <c r="C2090" s="1" t="n">
        <v>45637</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31178-2023</t>
        </is>
      </c>
      <c r="B2091" s="1" t="n">
        <v>45114</v>
      </c>
      <c r="C2091" s="1" t="n">
        <v>45637</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31387-2023</t>
        </is>
      </c>
      <c r="B2092" s="1" t="n">
        <v>45114</v>
      </c>
      <c r="C2092" s="1" t="n">
        <v>45637</v>
      </c>
      <c r="D2092" t="inlineStr">
        <is>
          <t>VÄSTERNORRLANDS LÄN</t>
        </is>
      </c>
      <c r="E2092" t="inlineStr">
        <is>
          <t>SOLLEFTEÅ</t>
        </is>
      </c>
      <c r="F2092" t="inlineStr">
        <is>
          <t>Övriga statliga verk och myndigheter</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33203-2023</t>
        </is>
      </c>
      <c r="B2093" s="1" t="n">
        <v>45114</v>
      </c>
      <c r="C2093" s="1" t="n">
        <v>45637</v>
      </c>
      <c r="D2093" t="inlineStr">
        <is>
          <t>VÄSTERNORRLANDS LÄN</t>
        </is>
      </c>
      <c r="E2093" t="inlineStr">
        <is>
          <t>SOLLEFTEÅ</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31913-2023</t>
        </is>
      </c>
      <c r="B2094" s="1" t="n">
        <v>45118</v>
      </c>
      <c r="C2094" s="1" t="n">
        <v>45637</v>
      </c>
      <c r="D2094" t="inlineStr">
        <is>
          <t>VÄSTERNORRLANDS LÄN</t>
        </is>
      </c>
      <c r="E2094" t="inlineStr">
        <is>
          <t>SOLLEFTEÅ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31917-2023</t>
        </is>
      </c>
      <c r="B2095" s="1" t="n">
        <v>45119</v>
      </c>
      <c r="C2095" s="1" t="n">
        <v>45637</v>
      </c>
      <c r="D2095" t="inlineStr">
        <is>
          <t>VÄSTERNORRLANDS LÄN</t>
        </is>
      </c>
      <c r="E2095" t="inlineStr">
        <is>
          <t>SOLLEFTEÅ</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31915-2023</t>
        </is>
      </c>
      <c r="B2096" s="1" t="n">
        <v>45119</v>
      </c>
      <c r="C2096" s="1" t="n">
        <v>45637</v>
      </c>
      <c r="D2096" t="inlineStr">
        <is>
          <t>VÄSTERNORRLANDS LÄN</t>
        </is>
      </c>
      <c r="E2096" t="inlineStr">
        <is>
          <t>SOLLEFTEÅ</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31919-2023</t>
        </is>
      </c>
      <c r="B2097" s="1" t="n">
        <v>45118</v>
      </c>
      <c r="C2097" s="1" t="n">
        <v>45637</v>
      </c>
      <c r="D2097" t="inlineStr">
        <is>
          <t>VÄSTERNORRLANDS LÄN</t>
        </is>
      </c>
      <c r="E2097" t="inlineStr">
        <is>
          <t>SOLLEFTEÅ</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31923-2023</t>
        </is>
      </c>
      <c r="B2098" s="1" t="n">
        <v>45118</v>
      </c>
      <c r="C2098" s="1" t="n">
        <v>45637</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31914-2023</t>
        </is>
      </c>
      <c r="B2099" s="1" t="n">
        <v>45118</v>
      </c>
      <c r="C2099" s="1" t="n">
        <v>45637</v>
      </c>
      <c r="D2099" t="inlineStr">
        <is>
          <t>VÄSTERNORRLANDS LÄN</t>
        </is>
      </c>
      <c r="E2099" t="inlineStr">
        <is>
          <t>SOLLEFTEÅ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31918-2023</t>
        </is>
      </c>
      <c r="B2100" s="1" t="n">
        <v>45118</v>
      </c>
      <c r="C2100" s="1" t="n">
        <v>45637</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31922-2023</t>
        </is>
      </c>
      <c r="B2101" s="1" t="n">
        <v>45119</v>
      </c>
      <c r="C2101" s="1" t="n">
        <v>45637</v>
      </c>
      <c r="D2101" t="inlineStr">
        <is>
          <t>VÄSTERNORRLANDS LÄN</t>
        </is>
      </c>
      <c r="E2101" t="inlineStr">
        <is>
          <t>SOLLEFTEÅ</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31916-2023</t>
        </is>
      </c>
      <c r="B2102" s="1" t="n">
        <v>45119</v>
      </c>
      <c r="C2102" s="1" t="n">
        <v>45637</v>
      </c>
      <c r="D2102" t="inlineStr">
        <is>
          <t>VÄSTERNORRLANDS LÄN</t>
        </is>
      </c>
      <c r="E2102" t="inlineStr">
        <is>
          <t>SOLLEFTEÅ</t>
        </is>
      </c>
      <c r="F2102" t="inlineStr">
        <is>
          <t>SCA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31924-2023</t>
        </is>
      </c>
      <c r="B2103" s="1" t="n">
        <v>45118</v>
      </c>
      <c r="C2103" s="1" t="n">
        <v>45637</v>
      </c>
      <c r="D2103" t="inlineStr">
        <is>
          <t>VÄSTERNORRLANDS LÄN</t>
        </is>
      </c>
      <c r="E2103" t="inlineStr">
        <is>
          <t>SOLLEFTEÅ</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31921-2023</t>
        </is>
      </c>
      <c r="B2104" s="1" t="n">
        <v>45119</v>
      </c>
      <c r="C2104" s="1" t="n">
        <v>45637</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31925-2023</t>
        </is>
      </c>
      <c r="B2105" s="1" t="n">
        <v>45118</v>
      </c>
      <c r="C2105" s="1" t="n">
        <v>45637</v>
      </c>
      <c r="D2105" t="inlineStr">
        <is>
          <t>VÄSTERNORRLANDS LÄN</t>
        </is>
      </c>
      <c r="E2105" t="inlineStr">
        <is>
          <t>SOLLEFTEÅ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33642-2023</t>
        </is>
      </c>
      <c r="B2106" s="1" t="n">
        <v>45119</v>
      </c>
      <c r="C2106" s="1" t="n">
        <v>45637</v>
      </c>
      <c r="D2106" t="inlineStr">
        <is>
          <t>VÄSTERNORRLANDS LÄN</t>
        </is>
      </c>
      <c r="E2106" t="inlineStr">
        <is>
          <t>SOLLEFTEÅ</t>
        </is>
      </c>
      <c r="F2106" t="inlineStr">
        <is>
          <t>SCA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32466-2023</t>
        </is>
      </c>
      <c r="B2107" s="1" t="n">
        <v>45120</v>
      </c>
      <c r="C2107" s="1" t="n">
        <v>45637</v>
      </c>
      <c r="D2107" t="inlineStr">
        <is>
          <t>VÄSTERNORRLANDS LÄN</t>
        </is>
      </c>
      <c r="E2107" t="inlineStr">
        <is>
          <t>SOLLEFTEÅ</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32726-2023</t>
        </is>
      </c>
      <c r="B2108" s="1" t="n">
        <v>45121</v>
      </c>
      <c r="C2108" s="1" t="n">
        <v>45637</v>
      </c>
      <c r="D2108" t="inlineStr">
        <is>
          <t>VÄSTERNORRLANDS LÄN</t>
        </is>
      </c>
      <c r="E2108" t="inlineStr">
        <is>
          <t>SOLLEFTEÅ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32728-2023</t>
        </is>
      </c>
      <c r="B2109" s="1" t="n">
        <v>45121</v>
      </c>
      <c r="C2109" s="1" t="n">
        <v>45637</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32733-2023</t>
        </is>
      </c>
      <c r="B2110" s="1" t="n">
        <v>45121</v>
      </c>
      <c r="C2110" s="1" t="n">
        <v>45637</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32727-2023</t>
        </is>
      </c>
      <c r="B2111" s="1" t="n">
        <v>45121</v>
      </c>
      <c r="C2111" s="1" t="n">
        <v>45637</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32735-2023</t>
        </is>
      </c>
      <c r="B2112" s="1" t="n">
        <v>45121</v>
      </c>
      <c r="C2112" s="1" t="n">
        <v>45637</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32780-2023</t>
        </is>
      </c>
      <c r="B2113" s="1" t="n">
        <v>45123</v>
      </c>
      <c r="C2113" s="1" t="n">
        <v>45637</v>
      </c>
      <c r="D2113" t="inlineStr">
        <is>
          <t>VÄSTERNORRLANDS LÄN</t>
        </is>
      </c>
      <c r="E2113" t="inlineStr">
        <is>
          <t>SOLLEFTEÅ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33964-2023</t>
        </is>
      </c>
      <c r="B2114" s="1" t="n">
        <v>45124</v>
      </c>
      <c r="C2114" s="1" t="n">
        <v>45637</v>
      </c>
      <c r="D2114" t="inlineStr">
        <is>
          <t>VÄSTERNORRLANDS LÄN</t>
        </is>
      </c>
      <c r="E2114" t="inlineStr">
        <is>
          <t>SOLLEFTEÅ</t>
        </is>
      </c>
      <c r="F2114" t="inlineStr">
        <is>
          <t>SCA</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33037-2023</t>
        </is>
      </c>
      <c r="B2115" s="1" t="n">
        <v>45126</v>
      </c>
      <c r="C2115" s="1" t="n">
        <v>45637</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34100-2023</t>
        </is>
      </c>
      <c r="B2116" s="1" t="n">
        <v>45125</v>
      </c>
      <c r="C2116" s="1" t="n">
        <v>45637</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33175-2023</t>
        </is>
      </c>
      <c r="B2117" s="1" t="n">
        <v>45126</v>
      </c>
      <c r="C2117" s="1" t="n">
        <v>45637</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33328-2023</t>
        </is>
      </c>
      <c r="B2118" s="1" t="n">
        <v>45127</v>
      </c>
      <c r="C2118" s="1" t="n">
        <v>45637</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34284-2023</t>
        </is>
      </c>
      <c r="B2119" s="1" t="n">
        <v>45128</v>
      </c>
      <c r="C2119" s="1" t="n">
        <v>45637</v>
      </c>
      <c r="D2119" t="inlineStr">
        <is>
          <t>VÄSTERNORRLANDS LÄN</t>
        </is>
      </c>
      <c r="E2119" t="inlineStr">
        <is>
          <t>SOLLEFTEÅ</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33591-2023</t>
        </is>
      </c>
      <c r="B2120" s="1" t="n">
        <v>45131</v>
      </c>
      <c r="C2120" s="1" t="n">
        <v>45637</v>
      </c>
      <c r="D2120" t="inlineStr">
        <is>
          <t>VÄSTERNORRLANDS LÄN</t>
        </is>
      </c>
      <c r="E2120" t="inlineStr">
        <is>
          <t>SOLLEFTEÅ</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33709-2023</t>
        </is>
      </c>
      <c r="B2121" s="1" t="n">
        <v>45133</v>
      </c>
      <c r="C2121" s="1" t="n">
        <v>45637</v>
      </c>
      <c r="D2121" t="inlineStr">
        <is>
          <t>VÄSTERNORRLANDS LÄN</t>
        </is>
      </c>
      <c r="E2121" t="inlineStr">
        <is>
          <t>SOLLEFTEÅ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33713-2023</t>
        </is>
      </c>
      <c r="B2122" s="1" t="n">
        <v>45133</v>
      </c>
      <c r="C2122" s="1" t="n">
        <v>45637</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33999-2023</t>
        </is>
      </c>
      <c r="B2123" s="1" t="n">
        <v>45134</v>
      </c>
      <c r="C2123" s="1" t="n">
        <v>45637</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34309-2023</t>
        </is>
      </c>
      <c r="B2124" s="1" t="n">
        <v>45139</v>
      </c>
      <c r="C2124" s="1" t="n">
        <v>45637</v>
      </c>
      <c r="D2124" t="inlineStr">
        <is>
          <t>VÄSTERNORRLANDS LÄN</t>
        </is>
      </c>
      <c r="E2124" t="inlineStr">
        <is>
          <t>SOLLEFTEÅ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34306-2023</t>
        </is>
      </c>
      <c r="B2125" s="1" t="n">
        <v>45138</v>
      </c>
      <c r="C2125" s="1" t="n">
        <v>45637</v>
      </c>
      <c r="D2125" t="inlineStr">
        <is>
          <t>VÄSTERNORRLANDS LÄN</t>
        </is>
      </c>
      <c r="E2125" t="inlineStr">
        <is>
          <t>SOLLEFTEÅ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34310-2023</t>
        </is>
      </c>
      <c r="B2126" s="1" t="n">
        <v>45139</v>
      </c>
      <c r="C2126" s="1" t="n">
        <v>45637</v>
      </c>
      <c r="D2126" t="inlineStr">
        <is>
          <t>VÄSTERNORRLANDS LÄN</t>
        </is>
      </c>
      <c r="E2126" t="inlineStr">
        <is>
          <t>SOLLEFTEÅ</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34308-2023</t>
        </is>
      </c>
      <c r="B2127" s="1" t="n">
        <v>45138</v>
      </c>
      <c r="C2127" s="1" t="n">
        <v>45637</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34329-2023</t>
        </is>
      </c>
      <c r="B2128" s="1" t="n">
        <v>45139</v>
      </c>
      <c r="C2128" s="1" t="n">
        <v>45637</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34330-2023</t>
        </is>
      </c>
      <c r="B2129" s="1" t="n">
        <v>45138</v>
      </c>
      <c r="C2129" s="1" t="n">
        <v>45637</v>
      </c>
      <c r="D2129" t="inlineStr">
        <is>
          <t>VÄSTERNORRLANDS LÄN</t>
        </is>
      </c>
      <c r="E2129" t="inlineStr">
        <is>
          <t>SOLLEFTEÅ</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34328-2023</t>
        </is>
      </c>
      <c r="B2130" s="1" t="n">
        <v>45139</v>
      </c>
      <c r="C2130" s="1" t="n">
        <v>45637</v>
      </c>
      <c r="D2130" t="inlineStr">
        <is>
          <t>VÄSTERNORRLANDS LÄN</t>
        </is>
      </c>
      <c r="E2130" t="inlineStr">
        <is>
          <t>SOLLEFTEÅ</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34307-2023</t>
        </is>
      </c>
      <c r="B2131" s="1" t="n">
        <v>45138</v>
      </c>
      <c r="C2131" s="1" t="n">
        <v>45637</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34311-2023</t>
        </is>
      </c>
      <c r="B2132" s="1" t="n">
        <v>45139</v>
      </c>
      <c r="C2132" s="1" t="n">
        <v>45637</v>
      </c>
      <c r="D2132" t="inlineStr">
        <is>
          <t>VÄSTERNORRLANDS LÄN</t>
        </is>
      </c>
      <c r="E2132" t="inlineStr">
        <is>
          <t>SOLLEFTEÅ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34327-2023</t>
        </is>
      </c>
      <c r="B2133" s="1" t="n">
        <v>45139</v>
      </c>
      <c r="C2133" s="1" t="n">
        <v>45637</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34487-2023</t>
        </is>
      </c>
      <c r="B2134" s="1" t="n">
        <v>45140</v>
      </c>
      <c r="C2134" s="1" t="n">
        <v>45637</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34741-2023</t>
        </is>
      </c>
      <c r="B2135" s="1" t="n">
        <v>45139</v>
      </c>
      <c r="C2135" s="1" t="n">
        <v>45637</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34737-2023</t>
        </is>
      </c>
      <c r="B2136" s="1" t="n">
        <v>45139</v>
      </c>
      <c r="C2136" s="1" t="n">
        <v>45637</v>
      </c>
      <c r="D2136" t="inlineStr">
        <is>
          <t>VÄSTERNORRLANDS LÄN</t>
        </is>
      </c>
      <c r="E2136" t="inlineStr">
        <is>
          <t>SOLLEFTEÅ</t>
        </is>
      </c>
      <c r="F2136" t="inlineStr">
        <is>
          <t>SCA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34687-2023</t>
        </is>
      </c>
      <c r="B2137" s="1" t="n">
        <v>45141</v>
      </c>
      <c r="C2137" s="1" t="n">
        <v>45637</v>
      </c>
      <c r="D2137" t="inlineStr">
        <is>
          <t>VÄSTERNORRLANDS LÄN</t>
        </is>
      </c>
      <c r="E2137" t="inlineStr">
        <is>
          <t>SOLLEFTEÅ</t>
        </is>
      </c>
      <c r="F2137" t="inlineStr">
        <is>
          <t>SCA</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34686-2023</t>
        </is>
      </c>
      <c r="B2138" s="1" t="n">
        <v>45141</v>
      </c>
      <c r="C2138" s="1" t="n">
        <v>45637</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34696-2023</t>
        </is>
      </c>
      <c r="B2139" s="1" t="n">
        <v>45141</v>
      </c>
      <c r="C2139" s="1" t="n">
        <v>45637</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34983-2023</t>
        </is>
      </c>
      <c r="B2140" s="1" t="n">
        <v>45141</v>
      </c>
      <c r="C2140" s="1" t="n">
        <v>45637</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34848-2023</t>
        </is>
      </c>
      <c r="B2141" s="1" t="n">
        <v>45142</v>
      </c>
      <c r="C2141" s="1" t="n">
        <v>45637</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35147-2023</t>
        </is>
      </c>
      <c r="B2142" s="1" t="n">
        <v>45142</v>
      </c>
      <c r="C2142" s="1" t="n">
        <v>45637</v>
      </c>
      <c r="D2142" t="inlineStr">
        <is>
          <t>VÄSTERNORRLANDS LÄN</t>
        </is>
      </c>
      <c r="E2142" t="inlineStr">
        <is>
          <t>SOLLEFTEÅ</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35276-2023</t>
        </is>
      </c>
      <c r="B2143" s="1" t="n">
        <v>45146</v>
      </c>
      <c r="C2143" s="1" t="n">
        <v>45637</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35277-2023</t>
        </is>
      </c>
      <c r="B2144" s="1" t="n">
        <v>45145</v>
      </c>
      <c r="C2144" s="1" t="n">
        <v>45637</v>
      </c>
      <c r="D2144" t="inlineStr">
        <is>
          <t>VÄSTERNORRLANDS LÄN</t>
        </is>
      </c>
      <c r="E2144" t="inlineStr">
        <is>
          <t>SOLLEFTEÅ</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35352-2023</t>
        </is>
      </c>
      <c r="B2145" s="1" t="n">
        <v>45145</v>
      </c>
      <c r="C2145" s="1" t="n">
        <v>45637</v>
      </c>
      <c r="D2145" t="inlineStr">
        <is>
          <t>VÄSTERNORRLANDS LÄN</t>
        </is>
      </c>
      <c r="E2145" t="inlineStr">
        <is>
          <t>SOLLEFTEÅ</t>
        </is>
      </c>
      <c r="F2145" t="inlineStr">
        <is>
          <t>SCA</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35470-2023</t>
        </is>
      </c>
      <c r="B2146" s="1" t="n">
        <v>45146</v>
      </c>
      <c r="C2146" s="1" t="n">
        <v>45637</v>
      </c>
      <c r="D2146" t="inlineStr">
        <is>
          <t>VÄSTERNORRLANDS LÄN</t>
        </is>
      </c>
      <c r="E2146" t="inlineStr">
        <is>
          <t>SOLLEFTEÅ</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35511-2023</t>
        </is>
      </c>
      <c r="B2147" s="1" t="n">
        <v>45146</v>
      </c>
      <c r="C2147" s="1" t="n">
        <v>45637</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35509-2023</t>
        </is>
      </c>
      <c r="B2148" s="1" t="n">
        <v>45147</v>
      </c>
      <c r="C2148" s="1" t="n">
        <v>45637</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35569-2023</t>
        </is>
      </c>
      <c r="B2149" s="1" t="n">
        <v>45147</v>
      </c>
      <c r="C2149" s="1" t="n">
        <v>45637</v>
      </c>
      <c r="D2149" t="inlineStr">
        <is>
          <t>VÄSTERNORRLANDS LÄN</t>
        </is>
      </c>
      <c r="E2149" t="inlineStr">
        <is>
          <t>SOLLEFTEÅ</t>
        </is>
      </c>
      <c r="F2149" t="inlineStr">
        <is>
          <t>Holmen skog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35746-2023</t>
        </is>
      </c>
      <c r="B2150" s="1" t="n">
        <v>45148</v>
      </c>
      <c r="C2150" s="1" t="n">
        <v>45637</v>
      </c>
      <c r="D2150" t="inlineStr">
        <is>
          <t>VÄSTERNORRLANDS LÄN</t>
        </is>
      </c>
      <c r="E2150" t="inlineStr">
        <is>
          <t>SOLLEFTEÅ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35556-2023</t>
        </is>
      </c>
      <c r="B2151" s="1" t="n">
        <v>45147</v>
      </c>
      <c r="C2151" s="1" t="n">
        <v>45637</v>
      </c>
      <c r="D2151" t="inlineStr">
        <is>
          <t>VÄSTERNORRLANDS LÄN</t>
        </is>
      </c>
      <c r="E2151" t="inlineStr">
        <is>
          <t>SOLLEFTEÅ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35764-2023</t>
        </is>
      </c>
      <c r="B2152" s="1" t="n">
        <v>45147</v>
      </c>
      <c r="C2152" s="1" t="n">
        <v>45637</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35745-2023</t>
        </is>
      </c>
      <c r="B2153" s="1" t="n">
        <v>45148</v>
      </c>
      <c r="C2153" s="1" t="n">
        <v>45637</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35761-2023</t>
        </is>
      </c>
      <c r="B2154" s="1" t="n">
        <v>45148</v>
      </c>
      <c r="C2154" s="1" t="n">
        <v>45637</v>
      </c>
      <c r="D2154" t="inlineStr">
        <is>
          <t>VÄSTERNORRLANDS LÄN</t>
        </is>
      </c>
      <c r="E2154" t="inlineStr">
        <is>
          <t>SOLLEFTEÅ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35945-2023</t>
        </is>
      </c>
      <c r="B2155" s="1" t="n">
        <v>45148</v>
      </c>
      <c r="C2155" s="1" t="n">
        <v>45637</v>
      </c>
      <c r="D2155" t="inlineStr">
        <is>
          <t>VÄSTERNORRLANDS LÄN</t>
        </is>
      </c>
      <c r="E2155" t="inlineStr">
        <is>
          <t>SOLLEFTEÅ</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35980-2023</t>
        </is>
      </c>
      <c r="B2156" s="1" t="n">
        <v>45149</v>
      </c>
      <c r="C2156" s="1" t="n">
        <v>45637</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35975-2023</t>
        </is>
      </c>
      <c r="B2157" s="1" t="n">
        <v>45148</v>
      </c>
      <c r="C2157" s="1" t="n">
        <v>45637</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35974-2023</t>
        </is>
      </c>
      <c r="B2158" s="1" t="n">
        <v>45148</v>
      </c>
      <c r="C2158" s="1" t="n">
        <v>45637</v>
      </c>
      <c r="D2158" t="inlineStr">
        <is>
          <t>VÄSTERNORRLANDS LÄN</t>
        </is>
      </c>
      <c r="E2158" t="inlineStr">
        <is>
          <t>SOLLEFTEÅ</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35978-2023</t>
        </is>
      </c>
      <c r="B2159" s="1" t="n">
        <v>45148</v>
      </c>
      <c r="C2159" s="1" t="n">
        <v>45637</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35977-2023</t>
        </is>
      </c>
      <c r="B2160" s="1" t="n">
        <v>45149</v>
      </c>
      <c r="C2160" s="1" t="n">
        <v>45637</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36211-2023</t>
        </is>
      </c>
      <c r="B2161" s="1" t="n">
        <v>45150</v>
      </c>
      <c r="C2161" s="1" t="n">
        <v>45637</v>
      </c>
      <c r="D2161" t="inlineStr">
        <is>
          <t>VÄSTERNORRLANDS LÄN</t>
        </is>
      </c>
      <c r="E2161" t="inlineStr">
        <is>
          <t>SOLLEFTEÅ</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36222-2023</t>
        </is>
      </c>
      <c r="B2162" s="1" t="n">
        <v>45150</v>
      </c>
      <c r="C2162" s="1" t="n">
        <v>45637</v>
      </c>
      <c r="D2162" t="inlineStr">
        <is>
          <t>VÄSTERNORRLANDS LÄN</t>
        </is>
      </c>
      <c r="E2162" t="inlineStr">
        <is>
          <t>SOLLEFTEÅ</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36511-2023</t>
        </is>
      </c>
      <c r="B2163" s="1" t="n">
        <v>45153</v>
      </c>
      <c r="C2163" s="1" t="n">
        <v>45637</v>
      </c>
      <c r="D2163" t="inlineStr">
        <is>
          <t>VÄSTERNORRLANDS LÄN</t>
        </is>
      </c>
      <c r="E2163" t="inlineStr">
        <is>
          <t>SOLLEFTEÅ</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36514-2023</t>
        </is>
      </c>
      <c r="B2164" s="1" t="n">
        <v>45153</v>
      </c>
      <c r="C2164" s="1" t="n">
        <v>45637</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36508-2023</t>
        </is>
      </c>
      <c r="B2165" s="1" t="n">
        <v>45153</v>
      </c>
      <c r="C2165" s="1" t="n">
        <v>45637</v>
      </c>
      <c r="D2165" t="inlineStr">
        <is>
          <t>VÄSTERNORRLANDS LÄN</t>
        </is>
      </c>
      <c r="E2165" t="inlineStr">
        <is>
          <t>SOLLEFTEÅ</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36512-2023</t>
        </is>
      </c>
      <c r="B2166" s="1" t="n">
        <v>45152</v>
      </c>
      <c r="C2166" s="1" t="n">
        <v>45637</v>
      </c>
      <c r="D2166" t="inlineStr">
        <is>
          <t>VÄSTERNORRLANDS LÄN</t>
        </is>
      </c>
      <c r="E2166" t="inlineStr">
        <is>
          <t>SOLLEFTEÅ</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36513-2023</t>
        </is>
      </c>
      <c r="B2167" s="1" t="n">
        <v>45153</v>
      </c>
      <c r="C2167" s="1" t="n">
        <v>45637</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36770-2023</t>
        </is>
      </c>
      <c r="B2168" s="1" t="n">
        <v>45153</v>
      </c>
      <c r="C2168" s="1" t="n">
        <v>45637</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36771-2023</t>
        </is>
      </c>
      <c r="B2169" s="1" t="n">
        <v>45153</v>
      </c>
      <c r="C2169" s="1" t="n">
        <v>45637</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36944-2023</t>
        </is>
      </c>
      <c r="B2170" s="1" t="n">
        <v>45154</v>
      </c>
      <c r="C2170" s="1" t="n">
        <v>45637</v>
      </c>
      <c r="D2170" t="inlineStr">
        <is>
          <t>VÄSTERNORRLANDS LÄN</t>
        </is>
      </c>
      <c r="E2170" t="inlineStr">
        <is>
          <t>SOLLEFTEÅ</t>
        </is>
      </c>
      <c r="F2170" t="inlineStr">
        <is>
          <t>Övriga Aktiebolag</t>
        </is>
      </c>
      <c r="G2170" t="n">
        <v>16.9</v>
      </c>
      <c r="H2170" t="n">
        <v>0</v>
      </c>
      <c r="I2170" t="n">
        <v>0</v>
      </c>
      <c r="J2170" t="n">
        <v>0</v>
      </c>
      <c r="K2170" t="n">
        <v>0</v>
      </c>
      <c r="L2170" t="n">
        <v>0</v>
      </c>
      <c r="M2170" t="n">
        <v>0</v>
      </c>
      <c r="N2170" t="n">
        <v>0</v>
      </c>
      <c r="O2170" t="n">
        <v>0</v>
      </c>
      <c r="P2170" t="n">
        <v>0</v>
      </c>
      <c r="Q2170" t="n">
        <v>0</v>
      </c>
      <c r="R2170" s="2" t="inlineStr"/>
    </row>
    <row r="2171" ht="15" customHeight="1">
      <c r="A2171" t="inlineStr">
        <is>
          <t>A 36976-2023</t>
        </is>
      </c>
      <c r="B2171" s="1" t="n">
        <v>45155</v>
      </c>
      <c r="C2171" s="1" t="n">
        <v>45637</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36977-2023</t>
        </is>
      </c>
      <c r="B2172" s="1" t="n">
        <v>45155</v>
      </c>
      <c r="C2172" s="1" t="n">
        <v>45637</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36967-2023</t>
        </is>
      </c>
      <c r="B2173" s="1" t="n">
        <v>45155</v>
      </c>
      <c r="C2173" s="1" t="n">
        <v>45637</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37269-2023</t>
        </is>
      </c>
      <c r="B2174" s="1" t="n">
        <v>45155</v>
      </c>
      <c r="C2174" s="1" t="n">
        <v>45637</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37412-2023</t>
        </is>
      </c>
      <c r="B2175" s="1" t="n">
        <v>45155</v>
      </c>
      <c r="C2175" s="1" t="n">
        <v>45637</v>
      </c>
      <c r="D2175" t="inlineStr">
        <is>
          <t>VÄSTERNORRLANDS LÄN</t>
        </is>
      </c>
      <c r="E2175" t="inlineStr">
        <is>
          <t>SOLLEFTEÅ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37381-2023</t>
        </is>
      </c>
      <c r="B2176" s="1" t="n">
        <v>45155</v>
      </c>
      <c r="C2176" s="1" t="n">
        <v>45637</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37484-2023</t>
        </is>
      </c>
      <c r="B2177" s="1" t="n">
        <v>45156</v>
      </c>
      <c r="C2177" s="1" t="n">
        <v>45637</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37615-2023</t>
        </is>
      </c>
      <c r="B2178" s="1" t="n">
        <v>45156</v>
      </c>
      <c r="C2178" s="1" t="n">
        <v>45637</v>
      </c>
      <c r="D2178" t="inlineStr">
        <is>
          <t>VÄSTERNORRLANDS LÄN</t>
        </is>
      </c>
      <c r="E2178" t="inlineStr">
        <is>
          <t>SOLLEFTEÅ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37711-2023</t>
        </is>
      </c>
      <c r="B2179" s="1" t="n">
        <v>45156</v>
      </c>
      <c r="C2179" s="1" t="n">
        <v>45637</v>
      </c>
      <c r="D2179" t="inlineStr">
        <is>
          <t>VÄSTERNORRLANDS LÄN</t>
        </is>
      </c>
      <c r="E2179" t="inlineStr">
        <is>
          <t>SOLLEFTEÅ</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37735-2023</t>
        </is>
      </c>
      <c r="B2180" s="1" t="n">
        <v>45156</v>
      </c>
      <c r="C2180" s="1" t="n">
        <v>45637</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37486-2023</t>
        </is>
      </c>
      <c r="B2181" s="1" t="n">
        <v>45157</v>
      </c>
      <c r="C2181" s="1" t="n">
        <v>45637</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37691-2023</t>
        </is>
      </c>
      <c r="B2182" s="1" t="n">
        <v>45156</v>
      </c>
      <c r="C2182" s="1" t="n">
        <v>45637</v>
      </c>
      <c r="D2182" t="inlineStr">
        <is>
          <t>VÄSTERNORRLANDS LÄN</t>
        </is>
      </c>
      <c r="E2182" t="inlineStr">
        <is>
          <t>SOLLEFTEÅ</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37722-2023</t>
        </is>
      </c>
      <c r="B2183" s="1" t="n">
        <v>45156</v>
      </c>
      <c r="C2183" s="1" t="n">
        <v>45637</v>
      </c>
      <c r="D2183" t="inlineStr">
        <is>
          <t>VÄSTERNORRLANDS LÄN</t>
        </is>
      </c>
      <c r="E2183" t="inlineStr">
        <is>
          <t>SOLLEFTEÅ</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37611-2023</t>
        </is>
      </c>
      <c r="B2184" s="1" t="n">
        <v>45156</v>
      </c>
      <c r="C2184" s="1" t="n">
        <v>45637</v>
      </c>
      <c r="D2184" t="inlineStr">
        <is>
          <t>VÄSTERNORRLANDS LÄN</t>
        </is>
      </c>
      <c r="E2184" t="inlineStr">
        <is>
          <t>SOLLEFTEÅ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37671-2023</t>
        </is>
      </c>
      <c r="B2185" s="1" t="n">
        <v>45156</v>
      </c>
      <c r="C2185" s="1" t="n">
        <v>45637</v>
      </c>
      <c r="D2185" t="inlineStr">
        <is>
          <t>VÄSTERNORRLANDS LÄN</t>
        </is>
      </c>
      <c r="E2185" t="inlineStr">
        <is>
          <t>SOLLEFTEÅ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37696-2023</t>
        </is>
      </c>
      <c r="B2186" s="1" t="n">
        <v>45156</v>
      </c>
      <c r="C2186" s="1" t="n">
        <v>45637</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37726-2023</t>
        </is>
      </c>
      <c r="B2187" s="1" t="n">
        <v>45156</v>
      </c>
      <c r="C2187" s="1" t="n">
        <v>45637</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37483-2023</t>
        </is>
      </c>
      <c r="B2188" s="1" t="n">
        <v>45157</v>
      </c>
      <c r="C2188" s="1" t="n">
        <v>45637</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37487-2023</t>
        </is>
      </c>
      <c r="B2189" s="1" t="n">
        <v>45157</v>
      </c>
      <c r="C2189" s="1" t="n">
        <v>45637</v>
      </c>
      <c r="D2189" t="inlineStr">
        <is>
          <t>VÄSTERNORRLANDS LÄN</t>
        </is>
      </c>
      <c r="E2189" t="inlineStr">
        <is>
          <t>SOLLEFTEÅ</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37699-2023</t>
        </is>
      </c>
      <c r="B2190" s="1" t="n">
        <v>45156</v>
      </c>
      <c r="C2190" s="1" t="n">
        <v>45637</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37731-2023</t>
        </is>
      </c>
      <c r="B2191" s="1" t="n">
        <v>45156</v>
      </c>
      <c r="C2191" s="1" t="n">
        <v>45637</v>
      </c>
      <c r="D2191" t="inlineStr">
        <is>
          <t>VÄSTERNORRLANDS LÄN</t>
        </is>
      </c>
      <c r="E2191" t="inlineStr">
        <is>
          <t>SOLLEFTEÅ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37807-2023</t>
        </is>
      </c>
      <c r="B2192" s="1" t="n">
        <v>45160</v>
      </c>
      <c r="C2192" s="1" t="n">
        <v>45637</v>
      </c>
      <c r="D2192" t="inlineStr">
        <is>
          <t>VÄSTERNORRLANDS LÄN</t>
        </is>
      </c>
      <c r="E2192" t="inlineStr">
        <is>
          <t>SOLLEFTEÅ</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38093-2023</t>
        </is>
      </c>
      <c r="B2193" s="1" t="n">
        <v>45160</v>
      </c>
      <c r="C2193" s="1" t="n">
        <v>45637</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38097-2023</t>
        </is>
      </c>
      <c r="B2194" s="1" t="n">
        <v>45160</v>
      </c>
      <c r="C2194" s="1" t="n">
        <v>45637</v>
      </c>
      <c r="D2194" t="inlineStr">
        <is>
          <t>VÄSTERNORRLANDS LÄN</t>
        </is>
      </c>
      <c r="E2194" t="inlineStr">
        <is>
          <t>SOLLEFTEÅ</t>
        </is>
      </c>
      <c r="F2194" t="inlineStr">
        <is>
          <t>SCA</t>
        </is>
      </c>
      <c r="G2194" t="n">
        <v>47.1</v>
      </c>
      <c r="H2194" t="n">
        <v>0</v>
      </c>
      <c r="I2194" t="n">
        <v>0</v>
      </c>
      <c r="J2194" t="n">
        <v>0</v>
      </c>
      <c r="K2194" t="n">
        <v>0</v>
      </c>
      <c r="L2194" t="n">
        <v>0</v>
      </c>
      <c r="M2194" t="n">
        <v>0</v>
      </c>
      <c r="N2194" t="n">
        <v>0</v>
      </c>
      <c r="O2194" t="n">
        <v>0</v>
      </c>
      <c r="P2194" t="n">
        <v>0</v>
      </c>
      <c r="Q2194" t="n">
        <v>0</v>
      </c>
      <c r="R2194" s="2" t="inlineStr"/>
    </row>
    <row r="2195" ht="15" customHeight="1">
      <c r="A2195" t="inlineStr">
        <is>
          <t>A 38092-2023</t>
        </is>
      </c>
      <c r="B2195" s="1" t="n">
        <v>45161</v>
      </c>
      <c r="C2195" s="1" t="n">
        <v>45637</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38100-2023</t>
        </is>
      </c>
      <c r="B2196" s="1" t="n">
        <v>45161</v>
      </c>
      <c r="C2196" s="1" t="n">
        <v>45637</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39077-2023</t>
        </is>
      </c>
      <c r="B2197" s="1" t="n">
        <v>45164</v>
      </c>
      <c r="C2197" s="1" t="n">
        <v>45637</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39399-2023</t>
        </is>
      </c>
      <c r="B2198" s="1" t="n">
        <v>45163</v>
      </c>
      <c r="C2198" s="1" t="n">
        <v>45637</v>
      </c>
      <c r="D2198" t="inlineStr">
        <is>
          <t>VÄSTERNORRLANDS LÄN</t>
        </is>
      </c>
      <c r="E2198" t="inlineStr">
        <is>
          <t>SOLLEFTEÅ</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39058-2023</t>
        </is>
      </c>
      <c r="B2199" s="1" t="n">
        <v>45164</v>
      </c>
      <c r="C2199" s="1" t="n">
        <v>45637</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39379-2023</t>
        </is>
      </c>
      <c r="B2200" s="1" t="n">
        <v>45163</v>
      </c>
      <c r="C2200" s="1" t="n">
        <v>45637</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39496-2023</t>
        </is>
      </c>
      <c r="B2201" s="1" t="n">
        <v>45167</v>
      </c>
      <c r="C2201" s="1" t="n">
        <v>45637</v>
      </c>
      <c r="D2201" t="inlineStr">
        <is>
          <t>VÄSTERNORRLANDS LÄN</t>
        </is>
      </c>
      <c r="E2201" t="inlineStr">
        <is>
          <t>SOLLEFTEÅ</t>
        </is>
      </c>
      <c r="F2201" t="inlineStr">
        <is>
          <t>SCA</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39497-2023</t>
        </is>
      </c>
      <c r="B2202" s="1" t="n">
        <v>45167</v>
      </c>
      <c r="C2202" s="1" t="n">
        <v>45637</v>
      </c>
      <c r="D2202" t="inlineStr">
        <is>
          <t>VÄSTERNORRLANDS LÄN</t>
        </is>
      </c>
      <c r="E2202" t="inlineStr">
        <is>
          <t>SOLLEFTEÅ</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39727-2023</t>
        </is>
      </c>
      <c r="B2203" s="1" t="n">
        <v>45166</v>
      </c>
      <c r="C2203" s="1" t="n">
        <v>45637</v>
      </c>
      <c r="D2203" t="inlineStr">
        <is>
          <t>VÄSTERNORRLANDS LÄN</t>
        </is>
      </c>
      <c r="E2203" t="inlineStr">
        <is>
          <t>SOLLEFTEÅ</t>
        </is>
      </c>
      <c r="F2203" t="inlineStr">
        <is>
          <t>SCA</t>
        </is>
      </c>
      <c r="G2203" t="n">
        <v>45.3</v>
      </c>
      <c r="H2203" t="n">
        <v>0</v>
      </c>
      <c r="I2203" t="n">
        <v>0</v>
      </c>
      <c r="J2203" t="n">
        <v>0</v>
      </c>
      <c r="K2203" t="n">
        <v>0</v>
      </c>
      <c r="L2203" t="n">
        <v>0</v>
      </c>
      <c r="M2203" t="n">
        <v>0</v>
      </c>
      <c r="N2203" t="n">
        <v>0</v>
      </c>
      <c r="O2203" t="n">
        <v>0</v>
      </c>
      <c r="P2203" t="n">
        <v>0</v>
      </c>
      <c r="Q2203" t="n">
        <v>0</v>
      </c>
      <c r="R2203" s="2" t="inlineStr"/>
    </row>
    <row r="2204" ht="15" customHeight="1">
      <c r="A2204" t="inlineStr">
        <is>
          <t>A 39495-2023</t>
        </is>
      </c>
      <c r="B2204" s="1" t="n">
        <v>45167</v>
      </c>
      <c r="C2204" s="1" t="n">
        <v>45637</v>
      </c>
      <c r="D2204" t="inlineStr">
        <is>
          <t>VÄSTERNORRLANDS LÄN</t>
        </is>
      </c>
      <c r="E2204" t="inlineStr">
        <is>
          <t>SOLLEFTEÅ</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40098-2023</t>
        </is>
      </c>
      <c r="B2205" s="1" t="n">
        <v>45169</v>
      </c>
      <c r="C2205" s="1" t="n">
        <v>45637</v>
      </c>
      <c r="D2205" t="inlineStr">
        <is>
          <t>VÄSTERNORRLANDS LÄN</t>
        </is>
      </c>
      <c r="E2205" t="inlineStr">
        <is>
          <t>SOLLEFTEÅ</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40099-2023</t>
        </is>
      </c>
      <c r="B2206" s="1" t="n">
        <v>45169</v>
      </c>
      <c r="C2206" s="1" t="n">
        <v>45637</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40115-2023</t>
        </is>
      </c>
      <c r="B2207" s="1" t="n">
        <v>45169</v>
      </c>
      <c r="C2207" s="1" t="n">
        <v>45637</v>
      </c>
      <c r="D2207" t="inlineStr">
        <is>
          <t>VÄSTERNORRLANDS LÄN</t>
        </is>
      </c>
      <c r="E2207" t="inlineStr">
        <is>
          <t>SOLLEFTEÅ</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40202-2023</t>
        </is>
      </c>
      <c r="B2208" s="1" t="n">
        <v>45169</v>
      </c>
      <c r="C2208" s="1" t="n">
        <v>45637</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40403-2023</t>
        </is>
      </c>
      <c r="B2209" s="1" t="n">
        <v>45170</v>
      </c>
      <c r="C2209" s="1" t="n">
        <v>45637</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40404-2023</t>
        </is>
      </c>
      <c r="B2210" s="1" t="n">
        <v>45170</v>
      </c>
      <c r="C2210" s="1" t="n">
        <v>45637</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40429-2023</t>
        </is>
      </c>
      <c r="B2211" s="1" t="n">
        <v>45169</v>
      </c>
      <c r="C2211" s="1" t="n">
        <v>45637</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40421-2023</t>
        </is>
      </c>
      <c r="B2212" s="1" t="n">
        <v>45170</v>
      </c>
      <c r="C2212" s="1" t="n">
        <v>45637</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40766-2023</t>
        </is>
      </c>
      <c r="B2213" s="1" t="n">
        <v>45170</v>
      </c>
      <c r="C2213" s="1" t="n">
        <v>45637</v>
      </c>
      <c r="D2213" t="inlineStr">
        <is>
          <t>VÄSTERNORRLANDS LÄN</t>
        </is>
      </c>
      <c r="E2213" t="inlineStr">
        <is>
          <t>SOLLEFTEÅ</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40764-2023</t>
        </is>
      </c>
      <c r="B2214" s="1" t="n">
        <v>45170</v>
      </c>
      <c r="C2214" s="1" t="n">
        <v>45637</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41145-2023</t>
        </is>
      </c>
      <c r="B2215" s="1" t="n">
        <v>45174</v>
      </c>
      <c r="C2215" s="1" t="n">
        <v>45637</v>
      </c>
      <c r="D2215" t="inlineStr">
        <is>
          <t>VÄSTERNORRLANDS LÄN</t>
        </is>
      </c>
      <c r="E2215" t="inlineStr">
        <is>
          <t>SOLLEFTEÅ</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41146-2023</t>
        </is>
      </c>
      <c r="B2216" s="1" t="n">
        <v>45174</v>
      </c>
      <c r="C2216" s="1" t="n">
        <v>45637</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41143-2023</t>
        </is>
      </c>
      <c r="B2217" s="1" t="n">
        <v>45174</v>
      </c>
      <c r="C2217" s="1" t="n">
        <v>45637</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41257-2023</t>
        </is>
      </c>
      <c r="B2218" s="1" t="n">
        <v>45174</v>
      </c>
      <c r="C2218" s="1" t="n">
        <v>45637</v>
      </c>
      <c r="D2218" t="inlineStr">
        <is>
          <t>VÄSTERNORRLANDS LÄN</t>
        </is>
      </c>
      <c r="E2218" t="inlineStr">
        <is>
          <t>SOLLEFTEÅ</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41655-2023</t>
        </is>
      </c>
      <c r="B2219" s="1" t="n">
        <v>45176</v>
      </c>
      <c r="C2219" s="1" t="n">
        <v>45637</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41933-2023</t>
        </is>
      </c>
      <c r="B2220" s="1" t="n">
        <v>45177</v>
      </c>
      <c r="C2220" s="1" t="n">
        <v>45637</v>
      </c>
      <c r="D2220" t="inlineStr">
        <is>
          <t>VÄSTERNORRLANDS LÄN</t>
        </is>
      </c>
      <c r="E2220" t="inlineStr">
        <is>
          <t>SOLLEFTEÅ</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41924-2023</t>
        </is>
      </c>
      <c r="B2221" s="1" t="n">
        <v>45176</v>
      </c>
      <c r="C2221" s="1" t="n">
        <v>45637</v>
      </c>
      <c r="D2221" t="inlineStr">
        <is>
          <t>VÄSTERNORRLANDS LÄN</t>
        </is>
      </c>
      <c r="E2221" t="inlineStr">
        <is>
          <t>SOLLEFTEÅ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42150-2023</t>
        </is>
      </c>
      <c r="B2222" s="1" t="n">
        <v>45178</v>
      </c>
      <c r="C2222" s="1" t="n">
        <v>45637</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42162-2023</t>
        </is>
      </c>
      <c r="B2223" s="1" t="n">
        <v>45178</v>
      </c>
      <c r="C2223" s="1" t="n">
        <v>45637</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42140-2023</t>
        </is>
      </c>
      <c r="B2224" s="1" t="n">
        <v>45178</v>
      </c>
      <c r="C2224" s="1" t="n">
        <v>45637</v>
      </c>
      <c r="D2224" t="inlineStr">
        <is>
          <t>VÄSTERNORRLANDS LÄN</t>
        </is>
      </c>
      <c r="E2224" t="inlineStr">
        <is>
          <t>SOLLEFTEÅ</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42160-2023</t>
        </is>
      </c>
      <c r="B2225" s="1" t="n">
        <v>45177</v>
      </c>
      <c r="C2225" s="1" t="n">
        <v>45637</v>
      </c>
      <c r="D2225" t="inlineStr">
        <is>
          <t>VÄSTERNORRLANDS LÄN</t>
        </is>
      </c>
      <c r="E2225" t="inlineStr">
        <is>
          <t>SOLLEFTEÅ</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42164-2023</t>
        </is>
      </c>
      <c r="B2226" s="1" t="n">
        <v>45178</v>
      </c>
      <c r="C2226" s="1" t="n">
        <v>45637</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42147-2023</t>
        </is>
      </c>
      <c r="B2227" s="1" t="n">
        <v>45177</v>
      </c>
      <c r="C2227" s="1" t="n">
        <v>45637</v>
      </c>
      <c r="D2227" t="inlineStr">
        <is>
          <t>VÄSTERNORRLANDS LÄN</t>
        </is>
      </c>
      <c r="E2227" t="inlineStr">
        <is>
          <t>SOLLEFTEÅ</t>
        </is>
      </c>
      <c r="G2227" t="n">
        <v>24.4</v>
      </c>
      <c r="H2227" t="n">
        <v>0</v>
      </c>
      <c r="I2227" t="n">
        <v>0</v>
      </c>
      <c r="J2227" t="n">
        <v>0</v>
      </c>
      <c r="K2227" t="n">
        <v>0</v>
      </c>
      <c r="L2227" t="n">
        <v>0</v>
      </c>
      <c r="M2227" t="n">
        <v>0</v>
      </c>
      <c r="N2227" t="n">
        <v>0</v>
      </c>
      <c r="O2227" t="n">
        <v>0</v>
      </c>
      <c r="P2227" t="n">
        <v>0</v>
      </c>
      <c r="Q2227" t="n">
        <v>0</v>
      </c>
      <c r="R2227" s="2" t="inlineStr"/>
    </row>
    <row r="2228" ht="15" customHeight="1">
      <c r="A2228" t="inlineStr">
        <is>
          <t>A 42440-2023</t>
        </is>
      </c>
      <c r="B2228" s="1" t="n">
        <v>45180</v>
      </c>
      <c r="C2228" s="1" t="n">
        <v>45637</v>
      </c>
      <c r="D2228" t="inlineStr">
        <is>
          <t>VÄSTERNORRLANDS LÄN</t>
        </is>
      </c>
      <c r="E2228" t="inlineStr">
        <is>
          <t>SOLLEFTEÅ</t>
        </is>
      </c>
      <c r="F2228" t="inlineStr">
        <is>
          <t>Holmen skog AB</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42514-2023</t>
        </is>
      </c>
      <c r="B2229" s="1" t="n">
        <v>45181</v>
      </c>
      <c r="C2229" s="1" t="n">
        <v>45637</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42512-2023</t>
        </is>
      </c>
      <c r="B2230" s="1" t="n">
        <v>45181</v>
      </c>
      <c r="C2230" s="1" t="n">
        <v>45637</v>
      </c>
      <c r="D2230" t="inlineStr">
        <is>
          <t>VÄSTERNORRLANDS LÄN</t>
        </is>
      </c>
      <c r="E2230" t="inlineStr">
        <is>
          <t>SOLLEFTEÅ</t>
        </is>
      </c>
      <c r="F2230" t="inlineStr">
        <is>
          <t>SCA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43487-2023</t>
        </is>
      </c>
      <c r="B2231" s="1" t="n">
        <v>45181</v>
      </c>
      <c r="C2231" s="1" t="n">
        <v>45637</v>
      </c>
      <c r="D2231" t="inlineStr">
        <is>
          <t>VÄSTERNORRLANDS LÄN</t>
        </is>
      </c>
      <c r="E2231" t="inlineStr">
        <is>
          <t>SOLLEFTEÅ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43177-2023</t>
        </is>
      </c>
      <c r="B2232" s="1" t="n">
        <v>45181</v>
      </c>
      <c r="C2232" s="1" t="n">
        <v>45637</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43512-2023</t>
        </is>
      </c>
      <c r="B2233" s="1" t="n">
        <v>45181</v>
      </c>
      <c r="C2233" s="1" t="n">
        <v>45637</v>
      </c>
      <c r="D2233" t="inlineStr">
        <is>
          <t>VÄSTERNORRLANDS LÄN</t>
        </is>
      </c>
      <c r="E2233" t="inlineStr">
        <is>
          <t>SOLLEFTEÅ</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44533-2023</t>
        </is>
      </c>
      <c r="B2234" s="1" t="n">
        <v>45183</v>
      </c>
      <c r="C2234" s="1" t="n">
        <v>45637</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43531-2023</t>
        </is>
      </c>
      <c r="B2235" s="1" t="n">
        <v>45184</v>
      </c>
      <c r="C2235" s="1" t="n">
        <v>45637</v>
      </c>
      <c r="D2235" t="inlineStr">
        <is>
          <t>VÄSTERNORRLANDS LÄN</t>
        </is>
      </c>
      <c r="E2235" t="inlineStr">
        <is>
          <t>SOLLEFTEÅ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43504-2023</t>
        </is>
      </c>
      <c r="B2236" s="1" t="n">
        <v>45184</v>
      </c>
      <c r="C2236" s="1" t="n">
        <v>45637</v>
      </c>
      <c r="D2236" t="inlineStr">
        <is>
          <t>VÄSTERNORRLANDS LÄN</t>
        </is>
      </c>
      <c r="E2236" t="inlineStr">
        <is>
          <t>SOLLEFTEÅ</t>
        </is>
      </c>
      <c r="F2236" t="inlineStr">
        <is>
          <t>Holmen skog AB</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45193-2023</t>
        </is>
      </c>
      <c r="B2237" s="1" t="n">
        <v>45187</v>
      </c>
      <c r="C2237" s="1" t="n">
        <v>45637</v>
      </c>
      <c r="D2237" t="inlineStr">
        <is>
          <t>VÄSTERNORRLANDS LÄN</t>
        </is>
      </c>
      <c r="E2237" t="inlineStr">
        <is>
          <t>SOLLEFTEÅ</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44389-2023</t>
        </is>
      </c>
      <c r="B2238" s="1" t="n">
        <v>45189</v>
      </c>
      <c r="C2238" s="1" t="n">
        <v>45637</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44393-2023</t>
        </is>
      </c>
      <c r="B2239" s="1" t="n">
        <v>45189</v>
      </c>
      <c r="C2239" s="1" t="n">
        <v>45637</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44388-2023</t>
        </is>
      </c>
      <c r="B2240" s="1" t="n">
        <v>45189</v>
      </c>
      <c r="C2240" s="1" t="n">
        <v>45637</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44392-2023</t>
        </is>
      </c>
      <c r="B2241" s="1" t="n">
        <v>45189</v>
      </c>
      <c r="C2241" s="1" t="n">
        <v>45637</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44408-2023</t>
        </is>
      </c>
      <c r="B2242" s="1" t="n">
        <v>45189</v>
      </c>
      <c r="C2242" s="1" t="n">
        <v>45637</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44391-2023</t>
        </is>
      </c>
      <c r="B2243" s="1" t="n">
        <v>45189</v>
      </c>
      <c r="C2243" s="1" t="n">
        <v>45637</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44407-2023</t>
        </is>
      </c>
      <c r="B2244" s="1" t="n">
        <v>45189</v>
      </c>
      <c r="C2244" s="1" t="n">
        <v>45637</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45644-2023</t>
        </is>
      </c>
      <c r="B2245" s="1" t="n">
        <v>45188</v>
      </c>
      <c r="C2245" s="1" t="n">
        <v>45637</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c r="U2245">
        <f>HYPERLINK("https://klasma.github.io/Logging_2283/knärot/A 45644-2023 karta knärot.png", "A 45644-2023")</f>
        <v/>
      </c>
      <c r="V2245">
        <f>HYPERLINK("https://klasma.github.io/Logging_2283/klagomål/A 45644-2023 FSC-klagomål.docx", "A 45644-2023")</f>
        <v/>
      </c>
      <c r="W2245">
        <f>HYPERLINK("https://klasma.github.io/Logging_2283/klagomålsmail/A 45644-2023 FSC-klagomål mail.docx", "A 45644-2023")</f>
        <v/>
      </c>
      <c r="X2245">
        <f>HYPERLINK("https://klasma.github.io/Logging_2283/tillsyn/A 45644-2023 tillsynsbegäran.docx", "A 45644-2023")</f>
        <v/>
      </c>
      <c r="Y2245">
        <f>HYPERLINK("https://klasma.github.io/Logging_2283/tillsynsmail/A 45644-2023 tillsynsbegäran mail.docx", "A 45644-2023")</f>
        <v/>
      </c>
    </row>
    <row r="2246" ht="15" customHeight="1">
      <c r="A2246" t="inlineStr">
        <is>
          <t>A 44410-2023</t>
        </is>
      </c>
      <c r="B2246" s="1" t="n">
        <v>45189</v>
      </c>
      <c r="C2246" s="1" t="n">
        <v>45637</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44905-2023</t>
        </is>
      </c>
      <c r="B2247" s="1" t="n">
        <v>45189</v>
      </c>
      <c r="C2247" s="1" t="n">
        <v>45637</v>
      </c>
      <c r="D2247" t="inlineStr">
        <is>
          <t>VÄSTERNORRLANDS LÄN</t>
        </is>
      </c>
      <c r="E2247" t="inlineStr">
        <is>
          <t>SOLLEFTEÅ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44781-2023</t>
        </is>
      </c>
      <c r="B2248" s="1" t="n">
        <v>45190</v>
      </c>
      <c r="C2248" s="1" t="n">
        <v>45637</v>
      </c>
      <c r="D2248" t="inlineStr">
        <is>
          <t>VÄSTERNORRLANDS LÄN</t>
        </is>
      </c>
      <c r="E2248" t="inlineStr">
        <is>
          <t>SOLLEFTEÅ</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45007-2023</t>
        </is>
      </c>
      <c r="B2249" s="1" t="n">
        <v>45190</v>
      </c>
      <c r="C2249" s="1" t="n">
        <v>45637</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45015-2023</t>
        </is>
      </c>
      <c r="B2250" s="1" t="n">
        <v>45191</v>
      </c>
      <c r="C2250" s="1" t="n">
        <v>45637</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44984-2023</t>
        </is>
      </c>
      <c r="B2251" s="1" t="n">
        <v>45191</v>
      </c>
      <c r="C2251" s="1" t="n">
        <v>45637</v>
      </c>
      <c r="D2251" t="inlineStr">
        <is>
          <t>VÄSTERNORRLANDS LÄN</t>
        </is>
      </c>
      <c r="E2251" t="inlineStr">
        <is>
          <t>SOLLEFTEÅ</t>
        </is>
      </c>
      <c r="F2251" t="inlineStr">
        <is>
          <t>SCA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45016-2023</t>
        </is>
      </c>
      <c r="B2252" s="1" t="n">
        <v>45191</v>
      </c>
      <c r="C2252" s="1" t="n">
        <v>45637</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44986-2023</t>
        </is>
      </c>
      <c r="B2253" s="1" t="n">
        <v>45190</v>
      </c>
      <c r="C2253" s="1" t="n">
        <v>45637</v>
      </c>
      <c r="D2253" t="inlineStr">
        <is>
          <t>VÄSTERNORRLANDS LÄN</t>
        </is>
      </c>
      <c r="E2253" t="inlineStr">
        <is>
          <t>SOLLEFTEÅ</t>
        </is>
      </c>
      <c r="F2253" t="inlineStr">
        <is>
          <t>SCA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44994-2023</t>
        </is>
      </c>
      <c r="B2254" s="1" t="n">
        <v>45190</v>
      </c>
      <c r="C2254" s="1" t="n">
        <v>45637</v>
      </c>
      <c r="D2254" t="inlineStr">
        <is>
          <t>VÄSTERNORRLANDS LÄN</t>
        </is>
      </c>
      <c r="E2254" t="inlineStr">
        <is>
          <t>SOLLEFTEÅ</t>
        </is>
      </c>
      <c r="F2254" t="inlineStr">
        <is>
          <t>SCA</t>
        </is>
      </c>
      <c r="G2254" t="n">
        <v>26.8</v>
      </c>
      <c r="H2254" t="n">
        <v>0</v>
      </c>
      <c r="I2254" t="n">
        <v>0</v>
      </c>
      <c r="J2254" t="n">
        <v>0</v>
      </c>
      <c r="K2254" t="n">
        <v>0</v>
      </c>
      <c r="L2254" t="n">
        <v>0</v>
      </c>
      <c r="M2254" t="n">
        <v>0</v>
      </c>
      <c r="N2254" t="n">
        <v>0</v>
      </c>
      <c r="O2254" t="n">
        <v>0</v>
      </c>
      <c r="P2254" t="n">
        <v>0</v>
      </c>
      <c r="Q2254" t="n">
        <v>0</v>
      </c>
      <c r="R2254" s="2" t="inlineStr"/>
    </row>
    <row r="2255" ht="15" customHeight="1">
      <c r="A2255" t="inlineStr">
        <is>
          <t>A 44998-2023</t>
        </is>
      </c>
      <c r="B2255" s="1" t="n">
        <v>45191</v>
      </c>
      <c r="C2255" s="1" t="n">
        <v>45637</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45014-2023</t>
        </is>
      </c>
      <c r="B2256" s="1" t="n">
        <v>45191</v>
      </c>
      <c r="C2256" s="1" t="n">
        <v>45637</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45017-2023</t>
        </is>
      </c>
      <c r="B2257" s="1" t="n">
        <v>45190</v>
      </c>
      <c r="C2257" s="1" t="n">
        <v>45637</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46212-2023</t>
        </is>
      </c>
      <c r="B2258" s="1" t="n">
        <v>45190</v>
      </c>
      <c r="C2258" s="1" t="n">
        <v>45637</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46207-2023</t>
        </is>
      </c>
      <c r="B2259" s="1" t="n">
        <v>45190</v>
      </c>
      <c r="C2259" s="1" t="n">
        <v>45637</v>
      </c>
      <c r="D2259" t="inlineStr">
        <is>
          <t>VÄSTERNORRLANDS LÄN</t>
        </is>
      </c>
      <c r="E2259" t="inlineStr">
        <is>
          <t>SOLLEFTEÅ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46357-2023</t>
        </is>
      </c>
      <c r="B2260" s="1" t="n">
        <v>45191</v>
      </c>
      <c r="C2260" s="1" t="n">
        <v>45637</v>
      </c>
      <c r="D2260" t="inlineStr">
        <is>
          <t>VÄSTERNORRLANDS LÄN</t>
        </is>
      </c>
      <c r="E2260" t="inlineStr">
        <is>
          <t>SOLLEFTEÅ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46344-2023</t>
        </is>
      </c>
      <c r="B2261" s="1" t="n">
        <v>45191</v>
      </c>
      <c r="C2261" s="1" t="n">
        <v>45637</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45570-2023</t>
        </is>
      </c>
      <c r="B2262" s="1" t="n">
        <v>45194</v>
      </c>
      <c r="C2262" s="1" t="n">
        <v>45637</v>
      </c>
      <c r="D2262" t="inlineStr">
        <is>
          <t>VÄSTERNORRLANDS LÄN</t>
        </is>
      </c>
      <c r="E2262" t="inlineStr">
        <is>
          <t>SOLLEFTEÅ</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45958-2023</t>
        </is>
      </c>
      <c r="B2263" s="1" t="n">
        <v>45195</v>
      </c>
      <c r="C2263" s="1" t="n">
        <v>45637</v>
      </c>
      <c r="D2263" t="inlineStr">
        <is>
          <t>VÄSTERNORRLANDS LÄN</t>
        </is>
      </c>
      <c r="E2263" t="inlineStr">
        <is>
          <t>SOLLEFTEÅ</t>
        </is>
      </c>
      <c r="F2263" t="inlineStr">
        <is>
          <t>SCA</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45973-2023</t>
        </is>
      </c>
      <c r="B2264" s="1" t="n">
        <v>45195</v>
      </c>
      <c r="C2264" s="1" t="n">
        <v>45637</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46256-2023</t>
        </is>
      </c>
      <c r="B2265" s="1" t="n">
        <v>45197</v>
      </c>
      <c r="C2265" s="1" t="n">
        <v>45637</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47329-2023</t>
        </is>
      </c>
      <c r="B2266" s="1" t="n">
        <v>45196</v>
      </c>
      <c r="C2266" s="1" t="n">
        <v>45637</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47327-2023</t>
        </is>
      </c>
      <c r="B2267" s="1" t="n">
        <v>45196</v>
      </c>
      <c r="C2267" s="1" t="n">
        <v>45637</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46553-2023</t>
        </is>
      </c>
      <c r="B2268" s="1" t="n">
        <v>45198</v>
      </c>
      <c r="C2268" s="1" t="n">
        <v>45637</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46550-2023</t>
        </is>
      </c>
      <c r="B2269" s="1" t="n">
        <v>45198</v>
      </c>
      <c r="C2269" s="1" t="n">
        <v>45637</v>
      </c>
      <c r="D2269" t="inlineStr">
        <is>
          <t>VÄSTERNORRLANDS LÄN</t>
        </is>
      </c>
      <c r="E2269" t="inlineStr">
        <is>
          <t>SOLLEFTEÅ</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46554-2023</t>
        </is>
      </c>
      <c r="B2270" s="1" t="n">
        <v>45198</v>
      </c>
      <c r="C2270" s="1" t="n">
        <v>45637</v>
      </c>
      <c r="D2270" t="inlineStr">
        <is>
          <t>VÄSTERNORRLANDS LÄN</t>
        </is>
      </c>
      <c r="E2270" t="inlineStr">
        <is>
          <t>SOLLEFTEÅ</t>
        </is>
      </c>
      <c r="F2270" t="inlineStr">
        <is>
          <t>SCA</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46555-2023</t>
        </is>
      </c>
      <c r="B2271" s="1" t="n">
        <v>45198</v>
      </c>
      <c r="C2271" s="1" t="n">
        <v>45637</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46804-2023</t>
        </is>
      </c>
      <c r="B2272" s="1" t="n">
        <v>45198</v>
      </c>
      <c r="C2272" s="1" t="n">
        <v>45637</v>
      </c>
      <c r="D2272" t="inlineStr">
        <is>
          <t>VÄSTERNORRLANDS LÄN</t>
        </is>
      </c>
      <c r="E2272" t="inlineStr">
        <is>
          <t>SOLLEFTEÅ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47741-2023</t>
        </is>
      </c>
      <c r="B2273" s="1" t="n">
        <v>45198</v>
      </c>
      <c r="C2273" s="1" t="n">
        <v>45637</v>
      </c>
      <c r="D2273" t="inlineStr">
        <is>
          <t>VÄSTERNORRLANDS LÄN</t>
        </is>
      </c>
      <c r="E2273" t="inlineStr">
        <is>
          <t>SOLLEFTEÅ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47159-2023</t>
        </is>
      </c>
      <c r="B2274" s="1" t="n">
        <v>45201</v>
      </c>
      <c r="C2274" s="1" t="n">
        <v>45637</v>
      </c>
      <c r="D2274" t="inlineStr">
        <is>
          <t>VÄSTERNORRLANDS LÄN</t>
        </is>
      </c>
      <c r="E2274" t="inlineStr">
        <is>
          <t>SOLLEFTEÅ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47167-2023</t>
        </is>
      </c>
      <c r="B2275" s="1" t="n">
        <v>45202</v>
      </c>
      <c r="C2275" s="1" t="n">
        <v>45637</v>
      </c>
      <c r="D2275" t="inlineStr">
        <is>
          <t>VÄSTERNORRLANDS LÄN</t>
        </is>
      </c>
      <c r="E2275" t="inlineStr">
        <is>
          <t>SOLLEFTEÅ</t>
        </is>
      </c>
      <c r="F2275" t="inlineStr">
        <is>
          <t>SCA</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47175-2023</t>
        </is>
      </c>
      <c r="B2276" s="1" t="n">
        <v>45202</v>
      </c>
      <c r="C2276" s="1" t="n">
        <v>45637</v>
      </c>
      <c r="D2276" t="inlineStr">
        <is>
          <t>VÄSTERNORRLANDS LÄN</t>
        </is>
      </c>
      <c r="E2276" t="inlineStr">
        <is>
          <t>SOLLEFTEÅ</t>
        </is>
      </c>
      <c r="F2276" t="inlineStr">
        <is>
          <t>SCA</t>
        </is>
      </c>
      <c r="G2276" t="n">
        <v>14.7</v>
      </c>
      <c r="H2276" t="n">
        <v>0</v>
      </c>
      <c r="I2276" t="n">
        <v>0</v>
      </c>
      <c r="J2276" t="n">
        <v>0</v>
      </c>
      <c r="K2276" t="n">
        <v>0</v>
      </c>
      <c r="L2276" t="n">
        <v>0</v>
      </c>
      <c r="M2276" t="n">
        <v>0</v>
      </c>
      <c r="N2276" t="n">
        <v>0</v>
      </c>
      <c r="O2276" t="n">
        <v>0</v>
      </c>
      <c r="P2276" t="n">
        <v>0</v>
      </c>
      <c r="Q2276" t="n">
        <v>0</v>
      </c>
      <c r="R2276" s="2" t="inlineStr"/>
    </row>
    <row r="2277" ht="15" customHeight="1">
      <c r="A2277" t="inlineStr">
        <is>
          <t>A 47170-2023</t>
        </is>
      </c>
      <c r="B2277" s="1" t="n">
        <v>45202</v>
      </c>
      <c r="C2277" s="1" t="n">
        <v>45637</v>
      </c>
      <c r="D2277" t="inlineStr">
        <is>
          <t>VÄSTERNORRLANDS LÄN</t>
        </is>
      </c>
      <c r="E2277" t="inlineStr">
        <is>
          <t>SOLLEFTEÅ</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47174-2023</t>
        </is>
      </c>
      <c r="B2278" s="1" t="n">
        <v>45202</v>
      </c>
      <c r="C2278" s="1" t="n">
        <v>45637</v>
      </c>
      <c r="D2278" t="inlineStr">
        <is>
          <t>VÄSTERNORRLANDS LÄN</t>
        </is>
      </c>
      <c r="E2278" t="inlineStr">
        <is>
          <t>SOLLEFTEÅ</t>
        </is>
      </c>
      <c r="F2278" t="inlineStr">
        <is>
          <t>SCA</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47177-2023</t>
        </is>
      </c>
      <c r="B2279" s="1" t="n">
        <v>45201</v>
      </c>
      <c r="C2279" s="1" t="n">
        <v>45637</v>
      </c>
      <c r="D2279" t="inlineStr">
        <is>
          <t>VÄSTERNORRLANDS LÄN</t>
        </is>
      </c>
      <c r="E2279" t="inlineStr">
        <is>
          <t>SOLLEFTEÅ</t>
        </is>
      </c>
      <c r="F2279" t="inlineStr">
        <is>
          <t>SCA</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47181-2023</t>
        </is>
      </c>
      <c r="B2280" s="1" t="n">
        <v>45202</v>
      </c>
      <c r="C2280" s="1" t="n">
        <v>45637</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47185-2023</t>
        </is>
      </c>
      <c r="B2281" s="1" t="n">
        <v>45201</v>
      </c>
      <c r="C2281" s="1" t="n">
        <v>45637</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47490-2023</t>
        </is>
      </c>
      <c r="B2282" s="1" t="n">
        <v>45203</v>
      </c>
      <c r="C2282" s="1" t="n">
        <v>45637</v>
      </c>
      <c r="D2282" t="inlineStr">
        <is>
          <t>VÄSTERNORRLANDS LÄN</t>
        </is>
      </c>
      <c r="E2282" t="inlineStr">
        <is>
          <t>SOLLEFTEÅ</t>
        </is>
      </c>
      <c r="F2282" t="inlineStr">
        <is>
          <t>SCA</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47457-2023</t>
        </is>
      </c>
      <c r="B2283" s="1" t="n">
        <v>45202</v>
      </c>
      <c r="C2283" s="1" t="n">
        <v>45637</v>
      </c>
      <c r="D2283" t="inlineStr">
        <is>
          <t>VÄSTERNORRLANDS LÄN</t>
        </is>
      </c>
      <c r="E2283" t="inlineStr">
        <is>
          <t>SOLLEFTEÅ</t>
        </is>
      </c>
      <c r="F2283" t="inlineStr">
        <is>
          <t>Holmen skog AB</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47477-2023</t>
        </is>
      </c>
      <c r="B2284" s="1" t="n">
        <v>45203</v>
      </c>
      <c r="C2284" s="1" t="n">
        <v>45637</v>
      </c>
      <c r="D2284" t="inlineStr">
        <is>
          <t>VÄSTERNORRLANDS LÄN</t>
        </is>
      </c>
      <c r="E2284" t="inlineStr">
        <is>
          <t>SOLLEFTEÅ</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47794-2023</t>
        </is>
      </c>
      <c r="B2285" s="1" t="n">
        <v>45204</v>
      </c>
      <c r="C2285" s="1" t="n">
        <v>45637</v>
      </c>
      <c r="D2285" t="inlineStr">
        <is>
          <t>VÄSTERNORRLANDS LÄN</t>
        </is>
      </c>
      <c r="E2285" t="inlineStr">
        <is>
          <t>SOLLEFTEÅ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48077-2023</t>
        </is>
      </c>
      <c r="B2286" s="1" t="n">
        <v>45205</v>
      </c>
      <c r="C2286" s="1" t="n">
        <v>45637</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48085-2023</t>
        </is>
      </c>
      <c r="B2287" s="1" t="n">
        <v>45205</v>
      </c>
      <c r="C2287" s="1" t="n">
        <v>45637</v>
      </c>
      <c r="D2287" t="inlineStr">
        <is>
          <t>VÄSTERNORRLANDS LÄN</t>
        </is>
      </c>
      <c r="E2287" t="inlineStr">
        <is>
          <t>SOLLEFTEÅ</t>
        </is>
      </c>
      <c r="F2287" t="inlineStr">
        <is>
          <t>SCA</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48089-2023</t>
        </is>
      </c>
      <c r="B2288" s="1" t="n">
        <v>45204</v>
      </c>
      <c r="C2288" s="1" t="n">
        <v>45637</v>
      </c>
      <c r="D2288" t="inlineStr">
        <is>
          <t>VÄSTERNORRLANDS LÄN</t>
        </is>
      </c>
      <c r="E2288" t="inlineStr">
        <is>
          <t>SOLLEFTEÅ</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48083-2023</t>
        </is>
      </c>
      <c r="B2289" s="1" t="n">
        <v>45204</v>
      </c>
      <c r="C2289" s="1" t="n">
        <v>45637</v>
      </c>
      <c r="D2289" t="inlineStr">
        <is>
          <t>VÄSTERNORRLANDS LÄN</t>
        </is>
      </c>
      <c r="E2289" t="inlineStr">
        <is>
          <t>SOLLEFTEÅ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48086-2023</t>
        </is>
      </c>
      <c r="B2290" s="1" t="n">
        <v>45205</v>
      </c>
      <c r="C2290" s="1" t="n">
        <v>45637</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48090-2023</t>
        </is>
      </c>
      <c r="B2291" s="1" t="n">
        <v>45205</v>
      </c>
      <c r="C2291" s="1" t="n">
        <v>45637</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48072-2023</t>
        </is>
      </c>
      <c r="B2292" s="1" t="n">
        <v>45205</v>
      </c>
      <c r="C2292" s="1" t="n">
        <v>45637</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48088-2023</t>
        </is>
      </c>
      <c r="B2293" s="1" t="n">
        <v>45205</v>
      </c>
      <c r="C2293" s="1" t="n">
        <v>45637</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48964-2023</t>
        </is>
      </c>
      <c r="B2294" s="1" t="n">
        <v>45204</v>
      </c>
      <c r="C2294" s="1" t="n">
        <v>45637</v>
      </c>
      <c r="D2294" t="inlineStr">
        <is>
          <t>VÄSTERNORRLANDS LÄN</t>
        </is>
      </c>
      <c r="E2294" t="inlineStr">
        <is>
          <t>SOLLEFTEÅ</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49417-2023</t>
        </is>
      </c>
      <c r="B2295" s="1" t="n">
        <v>45205</v>
      </c>
      <c r="C2295" s="1" t="n">
        <v>45637</v>
      </c>
      <c r="D2295" t="inlineStr">
        <is>
          <t>VÄSTERNORRLANDS LÄN</t>
        </is>
      </c>
      <c r="E2295" t="inlineStr">
        <is>
          <t>SOLLEFTEÅ</t>
        </is>
      </c>
      <c r="F2295" t="inlineStr">
        <is>
          <t>SCA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48767-2023</t>
        </is>
      </c>
      <c r="B2296" s="1" t="n">
        <v>45208</v>
      </c>
      <c r="C2296" s="1" t="n">
        <v>45637</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48528-2023</t>
        </is>
      </c>
      <c r="B2297" s="1" t="n">
        <v>45208</v>
      </c>
      <c r="C2297" s="1" t="n">
        <v>45637</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48570-2023</t>
        </is>
      </c>
      <c r="B2298" s="1" t="n">
        <v>45208</v>
      </c>
      <c r="C2298" s="1" t="n">
        <v>45637</v>
      </c>
      <c r="D2298" t="inlineStr">
        <is>
          <t>VÄSTERNORRLANDS LÄN</t>
        </is>
      </c>
      <c r="E2298" t="inlineStr">
        <is>
          <t>SOLLEFTEÅ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48999-2023</t>
        </is>
      </c>
      <c r="B2299" s="1" t="n">
        <v>45209</v>
      </c>
      <c r="C2299" s="1" t="n">
        <v>45637</v>
      </c>
      <c r="D2299" t="inlineStr">
        <is>
          <t>VÄSTERNORRLANDS LÄN</t>
        </is>
      </c>
      <c r="E2299" t="inlineStr">
        <is>
          <t>SOLLEFTEÅ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49036-2023</t>
        </is>
      </c>
      <c r="B2300" s="1" t="n">
        <v>45210</v>
      </c>
      <c r="C2300" s="1" t="n">
        <v>45637</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50313-2023</t>
        </is>
      </c>
      <c r="B2301" s="1" t="n">
        <v>45209</v>
      </c>
      <c r="C2301" s="1" t="n">
        <v>45637</v>
      </c>
      <c r="D2301" t="inlineStr">
        <is>
          <t>VÄSTERNORRLANDS LÄN</t>
        </is>
      </c>
      <c r="E2301" t="inlineStr">
        <is>
          <t>SOLLEFTEÅ</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49313-2023</t>
        </is>
      </c>
      <c r="B2302" s="1" t="n">
        <v>45211</v>
      </c>
      <c r="C2302" s="1" t="n">
        <v>45637</v>
      </c>
      <c r="D2302" t="inlineStr">
        <is>
          <t>VÄSTERNORRLANDS LÄN</t>
        </is>
      </c>
      <c r="E2302" t="inlineStr">
        <is>
          <t>SOLLEFTEÅ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49317-2023</t>
        </is>
      </c>
      <c r="B2303" s="1" t="n">
        <v>45210</v>
      </c>
      <c r="C2303" s="1" t="n">
        <v>45637</v>
      </c>
      <c r="D2303" t="inlineStr">
        <is>
          <t>VÄSTERNORRLANDS LÄN</t>
        </is>
      </c>
      <c r="E2303" t="inlineStr">
        <is>
          <t>SOLLEFTEÅ</t>
        </is>
      </c>
      <c r="F2303" t="inlineStr">
        <is>
          <t>SCA</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49323-2023</t>
        </is>
      </c>
      <c r="B2304" s="1" t="n">
        <v>45211</v>
      </c>
      <c r="C2304" s="1" t="n">
        <v>45637</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49324-2023</t>
        </is>
      </c>
      <c r="B2305" s="1" t="n">
        <v>45210</v>
      </c>
      <c r="C2305" s="1" t="n">
        <v>45637</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50698-2023</t>
        </is>
      </c>
      <c r="B2306" s="1" t="n">
        <v>45210</v>
      </c>
      <c r="C2306" s="1" t="n">
        <v>45637</v>
      </c>
      <c r="D2306" t="inlineStr">
        <is>
          <t>VÄSTERNORRLANDS LÄN</t>
        </is>
      </c>
      <c r="E2306" t="inlineStr">
        <is>
          <t>SOLLEFTEÅ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50745-2023</t>
        </is>
      </c>
      <c r="B2307" s="1" t="n">
        <v>45210</v>
      </c>
      <c r="C2307" s="1" t="n">
        <v>45637</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50716-2023</t>
        </is>
      </c>
      <c r="B2308" s="1" t="n">
        <v>45210</v>
      </c>
      <c r="C2308" s="1" t="n">
        <v>45637</v>
      </c>
      <c r="D2308" t="inlineStr">
        <is>
          <t>VÄSTERNORRLANDS LÄN</t>
        </is>
      </c>
      <c r="E2308" t="inlineStr">
        <is>
          <t>SOLLEFTEÅ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50674-2023</t>
        </is>
      </c>
      <c r="B2309" s="1" t="n">
        <v>45210</v>
      </c>
      <c r="C2309" s="1" t="n">
        <v>45637</v>
      </c>
      <c r="D2309" t="inlineStr">
        <is>
          <t>VÄSTERNORRLANDS LÄN</t>
        </is>
      </c>
      <c r="E2309" t="inlineStr">
        <is>
          <t>SOLLEFTEÅ</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50688-2023</t>
        </is>
      </c>
      <c r="B2310" s="1" t="n">
        <v>45210</v>
      </c>
      <c r="C2310" s="1" t="n">
        <v>45637</v>
      </c>
      <c r="D2310" t="inlineStr">
        <is>
          <t>VÄSTERNORRLANDS LÄN</t>
        </is>
      </c>
      <c r="E2310" t="inlineStr">
        <is>
          <t>SOLLEFTEÅ</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50708-2023</t>
        </is>
      </c>
      <c r="B2311" s="1" t="n">
        <v>45210</v>
      </c>
      <c r="C2311" s="1" t="n">
        <v>45637</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49649-2023</t>
        </is>
      </c>
      <c r="B2312" s="1" t="n">
        <v>45212</v>
      </c>
      <c r="C2312" s="1" t="n">
        <v>45637</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49810-2023</t>
        </is>
      </c>
      <c r="B2313" s="1" t="n">
        <v>45212</v>
      </c>
      <c r="C2313" s="1" t="n">
        <v>45637</v>
      </c>
      <c r="D2313" t="inlineStr">
        <is>
          <t>VÄSTERNORRLANDS LÄN</t>
        </is>
      </c>
      <c r="E2313" t="inlineStr">
        <is>
          <t>SOLLEFTEÅ</t>
        </is>
      </c>
      <c r="F2313" t="inlineStr">
        <is>
          <t>Holmen skog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50226-2023</t>
        </is>
      </c>
      <c r="B2314" s="1" t="n">
        <v>45216</v>
      </c>
      <c r="C2314" s="1" t="n">
        <v>45637</v>
      </c>
      <c r="D2314" t="inlineStr">
        <is>
          <t>VÄSTERNORRLANDS LÄN</t>
        </is>
      </c>
      <c r="E2314" t="inlineStr">
        <is>
          <t>SOLLEFTEÅ</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51522-2023</t>
        </is>
      </c>
      <c r="B2315" s="1" t="n">
        <v>45215</v>
      </c>
      <c r="C2315" s="1" t="n">
        <v>45637</v>
      </c>
      <c r="D2315" t="inlineStr">
        <is>
          <t>VÄSTERNORRLANDS LÄN</t>
        </is>
      </c>
      <c r="E2315" t="inlineStr">
        <is>
          <t>SOLLEFTEÅ</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51515-2023</t>
        </is>
      </c>
      <c r="B2316" s="1" t="n">
        <v>45215</v>
      </c>
      <c r="C2316" s="1" t="n">
        <v>45637</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51681-2023</t>
        </is>
      </c>
      <c r="B2317" s="1" t="n">
        <v>45215</v>
      </c>
      <c r="C2317" s="1" t="n">
        <v>45637</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51677-2023</t>
        </is>
      </c>
      <c r="B2318" s="1" t="n">
        <v>45215</v>
      </c>
      <c r="C2318" s="1" t="n">
        <v>45637</v>
      </c>
      <c r="D2318" t="inlineStr">
        <is>
          <t>VÄSTERNORRLANDS LÄN</t>
        </is>
      </c>
      <c r="E2318" t="inlineStr">
        <is>
          <t>SOLLEFTEÅ</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51690-2023</t>
        </is>
      </c>
      <c r="B2319" s="1" t="n">
        <v>45215</v>
      </c>
      <c r="C2319" s="1" t="n">
        <v>45637</v>
      </c>
      <c r="D2319" t="inlineStr">
        <is>
          <t>VÄSTERNORRLANDS LÄN</t>
        </is>
      </c>
      <c r="E2319" t="inlineStr">
        <is>
          <t>SOLLEFTEÅ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50507-2023</t>
        </is>
      </c>
      <c r="B2320" s="1" t="n">
        <v>45217</v>
      </c>
      <c r="C2320" s="1" t="n">
        <v>45637</v>
      </c>
      <c r="D2320" t="inlineStr">
        <is>
          <t>VÄSTERNORRLANDS LÄN</t>
        </is>
      </c>
      <c r="E2320" t="inlineStr">
        <is>
          <t>SOLLEFTEÅ</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50767-2023</t>
        </is>
      </c>
      <c r="B2321" s="1" t="n">
        <v>45217</v>
      </c>
      <c r="C2321" s="1" t="n">
        <v>45637</v>
      </c>
      <c r="D2321" t="inlineStr">
        <is>
          <t>VÄSTERNORRLANDS LÄN</t>
        </is>
      </c>
      <c r="E2321" t="inlineStr">
        <is>
          <t>SOLLEFTEÅ</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50841-2023</t>
        </is>
      </c>
      <c r="B2322" s="1" t="n">
        <v>45217</v>
      </c>
      <c r="C2322" s="1" t="n">
        <v>45637</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50615-2023</t>
        </is>
      </c>
      <c r="B2323" s="1" t="n">
        <v>45217</v>
      </c>
      <c r="C2323" s="1" t="n">
        <v>45637</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50757-2023</t>
        </is>
      </c>
      <c r="B2324" s="1" t="n">
        <v>45217</v>
      </c>
      <c r="C2324" s="1" t="n">
        <v>45637</v>
      </c>
      <c r="D2324" t="inlineStr">
        <is>
          <t>VÄSTERNORRLANDS LÄN</t>
        </is>
      </c>
      <c r="E2324" t="inlineStr">
        <is>
          <t>SOLLEFTEÅ</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50844-2023</t>
        </is>
      </c>
      <c r="B2325" s="1" t="n">
        <v>45217</v>
      </c>
      <c r="C2325" s="1" t="n">
        <v>45637</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52266-2023</t>
        </is>
      </c>
      <c r="B2326" s="1" t="n">
        <v>45217</v>
      </c>
      <c r="C2326" s="1" t="n">
        <v>45637</v>
      </c>
      <c r="D2326" t="inlineStr">
        <is>
          <t>VÄSTERNORRLANDS LÄN</t>
        </is>
      </c>
      <c r="E2326" t="inlineStr">
        <is>
          <t>SOLLEFTEÅ</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52267-2023</t>
        </is>
      </c>
      <c r="B2327" s="1" t="n">
        <v>45217</v>
      </c>
      <c r="C2327" s="1" t="n">
        <v>45637</v>
      </c>
      <c r="D2327" t="inlineStr">
        <is>
          <t>VÄSTERNORRLANDS LÄN</t>
        </is>
      </c>
      <c r="E2327" t="inlineStr">
        <is>
          <t>SOLLEFTEÅ</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51107-2023</t>
        </is>
      </c>
      <c r="B2328" s="1" t="n">
        <v>45219</v>
      </c>
      <c r="C2328" s="1" t="n">
        <v>45637</v>
      </c>
      <c r="D2328" t="inlineStr">
        <is>
          <t>VÄSTERNORRLANDS LÄN</t>
        </is>
      </c>
      <c r="E2328" t="inlineStr">
        <is>
          <t>SOLLEFTEÅ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51106-2023</t>
        </is>
      </c>
      <c r="B2329" s="1" t="n">
        <v>45219</v>
      </c>
      <c r="C2329" s="1" t="n">
        <v>45637</v>
      </c>
      <c r="D2329" t="inlineStr">
        <is>
          <t>VÄSTERNORRLANDS LÄN</t>
        </is>
      </c>
      <c r="E2329" t="inlineStr">
        <is>
          <t>SOLLEFTEÅ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51800-2023</t>
        </is>
      </c>
      <c r="B2330" s="1" t="n">
        <v>45222</v>
      </c>
      <c r="C2330" s="1" t="n">
        <v>45637</v>
      </c>
      <c r="D2330" t="inlineStr">
        <is>
          <t>VÄSTERNORRLANDS LÄN</t>
        </is>
      </c>
      <c r="E2330" t="inlineStr">
        <is>
          <t>SOLLEFTEÅ</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51801-2023</t>
        </is>
      </c>
      <c r="B2331" s="1" t="n">
        <v>45222</v>
      </c>
      <c r="C2331" s="1" t="n">
        <v>45637</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53375-2023</t>
        </is>
      </c>
      <c r="B2332" s="1" t="n">
        <v>45222</v>
      </c>
      <c r="C2332" s="1" t="n">
        <v>45637</v>
      </c>
      <c r="D2332" t="inlineStr">
        <is>
          <t>VÄSTERNORRLANDS LÄN</t>
        </is>
      </c>
      <c r="E2332" t="inlineStr">
        <is>
          <t>SOLLEFTEÅ</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53224-2023</t>
        </is>
      </c>
      <c r="B2333" s="1" t="n">
        <v>45222</v>
      </c>
      <c r="C2333" s="1" t="n">
        <v>45637</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53231-2023</t>
        </is>
      </c>
      <c r="B2334" s="1" t="n">
        <v>45222</v>
      </c>
      <c r="C2334" s="1" t="n">
        <v>45637</v>
      </c>
      <c r="D2334" t="inlineStr">
        <is>
          <t>VÄSTERNORRLANDS LÄN</t>
        </is>
      </c>
      <c r="E2334" t="inlineStr">
        <is>
          <t>SOLLEFTEÅ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53379-2023</t>
        </is>
      </c>
      <c r="B2335" s="1" t="n">
        <v>45222</v>
      </c>
      <c r="C2335" s="1" t="n">
        <v>45637</v>
      </c>
      <c r="D2335" t="inlineStr">
        <is>
          <t>VÄSTERNORRLANDS LÄN</t>
        </is>
      </c>
      <c r="E2335" t="inlineStr">
        <is>
          <t>SOLLEFTEÅ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51802-2023</t>
        </is>
      </c>
      <c r="B2336" s="1" t="n">
        <v>45223</v>
      </c>
      <c r="C2336" s="1" t="n">
        <v>45637</v>
      </c>
      <c r="D2336" t="inlineStr">
        <is>
          <t>VÄSTERNORRLANDS LÄN</t>
        </is>
      </c>
      <c r="E2336" t="inlineStr">
        <is>
          <t>SOLLEFTEÅ</t>
        </is>
      </c>
      <c r="F2336" t="inlineStr">
        <is>
          <t>SCA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53394-2023</t>
        </is>
      </c>
      <c r="B2337" s="1" t="n">
        <v>45222</v>
      </c>
      <c r="C2337" s="1" t="n">
        <v>45637</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52136-2023</t>
        </is>
      </c>
      <c r="B2338" s="1" t="n">
        <v>45224</v>
      </c>
      <c r="C2338" s="1" t="n">
        <v>45637</v>
      </c>
      <c r="D2338" t="inlineStr">
        <is>
          <t>VÄSTERNORRLANDS LÄN</t>
        </is>
      </c>
      <c r="E2338" t="inlineStr">
        <is>
          <t>SOLLEFTEÅ</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52087-2023</t>
        </is>
      </c>
      <c r="B2339" s="1" t="n">
        <v>45223</v>
      </c>
      <c r="C2339" s="1" t="n">
        <v>45637</v>
      </c>
      <c r="D2339" t="inlineStr">
        <is>
          <t>VÄSTERNORRLANDS LÄN</t>
        </is>
      </c>
      <c r="E2339" t="inlineStr">
        <is>
          <t>SOLLEFTEÅ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53550-2023</t>
        </is>
      </c>
      <c r="B2340" s="1" t="n">
        <v>45223</v>
      </c>
      <c r="C2340" s="1" t="n">
        <v>45637</v>
      </c>
      <c r="D2340" t="inlineStr">
        <is>
          <t>VÄSTERNORRLANDS LÄN</t>
        </is>
      </c>
      <c r="E2340" t="inlineStr">
        <is>
          <t>SOLLEFTEÅ</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53855-2023</t>
        </is>
      </c>
      <c r="B2341" s="1" t="n">
        <v>45224</v>
      </c>
      <c r="C2341" s="1" t="n">
        <v>45637</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53850-2023</t>
        </is>
      </c>
      <c r="B2342" s="1" t="n">
        <v>45224</v>
      </c>
      <c r="C2342" s="1" t="n">
        <v>45637</v>
      </c>
      <c r="D2342" t="inlineStr">
        <is>
          <t>VÄSTERNORRLANDS LÄN</t>
        </is>
      </c>
      <c r="E2342" t="inlineStr">
        <is>
          <t>SOLLEFTEÅ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53939-2023</t>
        </is>
      </c>
      <c r="B2343" s="1" t="n">
        <v>45224</v>
      </c>
      <c r="C2343" s="1" t="n">
        <v>45637</v>
      </c>
      <c r="D2343" t="inlineStr">
        <is>
          <t>VÄSTERNORRLANDS LÄN</t>
        </is>
      </c>
      <c r="E2343" t="inlineStr">
        <is>
          <t>SOLLEFTEÅ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52445-2023</t>
        </is>
      </c>
      <c r="B2344" s="1" t="n">
        <v>45225</v>
      </c>
      <c r="C2344" s="1" t="n">
        <v>45637</v>
      </c>
      <c r="D2344" t="inlineStr">
        <is>
          <t>VÄSTERNORRLANDS LÄN</t>
        </is>
      </c>
      <c r="E2344" t="inlineStr">
        <is>
          <t>SOLLEFTEÅ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54307-2023</t>
        </is>
      </c>
      <c r="B2345" s="1" t="n">
        <v>45225</v>
      </c>
      <c r="C2345" s="1" t="n">
        <v>45637</v>
      </c>
      <c r="D2345" t="inlineStr">
        <is>
          <t>VÄSTERNORRLANDS LÄN</t>
        </is>
      </c>
      <c r="E2345" t="inlineStr">
        <is>
          <t>SOLLEFTEÅ</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53040-2023</t>
        </is>
      </c>
      <c r="B2346" s="1" t="n">
        <v>45226</v>
      </c>
      <c r="C2346" s="1" t="n">
        <v>45637</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54526-2023</t>
        </is>
      </c>
      <c r="B2347" s="1" t="n">
        <v>45226</v>
      </c>
      <c r="C2347" s="1" t="n">
        <v>45637</v>
      </c>
      <c r="D2347" t="inlineStr">
        <is>
          <t>VÄSTERNORRLANDS LÄN</t>
        </is>
      </c>
      <c r="E2347" t="inlineStr">
        <is>
          <t>SOLLEFTEÅ</t>
        </is>
      </c>
      <c r="G2347" t="n">
        <v>23.8</v>
      </c>
      <c r="H2347" t="n">
        <v>0</v>
      </c>
      <c r="I2347" t="n">
        <v>0</v>
      </c>
      <c r="J2347" t="n">
        <v>0</v>
      </c>
      <c r="K2347" t="n">
        <v>0</v>
      </c>
      <c r="L2347" t="n">
        <v>0</v>
      </c>
      <c r="M2347" t="n">
        <v>0</v>
      </c>
      <c r="N2347" t="n">
        <v>0</v>
      </c>
      <c r="O2347" t="n">
        <v>0</v>
      </c>
      <c r="P2347" t="n">
        <v>0</v>
      </c>
      <c r="Q2347" t="n">
        <v>0</v>
      </c>
      <c r="R2347" s="2" t="inlineStr"/>
    </row>
    <row r="2348" ht="15" customHeight="1">
      <c r="A2348" t="inlineStr">
        <is>
          <t>A 53057-2023</t>
        </is>
      </c>
      <c r="B2348" s="1" t="n">
        <v>45226</v>
      </c>
      <c r="C2348" s="1" t="n">
        <v>45637</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53041-2023</t>
        </is>
      </c>
      <c r="B2349" s="1" t="n">
        <v>45226</v>
      </c>
      <c r="C2349" s="1" t="n">
        <v>45637</v>
      </c>
      <c r="D2349" t="inlineStr">
        <is>
          <t>VÄSTERNORRLANDS LÄN</t>
        </is>
      </c>
      <c r="E2349" t="inlineStr">
        <is>
          <t>SOLLEFTEÅ</t>
        </is>
      </c>
      <c r="F2349" t="inlineStr">
        <is>
          <t>SCA</t>
        </is>
      </c>
      <c r="G2349" t="n">
        <v>50.2</v>
      </c>
      <c r="H2349" t="n">
        <v>0</v>
      </c>
      <c r="I2349" t="n">
        <v>0</v>
      </c>
      <c r="J2349" t="n">
        <v>0</v>
      </c>
      <c r="K2349" t="n">
        <v>0</v>
      </c>
      <c r="L2349" t="n">
        <v>0</v>
      </c>
      <c r="M2349" t="n">
        <v>0</v>
      </c>
      <c r="N2349" t="n">
        <v>0</v>
      </c>
      <c r="O2349" t="n">
        <v>0</v>
      </c>
      <c r="P2349" t="n">
        <v>0</v>
      </c>
      <c r="Q2349" t="n">
        <v>0</v>
      </c>
      <c r="R2349" s="2" t="inlineStr"/>
    </row>
    <row r="2350" ht="15" customHeight="1">
      <c r="A2350" t="inlineStr">
        <is>
          <t>A 53048-2023</t>
        </is>
      </c>
      <c r="B2350" s="1" t="n">
        <v>45226</v>
      </c>
      <c r="C2350" s="1" t="n">
        <v>45637</v>
      </c>
      <c r="D2350" t="inlineStr">
        <is>
          <t>VÄSTERNORRLANDS LÄN</t>
        </is>
      </c>
      <c r="E2350" t="inlineStr">
        <is>
          <t>SOLLEFTEÅ</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53452-2023</t>
        </is>
      </c>
      <c r="B2351" s="1" t="n">
        <v>45229</v>
      </c>
      <c r="C2351" s="1" t="n">
        <v>45637</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53453-2023</t>
        </is>
      </c>
      <c r="B2352" s="1" t="n">
        <v>45230</v>
      </c>
      <c r="C2352" s="1" t="n">
        <v>45637</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53669-2023</t>
        </is>
      </c>
      <c r="B2353" s="1" t="n">
        <v>45230</v>
      </c>
      <c r="C2353" s="1" t="n">
        <v>45637</v>
      </c>
      <c r="D2353" t="inlineStr">
        <is>
          <t>VÄSTERNORRLANDS LÄN</t>
        </is>
      </c>
      <c r="E2353" t="inlineStr">
        <is>
          <t>SOLLEFTEÅ</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54016-2023</t>
        </is>
      </c>
      <c r="B2354" s="1" t="n">
        <v>45231</v>
      </c>
      <c r="C2354" s="1" t="n">
        <v>45637</v>
      </c>
      <c r="D2354" t="inlineStr">
        <is>
          <t>VÄSTERNORRLANDS LÄN</t>
        </is>
      </c>
      <c r="E2354" t="inlineStr">
        <is>
          <t>SOLLEFTEÅ</t>
        </is>
      </c>
      <c r="F2354" t="inlineStr">
        <is>
          <t>Holmen skog AB</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54020-2023</t>
        </is>
      </c>
      <c r="B2355" s="1" t="n">
        <v>45231</v>
      </c>
      <c r="C2355" s="1" t="n">
        <v>45637</v>
      </c>
      <c r="D2355" t="inlineStr">
        <is>
          <t>VÄSTERNORRLANDS LÄN</t>
        </is>
      </c>
      <c r="E2355" t="inlineStr">
        <is>
          <t>SOLLEFTEÅ</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54034-2023</t>
        </is>
      </c>
      <c r="B2356" s="1" t="n">
        <v>45231</v>
      </c>
      <c r="C2356" s="1" t="n">
        <v>45637</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54033-2023</t>
        </is>
      </c>
      <c r="B2357" s="1" t="n">
        <v>45231</v>
      </c>
      <c r="C2357" s="1" t="n">
        <v>45637</v>
      </c>
      <c r="D2357" t="inlineStr">
        <is>
          <t>VÄSTERNORRLANDS LÄN</t>
        </is>
      </c>
      <c r="E2357" t="inlineStr">
        <is>
          <t>SOLLEFTEÅ</t>
        </is>
      </c>
      <c r="G2357" t="n">
        <v>13.2</v>
      </c>
      <c r="H2357" t="n">
        <v>0</v>
      </c>
      <c r="I2357" t="n">
        <v>0</v>
      </c>
      <c r="J2357" t="n">
        <v>0</v>
      </c>
      <c r="K2357" t="n">
        <v>0</v>
      </c>
      <c r="L2357" t="n">
        <v>0</v>
      </c>
      <c r="M2357" t="n">
        <v>0</v>
      </c>
      <c r="N2357" t="n">
        <v>0</v>
      </c>
      <c r="O2357" t="n">
        <v>0</v>
      </c>
      <c r="P2357" t="n">
        <v>0</v>
      </c>
      <c r="Q2357" t="n">
        <v>0</v>
      </c>
      <c r="R2357" s="2" t="inlineStr"/>
    </row>
    <row r="2358" ht="15" customHeight="1">
      <c r="A2358" t="inlineStr">
        <is>
          <t>A 54035-2023</t>
        </is>
      </c>
      <c r="B2358" s="1" t="n">
        <v>45231</v>
      </c>
      <c r="C2358" s="1" t="n">
        <v>45637</v>
      </c>
      <c r="D2358" t="inlineStr">
        <is>
          <t>VÄSTERNORRLANDS LÄN</t>
        </is>
      </c>
      <c r="E2358" t="inlineStr">
        <is>
          <t>SOLLEFTEÅ</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54048-2023</t>
        </is>
      </c>
      <c r="B2359" s="1" t="n">
        <v>45232</v>
      </c>
      <c r="C2359" s="1" t="n">
        <v>45637</v>
      </c>
      <c r="D2359" t="inlineStr">
        <is>
          <t>VÄSTERNORRLANDS LÄN</t>
        </is>
      </c>
      <c r="E2359" t="inlineStr">
        <is>
          <t>SOLLEFTEÅ</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54036-2023</t>
        </is>
      </c>
      <c r="B2360" s="1" t="n">
        <v>45231</v>
      </c>
      <c r="C2360" s="1" t="n">
        <v>45637</v>
      </c>
      <c r="D2360" t="inlineStr">
        <is>
          <t>VÄSTERNORRLANDS LÄN</t>
        </is>
      </c>
      <c r="E2360" t="inlineStr">
        <is>
          <t>SOLLEFTEÅ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54045-2023</t>
        </is>
      </c>
      <c r="B2361" s="1" t="n">
        <v>45232</v>
      </c>
      <c r="C2361" s="1" t="n">
        <v>45637</v>
      </c>
      <c r="D2361" t="inlineStr">
        <is>
          <t>VÄSTERNORRLANDS LÄN</t>
        </is>
      </c>
      <c r="E2361" t="inlineStr">
        <is>
          <t>SOLLEFTEÅ</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54092-2023</t>
        </is>
      </c>
      <c r="B2362" s="1" t="n">
        <v>45232</v>
      </c>
      <c r="C2362" s="1" t="n">
        <v>45637</v>
      </c>
      <c r="D2362" t="inlineStr">
        <is>
          <t>VÄSTERNORRLANDS LÄN</t>
        </is>
      </c>
      <c r="E2362" t="inlineStr">
        <is>
          <t>SOLLEFTEÅ</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54088-2023</t>
        </is>
      </c>
      <c r="B2363" s="1" t="n">
        <v>45232</v>
      </c>
      <c r="C2363" s="1" t="n">
        <v>45637</v>
      </c>
      <c r="D2363" t="inlineStr">
        <is>
          <t>VÄSTERNORRLANDS LÄN</t>
        </is>
      </c>
      <c r="E2363" t="inlineStr">
        <is>
          <t>SOLLEFTEÅ</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54198-2023</t>
        </is>
      </c>
      <c r="B2364" s="1" t="n">
        <v>45232</v>
      </c>
      <c r="C2364" s="1" t="n">
        <v>45637</v>
      </c>
      <c r="D2364" t="inlineStr">
        <is>
          <t>VÄSTERNORRLANDS LÄN</t>
        </is>
      </c>
      <c r="E2364" t="inlineStr">
        <is>
          <t>SOLLEFTEÅ</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54330-2023</t>
        </is>
      </c>
      <c r="B2365" s="1" t="n">
        <v>45232</v>
      </c>
      <c r="C2365" s="1" t="n">
        <v>45637</v>
      </c>
      <c r="D2365" t="inlineStr">
        <is>
          <t>VÄSTERNORRLANDS LÄN</t>
        </is>
      </c>
      <c r="E2365" t="inlineStr">
        <is>
          <t>SOLLEFTEÅ</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54351-2023</t>
        </is>
      </c>
      <c r="B2366" s="1" t="n">
        <v>45232</v>
      </c>
      <c r="C2366" s="1" t="n">
        <v>45637</v>
      </c>
      <c r="D2366" t="inlineStr">
        <is>
          <t>VÄSTERNORRLANDS LÄN</t>
        </is>
      </c>
      <c r="E2366" t="inlineStr">
        <is>
          <t>SOLLEFTEÅ</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54195-2023</t>
        </is>
      </c>
      <c r="B2367" s="1" t="n">
        <v>45232</v>
      </c>
      <c r="C2367" s="1" t="n">
        <v>45637</v>
      </c>
      <c r="D2367" t="inlineStr">
        <is>
          <t>VÄSTERNORRLANDS LÄN</t>
        </is>
      </c>
      <c r="E2367" t="inlineStr">
        <is>
          <t>SOLLEFTEÅ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54620-2023</t>
        </is>
      </c>
      <c r="B2368" s="1" t="n">
        <v>45233</v>
      </c>
      <c r="C2368" s="1" t="n">
        <v>45637</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54617-2023</t>
        </is>
      </c>
      <c r="B2369" s="1" t="n">
        <v>45234</v>
      </c>
      <c r="C2369" s="1" t="n">
        <v>45637</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54607-2023</t>
        </is>
      </c>
      <c r="B2370" s="1" t="n">
        <v>45233</v>
      </c>
      <c r="C2370" s="1" t="n">
        <v>45637</v>
      </c>
      <c r="D2370" t="inlineStr">
        <is>
          <t>VÄSTERNORRLANDS LÄN</t>
        </is>
      </c>
      <c r="E2370" t="inlineStr">
        <is>
          <t>SOLLEFTEÅ</t>
        </is>
      </c>
      <c r="F2370" t="inlineStr">
        <is>
          <t>SCA</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54622-2023</t>
        </is>
      </c>
      <c r="B2371" s="1" t="n">
        <v>45233</v>
      </c>
      <c r="C2371" s="1" t="n">
        <v>45637</v>
      </c>
      <c r="D2371" t="inlineStr">
        <is>
          <t>VÄSTERNORRLANDS LÄN</t>
        </is>
      </c>
      <c r="E2371" t="inlineStr">
        <is>
          <t>SOLLEFTEÅ</t>
        </is>
      </c>
      <c r="F2371" t="inlineStr">
        <is>
          <t>SCA</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54618-2023</t>
        </is>
      </c>
      <c r="B2372" s="1" t="n">
        <v>45233</v>
      </c>
      <c r="C2372" s="1" t="n">
        <v>45637</v>
      </c>
      <c r="D2372" t="inlineStr">
        <is>
          <t>VÄSTERNORRLANDS LÄN</t>
        </is>
      </c>
      <c r="E2372" t="inlineStr">
        <is>
          <t>SOLLEFTEÅ</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54642-2023</t>
        </is>
      </c>
      <c r="B2373" s="1" t="n">
        <v>45234</v>
      </c>
      <c r="C2373" s="1" t="n">
        <v>45637</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54641-2023</t>
        </is>
      </c>
      <c r="B2374" s="1" t="n">
        <v>45234</v>
      </c>
      <c r="C2374" s="1" t="n">
        <v>45637</v>
      </c>
      <c r="D2374" t="inlineStr">
        <is>
          <t>VÄSTERNORRLANDS LÄN</t>
        </is>
      </c>
      <c r="E2374" t="inlineStr">
        <is>
          <t>SOLLEFTEÅ</t>
        </is>
      </c>
      <c r="F2374" t="inlineStr">
        <is>
          <t>SCA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54979-2023</t>
        </is>
      </c>
      <c r="B2375" s="1" t="n">
        <v>45236</v>
      </c>
      <c r="C2375" s="1" t="n">
        <v>45637</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56148-2023</t>
        </is>
      </c>
      <c r="B2376" s="1" t="n">
        <v>45236</v>
      </c>
      <c r="C2376" s="1" t="n">
        <v>45637</v>
      </c>
      <c r="D2376" t="inlineStr">
        <is>
          <t>VÄSTERNORRLANDS LÄN</t>
        </is>
      </c>
      <c r="E2376" t="inlineStr">
        <is>
          <t>SOLLEFTEÅ</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54978-2023</t>
        </is>
      </c>
      <c r="B2377" s="1" t="n">
        <v>45237</v>
      </c>
      <c r="C2377" s="1" t="n">
        <v>45637</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55005-2023</t>
        </is>
      </c>
      <c r="B2378" s="1" t="n">
        <v>45236</v>
      </c>
      <c r="C2378" s="1" t="n">
        <v>45637</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56356-2023</t>
        </is>
      </c>
      <c r="B2379" s="1" t="n">
        <v>45236</v>
      </c>
      <c r="C2379" s="1" t="n">
        <v>45637</v>
      </c>
      <c r="D2379" t="inlineStr">
        <is>
          <t>VÄSTERNORRLANDS LÄN</t>
        </is>
      </c>
      <c r="E2379" t="inlineStr">
        <is>
          <t>SOLLEFTEÅ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56416-2023</t>
        </is>
      </c>
      <c r="B2380" s="1" t="n">
        <v>45237</v>
      </c>
      <c r="C2380" s="1" t="n">
        <v>45637</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56431-2023</t>
        </is>
      </c>
      <c r="B2381" s="1" t="n">
        <v>45237</v>
      </c>
      <c r="C2381" s="1" t="n">
        <v>45637</v>
      </c>
      <c r="D2381" t="inlineStr">
        <is>
          <t>VÄSTERNORRLANDS LÄN</t>
        </is>
      </c>
      <c r="E2381" t="inlineStr">
        <is>
          <t>SOLLEFTEÅ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55338-2023</t>
        </is>
      </c>
      <c r="B2382" s="1" t="n">
        <v>45238</v>
      </c>
      <c r="C2382" s="1" t="n">
        <v>45637</v>
      </c>
      <c r="D2382" t="inlineStr">
        <is>
          <t>VÄSTERNORRLANDS LÄN</t>
        </is>
      </c>
      <c r="E2382" t="inlineStr">
        <is>
          <t>SOLLEFTEÅ</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56424-2023</t>
        </is>
      </c>
      <c r="B2383" s="1" t="n">
        <v>45237</v>
      </c>
      <c r="C2383" s="1" t="n">
        <v>45637</v>
      </c>
      <c r="D2383" t="inlineStr">
        <is>
          <t>VÄSTERNORRLANDS LÄN</t>
        </is>
      </c>
      <c r="E2383" t="inlineStr">
        <is>
          <t>SOLLEFTEÅ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55637-2023</t>
        </is>
      </c>
      <c r="B2384" s="1" t="n">
        <v>45238</v>
      </c>
      <c r="C2384" s="1" t="n">
        <v>45637</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55653-2023</t>
        </is>
      </c>
      <c r="B2385" s="1" t="n">
        <v>45239</v>
      </c>
      <c r="C2385" s="1" t="n">
        <v>45637</v>
      </c>
      <c r="D2385" t="inlineStr">
        <is>
          <t>VÄSTERNORRLANDS LÄN</t>
        </is>
      </c>
      <c r="E2385" t="inlineStr">
        <is>
          <t>SOLLEFTEÅ</t>
        </is>
      </c>
      <c r="F2385" t="inlineStr">
        <is>
          <t>SCA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55622-2023</t>
        </is>
      </c>
      <c r="B2386" s="1" t="n">
        <v>45238</v>
      </c>
      <c r="C2386" s="1" t="n">
        <v>45637</v>
      </c>
      <c r="D2386" t="inlineStr">
        <is>
          <t>VÄSTERNORRLANDS LÄN</t>
        </is>
      </c>
      <c r="E2386" t="inlineStr">
        <is>
          <t>SOLLEFTEÅ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55638-2023</t>
        </is>
      </c>
      <c r="B2387" s="1" t="n">
        <v>45238</v>
      </c>
      <c r="C2387" s="1" t="n">
        <v>45637</v>
      </c>
      <c r="D2387" t="inlineStr">
        <is>
          <t>VÄSTERNORRLANDS LÄN</t>
        </is>
      </c>
      <c r="E2387" t="inlineStr">
        <is>
          <t>SOLLEFTEÅ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55650-2023</t>
        </is>
      </c>
      <c r="B2388" s="1" t="n">
        <v>45239</v>
      </c>
      <c r="C2388" s="1" t="n">
        <v>45637</v>
      </c>
      <c r="D2388" t="inlineStr">
        <is>
          <t>VÄSTERNORRLANDS LÄN</t>
        </is>
      </c>
      <c r="E2388" t="inlineStr">
        <is>
          <t>SOLLEFTEÅ</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55654-2023</t>
        </is>
      </c>
      <c r="B2389" s="1" t="n">
        <v>45239</v>
      </c>
      <c r="C2389" s="1" t="n">
        <v>45637</v>
      </c>
      <c r="D2389" t="inlineStr">
        <is>
          <t>VÄSTERNORRLANDS LÄN</t>
        </is>
      </c>
      <c r="E2389" t="inlineStr">
        <is>
          <t>SOLLEFTEÅ</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55652-2023</t>
        </is>
      </c>
      <c r="B2390" s="1" t="n">
        <v>45238</v>
      </c>
      <c r="C2390" s="1" t="n">
        <v>45637</v>
      </c>
      <c r="D2390" t="inlineStr">
        <is>
          <t>VÄSTERNORRLANDS LÄN</t>
        </is>
      </c>
      <c r="E2390" t="inlineStr">
        <is>
          <t>SOLLEFTEÅ</t>
        </is>
      </c>
      <c r="F2390" t="inlineStr">
        <is>
          <t>SCA</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55651-2023</t>
        </is>
      </c>
      <c r="B2391" s="1" t="n">
        <v>45238</v>
      </c>
      <c r="C2391" s="1" t="n">
        <v>45637</v>
      </c>
      <c r="D2391" t="inlineStr">
        <is>
          <t>VÄSTERNORRLANDS LÄN</t>
        </is>
      </c>
      <c r="E2391" t="inlineStr">
        <is>
          <t>SOLLEFTEÅ</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55687-2023</t>
        </is>
      </c>
      <c r="B2392" s="1" t="n">
        <v>45239</v>
      </c>
      <c r="C2392" s="1" t="n">
        <v>45637</v>
      </c>
      <c r="D2392" t="inlineStr">
        <is>
          <t>VÄSTERNORRLANDS LÄN</t>
        </is>
      </c>
      <c r="E2392" t="inlineStr">
        <is>
          <t>SOLLEFTEÅ</t>
        </is>
      </c>
      <c r="F2392" t="inlineStr">
        <is>
          <t>Holmen skog AB</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55859-2023</t>
        </is>
      </c>
      <c r="B2393" s="1" t="n">
        <v>45239</v>
      </c>
      <c r="C2393" s="1" t="n">
        <v>45637</v>
      </c>
      <c r="D2393" t="inlineStr">
        <is>
          <t>VÄSTERNORRLANDS LÄN</t>
        </is>
      </c>
      <c r="E2393" t="inlineStr">
        <is>
          <t>SOLLEFTEÅ</t>
        </is>
      </c>
      <c r="F2393" t="inlineStr">
        <is>
          <t>Kommuner</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55910-2023</t>
        </is>
      </c>
      <c r="B2394" s="1" t="n">
        <v>45239</v>
      </c>
      <c r="C2394" s="1" t="n">
        <v>45637</v>
      </c>
      <c r="D2394" t="inlineStr">
        <is>
          <t>VÄSTERNORRLANDS LÄN</t>
        </is>
      </c>
      <c r="E2394" t="inlineStr">
        <is>
          <t>SOLLEFTEÅ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55912-2023</t>
        </is>
      </c>
      <c r="B2395" s="1" t="n">
        <v>45239</v>
      </c>
      <c r="C2395" s="1" t="n">
        <v>45637</v>
      </c>
      <c r="D2395" t="inlineStr">
        <is>
          <t>VÄSTERNORRLANDS LÄN</t>
        </is>
      </c>
      <c r="E2395" t="inlineStr">
        <is>
          <t>SOLLEFTEÅ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55929-2023</t>
        </is>
      </c>
      <c r="B2396" s="1" t="n">
        <v>45239</v>
      </c>
      <c r="C2396" s="1" t="n">
        <v>45637</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57010-2023</t>
        </is>
      </c>
      <c r="B2397" s="1" t="n">
        <v>45239</v>
      </c>
      <c r="C2397" s="1" t="n">
        <v>45637</v>
      </c>
      <c r="D2397" t="inlineStr">
        <is>
          <t>VÄSTERNORRLANDS LÄN</t>
        </is>
      </c>
      <c r="E2397" t="inlineStr">
        <is>
          <t>SOLLEFTEÅ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56261-2023</t>
        </is>
      </c>
      <c r="B2398" s="1" t="n">
        <v>45240</v>
      </c>
      <c r="C2398" s="1" t="n">
        <v>45637</v>
      </c>
      <c r="D2398" t="inlineStr">
        <is>
          <t>VÄSTERNORRLANDS LÄN</t>
        </is>
      </c>
      <c r="E2398" t="inlineStr">
        <is>
          <t>SOLLEFTEÅ</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56249-2023</t>
        </is>
      </c>
      <c r="B2399" s="1" t="n">
        <v>45240</v>
      </c>
      <c r="C2399" s="1" t="n">
        <v>45637</v>
      </c>
      <c r="D2399" t="inlineStr">
        <is>
          <t>VÄSTERNORRLANDS LÄN</t>
        </is>
      </c>
      <c r="E2399" t="inlineStr">
        <is>
          <t>SOLLEFTEÅ</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56201-2023</t>
        </is>
      </c>
      <c r="B2400" s="1" t="n">
        <v>45240</v>
      </c>
      <c r="C2400" s="1" t="n">
        <v>45637</v>
      </c>
      <c r="D2400" t="inlineStr">
        <is>
          <t>VÄSTERNORRLANDS LÄN</t>
        </is>
      </c>
      <c r="E2400" t="inlineStr">
        <is>
          <t>SOLLEFTEÅ</t>
        </is>
      </c>
      <c r="G2400" t="n">
        <v>43.3</v>
      </c>
      <c r="H2400" t="n">
        <v>0</v>
      </c>
      <c r="I2400" t="n">
        <v>0</v>
      </c>
      <c r="J2400" t="n">
        <v>0</v>
      </c>
      <c r="K2400" t="n">
        <v>0</v>
      </c>
      <c r="L2400" t="n">
        <v>0</v>
      </c>
      <c r="M2400" t="n">
        <v>0</v>
      </c>
      <c r="N2400" t="n">
        <v>0</v>
      </c>
      <c r="O2400" t="n">
        <v>0</v>
      </c>
      <c r="P2400" t="n">
        <v>0</v>
      </c>
      <c r="Q2400" t="n">
        <v>0</v>
      </c>
      <c r="R2400" s="2" t="inlineStr"/>
    </row>
    <row r="2401" ht="15" customHeight="1">
      <c r="A2401" t="inlineStr">
        <is>
          <t>A 56262-2023</t>
        </is>
      </c>
      <c r="B2401" s="1" t="n">
        <v>45240</v>
      </c>
      <c r="C2401" s="1" t="n">
        <v>45637</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56234-2023</t>
        </is>
      </c>
      <c r="B2402" s="1" t="n">
        <v>45240</v>
      </c>
      <c r="C2402" s="1" t="n">
        <v>45637</v>
      </c>
      <c r="D2402" t="inlineStr">
        <is>
          <t>VÄSTERNORRLANDS LÄN</t>
        </is>
      </c>
      <c r="E2402" t="inlineStr">
        <is>
          <t>SOLLEFTEÅ</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56260-2023</t>
        </is>
      </c>
      <c r="B2403" s="1" t="n">
        <v>45240</v>
      </c>
      <c r="C2403" s="1" t="n">
        <v>45637</v>
      </c>
      <c r="D2403" t="inlineStr">
        <is>
          <t>VÄSTERNORRLANDS LÄN</t>
        </is>
      </c>
      <c r="E2403" t="inlineStr">
        <is>
          <t>SOLLEFTEÅ</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56256-2023</t>
        </is>
      </c>
      <c r="B2404" s="1" t="n">
        <v>45240</v>
      </c>
      <c r="C2404" s="1" t="n">
        <v>45637</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56244-2023</t>
        </is>
      </c>
      <c r="B2405" s="1" t="n">
        <v>45240</v>
      </c>
      <c r="C2405" s="1" t="n">
        <v>45637</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56134-2023</t>
        </is>
      </c>
      <c r="B2406" s="1" t="n">
        <v>45240</v>
      </c>
      <c r="C2406" s="1" t="n">
        <v>45637</v>
      </c>
      <c r="D2406" t="inlineStr">
        <is>
          <t>VÄSTERNORRLANDS LÄN</t>
        </is>
      </c>
      <c r="E2406" t="inlineStr">
        <is>
          <t>SOLLEFTEÅ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56137-2023</t>
        </is>
      </c>
      <c r="B2407" s="1" t="n">
        <v>45240</v>
      </c>
      <c r="C2407" s="1" t="n">
        <v>45637</v>
      </c>
      <c r="D2407" t="inlineStr">
        <is>
          <t>VÄSTERNORRLANDS LÄN</t>
        </is>
      </c>
      <c r="E2407" t="inlineStr">
        <is>
          <t>SOLLEFTEÅ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56139-2023</t>
        </is>
      </c>
      <c r="B2408" s="1" t="n">
        <v>45240</v>
      </c>
      <c r="C2408" s="1" t="n">
        <v>45637</v>
      </c>
      <c r="D2408" t="inlineStr">
        <is>
          <t>VÄSTERNORRLANDS LÄN</t>
        </is>
      </c>
      <c r="E2408" t="inlineStr">
        <is>
          <t>SOLLEFTEÅ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56310-2023</t>
        </is>
      </c>
      <c r="B2409" s="1" t="n">
        <v>45242</v>
      </c>
      <c r="C2409" s="1" t="n">
        <v>45637</v>
      </c>
      <c r="D2409" t="inlineStr">
        <is>
          <t>VÄSTERNORRLANDS LÄN</t>
        </is>
      </c>
      <c r="E2409" t="inlineStr">
        <is>
          <t>SOLLEFTEÅ</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57518-2023</t>
        </is>
      </c>
      <c r="B2410" s="1" t="n">
        <v>45242</v>
      </c>
      <c r="C2410" s="1" t="n">
        <v>45637</v>
      </c>
      <c r="D2410" t="inlineStr">
        <is>
          <t>VÄSTERNORRLANDS LÄN</t>
        </is>
      </c>
      <c r="E2410" t="inlineStr">
        <is>
          <t>SOLLEFTEÅ</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56311-2023</t>
        </is>
      </c>
      <c r="B2411" s="1" t="n">
        <v>45242</v>
      </c>
      <c r="C2411" s="1" t="n">
        <v>45637</v>
      </c>
      <c r="D2411" t="inlineStr">
        <is>
          <t>VÄSTERNORRLANDS LÄN</t>
        </is>
      </c>
      <c r="E2411" t="inlineStr">
        <is>
          <t>SOLLEFTEÅ</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56684-2023</t>
        </is>
      </c>
      <c r="B2412" s="1" t="n">
        <v>45244</v>
      </c>
      <c r="C2412" s="1" t="n">
        <v>45637</v>
      </c>
      <c r="D2412" t="inlineStr">
        <is>
          <t>VÄSTERNORRLANDS LÄN</t>
        </is>
      </c>
      <c r="E2412" t="inlineStr">
        <is>
          <t>SOLLEFTEÅ</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56685-2023</t>
        </is>
      </c>
      <c r="B2413" s="1" t="n">
        <v>45244</v>
      </c>
      <c r="C2413" s="1" t="n">
        <v>45637</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57080-2023</t>
        </is>
      </c>
      <c r="B2414" s="1" t="n">
        <v>45244</v>
      </c>
      <c r="C2414" s="1" t="n">
        <v>45637</v>
      </c>
      <c r="D2414" t="inlineStr">
        <is>
          <t>VÄSTERNORRLANDS LÄN</t>
        </is>
      </c>
      <c r="E2414" t="inlineStr">
        <is>
          <t>SOLLEFTEÅ</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57066-2023</t>
        </is>
      </c>
      <c r="B2415" s="1" t="n">
        <v>45245</v>
      </c>
      <c r="C2415" s="1" t="n">
        <v>45637</v>
      </c>
      <c r="D2415" t="inlineStr">
        <is>
          <t>VÄSTERNORRLANDS LÄN</t>
        </is>
      </c>
      <c r="E2415" t="inlineStr">
        <is>
          <t>SOLLEFTEÅ</t>
        </is>
      </c>
      <c r="F2415" t="inlineStr">
        <is>
          <t>SCA</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57837-2023</t>
        </is>
      </c>
      <c r="B2416" s="1" t="n">
        <v>45244</v>
      </c>
      <c r="C2416" s="1" t="n">
        <v>45637</v>
      </c>
      <c r="D2416" t="inlineStr">
        <is>
          <t>VÄSTERNORRLANDS LÄN</t>
        </is>
      </c>
      <c r="E2416" t="inlineStr">
        <is>
          <t>SOLLEFTEÅ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57384-2023</t>
        </is>
      </c>
      <c r="B2417" s="1" t="n">
        <v>45245</v>
      </c>
      <c r="C2417" s="1" t="n">
        <v>45637</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57394-2023</t>
        </is>
      </c>
      <c r="B2418" s="1" t="n">
        <v>45246</v>
      </c>
      <c r="C2418" s="1" t="n">
        <v>45637</v>
      </c>
      <c r="D2418" t="inlineStr">
        <is>
          <t>VÄSTERNORRLANDS LÄN</t>
        </is>
      </c>
      <c r="E2418" t="inlineStr">
        <is>
          <t>SOLLEFTEÅ</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57395-2023</t>
        </is>
      </c>
      <c r="B2419" s="1" t="n">
        <v>45246</v>
      </c>
      <c r="C2419" s="1" t="n">
        <v>45637</v>
      </c>
      <c r="D2419" t="inlineStr">
        <is>
          <t>VÄSTERNORRLANDS LÄN</t>
        </is>
      </c>
      <c r="E2419" t="inlineStr">
        <is>
          <t>SOLLEFTEÅ</t>
        </is>
      </c>
      <c r="F2419" t="inlineStr">
        <is>
          <t>SCA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57411-2023</t>
        </is>
      </c>
      <c r="B2420" s="1" t="n">
        <v>45245</v>
      </c>
      <c r="C2420" s="1" t="n">
        <v>45637</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58298-2023</t>
        </is>
      </c>
      <c r="B2421" s="1" t="n">
        <v>45245</v>
      </c>
      <c r="C2421" s="1" t="n">
        <v>45637</v>
      </c>
      <c r="D2421" t="inlineStr">
        <is>
          <t>VÄSTERNORRLANDS LÄN</t>
        </is>
      </c>
      <c r="E2421" t="inlineStr">
        <is>
          <t>SOLLEFTEÅ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57655-2023</t>
        </is>
      </c>
      <c r="B2422" s="1" t="n">
        <v>45246</v>
      </c>
      <c r="C2422" s="1" t="n">
        <v>45637</v>
      </c>
      <c r="D2422" t="inlineStr">
        <is>
          <t>VÄSTERNORRLANDS LÄN</t>
        </is>
      </c>
      <c r="E2422" t="inlineStr">
        <is>
          <t>SOLLEFTEÅ</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58085-2023</t>
        </is>
      </c>
      <c r="B2423" s="1" t="n">
        <v>45247</v>
      </c>
      <c r="C2423" s="1" t="n">
        <v>45637</v>
      </c>
      <c r="D2423" t="inlineStr">
        <is>
          <t>VÄSTERNORRLANDS LÄN</t>
        </is>
      </c>
      <c r="E2423" t="inlineStr">
        <is>
          <t>SOLLEFTEÅ</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58155-2023</t>
        </is>
      </c>
      <c r="B2424" s="1" t="n">
        <v>45250</v>
      </c>
      <c r="C2424" s="1" t="n">
        <v>45637</v>
      </c>
      <c r="D2424" t="inlineStr">
        <is>
          <t>VÄSTERNORRLANDS LÄN</t>
        </is>
      </c>
      <c r="E2424" t="inlineStr">
        <is>
          <t>SOLLEFTEÅ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58923-2023</t>
        </is>
      </c>
      <c r="B2425" s="1" t="n">
        <v>45250</v>
      </c>
      <c r="C2425" s="1" t="n">
        <v>45637</v>
      </c>
      <c r="D2425" t="inlineStr">
        <is>
          <t>VÄSTERNORRLANDS LÄN</t>
        </is>
      </c>
      <c r="E2425" t="inlineStr">
        <is>
          <t>SOLLEFTEÅ</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58938-2023</t>
        </is>
      </c>
      <c r="B2426" s="1" t="n">
        <v>45250</v>
      </c>
      <c r="C2426" s="1" t="n">
        <v>45637</v>
      </c>
      <c r="D2426" t="inlineStr">
        <is>
          <t>VÄSTERNORRLANDS LÄN</t>
        </is>
      </c>
      <c r="E2426" t="inlineStr">
        <is>
          <t>SOLLEFTEÅ</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58427-2023</t>
        </is>
      </c>
      <c r="B2427" s="1" t="n">
        <v>45250</v>
      </c>
      <c r="C2427" s="1" t="n">
        <v>45637</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58891-2023</t>
        </is>
      </c>
      <c r="B2428" s="1" t="n">
        <v>45250</v>
      </c>
      <c r="C2428" s="1" t="n">
        <v>45637</v>
      </c>
      <c r="D2428" t="inlineStr">
        <is>
          <t>VÄSTERNORRLANDS LÄN</t>
        </is>
      </c>
      <c r="E2428" t="inlineStr">
        <is>
          <t>SOLLEFTEÅ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58933-2023</t>
        </is>
      </c>
      <c r="B2429" s="1" t="n">
        <v>45250</v>
      </c>
      <c r="C2429" s="1" t="n">
        <v>45637</v>
      </c>
      <c r="D2429" t="inlineStr">
        <is>
          <t>VÄSTERNORRLANDS LÄN</t>
        </is>
      </c>
      <c r="E2429" t="inlineStr">
        <is>
          <t>SOLLEFTEÅ</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59098-2023</t>
        </is>
      </c>
      <c r="B2430" s="1" t="n">
        <v>45253</v>
      </c>
      <c r="C2430" s="1" t="n">
        <v>45637</v>
      </c>
      <c r="D2430" t="inlineStr">
        <is>
          <t>VÄSTERNORRLANDS LÄN</t>
        </is>
      </c>
      <c r="E2430" t="inlineStr">
        <is>
          <t>SOLLEFTEÅ</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59339-2023</t>
        </is>
      </c>
      <c r="B2431" s="1" t="n">
        <v>45253</v>
      </c>
      <c r="C2431" s="1" t="n">
        <v>45637</v>
      </c>
      <c r="D2431" t="inlineStr">
        <is>
          <t>VÄSTERNORRLANDS LÄN</t>
        </is>
      </c>
      <c r="E2431" t="inlineStr">
        <is>
          <t>SOLLEFTEÅ</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59346-2023</t>
        </is>
      </c>
      <c r="B2432" s="1" t="n">
        <v>45253</v>
      </c>
      <c r="C2432" s="1" t="n">
        <v>45637</v>
      </c>
      <c r="D2432" t="inlineStr">
        <is>
          <t>VÄSTERNORRLANDS LÄN</t>
        </is>
      </c>
      <c r="E2432" t="inlineStr">
        <is>
          <t>SOLLEFTEÅ</t>
        </is>
      </c>
      <c r="F2432" t="inlineStr">
        <is>
          <t>Holmen skog AB</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59461-2023</t>
        </is>
      </c>
      <c r="B2433" s="1" t="n">
        <v>45253</v>
      </c>
      <c r="C2433" s="1" t="n">
        <v>45637</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59579-2023</t>
        </is>
      </c>
      <c r="B2434" s="1" t="n">
        <v>45253</v>
      </c>
      <c r="C2434" s="1" t="n">
        <v>45637</v>
      </c>
      <c r="D2434" t="inlineStr">
        <is>
          <t>VÄSTERNORRLANDS LÄN</t>
        </is>
      </c>
      <c r="E2434" t="inlineStr">
        <is>
          <t>SOLLEFTEÅ</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59501-2023</t>
        </is>
      </c>
      <c r="B2435" s="1" t="n">
        <v>45254</v>
      </c>
      <c r="C2435" s="1" t="n">
        <v>45637</v>
      </c>
      <c r="D2435" t="inlineStr">
        <is>
          <t>VÄSTERNORRLANDS LÄN</t>
        </is>
      </c>
      <c r="E2435" t="inlineStr">
        <is>
          <t>SOLLEFTEÅ</t>
        </is>
      </c>
      <c r="F2435" t="inlineStr">
        <is>
          <t>Holmen skog AB</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59583-2023</t>
        </is>
      </c>
      <c r="B2436" s="1" t="n">
        <v>45254</v>
      </c>
      <c r="C2436" s="1" t="n">
        <v>45637</v>
      </c>
      <c r="D2436" t="inlineStr">
        <is>
          <t>VÄSTERNORRLANDS LÄN</t>
        </is>
      </c>
      <c r="E2436" t="inlineStr">
        <is>
          <t>SOLLEFTEÅ</t>
        </is>
      </c>
      <c r="F2436" t="inlineStr">
        <is>
          <t>Holmen skog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59657-2023</t>
        </is>
      </c>
      <c r="B2437" s="1" t="n">
        <v>45255</v>
      </c>
      <c r="C2437" s="1" t="n">
        <v>45637</v>
      </c>
      <c r="D2437" t="inlineStr">
        <is>
          <t>VÄSTERNORRLANDS LÄN</t>
        </is>
      </c>
      <c r="E2437" t="inlineStr">
        <is>
          <t>SOLLEFTEÅ</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59593-2023</t>
        </is>
      </c>
      <c r="B2438" s="1" t="n">
        <v>45254</v>
      </c>
      <c r="C2438" s="1" t="n">
        <v>45637</v>
      </c>
      <c r="D2438" t="inlineStr">
        <is>
          <t>VÄSTERNORRLANDS LÄN</t>
        </is>
      </c>
      <c r="E2438" t="inlineStr">
        <is>
          <t>SOLLEFTEÅ</t>
        </is>
      </c>
      <c r="F2438" t="inlineStr">
        <is>
          <t>Holmen skog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59879-2023</t>
        </is>
      </c>
      <c r="B2439" s="1" t="n">
        <v>45254</v>
      </c>
      <c r="C2439" s="1" t="n">
        <v>45637</v>
      </c>
      <c r="D2439" t="inlineStr">
        <is>
          <t>VÄSTERNORRLANDS LÄN</t>
        </is>
      </c>
      <c r="E2439" t="inlineStr">
        <is>
          <t>SOLLEFTEÅ</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60039-2023</t>
        </is>
      </c>
      <c r="B2440" s="1" t="n">
        <v>45254</v>
      </c>
      <c r="C2440" s="1" t="n">
        <v>45637</v>
      </c>
      <c r="D2440" t="inlineStr">
        <is>
          <t>VÄSTERNORRLANDS LÄN</t>
        </is>
      </c>
      <c r="E2440" t="inlineStr">
        <is>
          <t>SOLLEFTEÅ</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59794-2023</t>
        </is>
      </c>
      <c r="B2441" s="1" t="n">
        <v>45257</v>
      </c>
      <c r="C2441" s="1" t="n">
        <v>45637</v>
      </c>
      <c r="D2441" t="inlineStr">
        <is>
          <t>VÄSTERNORRLANDS LÄN</t>
        </is>
      </c>
      <c r="E2441" t="inlineStr">
        <is>
          <t>SOLLEFTEÅ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60099-2023</t>
        </is>
      </c>
      <c r="B2442" s="1" t="n">
        <v>45257</v>
      </c>
      <c r="C2442" s="1" t="n">
        <v>45637</v>
      </c>
      <c r="D2442" t="inlineStr">
        <is>
          <t>VÄSTERNORRLANDS LÄN</t>
        </is>
      </c>
      <c r="E2442" t="inlineStr">
        <is>
          <t>SOLLEFTEÅ</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60329-2023</t>
        </is>
      </c>
      <c r="B2443" s="1" t="n">
        <v>45258</v>
      </c>
      <c r="C2443" s="1" t="n">
        <v>45637</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60328-2023</t>
        </is>
      </c>
      <c r="B2444" s="1" t="n">
        <v>45258</v>
      </c>
      <c r="C2444" s="1" t="n">
        <v>45637</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60462-2023</t>
        </is>
      </c>
      <c r="B2445" s="1" t="n">
        <v>45258</v>
      </c>
      <c r="C2445" s="1" t="n">
        <v>45637</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60480-2023</t>
        </is>
      </c>
      <c r="B2446" s="1" t="n">
        <v>45258</v>
      </c>
      <c r="C2446" s="1" t="n">
        <v>45637</v>
      </c>
      <c r="D2446" t="inlineStr">
        <is>
          <t>VÄSTERNORRLANDS LÄN</t>
        </is>
      </c>
      <c r="E2446" t="inlineStr">
        <is>
          <t>SOLLEFTEÅ</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60883-2023</t>
        </is>
      </c>
      <c r="B2447" s="1" t="n">
        <v>45259</v>
      </c>
      <c r="C2447" s="1" t="n">
        <v>45637</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61028-2023</t>
        </is>
      </c>
      <c r="B2448" s="1" t="n">
        <v>45259</v>
      </c>
      <c r="C2448" s="1" t="n">
        <v>45637</v>
      </c>
      <c r="D2448" t="inlineStr">
        <is>
          <t>VÄSTERNORRLANDS LÄN</t>
        </is>
      </c>
      <c r="E2448" t="inlineStr">
        <is>
          <t>SOLLEFTEÅ</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61034-2023</t>
        </is>
      </c>
      <c r="B2449" s="1" t="n">
        <v>45259</v>
      </c>
      <c r="C2449" s="1" t="n">
        <v>45637</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60861-2023</t>
        </is>
      </c>
      <c r="B2450" s="1" t="n">
        <v>45260</v>
      </c>
      <c r="C2450" s="1" t="n">
        <v>45637</v>
      </c>
      <c r="D2450" t="inlineStr">
        <is>
          <t>VÄSTERNORRLANDS LÄN</t>
        </is>
      </c>
      <c r="E2450" t="inlineStr">
        <is>
          <t>SOLLEFTEÅ</t>
        </is>
      </c>
      <c r="F2450" t="inlineStr">
        <is>
          <t>SCA</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61213-2023</t>
        </is>
      </c>
      <c r="B2451" s="1" t="n">
        <v>45260</v>
      </c>
      <c r="C2451" s="1" t="n">
        <v>45637</v>
      </c>
      <c r="D2451" t="inlineStr">
        <is>
          <t>VÄSTERNORRLANDS LÄN</t>
        </is>
      </c>
      <c r="E2451" t="inlineStr">
        <is>
          <t>SOLLEFTEÅ</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61081-2023</t>
        </is>
      </c>
      <c r="B2452" s="1" t="n">
        <v>45261</v>
      </c>
      <c r="C2452" s="1" t="n">
        <v>45637</v>
      </c>
      <c r="D2452" t="inlineStr">
        <is>
          <t>VÄSTERNORRLANDS LÄN</t>
        </is>
      </c>
      <c r="E2452" t="inlineStr">
        <is>
          <t>SOLLEFTEÅ</t>
        </is>
      </c>
      <c r="F2452" t="inlineStr">
        <is>
          <t>Holmen skog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61137-2023</t>
        </is>
      </c>
      <c r="B2453" s="1" t="n">
        <v>45261</v>
      </c>
      <c r="C2453" s="1" t="n">
        <v>45637</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61138-2023</t>
        </is>
      </c>
      <c r="B2454" s="1" t="n">
        <v>45261</v>
      </c>
      <c r="C2454" s="1" t="n">
        <v>45637</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61469-2023</t>
        </is>
      </c>
      <c r="B2455" s="1" t="n">
        <v>45264</v>
      </c>
      <c r="C2455" s="1" t="n">
        <v>45637</v>
      </c>
      <c r="D2455" t="inlineStr">
        <is>
          <t>VÄSTERNORRLANDS LÄN</t>
        </is>
      </c>
      <c r="E2455" t="inlineStr">
        <is>
          <t>SOLLEFTEÅ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61473-2023</t>
        </is>
      </c>
      <c r="B2456" s="1" t="n">
        <v>45264</v>
      </c>
      <c r="C2456" s="1" t="n">
        <v>45637</v>
      </c>
      <c r="D2456" t="inlineStr">
        <is>
          <t>VÄSTERNORRLANDS LÄN</t>
        </is>
      </c>
      <c r="E2456" t="inlineStr">
        <is>
          <t>SOLLEFTEÅ</t>
        </is>
      </c>
      <c r="G2456" t="n">
        <v>18.8</v>
      </c>
      <c r="H2456" t="n">
        <v>0</v>
      </c>
      <c r="I2456" t="n">
        <v>0</v>
      </c>
      <c r="J2456" t="n">
        <v>0</v>
      </c>
      <c r="K2456" t="n">
        <v>0</v>
      </c>
      <c r="L2456" t="n">
        <v>0</v>
      </c>
      <c r="M2456" t="n">
        <v>0</v>
      </c>
      <c r="N2456" t="n">
        <v>0</v>
      </c>
      <c r="O2456" t="n">
        <v>0</v>
      </c>
      <c r="P2456" t="n">
        <v>0</v>
      </c>
      <c r="Q2456" t="n">
        <v>0</v>
      </c>
      <c r="R2456" s="2" t="inlineStr"/>
    </row>
    <row r="2457" ht="15" customHeight="1">
      <c r="A2457" t="inlineStr">
        <is>
          <t>A 61462-2023</t>
        </is>
      </c>
      <c r="B2457" s="1" t="n">
        <v>45264</v>
      </c>
      <c r="C2457" s="1" t="n">
        <v>45637</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61470-2023</t>
        </is>
      </c>
      <c r="B2458" s="1" t="n">
        <v>45264</v>
      </c>
      <c r="C2458" s="1" t="n">
        <v>45637</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61809-2023</t>
        </is>
      </c>
      <c r="B2459" s="1" t="n">
        <v>45264</v>
      </c>
      <c r="C2459" s="1" t="n">
        <v>45637</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61805-2023</t>
        </is>
      </c>
      <c r="B2460" s="1" t="n">
        <v>45264</v>
      </c>
      <c r="C2460" s="1" t="n">
        <v>45637</v>
      </c>
      <c r="D2460" t="inlineStr">
        <is>
          <t>VÄSTERNORRLANDS LÄN</t>
        </is>
      </c>
      <c r="E2460" t="inlineStr">
        <is>
          <t>SOLLEFTEÅ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61485-2023</t>
        </is>
      </c>
      <c r="B2461" s="1" t="n">
        <v>45264</v>
      </c>
      <c r="C2461" s="1" t="n">
        <v>45637</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61784-2023</t>
        </is>
      </c>
      <c r="B2462" s="1" t="n">
        <v>45265</v>
      </c>
      <c r="C2462" s="1" t="n">
        <v>45637</v>
      </c>
      <c r="D2462" t="inlineStr">
        <is>
          <t>VÄSTERNORRLANDS LÄN</t>
        </is>
      </c>
      <c r="E2462" t="inlineStr">
        <is>
          <t>SOLLEFTEÅ</t>
        </is>
      </c>
      <c r="F2462" t="inlineStr">
        <is>
          <t>SCA</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62099-2023</t>
        </is>
      </c>
      <c r="B2463" s="1" t="n">
        <v>45266</v>
      </c>
      <c r="C2463" s="1" t="n">
        <v>45637</v>
      </c>
      <c r="D2463" t="inlineStr">
        <is>
          <t>VÄSTERNORRLANDS LÄN</t>
        </is>
      </c>
      <c r="E2463" t="inlineStr">
        <is>
          <t>SOLLEFTEÅ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62098-2023</t>
        </is>
      </c>
      <c r="B2464" s="1" t="n">
        <v>45266</v>
      </c>
      <c r="C2464" s="1" t="n">
        <v>45637</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62096-2023</t>
        </is>
      </c>
      <c r="B2465" s="1" t="n">
        <v>45266</v>
      </c>
      <c r="C2465" s="1" t="n">
        <v>45637</v>
      </c>
      <c r="D2465" t="inlineStr">
        <is>
          <t>VÄSTERNORRLANDS LÄN</t>
        </is>
      </c>
      <c r="E2465" t="inlineStr">
        <is>
          <t>SOLLEFTEÅ</t>
        </is>
      </c>
      <c r="F2465" t="inlineStr">
        <is>
          <t>Kyrkan</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62100-2023</t>
        </is>
      </c>
      <c r="B2466" s="1" t="n">
        <v>45266</v>
      </c>
      <c r="C2466" s="1" t="n">
        <v>45637</v>
      </c>
      <c r="D2466" t="inlineStr">
        <is>
          <t>VÄSTERNORRLANDS LÄN</t>
        </is>
      </c>
      <c r="E2466" t="inlineStr">
        <is>
          <t>SOLLEFTEÅ</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62115-2023</t>
        </is>
      </c>
      <c r="B2467" s="1" t="n">
        <v>45266</v>
      </c>
      <c r="C2467" s="1" t="n">
        <v>45637</v>
      </c>
      <c r="D2467" t="inlineStr">
        <is>
          <t>VÄSTERNORRLANDS LÄN</t>
        </is>
      </c>
      <c r="E2467" t="inlineStr">
        <is>
          <t>SOLLEFTEÅ</t>
        </is>
      </c>
      <c r="F2467" t="inlineStr">
        <is>
          <t>SCA</t>
        </is>
      </c>
      <c r="G2467" t="n">
        <v>43.1</v>
      </c>
      <c r="H2467" t="n">
        <v>0</v>
      </c>
      <c r="I2467" t="n">
        <v>0</v>
      </c>
      <c r="J2467" t="n">
        <v>0</v>
      </c>
      <c r="K2467" t="n">
        <v>0</v>
      </c>
      <c r="L2467" t="n">
        <v>0</v>
      </c>
      <c r="M2467" t="n">
        <v>0</v>
      </c>
      <c r="N2467" t="n">
        <v>0</v>
      </c>
      <c r="O2467" t="n">
        <v>0</v>
      </c>
      <c r="P2467" t="n">
        <v>0</v>
      </c>
      <c r="Q2467" t="n">
        <v>0</v>
      </c>
      <c r="R2467" s="2" t="inlineStr"/>
    </row>
    <row r="2468" ht="15" customHeight="1">
      <c r="A2468" t="inlineStr">
        <is>
          <t>A 62097-2023</t>
        </is>
      </c>
      <c r="B2468" s="1" t="n">
        <v>45266</v>
      </c>
      <c r="C2468" s="1" t="n">
        <v>45637</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62093-2023</t>
        </is>
      </c>
      <c r="B2469" s="1" t="n">
        <v>45266</v>
      </c>
      <c r="C2469" s="1" t="n">
        <v>45637</v>
      </c>
      <c r="D2469" t="inlineStr">
        <is>
          <t>VÄSTERNORRLANDS LÄN</t>
        </is>
      </c>
      <c r="E2469" t="inlineStr">
        <is>
          <t>SOLLEFTEÅ</t>
        </is>
      </c>
      <c r="G2469" t="n">
        <v>18.1</v>
      </c>
      <c r="H2469" t="n">
        <v>0</v>
      </c>
      <c r="I2469" t="n">
        <v>0</v>
      </c>
      <c r="J2469" t="n">
        <v>0</v>
      </c>
      <c r="K2469" t="n">
        <v>0</v>
      </c>
      <c r="L2469" t="n">
        <v>0</v>
      </c>
      <c r="M2469" t="n">
        <v>0</v>
      </c>
      <c r="N2469" t="n">
        <v>0</v>
      </c>
      <c r="O2469" t="n">
        <v>0</v>
      </c>
      <c r="P2469" t="n">
        <v>0</v>
      </c>
      <c r="Q2469" t="n">
        <v>0</v>
      </c>
      <c r="R2469" s="2" t="inlineStr"/>
    </row>
    <row r="2470" ht="15" customHeight="1">
      <c r="A2470" t="inlineStr">
        <is>
          <t>A 62343-2023</t>
        </is>
      </c>
      <c r="B2470" s="1" t="n">
        <v>45267</v>
      </c>
      <c r="C2470" s="1" t="n">
        <v>45637</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62363-2023</t>
        </is>
      </c>
      <c r="B2471" s="1" t="n">
        <v>45267</v>
      </c>
      <c r="C2471" s="1" t="n">
        <v>45637</v>
      </c>
      <c r="D2471" t="inlineStr">
        <is>
          <t>VÄSTERNORRLANDS LÄN</t>
        </is>
      </c>
      <c r="E2471" t="inlineStr">
        <is>
          <t>SOLLEFTEÅ</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62364-2023</t>
        </is>
      </c>
      <c r="B2472" s="1" t="n">
        <v>45267</v>
      </c>
      <c r="C2472" s="1" t="n">
        <v>45637</v>
      </c>
      <c r="D2472" t="inlineStr">
        <is>
          <t>VÄSTERNORRLANDS LÄN</t>
        </is>
      </c>
      <c r="E2472" t="inlineStr">
        <is>
          <t>SOLLEFTEÅ</t>
        </is>
      </c>
      <c r="F2472" t="inlineStr">
        <is>
          <t>SCA</t>
        </is>
      </c>
      <c r="G2472" t="n">
        <v>22.1</v>
      </c>
      <c r="H2472" t="n">
        <v>0</v>
      </c>
      <c r="I2472" t="n">
        <v>0</v>
      </c>
      <c r="J2472" t="n">
        <v>0</v>
      </c>
      <c r="K2472" t="n">
        <v>0</v>
      </c>
      <c r="L2472" t="n">
        <v>0</v>
      </c>
      <c r="M2472" t="n">
        <v>0</v>
      </c>
      <c r="N2472" t="n">
        <v>0</v>
      </c>
      <c r="O2472" t="n">
        <v>0</v>
      </c>
      <c r="P2472" t="n">
        <v>0</v>
      </c>
      <c r="Q2472" t="n">
        <v>0</v>
      </c>
      <c r="R2472" s="2" t="inlineStr"/>
    </row>
    <row r="2473" ht="15" customHeight="1">
      <c r="A2473" t="inlineStr">
        <is>
          <t>A 62523-2023</t>
        </is>
      </c>
      <c r="B2473" s="1" t="n">
        <v>45267</v>
      </c>
      <c r="C2473" s="1" t="n">
        <v>45637</v>
      </c>
      <c r="D2473" t="inlineStr">
        <is>
          <t>VÄSTERNORRLANDS LÄN</t>
        </is>
      </c>
      <c r="E2473" t="inlineStr">
        <is>
          <t>SOLLEFTEÅ</t>
        </is>
      </c>
      <c r="G2473" t="n">
        <v>33.6</v>
      </c>
      <c r="H2473" t="n">
        <v>0</v>
      </c>
      <c r="I2473" t="n">
        <v>0</v>
      </c>
      <c r="J2473" t="n">
        <v>0</v>
      </c>
      <c r="K2473" t="n">
        <v>0</v>
      </c>
      <c r="L2473" t="n">
        <v>0</v>
      </c>
      <c r="M2473" t="n">
        <v>0</v>
      </c>
      <c r="N2473" t="n">
        <v>0</v>
      </c>
      <c r="O2473" t="n">
        <v>0</v>
      </c>
      <c r="P2473" t="n">
        <v>0</v>
      </c>
      <c r="Q2473" t="n">
        <v>0</v>
      </c>
      <c r="R2473" s="2" t="inlineStr"/>
    </row>
    <row r="2474" ht="15" customHeight="1">
      <c r="A2474" t="inlineStr">
        <is>
          <t>A 62357-2023</t>
        </is>
      </c>
      <c r="B2474" s="1" t="n">
        <v>45267</v>
      </c>
      <c r="C2474" s="1" t="n">
        <v>45637</v>
      </c>
      <c r="D2474" t="inlineStr">
        <is>
          <t>VÄSTERNORRLANDS LÄN</t>
        </is>
      </c>
      <c r="E2474" t="inlineStr">
        <is>
          <t>SOLLEFTEÅ</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62527-2023</t>
        </is>
      </c>
      <c r="B2475" s="1" t="n">
        <v>45267</v>
      </c>
      <c r="C2475" s="1" t="n">
        <v>45637</v>
      </c>
      <c r="D2475" t="inlineStr">
        <is>
          <t>VÄSTERNORRLANDS LÄN</t>
        </is>
      </c>
      <c r="E2475" t="inlineStr">
        <is>
          <t>SOLLEFTEÅ</t>
        </is>
      </c>
      <c r="G2475" t="n">
        <v>10.7</v>
      </c>
      <c r="H2475" t="n">
        <v>0</v>
      </c>
      <c r="I2475" t="n">
        <v>0</v>
      </c>
      <c r="J2475" t="n">
        <v>0</v>
      </c>
      <c r="K2475" t="n">
        <v>0</v>
      </c>
      <c r="L2475" t="n">
        <v>0</v>
      </c>
      <c r="M2475" t="n">
        <v>0</v>
      </c>
      <c r="N2475" t="n">
        <v>0</v>
      </c>
      <c r="O2475" t="n">
        <v>0</v>
      </c>
      <c r="P2475" t="n">
        <v>0</v>
      </c>
      <c r="Q2475" t="n">
        <v>0</v>
      </c>
      <c r="R2475" s="2" t="inlineStr"/>
    </row>
    <row r="2476" ht="15" customHeight="1">
      <c r="A2476" t="inlineStr">
        <is>
          <t>A 62827-2023</t>
        </is>
      </c>
      <c r="B2476" s="1" t="n">
        <v>45271</v>
      </c>
      <c r="C2476" s="1" t="n">
        <v>45637</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63138-2023</t>
        </is>
      </c>
      <c r="B2477" s="1" t="n">
        <v>45272</v>
      </c>
      <c r="C2477" s="1" t="n">
        <v>45637</v>
      </c>
      <c r="D2477" t="inlineStr">
        <is>
          <t>VÄSTERNORRLANDS LÄN</t>
        </is>
      </c>
      <c r="E2477" t="inlineStr">
        <is>
          <t>SOLLEFTEÅ</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63144-2023</t>
        </is>
      </c>
      <c r="B2478" s="1" t="n">
        <v>45272</v>
      </c>
      <c r="C2478" s="1" t="n">
        <v>45637</v>
      </c>
      <c r="D2478" t="inlineStr">
        <is>
          <t>VÄSTERNORRLANDS LÄN</t>
        </is>
      </c>
      <c r="E2478" t="inlineStr">
        <is>
          <t>SOLLEFTEÅ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63261-2023</t>
        </is>
      </c>
      <c r="B2479" s="1" t="n">
        <v>45273</v>
      </c>
      <c r="C2479" s="1" t="n">
        <v>45637</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63259-2023</t>
        </is>
      </c>
      <c r="B2480" s="1" t="n">
        <v>45273</v>
      </c>
      <c r="C2480" s="1" t="n">
        <v>45637</v>
      </c>
      <c r="D2480" t="inlineStr">
        <is>
          <t>VÄSTERNORRLANDS LÄN</t>
        </is>
      </c>
      <c r="E2480" t="inlineStr">
        <is>
          <t>SOLLEFTEÅ</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63529-2023</t>
        </is>
      </c>
      <c r="B2481" s="1" t="n">
        <v>45274</v>
      </c>
      <c r="C2481" s="1" t="n">
        <v>45637</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63422-2023</t>
        </is>
      </c>
      <c r="B2482" s="1" t="n">
        <v>45274</v>
      </c>
      <c r="C2482" s="1" t="n">
        <v>45637</v>
      </c>
      <c r="D2482" t="inlineStr">
        <is>
          <t>VÄSTERNORRLANDS LÄN</t>
        </is>
      </c>
      <c r="E2482" t="inlineStr">
        <is>
          <t>SOLLEFTEÅ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63462-2023</t>
        </is>
      </c>
      <c r="B2483" s="1" t="n">
        <v>45274</v>
      </c>
      <c r="C2483" s="1" t="n">
        <v>45637</v>
      </c>
      <c r="D2483" t="inlineStr">
        <is>
          <t>VÄSTERNORRLANDS LÄN</t>
        </is>
      </c>
      <c r="E2483" t="inlineStr">
        <is>
          <t>SOLLEFTEÅ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63413-2023</t>
        </is>
      </c>
      <c r="B2484" s="1" t="n">
        <v>45274</v>
      </c>
      <c r="C2484" s="1" t="n">
        <v>45637</v>
      </c>
      <c r="D2484" t="inlineStr">
        <is>
          <t>VÄSTERNORRLANDS LÄN</t>
        </is>
      </c>
      <c r="E2484" t="inlineStr">
        <is>
          <t>SOLLEFTEÅ</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63547-2023</t>
        </is>
      </c>
      <c r="B2485" s="1" t="n">
        <v>45274</v>
      </c>
      <c r="C2485" s="1" t="n">
        <v>45637</v>
      </c>
      <c r="D2485" t="inlineStr">
        <is>
          <t>VÄSTERNORRLANDS LÄN</t>
        </is>
      </c>
      <c r="E2485" t="inlineStr">
        <is>
          <t>SOLLEFTEÅ</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63652-2023</t>
        </is>
      </c>
      <c r="B2486" s="1" t="n">
        <v>45275</v>
      </c>
      <c r="C2486" s="1" t="n">
        <v>45637</v>
      </c>
      <c r="D2486" t="inlineStr">
        <is>
          <t>VÄSTERNORRLANDS LÄN</t>
        </is>
      </c>
      <c r="E2486" t="inlineStr">
        <is>
          <t>SOLLEFTEÅ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63712-2023</t>
        </is>
      </c>
      <c r="B2487" s="1" t="n">
        <v>45275</v>
      </c>
      <c r="C2487" s="1" t="n">
        <v>45637</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63707-2023</t>
        </is>
      </c>
      <c r="B2488" s="1" t="n">
        <v>45275</v>
      </c>
      <c r="C2488" s="1" t="n">
        <v>45637</v>
      </c>
      <c r="D2488" t="inlineStr">
        <is>
          <t>VÄSTERNORRLANDS LÄN</t>
        </is>
      </c>
      <c r="E2488" t="inlineStr">
        <is>
          <t>SOLLEFTEÅ</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64013-2023</t>
        </is>
      </c>
      <c r="B2489" s="1" t="n">
        <v>45278</v>
      </c>
      <c r="C2489" s="1" t="n">
        <v>45637</v>
      </c>
      <c r="D2489" t="inlineStr">
        <is>
          <t>VÄSTERNORRLANDS LÄN</t>
        </is>
      </c>
      <c r="E2489" t="inlineStr">
        <is>
          <t>SOLLEFTEÅ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64014-2023</t>
        </is>
      </c>
      <c r="B2490" s="1" t="n">
        <v>45278</v>
      </c>
      <c r="C2490" s="1" t="n">
        <v>45637</v>
      </c>
      <c r="D2490" t="inlineStr">
        <is>
          <t>VÄSTERNORRLANDS LÄN</t>
        </is>
      </c>
      <c r="E2490" t="inlineStr">
        <is>
          <t>SOLLEFTEÅ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63979-2023</t>
        </is>
      </c>
      <c r="B2491" s="1" t="n">
        <v>45278</v>
      </c>
      <c r="C2491" s="1" t="n">
        <v>45637</v>
      </c>
      <c r="D2491" t="inlineStr">
        <is>
          <t>VÄSTERNORRLANDS LÄN</t>
        </is>
      </c>
      <c r="E2491" t="inlineStr">
        <is>
          <t>SOLLEFTEÅ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64111-2023</t>
        </is>
      </c>
      <c r="B2492" s="1" t="n">
        <v>45279</v>
      </c>
      <c r="C2492" s="1" t="n">
        <v>45637</v>
      </c>
      <c r="D2492" t="inlineStr">
        <is>
          <t>VÄSTERNORRLANDS LÄN</t>
        </is>
      </c>
      <c r="E2492" t="inlineStr">
        <is>
          <t>SOLLEFTEÅ</t>
        </is>
      </c>
      <c r="G2492" t="n">
        <v>19.9</v>
      </c>
      <c r="H2492" t="n">
        <v>0</v>
      </c>
      <c r="I2492" t="n">
        <v>0</v>
      </c>
      <c r="J2492" t="n">
        <v>0</v>
      </c>
      <c r="K2492" t="n">
        <v>0</v>
      </c>
      <c r="L2492" t="n">
        <v>0</v>
      </c>
      <c r="M2492" t="n">
        <v>0</v>
      </c>
      <c r="N2492" t="n">
        <v>0</v>
      </c>
      <c r="O2492" t="n">
        <v>0</v>
      </c>
      <c r="P2492" t="n">
        <v>0</v>
      </c>
      <c r="Q2492" t="n">
        <v>0</v>
      </c>
      <c r="R2492" s="2" t="inlineStr"/>
    </row>
    <row r="2493" ht="15" customHeight="1">
      <c r="A2493" t="inlineStr">
        <is>
          <t>A 64115-2023</t>
        </is>
      </c>
      <c r="B2493" s="1" t="n">
        <v>45279</v>
      </c>
      <c r="C2493" s="1" t="n">
        <v>45637</v>
      </c>
      <c r="D2493" t="inlineStr">
        <is>
          <t>VÄSTERNORRLANDS LÄN</t>
        </is>
      </c>
      <c r="E2493" t="inlineStr">
        <is>
          <t>SOLLEFTEÅ</t>
        </is>
      </c>
      <c r="G2493" t="n">
        <v>16.1</v>
      </c>
      <c r="H2493" t="n">
        <v>0</v>
      </c>
      <c r="I2493" t="n">
        <v>0</v>
      </c>
      <c r="J2493" t="n">
        <v>0</v>
      </c>
      <c r="K2493" t="n">
        <v>0</v>
      </c>
      <c r="L2493" t="n">
        <v>0</v>
      </c>
      <c r="M2493" t="n">
        <v>0</v>
      </c>
      <c r="N2493" t="n">
        <v>0</v>
      </c>
      <c r="O2493" t="n">
        <v>0</v>
      </c>
      <c r="P2493" t="n">
        <v>0</v>
      </c>
      <c r="Q2493" t="n">
        <v>0</v>
      </c>
      <c r="R2493" s="2" t="inlineStr"/>
    </row>
    <row r="2494" ht="15" customHeight="1">
      <c r="A2494" t="inlineStr">
        <is>
          <t>A 64120-2023</t>
        </is>
      </c>
      <c r="B2494" s="1" t="n">
        <v>45279</v>
      </c>
      <c r="C2494" s="1" t="n">
        <v>45637</v>
      </c>
      <c r="D2494" t="inlineStr">
        <is>
          <t>VÄSTERNORRLANDS LÄN</t>
        </is>
      </c>
      <c r="E2494" t="inlineStr">
        <is>
          <t>SOLLEFTEÅ</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64133-2023</t>
        </is>
      </c>
      <c r="B2495" s="1" t="n">
        <v>45279</v>
      </c>
      <c r="C2495" s="1" t="n">
        <v>45637</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64502-2023</t>
        </is>
      </c>
      <c r="B2496" s="1" t="n">
        <v>45280</v>
      </c>
      <c r="C2496" s="1" t="n">
        <v>45637</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64617-2023</t>
        </is>
      </c>
      <c r="B2497" s="1" t="n">
        <v>45281</v>
      </c>
      <c r="C2497" s="1" t="n">
        <v>45637</v>
      </c>
      <c r="D2497" t="inlineStr">
        <is>
          <t>VÄSTERNORRLANDS LÄN</t>
        </is>
      </c>
      <c r="E2497" t="inlineStr">
        <is>
          <t>SOLLEFTEÅ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64891-2023</t>
        </is>
      </c>
      <c r="B2498" s="1" t="n">
        <v>45282</v>
      </c>
      <c r="C2498" s="1" t="n">
        <v>45637</v>
      </c>
      <c r="D2498" t="inlineStr">
        <is>
          <t>VÄSTERNORRLANDS LÄN</t>
        </is>
      </c>
      <c r="E2498" t="inlineStr">
        <is>
          <t>SOLLEFTEÅ</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64961-2023</t>
        </is>
      </c>
      <c r="B2499" s="1" t="n">
        <v>45282</v>
      </c>
      <c r="C2499" s="1" t="n">
        <v>45637</v>
      </c>
      <c r="D2499" t="inlineStr">
        <is>
          <t>VÄSTERNORRLANDS LÄN</t>
        </is>
      </c>
      <c r="E2499" t="inlineStr">
        <is>
          <t>SOLLEFTEÅ</t>
        </is>
      </c>
      <c r="F2499" t="inlineStr">
        <is>
          <t>SCA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64959-2023</t>
        </is>
      </c>
      <c r="B2500" s="1" t="n">
        <v>45282</v>
      </c>
      <c r="C2500" s="1" t="n">
        <v>45637</v>
      </c>
      <c r="D2500" t="inlineStr">
        <is>
          <t>VÄSTERNORRLANDS LÄN</t>
        </is>
      </c>
      <c r="E2500" t="inlineStr">
        <is>
          <t>SOLLEFTEÅ</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65148-2023</t>
        </is>
      </c>
      <c r="B2501" s="1" t="n">
        <v>45288</v>
      </c>
      <c r="C2501" s="1" t="n">
        <v>45637</v>
      </c>
      <c r="D2501" t="inlineStr">
        <is>
          <t>VÄSTERNORRLANDS LÄN</t>
        </is>
      </c>
      <c r="E2501" t="inlineStr">
        <is>
          <t>SOLLEFTEÅ</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388-2024</t>
        </is>
      </c>
      <c r="B2502" s="1" t="n">
        <v>45296</v>
      </c>
      <c r="C2502" s="1" t="n">
        <v>45637</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394-2024</t>
        </is>
      </c>
      <c r="B2503" s="1" t="n">
        <v>45296</v>
      </c>
      <c r="C2503" s="1" t="n">
        <v>45637</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457-2024</t>
        </is>
      </c>
      <c r="B2504" s="1" t="n">
        <v>45297</v>
      </c>
      <c r="C2504" s="1" t="n">
        <v>45637</v>
      </c>
      <c r="D2504" t="inlineStr">
        <is>
          <t>VÄSTERNORRLANDS LÄN</t>
        </is>
      </c>
      <c r="E2504" t="inlineStr">
        <is>
          <t>SOLLEFTEÅ</t>
        </is>
      </c>
      <c r="F2504" t="inlineStr">
        <is>
          <t>SCA</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656-2024</t>
        </is>
      </c>
      <c r="B2505" s="1" t="n">
        <v>45299</v>
      </c>
      <c r="C2505" s="1" t="n">
        <v>45637</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858-2024</t>
        </is>
      </c>
      <c r="B2506" s="1" t="n">
        <v>45301</v>
      </c>
      <c r="C2506" s="1" t="n">
        <v>45637</v>
      </c>
      <c r="D2506" t="inlineStr">
        <is>
          <t>VÄSTERNORRLANDS LÄN</t>
        </is>
      </c>
      <c r="E2506" t="inlineStr">
        <is>
          <t>SOLLEFTEÅ</t>
        </is>
      </c>
      <c r="F2506" t="inlineStr">
        <is>
          <t>SCA</t>
        </is>
      </c>
      <c r="G2506" t="n">
        <v>56.2</v>
      </c>
      <c r="H2506" t="n">
        <v>0</v>
      </c>
      <c r="I2506" t="n">
        <v>0</v>
      </c>
      <c r="J2506" t="n">
        <v>0</v>
      </c>
      <c r="K2506" t="n">
        <v>0</v>
      </c>
      <c r="L2506" t="n">
        <v>0</v>
      </c>
      <c r="M2506" t="n">
        <v>0</v>
      </c>
      <c r="N2506" t="n">
        <v>0</v>
      </c>
      <c r="O2506" t="n">
        <v>0</v>
      </c>
      <c r="P2506" t="n">
        <v>0</v>
      </c>
      <c r="Q2506" t="n">
        <v>0</v>
      </c>
      <c r="R2506" s="2" t="inlineStr"/>
    </row>
    <row r="2507" ht="15" customHeight="1">
      <c r="A2507" t="inlineStr">
        <is>
          <t>A 1006-2024</t>
        </is>
      </c>
      <c r="B2507" s="1" t="n">
        <v>45301</v>
      </c>
      <c r="C2507" s="1" t="n">
        <v>45637</v>
      </c>
      <c r="D2507" t="inlineStr">
        <is>
          <t>VÄSTERNORRLANDS LÄN</t>
        </is>
      </c>
      <c r="E2507" t="inlineStr">
        <is>
          <t>SOLLEFTEÅ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1047-2024</t>
        </is>
      </c>
      <c r="B2508" s="1" t="n">
        <v>45301</v>
      </c>
      <c r="C2508" s="1" t="n">
        <v>45637</v>
      </c>
      <c r="D2508" t="inlineStr">
        <is>
          <t>VÄSTERNORRLANDS LÄN</t>
        </is>
      </c>
      <c r="E2508" t="inlineStr">
        <is>
          <t>SOLLEFTEÅ</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1054-2024</t>
        </is>
      </c>
      <c r="B2509" s="1" t="n">
        <v>45302</v>
      </c>
      <c r="C2509" s="1" t="n">
        <v>45637</v>
      </c>
      <c r="D2509" t="inlineStr">
        <is>
          <t>VÄSTERNORRLANDS LÄN</t>
        </is>
      </c>
      <c r="E2509" t="inlineStr">
        <is>
          <t>SOLLEFTEÅ</t>
        </is>
      </c>
      <c r="F2509" t="inlineStr">
        <is>
          <t>SCA</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1269-2024</t>
        </is>
      </c>
      <c r="B2510" s="1" t="n">
        <v>45302</v>
      </c>
      <c r="C2510" s="1" t="n">
        <v>45637</v>
      </c>
      <c r="D2510" t="inlineStr">
        <is>
          <t>VÄSTERNORRLANDS LÄN</t>
        </is>
      </c>
      <c r="E2510" t="inlineStr">
        <is>
          <t>SOLLEFTEÅ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1173-2024</t>
        </is>
      </c>
      <c r="B2511" s="1" t="n">
        <v>45302</v>
      </c>
      <c r="C2511" s="1" t="n">
        <v>45637</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1268-2024</t>
        </is>
      </c>
      <c r="B2512" s="1" t="n">
        <v>45302</v>
      </c>
      <c r="C2512" s="1" t="n">
        <v>45637</v>
      </c>
      <c r="D2512" t="inlineStr">
        <is>
          <t>VÄSTERNORRLANDS LÄN</t>
        </is>
      </c>
      <c r="E2512" t="inlineStr">
        <is>
          <t>SOLLEFTEÅ</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1459-2024</t>
        </is>
      </c>
      <c r="B2513" s="1" t="n">
        <v>45303</v>
      </c>
      <c r="C2513" s="1" t="n">
        <v>45637</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1678-2024</t>
        </is>
      </c>
      <c r="B2514" s="1" t="n">
        <v>45307</v>
      </c>
      <c r="C2514" s="1" t="n">
        <v>45637</v>
      </c>
      <c r="D2514" t="inlineStr">
        <is>
          <t>VÄSTERNORRLANDS LÄN</t>
        </is>
      </c>
      <c r="E2514" t="inlineStr">
        <is>
          <t>SOLLEFTEÅ</t>
        </is>
      </c>
      <c r="F2514" t="inlineStr">
        <is>
          <t>SCA</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1679-2024</t>
        </is>
      </c>
      <c r="B2515" s="1" t="n">
        <v>45306</v>
      </c>
      <c r="C2515" s="1" t="n">
        <v>45637</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1840-2024</t>
        </is>
      </c>
      <c r="B2516" s="1" t="n">
        <v>45307</v>
      </c>
      <c r="C2516" s="1" t="n">
        <v>45637</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1844-2024</t>
        </is>
      </c>
      <c r="B2517" s="1" t="n">
        <v>45307</v>
      </c>
      <c r="C2517" s="1" t="n">
        <v>45637</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1848-2024</t>
        </is>
      </c>
      <c r="B2518" s="1" t="n">
        <v>45307</v>
      </c>
      <c r="C2518" s="1" t="n">
        <v>45637</v>
      </c>
      <c r="D2518" t="inlineStr">
        <is>
          <t>VÄSTERNORRLANDS LÄN</t>
        </is>
      </c>
      <c r="E2518" t="inlineStr">
        <is>
          <t>SOLLEFTEÅ</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1880-2024</t>
        </is>
      </c>
      <c r="B2519" s="1" t="n">
        <v>45307</v>
      </c>
      <c r="C2519" s="1" t="n">
        <v>45637</v>
      </c>
      <c r="D2519" t="inlineStr">
        <is>
          <t>VÄSTERNORRLANDS LÄN</t>
        </is>
      </c>
      <c r="E2519" t="inlineStr">
        <is>
          <t>SOLLEFTEÅ</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1878-2024</t>
        </is>
      </c>
      <c r="B2520" s="1" t="n">
        <v>45307</v>
      </c>
      <c r="C2520" s="1" t="n">
        <v>45637</v>
      </c>
      <c r="D2520" t="inlineStr">
        <is>
          <t>VÄSTERNORRLANDS LÄN</t>
        </is>
      </c>
      <c r="E2520" t="inlineStr">
        <is>
          <t>SOLLEFTEÅ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2223-2024</t>
        </is>
      </c>
      <c r="B2521" s="1" t="n">
        <v>45309</v>
      </c>
      <c r="C2521" s="1" t="n">
        <v>45637</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2232-2024</t>
        </is>
      </c>
      <c r="B2522" s="1" t="n">
        <v>45309</v>
      </c>
      <c r="C2522" s="1" t="n">
        <v>45637</v>
      </c>
      <c r="D2522" t="inlineStr">
        <is>
          <t>VÄSTERNORRLANDS LÄN</t>
        </is>
      </c>
      <c r="E2522" t="inlineStr">
        <is>
          <t>SOLLEFTEÅ</t>
        </is>
      </c>
      <c r="F2522" t="inlineStr">
        <is>
          <t>SCA</t>
        </is>
      </c>
      <c r="G2522" t="n">
        <v>58.3</v>
      </c>
      <c r="H2522" t="n">
        <v>0</v>
      </c>
      <c r="I2522" t="n">
        <v>0</v>
      </c>
      <c r="J2522" t="n">
        <v>0</v>
      </c>
      <c r="K2522" t="n">
        <v>0</v>
      </c>
      <c r="L2522" t="n">
        <v>0</v>
      </c>
      <c r="M2522" t="n">
        <v>0</v>
      </c>
      <c r="N2522" t="n">
        <v>0</v>
      </c>
      <c r="O2522" t="n">
        <v>0</v>
      </c>
      <c r="P2522" t="n">
        <v>0</v>
      </c>
      <c r="Q2522" t="n">
        <v>0</v>
      </c>
      <c r="R2522" s="2" t="inlineStr"/>
    </row>
    <row r="2523" ht="15" customHeight="1">
      <c r="A2523" t="inlineStr">
        <is>
          <t>A 2229-2024</t>
        </is>
      </c>
      <c r="B2523" s="1" t="n">
        <v>45309</v>
      </c>
      <c r="C2523" s="1" t="n">
        <v>45637</v>
      </c>
      <c r="D2523" t="inlineStr">
        <is>
          <t>VÄSTERNORRLANDS LÄN</t>
        </is>
      </c>
      <c r="E2523" t="inlineStr">
        <is>
          <t>SOLLEFTEÅ</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2233-2024</t>
        </is>
      </c>
      <c r="B2524" s="1" t="n">
        <v>45309</v>
      </c>
      <c r="C2524" s="1" t="n">
        <v>45637</v>
      </c>
      <c r="D2524" t="inlineStr">
        <is>
          <t>VÄSTERNORRLANDS LÄN</t>
        </is>
      </c>
      <c r="E2524" t="inlineStr">
        <is>
          <t>SOLLEFTEÅ</t>
        </is>
      </c>
      <c r="F2524" t="inlineStr">
        <is>
          <t>SCA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2425-2024</t>
        </is>
      </c>
      <c r="B2525" s="1" t="n">
        <v>45310</v>
      </c>
      <c r="C2525" s="1" t="n">
        <v>45637</v>
      </c>
      <c r="D2525" t="inlineStr">
        <is>
          <t>VÄSTERNORRLANDS LÄN</t>
        </is>
      </c>
      <c r="E2525" t="inlineStr">
        <is>
          <t>SOLLEFTEÅ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2703-2024</t>
        </is>
      </c>
      <c r="B2526" s="1" t="n">
        <v>45314</v>
      </c>
      <c r="C2526" s="1" t="n">
        <v>45637</v>
      </c>
      <c r="D2526" t="inlineStr">
        <is>
          <t>VÄSTERNORRLANDS LÄN</t>
        </is>
      </c>
      <c r="E2526" t="inlineStr">
        <is>
          <t>SOLLEFTEÅ</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2816-2024</t>
        </is>
      </c>
      <c r="B2527" s="1" t="n">
        <v>45314</v>
      </c>
      <c r="C2527" s="1" t="n">
        <v>45637</v>
      </c>
      <c r="D2527" t="inlineStr">
        <is>
          <t>VÄSTERNORRLANDS LÄN</t>
        </is>
      </c>
      <c r="E2527" t="inlineStr">
        <is>
          <t>SOLLEFTEÅ</t>
        </is>
      </c>
      <c r="F2527" t="inlineStr">
        <is>
          <t>Holmen skog AB</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2850-2024</t>
        </is>
      </c>
      <c r="B2528" s="1" t="n">
        <v>45315</v>
      </c>
      <c r="C2528" s="1" t="n">
        <v>45637</v>
      </c>
      <c r="D2528" t="inlineStr">
        <is>
          <t>VÄSTERNORRLANDS LÄN</t>
        </is>
      </c>
      <c r="E2528" t="inlineStr">
        <is>
          <t>SOLLEFTEÅ</t>
        </is>
      </c>
      <c r="G2528" t="n">
        <v>15.1</v>
      </c>
      <c r="H2528" t="n">
        <v>0</v>
      </c>
      <c r="I2528" t="n">
        <v>0</v>
      </c>
      <c r="J2528" t="n">
        <v>0</v>
      </c>
      <c r="K2528" t="n">
        <v>0</v>
      </c>
      <c r="L2528" t="n">
        <v>0</v>
      </c>
      <c r="M2528" t="n">
        <v>0</v>
      </c>
      <c r="N2528" t="n">
        <v>0</v>
      </c>
      <c r="O2528" t="n">
        <v>0</v>
      </c>
      <c r="P2528" t="n">
        <v>0</v>
      </c>
      <c r="Q2528" t="n">
        <v>0</v>
      </c>
      <c r="R2528" s="2" t="inlineStr"/>
    </row>
    <row r="2529" ht="15" customHeight="1">
      <c r="A2529" t="inlineStr">
        <is>
          <t>A 3211-2024</t>
        </is>
      </c>
      <c r="B2529" s="1" t="n">
        <v>45316</v>
      </c>
      <c r="C2529" s="1" t="n">
        <v>45637</v>
      </c>
      <c r="D2529" t="inlineStr">
        <is>
          <t>VÄSTERNORRLANDS LÄN</t>
        </is>
      </c>
      <c r="E2529" t="inlineStr">
        <is>
          <t>SOLLEFTEÅ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3231-2024</t>
        </is>
      </c>
      <c r="B2530" s="1" t="n">
        <v>45316</v>
      </c>
      <c r="C2530" s="1" t="n">
        <v>45637</v>
      </c>
      <c r="D2530" t="inlineStr">
        <is>
          <t>VÄSTERNORRLANDS LÄN</t>
        </is>
      </c>
      <c r="E2530" t="inlineStr">
        <is>
          <t>SOLLEFTEÅ</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3234-2024</t>
        </is>
      </c>
      <c r="B2531" s="1" t="n">
        <v>45316</v>
      </c>
      <c r="C2531" s="1" t="n">
        <v>45637</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3241-2024</t>
        </is>
      </c>
      <c r="B2532" s="1" t="n">
        <v>45316</v>
      </c>
      <c r="C2532" s="1" t="n">
        <v>45637</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3252-2024</t>
        </is>
      </c>
      <c r="B2533" s="1" t="n">
        <v>45316</v>
      </c>
      <c r="C2533" s="1" t="n">
        <v>45637</v>
      </c>
      <c r="D2533" t="inlineStr">
        <is>
          <t>VÄSTERNORRLANDS LÄN</t>
        </is>
      </c>
      <c r="E2533" t="inlineStr">
        <is>
          <t>SOLLEFTEÅ</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3388-2024</t>
        </is>
      </c>
      <c r="B2534" s="1" t="n">
        <v>45317</v>
      </c>
      <c r="C2534" s="1" t="n">
        <v>45637</v>
      </c>
      <c r="D2534" t="inlineStr">
        <is>
          <t>VÄSTERNORRLANDS LÄN</t>
        </is>
      </c>
      <c r="E2534" t="inlineStr">
        <is>
          <t>SOLLEFTEÅ</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3621-2024</t>
        </is>
      </c>
      <c r="B2535" s="1" t="n">
        <v>45320</v>
      </c>
      <c r="C2535" s="1" t="n">
        <v>45637</v>
      </c>
      <c r="D2535" t="inlineStr">
        <is>
          <t>VÄSTERNORRLANDS LÄN</t>
        </is>
      </c>
      <c r="E2535" t="inlineStr">
        <is>
          <t>SOLLEFTEÅ</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3633-2024</t>
        </is>
      </c>
      <c r="B2536" s="1" t="n">
        <v>45320</v>
      </c>
      <c r="C2536" s="1" t="n">
        <v>45637</v>
      </c>
      <c r="D2536" t="inlineStr">
        <is>
          <t>VÄSTERNORRLANDS LÄN</t>
        </is>
      </c>
      <c r="E2536" t="inlineStr">
        <is>
          <t>SOLLEFTEÅ</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3832-2024</t>
        </is>
      </c>
      <c r="B2537" s="1" t="n">
        <v>45321</v>
      </c>
      <c r="C2537" s="1" t="n">
        <v>45637</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3847-2024</t>
        </is>
      </c>
      <c r="B2538" s="1" t="n">
        <v>45322</v>
      </c>
      <c r="C2538" s="1" t="n">
        <v>45637</v>
      </c>
      <c r="D2538" t="inlineStr">
        <is>
          <t>VÄSTERNORRLANDS LÄN</t>
        </is>
      </c>
      <c r="E2538" t="inlineStr">
        <is>
          <t>SOLLEFTEÅ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3990-2024</t>
        </is>
      </c>
      <c r="B2539" s="1" t="n">
        <v>45322</v>
      </c>
      <c r="C2539" s="1" t="n">
        <v>45637</v>
      </c>
      <c r="D2539" t="inlineStr">
        <is>
          <t>VÄSTERNORRLANDS LÄN</t>
        </is>
      </c>
      <c r="E2539" t="inlineStr">
        <is>
          <t>SOLLEFTEÅ</t>
        </is>
      </c>
      <c r="F2539" t="inlineStr">
        <is>
          <t>SCA</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3998-2024</t>
        </is>
      </c>
      <c r="B2540" s="1" t="n">
        <v>45322</v>
      </c>
      <c r="C2540" s="1" t="n">
        <v>45637</v>
      </c>
      <c r="D2540" t="inlineStr">
        <is>
          <t>VÄSTERNORRLANDS LÄN</t>
        </is>
      </c>
      <c r="E2540" t="inlineStr">
        <is>
          <t>SOLLEFTEÅ</t>
        </is>
      </c>
      <c r="F2540" t="inlineStr">
        <is>
          <t>SCA</t>
        </is>
      </c>
      <c r="G2540" t="n">
        <v>23.9</v>
      </c>
      <c r="H2540" t="n">
        <v>0</v>
      </c>
      <c r="I2540" t="n">
        <v>0</v>
      </c>
      <c r="J2540" t="n">
        <v>0</v>
      </c>
      <c r="K2540" t="n">
        <v>0</v>
      </c>
      <c r="L2540" t="n">
        <v>0</v>
      </c>
      <c r="M2540" t="n">
        <v>0</v>
      </c>
      <c r="N2540" t="n">
        <v>0</v>
      </c>
      <c r="O2540" t="n">
        <v>0</v>
      </c>
      <c r="P2540" t="n">
        <v>0</v>
      </c>
      <c r="Q2540" t="n">
        <v>0</v>
      </c>
      <c r="R2540" s="2" t="inlineStr"/>
    </row>
    <row r="2541" ht="15" customHeight="1">
      <c r="A2541" t="inlineStr">
        <is>
          <t>A 3991-2024</t>
        </is>
      </c>
      <c r="B2541" s="1" t="n">
        <v>45322</v>
      </c>
      <c r="C2541" s="1" t="n">
        <v>45637</v>
      </c>
      <c r="D2541" t="inlineStr">
        <is>
          <t>VÄSTERNORRLANDS LÄN</t>
        </is>
      </c>
      <c r="E2541" t="inlineStr">
        <is>
          <t>SOLLEFTEÅ</t>
        </is>
      </c>
      <c r="F2541" t="inlineStr">
        <is>
          <t>SCA</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4061-2024</t>
        </is>
      </c>
      <c r="B2542" s="1" t="n">
        <v>45323</v>
      </c>
      <c r="C2542" s="1" t="n">
        <v>45637</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4064-2024</t>
        </is>
      </c>
      <c r="B2543" s="1" t="n">
        <v>45323</v>
      </c>
      <c r="C2543" s="1" t="n">
        <v>45637</v>
      </c>
      <c r="D2543" t="inlineStr">
        <is>
          <t>VÄSTERNORRLANDS LÄN</t>
        </is>
      </c>
      <c r="E2543" t="inlineStr">
        <is>
          <t>SOLLEFTEÅ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4167-2024</t>
        </is>
      </c>
      <c r="B2544" s="1" t="n">
        <v>45323</v>
      </c>
      <c r="C2544" s="1" t="n">
        <v>45637</v>
      </c>
      <c r="D2544" t="inlineStr">
        <is>
          <t>VÄSTERNORRLANDS LÄN</t>
        </is>
      </c>
      <c r="E2544" t="inlineStr">
        <is>
          <t>SOLLEFTEÅ</t>
        </is>
      </c>
      <c r="F2544" t="inlineStr">
        <is>
          <t>SCA</t>
        </is>
      </c>
      <c r="G2544" t="n">
        <v>13.7</v>
      </c>
      <c r="H2544" t="n">
        <v>0</v>
      </c>
      <c r="I2544" t="n">
        <v>0</v>
      </c>
      <c r="J2544" t="n">
        <v>0</v>
      </c>
      <c r="K2544" t="n">
        <v>0</v>
      </c>
      <c r="L2544" t="n">
        <v>0</v>
      </c>
      <c r="M2544" t="n">
        <v>0</v>
      </c>
      <c r="N2544" t="n">
        <v>0</v>
      </c>
      <c r="O2544" t="n">
        <v>0</v>
      </c>
      <c r="P2544" t="n">
        <v>0</v>
      </c>
      <c r="Q2544" t="n">
        <v>0</v>
      </c>
      <c r="R2544" s="2" t="inlineStr"/>
    </row>
    <row r="2545" ht="15" customHeight="1">
      <c r="A2545" t="inlineStr">
        <is>
          <t>A 4168-2024</t>
        </is>
      </c>
      <c r="B2545" s="1" t="n">
        <v>45323</v>
      </c>
      <c r="C2545" s="1" t="n">
        <v>45637</v>
      </c>
      <c r="D2545" t="inlineStr">
        <is>
          <t>VÄSTERNORRLANDS LÄN</t>
        </is>
      </c>
      <c r="E2545" t="inlineStr">
        <is>
          <t>SOLLEFTEÅ</t>
        </is>
      </c>
      <c r="F2545" t="inlineStr">
        <is>
          <t>SCA</t>
        </is>
      </c>
      <c r="G2545" t="n">
        <v>22.1</v>
      </c>
      <c r="H2545" t="n">
        <v>0</v>
      </c>
      <c r="I2545" t="n">
        <v>0</v>
      </c>
      <c r="J2545" t="n">
        <v>0</v>
      </c>
      <c r="K2545" t="n">
        <v>0</v>
      </c>
      <c r="L2545" t="n">
        <v>0</v>
      </c>
      <c r="M2545" t="n">
        <v>0</v>
      </c>
      <c r="N2545" t="n">
        <v>0</v>
      </c>
      <c r="O2545" t="n">
        <v>0</v>
      </c>
      <c r="P2545" t="n">
        <v>0</v>
      </c>
      <c r="Q2545" t="n">
        <v>0</v>
      </c>
      <c r="R2545" s="2" t="inlineStr"/>
    </row>
    <row r="2546" ht="15" customHeight="1">
      <c r="A2546" t="inlineStr">
        <is>
          <t>A 4348-2024</t>
        </is>
      </c>
      <c r="B2546" s="1" t="n">
        <v>45324</v>
      </c>
      <c r="C2546" s="1" t="n">
        <v>45637</v>
      </c>
      <c r="D2546" t="inlineStr">
        <is>
          <t>VÄSTERNORRLANDS LÄN</t>
        </is>
      </c>
      <c r="E2546" t="inlineStr">
        <is>
          <t>SOLLEFTEÅ</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4352-2024</t>
        </is>
      </c>
      <c r="B2547" s="1" t="n">
        <v>45324</v>
      </c>
      <c r="C2547" s="1" t="n">
        <v>45637</v>
      </c>
      <c r="D2547" t="inlineStr">
        <is>
          <t>VÄSTERNORRLANDS LÄN</t>
        </is>
      </c>
      <c r="E2547" t="inlineStr">
        <is>
          <t>SOLLEFTEÅ</t>
        </is>
      </c>
      <c r="F2547" t="inlineStr">
        <is>
          <t>SCA</t>
        </is>
      </c>
      <c r="G2547" t="n">
        <v>24.7</v>
      </c>
      <c r="H2547" t="n">
        <v>0</v>
      </c>
      <c r="I2547" t="n">
        <v>0</v>
      </c>
      <c r="J2547" t="n">
        <v>0</v>
      </c>
      <c r="K2547" t="n">
        <v>0</v>
      </c>
      <c r="L2547" t="n">
        <v>0</v>
      </c>
      <c r="M2547" t="n">
        <v>0</v>
      </c>
      <c r="N2547" t="n">
        <v>0</v>
      </c>
      <c r="O2547" t="n">
        <v>0</v>
      </c>
      <c r="P2547" t="n">
        <v>0</v>
      </c>
      <c r="Q2547" t="n">
        <v>0</v>
      </c>
      <c r="R2547" s="2" t="inlineStr"/>
    </row>
    <row r="2548" ht="15" customHeight="1">
      <c r="A2548" t="inlineStr">
        <is>
          <t>A 4347-2024</t>
        </is>
      </c>
      <c r="B2548" s="1" t="n">
        <v>45324</v>
      </c>
      <c r="C2548" s="1" t="n">
        <v>45637</v>
      </c>
      <c r="D2548" t="inlineStr">
        <is>
          <t>VÄSTERNORRLANDS LÄN</t>
        </is>
      </c>
      <c r="E2548" t="inlineStr">
        <is>
          <t>SOLLEFTEÅ</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4349-2024</t>
        </is>
      </c>
      <c r="B2549" s="1" t="n">
        <v>45324</v>
      </c>
      <c r="C2549" s="1" t="n">
        <v>45637</v>
      </c>
      <c r="D2549" t="inlineStr">
        <is>
          <t>VÄSTERNORRLANDS LÄN</t>
        </is>
      </c>
      <c r="E2549" t="inlineStr">
        <is>
          <t>SOLLEFTEÅ</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4546-2024</t>
        </is>
      </c>
      <c r="B2550" s="1" t="n">
        <v>45327</v>
      </c>
      <c r="C2550" s="1" t="n">
        <v>45637</v>
      </c>
      <c r="D2550" t="inlineStr">
        <is>
          <t>VÄSTERNORRLANDS LÄN</t>
        </is>
      </c>
      <c r="E2550" t="inlineStr">
        <is>
          <t>SOLLEFTEÅ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4595-2024</t>
        </is>
      </c>
      <c r="B2551" s="1" t="n">
        <v>45327</v>
      </c>
      <c r="C2551" s="1" t="n">
        <v>45637</v>
      </c>
      <c r="D2551" t="inlineStr">
        <is>
          <t>VÄSTERNORRLANDS LÄN</t>
        </is>
      </c>
      <c r="E2551" t="inlineStr">
        <is>
          <t>SOLLEFTEÅ</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4809-2024</t>
        </is>
      </c>
      <c r="B2552" s="1" t="n">
        <v>45328</v>
      </c>
      <c r="C2552" s="1" t="n">
        <v>45637</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4813-2024</t>
        </is>
      </c>
      <c r="B2553" s="1" t="n">
        <v>45328</v>
      </c>
      <c r="C2553" s="1" t="n">
        <v>45637</v>
      </c>
      <c r="D2553" t="inlineStr">
        <is>
          <t>VÄSTERNORRLANDS LÄN</t>
        </is>
      </c>
      <c r="E2553" t="inlineStr">
        <is>
          <t>SOLLEFTEÅ</t>
        </is>
      </c>
      <c r="F2553" t="inlineStr">
        <is>
          <t>SCA</t>
        </is>
      </c>
      <c r="G2553" t="n">
        <v>26.6</v>
      </c>
      <c r="H2553" t="n">
        <v>0</v>
      </c>
      <c r="I2553" t="n">
        <v>0</v>
      </c>
      <c r="J2553" t="n">
        <v>0</v>
      </c>
      <c r="K2553" t="n">
        <v>0</v>
      </c>
      <c r="L2553" t="n">
        <v>0</v>
      </c>
      <c r="M2553" t="n">
        <v>0</v>
      </c>
      <c r="N2553" t="n">
        <v>0</v>
      </c>
      <c r="O2553" t="n">
        <v>0</v>
      </c>
      <c r="P2553" t="n">
        <v>0</v>
      </c>
      <c r="Q2553" t="n">
        <v>0</v>
      </c>
      <c r="R2553" s="2" t="inlineStr"/>
    </row>
    <row r="2554" ht="15" customHeight="1">
      <c r="A2554" t="inlineStr">
        <is>
          <t>A 4808-2024</t>
        </is>
      </c>
      <c r="B2554" s="1" t="n">
        <v>45328</v>
      </c>
      <c r="C2554" s="1" t="n">
        <v>45637</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4812-2024</t>
        </is>
      </c>
      <c r="B2555" s="1" t="n">
        <v>45328</v>
      </c>
      <c r="C2555" s="1" t="n">
        <v>45637</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4857-2024</t>
        </is>
      </c>
      <c r="B2556" s="1" t="n">
        <v>45329</v>
      </c>
      <c r="C2556" s="1" t="n">
        <v>45637</v>
      </c>
      <c r="D2556" t="inlineStr">
        <is>
          <t>VÄSTERNORRLANDS LÄN</t>
        </is>
      </c>
      <c r="E2556" t="inlineStr">
        <is>
          <t>SOLLEFTEÅ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5035-2024</t>
        </is>
      </c>
      <c r="B2557" s="1" t="n">
        <v>45329</v>
      </c>
      <c r="C2557" s="1" t="n">
        <v>45637</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5057-2024</t>
        </is>
      </c>
      <c r="B2558" s="1" t="n">
        <v>45329</v>
      </c>
      <c r="C2558" s="1" t="n">
        <v>45637</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5036-2024</t>
        </is>
      </c>
      <c r="B2559" s="1" t="n">
        <v>45329</v>
      </c>
      <c r="C2559" s="1" t="n">
        <v>45637</v>
      </c>
      <c r="D2559" t="inlineStr">
        <is>
          <t>VÄSTERNORRLANDS LÄN</t>
        </is>
      </c>
      <c r="E2559" t="inlineStr">
        <is>
          <t>SOLLEFTEÅ</t>
        </is>
      </c>
      <c r="F2559" t="inlineStr">
        <is>
          <t>Övriga Aktiebolag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5040-2024</t>
        </is>
      </c>
      <c r="B2560" s="1" t="n">
        <v>45329</v>
      </c>
      <c r="C2560" s="1" t="n">
        <v>45637</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5072-2024</t>
        </is>
      </c>
      <c r="B2561" s="1" t="n">
        <v>45330</v>
      </c>
      <c r="C2561" s="1" t="n">
        <v>45637</v>
      </c>
      <c r="D2561" t="inlineStr">
        <is>
          <t>VÄSTERNORRLANDS LÄN</t>
        </is>
      </c>
      <c r="E2561" t="inlineStr">
        <is>
          <t>SOLLEFTEÅ</t>
        </is>
      </c>
      <c r="F2561" t="inlineStr">
        <is>
          <t>Övriga Aktiebolag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5064-2024</t>
        </is>
      </c>
      <c r="B2562" s="1" t="n">
        <v>45329</v>
      </c>
      <c r="C2562" s="1" t="n">
        <v>45637</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5061-2024</t>
        </is>
      </c>
      <c r="B2563" s="1" t="n">
        <v>45329</v>
      </c>
      <c r="C2563" s="1" t="n">
        <v>45637</v>
      </c>
      <c r="D2563" t="inlineStr">
        <is>
          <t>VÄSTERNORRLANDS LÄN</t>
        </is>
      </c>
      <c r="E2563" t="inlineStr">
        <is>
          <t>SOLLEFTEÅ</t>
        </is>
      </c>
      <c r="F2563" t="inlineStr">
        <is>
          <t>SCA</t>
        </is>
      </c>
      <c r="G2563" t="n">
        <v>34.1</v>
      </c>
      <c r="H2563" t="n">
        <v>0</v>
      </c>
      <c r="I2563" t="n">
        <v>0</v>
      </c>
      <c r="J2563" t="n">
        <v>0</v>
      </c>
      <c r="K2563" t="n">
        <v>0</v>
      </c>
      <c r="L2563" t="n">
        <v>0</v>
      </c>
      <c r="M2563" t="n">
        <v>0</v>
      </c>
      <c r="N2563" t="n">
        <v>0</v>
      </c>
      <c r="O2563" t="n">
        <v>0</v>
      </c>
      <c r="P2563" t="n">
        <v>0</v>
      </c>
      <c r="Q2563" t="n">
        <v>0</v>
      </c>
      <c r="R2563" s="2" t="inlineStr"/>
    </row>
    <row r="2564" ht="15" customHeight="1">
      <c r="A2564" t="inlineStr">
        <is>
          <t>A 5073-2024</t>
        </is>
      </c>
      <c r="B2564" s="1" t="n">
        <v>45330</v>
      </c>
      <c r="C2564" s="1" t="n">
        <v>45637</v>
      </c>
      <c r="D2564" t="inlineStr">
        <is>
          <t>VÄSTERNORRLANDS LÄN</t>
        </is>
      </c>
      <c r="E2564" t="inlineStr">
        <is>
          <t>SOLLEFTEÅ</t>
        </is>
      </c>
      <c r="F2564" t="inlineStr">
        <is>
          <t>Övriga Aktiebolag</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5034-2024</t>
        </is>
      </c>
      <c r="B2565" s="1" t="n">
        <v>45329</v>
      </c>
      <c r="C2565" s="1" t="n">
        <v>45637</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5038-2024</t>
        </is>
      </c>
      <c r="B2566" s="1" t="n">
        <v>45329</v>
      </c>
      <c r="C2566" s="1" t="n">
        <v>45637</v>
      </c>
      <c r="D2566" t="inlineStr">
        <is>
          <t>VÄSTERNORRLANDS LÄN</t>
        </is>
      </c>
      <c r="E2566" t="inlineStr">
        <is>
          <t>SOLLEFTEÅ</t>
        </is>
      </c>
      <c r="F2566" t="inlineStr">
        <is>
          <t>Övriga Aktiebolag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5062-2024</t>
        </is>
      </c>
      <c r="B2567" s="1" t="n">
        <v>45329</v>
      </c>
      <c r="C2567" s="1" t="n">
        <v>45637</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5058-2024</t>
        </is>
      </c>
      <c r="B2568" s="1" t="n">
        <v>45329</v>
      </c>
      <c r="C2568" s="1" t="n">
        <v>45637</v>
      </c>
      <c r="D2568" t="inlineStr">
        <is>
          <t>VÄSTERNORRLANDS LÄN</t>
        </is>
      </c>
      <c r="E2568" t="inlineStr">
        <is>
          <t>SOLLEFTEÅ</t>
        </is>
      </c>
      <c r="F2568" t="inlineStr">
        <is>
          <t>SCA</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5074-2024</t>
        </is>
      </c>
      <c r="B2569" s="1" t="n">
        <v>45330</v>
      </c>
      <c r="C2569" s="1" t="n">
        <v>45637</v>
      </c>
      <c r="D2569" t="inlineStr">
        <is>
          <t>VÄSTERNORRLANDS LÄN</t>
        </is>
      </c>
      <c r="E2569" t="inlineStr">
        <is>
          <t>SOLLEFTEÅ</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5059-2024</t>
        </is>
      </c>
      <c r="B2570" s="1" t="n">
        <v>45329</v>
      </c>
      <c r="C2570" s="1" t="n">
        <v>45637</v>
      </c>
      <c r="D2570" t="inlineStr">
        <is>
          <t>VÄSTERNORRLANDS LÄN</t>
        </is>
      </c>
      <c r="E2570" t="inlineStr">
        <is>
          <t>SOLLEFTEÅ</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5075-2024</t>
        </is>
      </c>
      <c r="B2571" s="1" t="n">
        <v>45329</v>
      </c>
      <c r="C2571" s="1" t="n">
        <v>45637</v>
      </c>
      <c r="D2571" t="inlineStr">
        <is>
          <t>VÄSTERNORRLANDS LÄN</t>
        </is>
      </c>
      <c r="E2571" t="inlineStr">
        <is>
          <t>SOLLEFTEÅ</t>
        </is>
      </c>
      <c r="F2571" t="inlineStr">
        <is>
          <t>Övriga Aktiebolag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5063-2024</t>
        </is>
      </c>
      <c r="B2572" s="1" t="n">
        <v>45329</v>
      </c>
      <c r="C2572" s="1" t="n">
        <v>45637</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5256-2024</t>
        </is>
      </c>
      <c r="B2573" s="1" t="n">
        <v>45330</v>
      </c>
      <c r="C2573" s="1" t="n">
        <v>45637</v>
      </c>
      <c r="D2573" t="inlineStr">
        <is>
          <t>VÄSTERNORRLANDS LÄN</t>
        </is>
      </c>
      <c r="E2573" t="inlineStr">
        <is>
          <t>SOLLEFTEÅ</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5255-2024</t>
        </is>
      </c>
      <c r="B2574" s="1" t="n">
        <v>45330</v>
      </c>
      <c r="C2574" s="1" t="n">
        <v>45637</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5254-2024</t>
        </is>
      </c>
      <c r="B2575" s="1" t="n">
        <v>45330</v>
      </c>
      <c r="C2575" s="1" t="n">
        <v>45637</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5253-2024</t>
        </is>
      </c>
      <c r="B2576" s="1" t="n">
        <v>45330</v>
      </c>
      <c r="C2576" s="1" t="n">
        <v>45637</v>
      </c>
      <c r="D2576" t="inlineStr">
        <is>
          <t>VÄSTERNORRLANDS LÄN</t>
        </is>
      </c>
      <c r="E2576" t="inlineStr">
        <is>
          <t>SOLLEFTEÅ</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5446-2024</t>
        </is>
      </c>
      <c r="B2577" s="1" t="n">
        <v>45331</v>
      </c>
      <c r="C2577" s="1" t="n">
        <v>45637</v>
      </c>
      <c r="D2577" t="inlineStr">
        <is>
          <t>VÄSTERNORRLANDS LÄN</t>
        </is>
      </c>
      <c r="E2577" t="inlineStr">
        <is>
          <t>SOLLEFTEÅ</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5452-2024</t>
        </is>
      </c>
      <c r="B2578" s="1" t="n">
        <v>45331</v>
      </c>
      <c r="C2578" s="1" t="n">
        <v>45637</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5854-2024</t>
        </is>
      </c>
      <c r="B2579" s="1" t="n">
        <v>45335</v>
      </c>
      <c r="C2579" s="1" t="n">
        <v>45637</v>
      </c>
      <c r="D2579" t="inlineStr">
        <is>
          <t>VÄSTERNORRLANDS LÄN</t>
        </is>
      </c>
      <c r="E2579" t="inlineStr">
        <is>
          <t>SOLLEFTEÅ</t>
        </is>
      </c>
      <c r="F2579" t="inlineStr">
        <is>
          <t>Övriga Aktiebolag</t>
        </is>
      </c>
      <c r="G2579" t="n">
        <v>24.9</v>
      </c>
      <c r="H2579" t="n">
        <v>0</v>
      </c>
      <c r="I2579" t="n">
        <v>0</v>
      </c>
      <c r="J2579" t="n">
        <v>0</v>
      </c>
      <c r="K2579" t="n">
        <v>0</v>
      </c>
      <c r="L2579" t="n">
        <v>0</v>
      </c>
      <c r="M2579" t="n">
        <v>0</v>
      </c>
      <c r="N2579" t="n">
        <v>0</v>
      </c>
      <c r="O2579" t="n">
        <v>0</v>
      </c>
      <c r="P2579" t="n">
        <v>0</v>
      </c>
      <c r="Q2579" t="n">
        <v>0</v>
      </c>
      <c r="R2579" s="2" t="inlineStr"/>
    </row>
    <row r="2580" ht="15" customHeight="1">
      <c r="A2580" t="inlineStr">
        <is>
          <t>A 5874-2024</t>
        </is>
      </c>
      <c r="B2580" s="1" t="n">
        <v>45335</v>
      </c>
      <c r="C2580" s="1" t="n">
        <v>45637</v>
      </c>
      <c r="D2580" t="inlineStr">
        <is>
          <t>VÄSTERNORRLANDS LÄN</t>
        </is>
      </c>
      <c r="E2580" t="inlineStr">
        <is>
          <t>SOLLEFTEÅ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5867-2024</t>
        </is>
      </c>
      <c r="B2581" s="1" t="n">
        <v>45335</v>
      </c>
      <c r="C2581" s="1" t="n">
        <v>45637</v>
      </c>
      <c r="D2581" t="inlineStr">
        <is>
          <t>VÄSTERNORRLANDS LÄN</t>
        </is>
      </c>
      <c r="E2581" t="inlineStr">
        <is>
          <t>SOLLEFTEÅ</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5871-2024</t>
        </is>
      </c>
      <c r="B2582" s="1" t="n">
        <v>45335</v>
      </c>
      <c r="C2582" s="1" t="n">
        <v>45637</v>
      </c>
      <c r="D2582" t="inlineStr">
        <is>
          <t>VÄSTERNORRLANDS LÄN</t>
        </is>
      </c>
      <c r="E2582" t="inlineStr">
        <is>
          <t>SOLLEFTEÅ</t>
        </is>
      </c>
      <c r="F2582" t="inlineStr">
        <is>
          <t>Övriga Aktiebolag</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5882-2024</t>
        </is>
      </c>
      <c r="B2583" s="1" t="n">
        <v>45335</v>
      </c>
      <c r="C2583" s="1" t="n">
        <v>45637</v>
      </c>
      <c r="D2583" t="inlineStr">
        <is>
          <t>VÄSTERNORRLANDS LÄN</t>
        </is>
      </c>
      <c r="E2583" t="inlineStr">
        <is>
          <t>SOLLEFTEÅ</t>
        </is>
      </c>
      <c r="F2583" t="inlineStr">
        <is>
          <t>Övriga Aktiebolag</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5919-2024</t>
        </is>
      </c>
      <c r="B2584" s="1" t="n">
        <v>45335</v>
      </c>
      <c r="C2584" s="1" t="n">
        <v>45637</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5909-2024</t>
        </is>
      </c>
      <c r="B2585" s="1" t="n">
        <v>45335</v>
      </c>
      <c r="C2585" s="1" t="n">
        <v>45637</v>
      </c>
      <c r="D2585" t="inlineStr">
        <is>
          <t>VÄSTERNORRLANDS LÄN</t>
        </is>
      </c>
      <c r="E2585" t="inlineStr">
        <is>
          <t>SOLLEFTEÅ</t>
        </is>
      </c>
      <c r="F2585" t="inlineStr">
        <is>
          <t>SCA</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5917-2024</t>
        </is>
      </c>
      <c r="B2586" s="1" t="n">
        <v>45335</v>
      </c>
      <c r="C2586" s="1" t="n">
        <v>45637</v>
      </c>
      <c r="D2586" t="inlineStr">
        <is>
          <t>VÄSTERNORRLANDS LÄN</t>
        </is>
      </c>
      <c r="E2586" t="inlineStr">
        <is>
          <t>SOLLEFTEÅ</t>
        </is>
      </c>
      <c r="F2586" t="inlineStr">
        <is>
          <t>SCA</t>
        </is>
      </c>
      <c r="G2586" t="n">
        <v>21.2</v>
      </c>
      <c r="H2586" t="n">
        <v>0</v>
      </c>
      <c r="I2586" t="n">
        <v>0</v>
      </c>
      <c r="J2586" t="n">
        <v>0</v>
      </c>
      <c r="K2586" t="n">
        <v>0</v>
      </c>
      <c r="L2586" t="n">
        <v>0</v>
      </c>
      <c r="M2586" t="n">
        <v>0</v>
      </c>
      <c r="N2586" t="n">
        <v>0</v>
      </c>
      <c r="O2586" t="n">
        <v>0</v>
      </c>
      <c r="P2586" t="n">
        <v>0</v>
      </c>
      <c r="Q2586" t="n">
        <v>0</v>
      </c>
      <c r="R2586" s="2" t="inlineStr"/>
    </row>
    <row r="2587" ht="15" customHeight="1">
      <c r="A2587" t="inlineStr">
        <is>
          <t>A 5934-2024</t>
        </is>
      </c>
      <c r="B2587" s="1" t="n">
        <v>45336</v>
      </c>
      <c r="C2587" s="1" t="n">
        <v>45637</v>
      </c>
      <c r="D2587" t="inlineStr">
        <is>
          <t>VÄSTERNORRLANDS LÄN</t>
        </is>
      </c>
      <c r="E2587" t="inlineStr">
        <is>
          <t>SOLLEFTEÅ</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6059-2024</t>
        </is>
      </c>
      <c r="B2588" s="1" t="n">
        <v>45336</v>
      </c>
      <c r="C2588" s="1" t="n">
        <v>45637</v>
      </c>
      <c r="D2588" t="inlineStr">
        <is>
          <t>VÄSTERNORRLANDS LÄN</t>
        </is>
      </c>
      <c r="E2588" t="inlineStr">
        <is>
          <t>SOLLEFTEÅ</t>
        </is>
      </c>
      <c r="F2588" t="inlineStr">
        <is>
          <t>Övriga Aktiebolag</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6063-2024</t>
        </is>
      </c>
      <c r="B2589" s="1" t="n">
        <v>45336</v>
      </c>
      <c r="C2589" s="1" t="n">
        <v>45637</v>
      </c>
      <c r="D2589" t="inlineStr">
        <is>
          <t>VÄSTERNORRLANDS LÄN</t>
        </is>
      </c>
      <c r="E2589" t="inlineStr">
        <is>
          <t>SOLLEFTEÅ</t>
        </is>
      </c>
      <c r="F2589" t="inlineStr">
        <is>
          <t>Övriga Aktiebolag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6067-2024</t>
        </is>
      </c>
      <c r="B2590" s="1" t="n">
        <v>45336</v>
      </c>
      <c r="C2590" s="1" t="n">
        <v>45637</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6058-2024</t>
        </is>
      </c>
      <c r="B2591" s="1" t="n">
        <v>45336</v>
      </c>
      <c r="C2591" s="1" t="n">
        <v>45637</v>
      </c>
      <c r="D2591" t="inlineStr">
        <is>
          <t>VÄSTERNORRLANDS LÄN</t>
        </is>
      </c>
      <c r="E2591" t="inlineStr">
        <is>
          <t>SOLLEFTEÅ</t>
        </is>
      </c>
      <c r="F2591" t="inlineStr">
        <is>
          <t>Övriga Aktiebolag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6064-2024</t>
        </is>
      </c>
      <c r="B2592" s="1" t="n">
        <v>45336</v>
      </c>
      <c r="C2592" s="1" t="n">
        <v>45637</v>
      </c>
      <c r="D2592" t="inlineStr">
        <is>
          <t>VÄSTERNORRLANDS LÄN</t>
        </is>
      </c>
      <c r="E2592" t="inlineStr">
        <is>
          <t>SOLLEFTEÅ</t>
        </is>
      </c>
      <c r="F2592" t="inlineStr">
        <is>
          <t>Övriga Aktiebolag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6066-2024</t>
        </is>
      </c>
      <c r="B2593" s="1" t="n">
        <v>45336</v>
      </c>
      <c r="C2593" s="1" t="n">
        <v>45637</v>
      </c>
      <c r="D2593" t="inlineStr">
        <is>
          <t>VÄSTERNORRLANDS LÄN</t>
        </is>
      </c>
      <c r="E2593" t="inlineStr">
        <is>
          <t>SOLLEFTEÅ</t>
        </is>
      </c>
      <c r="F2593" t="inlineStr">
        <is>
          <t>Övriga Aktiebolag</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6068-2024</t>
        </is>
      </c>
      <c r="B2594" s="1" t="n">
        <v>45336</v>
      </c>
      <c r="C2594" s="1" t="n">
        <v>45637</v>
      </c>
      <c r="D2594" t="inlineStr">
        <is>
          <t>VÄSTERNORRLANDS LÄN</t>
        </is>
      </c>
      <c r="E2594" t="inlineStr">
        <is>
          <t>SOLLEFTEÅ</t>
        </is>
      </c>
      <c r="F2594" t="inlineStr">
        <is>
          <t>Övriga Aktiebolag</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6057-2024</t>
        </is>
      </c>
      <c r="B2595" s="1" t="n">
        <v>45336</v>
      </c>
      <c r="C2595" s="1" t="n">
        <v>45637</v>
      </c>
      <c r="D2595" t="inlineStr">
        <is>
          <t>VÄSTERNORRLANDS LÄN</t>
        </is>
      </c>
      <c r="E2595" t="inlineStr">
        <is>
          <t>SOLLEFTEÅ</t>
        </is>
      </c>
      <c r="F2595" t="inlineStr">
        <is>
          <t>Övriga Aktiebolag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6065-2024</t>
        </is>
      </c>
      <c r="B2596" s="1" t="n">
        <v>45336</v>
      </c>
      <c r="C2596" s="1" t="n">
        <v>45637</v>
      </c>
      <c r="D2596" t="inlineStr">
        <is>
          <t>VÄSTERNORRLANDS LÄN</t>
        </is>
      </c>
      <c r="E2596" t="inlineStr">
        <is>
          <t>SOLLEFTEÅ</t>
        </is>
      </c>
      <c r="F2596" t="inlineStr">
        <is>
          <t>Övriga Aktiebolag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6139-2024</t>
        </is>
      </c>
      <c r="B2597" s="1" t="n">
        <v>45337</v>
      </c>
      <c r="C2597" s="1" t="n">
        <v>45637</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6279-2024</t>
        </is>
      </c>
      <c r="B2598" s="1" t="n">
        <v>45337</v>
      </c>
      <c r="C2598" s="1" t="n">
        <v>45637</v>
      </c>
      <c r="D2598" t="inlineStr">
        <is>
          <t>VÄSTERNORRLANDS LÄN</t>
        </is>
      </c>
      <c r="E2598" t="inlineStr">
        <is>
          <t>SOLLEFTEÅ</t>
        </is>
      </c>
      <c r="F2598" t="inlineStr">
        <is>
          <t>SCA</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6125-2024</t>
        </is>
      </c>
      <c r="B2599" s="1" t="n">
        <v>45337</v>
      </c>
      <c r="C2599" s="1" t="n">
        <v>45637</v>
      </c>
      <c r="D2599" t="inlineStr">
        <is>
          <t>VÄSTERNORRLANDS LÄN</t>
        </is>
      </c>
      <c r="E2599" t="inlineStr">
        <is>
          <t>SOLLEFTEÅ</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6282-2024</t>
        </is>
      </c>
      <c r="B2600" s="1" t="n">
        <v>45337</v>
      </c>
      <c r="C2600" s="1" t="n">
        <v>45637</v>
      </c>
      <c r="D2600" t="inlineStr">
        <is>
          <t>VÄSTERNORRLANDS LÄN</t>
        </is>
      </c>
      <c r="E2600" t="inlineStr">
        <is>
          <t>SOLLEFTEÅ</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6352-2024</t>
        </is>
      </c>
      <c r="B2601" s="1" t="n">
        <v>45338</v>
      </c>
      <c r="C2601" s="1" t="n">
        <v>45637</v>
      </c>
      <c r="D2601" t="inlineStr">
        <is>
          <t>VÄSTERNORRLANDS LÄN</t>
        </is>
      </c>
      <c r="E2601" t="inlineStr">
        <is>
          <t>SOLLEFTEÅ</t>
        </is>
      </c>
      <c r="F2601" t="inlineStr">
        <is>
          <t>Holmen skog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6480-2024</t>
        </is>
      </c>
      <c r="B2602" s="1" t="n">
        <v>45338</v>
      </c>
      <c r="C2602" s="1" t="n">
        <v>45637</v>
      </c>
      <c r="D2602" t="inlineStr">
        <is>
          <t>VÄSTERNORRLANDS LÄN</t>
        </is>
      </c>
      <c r="E2602" t="inlineStr">
        <is>
          <t>SOLLEFTEÅ</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6633-2024</t>
        </is>
      </c>
      <c r="B2603" s="1" t="n">
        <v>45341</v>
      </c>
      <c r="C2603" s="1" t="n">
        <v>45637</v>
      </c>
      <c r="D2603" t="inlineStr">
        <is>
          <t>VÄSTERNORRLANDS LÄN</t>
        </is>
      </c>
      <c r="E2603" t="inlineStr">
        <is>
          <t>SOLLEFTEÅ</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6692-2024</t>
        </is>
      </c>
      <c r="B2604" s="1" t="n">
        <v>45341</v>
      </c>
      <c r="C2604" s="1" t="n">
        <v>45637</v>
      </c>
      <c r="D2604" t="inlineStr">
        <is>
          <t>VÄSTERNORRLANDS LÄN</t>
        </is>
      </c>
      <c r="E2604" t="inlineStr">
        <is>
          <t>SOLLEFTEÅ</t>
        </is>
      </c>
      <c r="F2604" t="inlineStr">
        <is>
          <t>SCA</t>
        </is>
      </c>
      <c r="G2604" t="n">
        <v>15.4</v>
      </c>
      <c r="H2604" t="n">
        <v>0</v>
      </c>
      <c r="I2604" t="n">
        <v>0</v>
      </c>
      <c r="J2604" t="n">
        <v>0</v>
      </c>
      <c r="K2604" t="n">
        <v>0</v>
      </c>
      <c r="L2604" t="n">
        <v>0</v>
      </c>
      <c r="M2604" t="n">
        <v>0</v>
      </c>
      <c r="N2604" t="n">
        <v>0</v>
      </c>
      <c r="O2604" t="n">
        <v>0</v>
      </c>
      <c r="P2604" t="n">
        <v>0</v>
      </c>
      <c r="Q2604" t="n">
        <v>0</v>
      </c>
      <c r="R2604" s="2" t="inlineStr"/>
    </row>
    <row r="2605" ht="15" customHeight="1">
      <c r="A2605" t="inlineStr">
        <is>
          <t>A 6700-2024</t>
        </is>
      </c>
      <c r="B2605" s="1" t="n">
        <v>45341</v>
      </c>
      <c r="C2605" s="1" t="n">
        <v>45637</v>
      </c>
      <c r="D2605" t="inlineStr">
        <is>
          <t>VÄSTERNORRLANDS LÄN</t>
        </is>
      </c>
      <c r="E2605" t="inlineStr">
        <is>
          <t>SOLLEFTEÅ</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6799-2024</t>
        </is>
      </c>
      <c r="B2606" s="1" t="n">
        <v>45342</v>
      </c>
      <c r="C2606" s="1" t="n">
        <v>45637</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6857-2024</t>
        </is>
      </c>
      <c r="B2607" s="1" t="n">
        <v>45342</v>
      </c>
      <c r="C2607" s="1" t="n">
        <v>45637</v>
      </c>
      <c r="D2607" t="inlineStr">
        <is>
          <t>VÄSTERNORRLANDS LÄN</t>
        </is>
      </c>
      <c r="E2607" t="inlineStr">
        <is>
          <t>SOLLEFTEÅ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6816-2024</t>
        </is>
      </c>
      <c r="B2608" s="1" t="n">
        <v>45342</v>
      </c>
      <c r="C2608" s="1" t="n">
        <v>45637</v>
      </c>
      <c r="D2608" t="inlineStr">
        <is>
          <t>VÄSTERNORRLANDS LÄN</t>
        </is>
      </c>
      <c r="E2608" t="inlineStr">
        <is>
          <t>SOLLEFTEÅ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6891-2024</t>
        </is>
      </c>
      <c r="B2609" s="1" t="n">
        <v>45342</v>
      </c>
      <c r="C2609" s="1" t="n">
        <v>45637</v>
      </c>
      <c r="D2609" t="inlineStr">
        <is>
          <t>VÄSTERNORRLANDS LÄN</t>
        </is>
      </c>
      <c r="E2609" t="inlineStr">
        <is>
          <t>SOLLEFTEÅ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6909-2024</t>
        </is>
      </c>
      <c r="B2610" s="1" t="n">
        <v>45342</v>
      </c>
      <c r="C2610" s="1" t="n">
        <v>45637</v>
      </c>
      <c r="D2610" t="inlineStr">
        <is>
          <t>VÄSTERNORRLANDS LÄN</t>
        </is>
      </c>
      <c r="E2610" t="inlineStr">
        <is>
          <t>SOLLEFTEÅ</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6932-2024</t>
        </is>
      </c>
      <c r="B2611" s="1" t="n">
        <v>45343</v>
      </c>
      <c r="C2611" s="1" t="n">
        <v>45637</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6934-2024</t>
        </is>
      </c>
      <c r="B2612" s="1" t="n">
        <v>45343</v>
      </c>
      <c r="C2612" s="1" t="n">
        <v>45637</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7001-2024</t>
        </is>
      </c>
      <c r="B2613" s="1" t="n">
        <v>45343</v>
      </c>
      <c r="C2613" s="1" t="n">
        <v>45637</v>
      </c>
      <c r="D2613" t="inlineStr">
        <is>
          <t>VÄSTERNORRLANDS LÄN</t>
        </is>
      </c>
      <c r="E2613" t="inlineStr">
        <is>
          <t>SOLLEFTEÅ</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7107-2024</t>
        </is>
      </c>
      <c r="B2614" s="1" t="n">
        <v>45343</v>
      </c>
      <c r="C2614" s="1" t="n">
        <v>45637</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7113-2024</t>
        </is>
      </c>
      <c r="B2615" s="1" t="n">
        <v>45343</v>
      </c>
      <c r="C2615" s="1" t="n">
        <v>45637</v>
      </c>
      <c r="D2615" t="inlineStr">
        <is>
          <t>VÄSTERNORRLANDS LÄN</t>
        </is>
      </c>
      <c r="E2615" t="inlineStr">
        <is>
          <t>SOLLEFTEÅ</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7106-2024</t>
        </is>
      </c>
      <c r="B2616" s="1" t="n">
        <v>45343</v>
      </c>
      <c r="C2616" s="1" t="n">
        <v>45637</v>
      </c>
      <c r="D2616" t="inlineStr">
        <is>
          <t>VÄSTERNORRLANDS LÄN</t>
        </is>
      </c>
      <c r="E2616" t="inlineStr">
        <is>
          <t>SOLLEFTEÅ</t>
        </is>
      </c>
      <c r="G2616" t="n">
        <v>16.6</v>
      </c>
      <c r="H2616" t="n">
        <v>0</v>
      </c>
      <c r="I2616" t="n">
        <v>0</v>
      </c>
      <c r="J2616" t="n">
        <v>0</v>
      </c>
      <c r="K2616" t="n">
        <v>0</v>
      </c>
      <c r="L2616" t="n">
        <v>0</v>
      </c>
      <c r="M2616" t="n">
        <v>0</v>
      </c>
      <c r="N2616" t="n">
        <v>0</v>
      </c>
      <c r="O2616" t="n">
        <v>0</v>
      </c>
      <c r="P2616" t="n">
        <v>0</v>
      </c>
      <c r="Q2616" t="n">
        <v>0</v>
      </c>
      <c r="R2616" s="2" t="inlineStr"/>
    </row>
    <row r="2617" ht="15" customHeight="1">
      <c r="A2617" t="inlineStr">
        <is>
          <t>A 7257-2024</t>
        </is>
      </c>
      <c r="B2617" s="1" t="n">
        <v>45344</v>
      </c>
      <c r="C2617" s="1" t="n">
        <v>45637</v>
      </c>
      <c r="D2617" t="inlineStr">
        <is>
          <t>VÄSTERNORRLANDS LÄN</t>
        </is>
      </c>
      <c r="E2617" t="inlineStr">
        <is>
          <t>SOLLEFTEÅ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7261-2024</t>
        </is>
      </c>
      <c r="B2618" s="1" t="n">
        <v>45344</v>
      </c>
      <c r="C2618" s="1" t="n">
        <v>45637</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7295-2024</t>
        </is>
      </c>
      <c r="B2619" s="1" t="n">
        <v>45344</v>
      </c>
      <c r="C2619" s="1" t="n">
        <v>45637</v>
      </c>
      <c r="D2619" t="inlineStr">
        <is>
          <t>VÄSTERNORRLANDS LÄN</t>
        </is>
      </c>
      <c r="E2619" t="inlineStr">
        <is>
          <t>SOLLEFTEÅ</t>
        </is>
      </c>
      <c r="F2619" t="inlineStr">
        <is>
          <t>SCA</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7234-2024</t>
        </is>
      </c>
      <c r="B2620" s="1" t="n">
        <v>45344</v>
      </c>
      <c r="C2620" s="1" t="n">
        <v>45637</v>
      </c>
      <c r="D2620" t="inlineStr">
        <is>
          <t>VÄSTERNORRLANDS LÄN</t>
        </is>
      </c>
      <c r="E2620" t="inlineStr">
        <is>
          <t>SOLLEFTEÅ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7258-2024</t>
        </is>
      </c>
      <c r="B2621" s="1" t="n">
        <v>45344</v>
      </c>
      <c r="C2621" s="1" t="n">
        <v>45637</v>
      </c>
      <c r="D2621" t="inlineStr">
        <is>
          <t>VÄSTERNORRLANDS LÄN</t>
        </is>
      </c>
      <c r="E2621" t="inlineStr">
        <is>
          <t>SOLLEFTEÅ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7294-2024</t>
        </is>
      </c>
      <c r="B2622" s="1" t="n">
        <v>45344</v>
      </c>
      <c r="C2622" s="1" t="n">
        <v>45637</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7463-2024</t>
        </is>
      </c>
      <c r="B2623" s="1" t="n">
        <v>45345</v>
      </c>
      <c r="C2623" s="1" t="n">
        <v>45637</v>
      </c>
      <c r="D2623" t="inlineStr">
        <is>
          <t>VÄSTERNORRLANDS LÄN</t>
        </is>
      </c>
      <c r="E2623" t="inlineStr">
        <is>
          <t>SOLLEFTEÅ</t>
        </is>
      </c>
      <c r="F2623" t="inlineStr">
        <is>
          <t>SCA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7467-2024</t>
        </is>
      </c>
      <c r="B2624" s="1" t="n">
        <v>45345</v>
      </c>
      <c r="C2624" s="1" t="n">
        <v>45637</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7464-2024</t>
        </is>
      </c>
      <c r="B2625" s="1" t="n">
        <v>45345</v>
      </c>
      <c r="C2625" s="1" t="n">
        <v>45637</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7475-2024</t>
        </is>
      </c>
      <c r="B2626" s="1" t="n">
        <v>45345</v>
      </c>
      <c r="C2626" s="1" t="n">
        <v>45637</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7462-2024</t>
        </is>
      </c>
      <c r="B2627" s="1" t="n">
        <v>45345</v>
      </c>
      <c r="C2627" s="1" t="n">
        <v>45637</v>
      </c>
      <c r="D2627" t="inlineStr">
        <is>
          <t>VÄSTERNORRLANDS LÄN</t>
        </is>
      </c>
      <c r="E2627" t="inlineStr">
        <is>
          <t>SOLLEFTEÅ</t>
        </is>
      </c>
      <c r="F2627" t="inlineStr">
        <is>
          <t>SCA</t>
        </is>
      </c>
      <c r="G2627" t="n">
        <v>42.1</v>
      </c>
      <c r="H2627" t="n">
        <v>0</v>
      </c>
      <c r="I2627" t="n">
        <v>0</v>
      </c>
      <c r="J2627" t="n">
        <v>0</v>
      </c>
      <c r="K2627" t="n">
        <v>0</v>
      </c>
      <c r="L2627" t="n">
        <v>0</v>
      </c>
      <c r="M2627" t="n">
        <v>0</v>
      </c>
      <c r="N2627" t="n">
        <v>0</v>
      </c>
      <c r="O2627" t="n">
        <v>0</v>
      </c>
      <c r="P2627" t="n">
        <v>0</v>
      </c>
      <c r="Q2627" t="n">
        <v>0</v>
      </c>
      <c r="R2627" s="2" t="inlineStr"/>
    </row>
    <row r="2628" ht="15" customHeight="1">
      <c r="A2628" t="inlineStr">
        <is>
          <t>A 7585-2024</t>
        </is>
      </c>
      <c r="B2628" s="1" t="n">
        <v>45348</v>
      </c>
      <c r="C2628" s="1" t="n">
        <v>45637</v>
      </c>
      <c r="D2628" t="inlineStr">
        <is>
          <t>VÄSTERNORRLANDS LÄN</t>
        </is>
      </c>
      <c r="E2628" t="inlineStr">
        <is>
          <t>SOLLEFTEÅ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7704-2024</t>
        </is>
      </c>
      <c r="B2629" s="1" t="n">
        <v>45349</v>
      </c>
      <c r="C2629" s="1" t="n">
        <v>45637</v>
      </c>
      <c r="D2629" t="inlineStr">
        <is>
          <t>VÄSTERNORRLANDS LÄN</t>
        </is>
      </c>
      <c r="E2629" t="inlineStr">
        <is>
          <t>SOLLEFTEÅ</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7809-2024</t>
        </is>
      </c>
      <c r="B2630" s="1" t="n">
        <v>45349</v>
      </c>
      <c r="C2630" s="1" t="n">
        <v>45637</v>
      </c>
      <c r="D2630" t="inlineStr">
        <is>
          <t>VÄSTERNORRLANDS LÄN</t>
        </is>
      </c>
      <c r="E2630" t="inlineStr">
        <is>
          <t>SOLLEFTEÅ</t>
        </is>
      </c>
      <c r="G2630" t="n">
        <v>23.2</v>
      </c>
      <c r="H2630" t="n">
        <v>0</v>
      </c>
      <c r="I2630" t="n">
        <v>0</v>
      </c>
      <c r="J2630" t="n">
        <v>0</v>
      </c>
      <c r="K2630" t="n">
        <v>0</v>
      </c>
      <c r="L2630" t="n">
        <v>0</v>
      </c>
      <c r="M2630" t="n">
        <v>0</v>
      </c>
      <c r="N2630" t="n">
        <v>0</v>
      </c>
      <c r="O2630" t="n">
        <v>0</v>
      </c>
      <c r="P2630" t="n">
        <v>0</v>
      </c>
      <c r="Q2630" t="n">
        <v>0</v>
      </c>
      <c r="R2630" s="2" t="inlineStr"/>
    </row>
    <row r="2631" ht="15" customHeight="1">
      <c r="A2631" t="inlineStr">
        <is>
          <t>A 7825-2024</t>
        </is>
      </c>
      <c r="B2631" s="1" t="n">
        <v>45349</v>
      </c>
      <c r="C2631" s="1" t="n">
        <v>45637</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7810-2024</t>
        </is>
      </c>
      <c r="B2632" s="1" t="n">
        <v>45349</v>
      </c>
      <c r="C2632" s="1" t="n">
        <v>45637</v>
      </c>
      <c r="D2632" t="inlineStr">
        <is>
          <t>VÄSTERNORRLANDS LÄN</t>
        </is>
      </c>
      <c r="E2632" t="inlineStr">
        <is>
          <t>SOLLEFTEÅ</t>
        </is>
      </c>
      <c r="F2632" t="inlineStr">
        <is>
          <t>Övriga Aktiebolag</t>
        </is>
      </c>
      <c r="G2632" t="n">
        <v>23.6</v>
      </c>
      <c r="H2632" t="n">
        <v>0</v>
      </c>
      <c r="I2632" t="n">
        <v>0</v>
      </c>
      <c r="J2632" t="n">
        <v>0</v>
      </c>
      <c r="K2632" t="n">
        <v>0</v>
      </c>
      <c r="L2632" t="n">
        <v>0</v>
      </c>
      <c r="M2632" t="n">
        <v>0</v>
      </c>
      <c r="N2632" t="n">
        <v>0</v>
      </c>
      <c r="O2632" t="n">
        <v>0</v>
      </c>
      <c r="P2632" t="n">
        <v>0</v>
      </c>
      <c r="Q2632" t="n">
        <v>0</v>
      </c>
      <c r="R2632" s="2" t="inlineStr"/>
    </row>
    <row r="2633" ht="15" customHeight="1">
      <c r="A2633" t="inlineStr">
        <is>
          <t>A 7858-2024</t>
        </is>
      </c>
      <c r="B2633" s="1" t="n">
        <v>45350</v>
      </c>
      <c r="C2633" s="1" t="n">
        <v>45637</v>
      </c>
      <c r="D2633" t="inlineStr">
        <is>
          <t>VÄSTERNORRLANDS LÄN</t>
        </is>
      </c>
      <c r="E2633" t="inlineStr">
        <is>
          <t>SOLLEFTEÅ</t>
        </is>
      </c>
      <c r="F2633" t="inlineStr">
        <is>
          <t>SCA</t>
        </is>
      </c>
      <c r="G2633" t="n">
        <v>38.8</v>
      </c>
      <c r="H2633" t="n">
        <v>0</v>
      </c>
      <c r="I2633" t="n">
        <v>0</v>
      </c>
      <c r="J2633" t="n">
        <v>0</v>
      </c>
      <c r="K2633" t="n">
        <v>0</v>
      </c>
      <c r="L2633" t="n">
        <v>0</v>
      </c>
      <c r="M2633" t="n">
        <v>0</v>
      </c>
      <c r="N2633" t="n">
        <v>0</v>
      </c>
      <c r="O2633" t="n">
        <v>0</v>
      </c>
      <c r="P2633" t="n">
        <v>0</v>
      </c>
      <c r="Q2633" t="n">
        <v>0</v>
      </c>
      <c r="R2633" s="2" t="inlineStr"/>
    </row>
    <row r="2634" ht="15" customHeight="1">
      <c r="A2634" t="inlineStr">
        <is>
          <t>A 8033-2024</t>
        </is>
      </c>
      <c r="B2634" s="1" t="n">
        <v>45350</v>
      </c>
      <c r="C2634" s="1" t="n">
        <v>45637</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8038-2024</t>
        </is>
      </c>
      <c r="B2635" s="1" t="n">
        <v>45350</v>
      </c>
      <c r="C2635" s="1" t="n">
        <v>45637</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8039-2024</t>
        </is>
      </c>
      <c r="B2636" s="1" t="n">
        <v>45350</v>
      </c>
      <c r="C2636" s="1" t="n">
        <v>45637</v>
      </c>
      <c r="D2636" t="inlineStr">
        <is>
          <t>VÄSTERNORRLANDS LÄN</t>
        </is>
      </c>
      <c r="E2636" t="inlineStr">
        <is>
          <t>SOLLEFTEÅ</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8236-2024</t>
        </is>
      </c>
      <c r="B2637" s="1" t="n">
        <v>45352</v>
      </c>
      <c r="C2637" s="1" t="n">
        <v>45637</v>
      </c>
      <c r="D2637" t="inlineStr">
        <is>
          <t>VÄSTERNORRLANDS LÄN</t>
        </is>
      </c>
      <c r="E2637" t="inlineStr">
        <is>
          <t>SOLLEFTEÅ</t>
        </is>
      </c>
      <c r="F2637" t="inlineStr">
        <is>
          <t>SCA</t>
        </is>
      </c>
      <c r="G2637" t="n">
        <v>13.6</v>
      </c>
      <c r="H2637" t="n">
        <v>0</v>
      </c>
      <c r="I2637" t="n">
        <v>0</v>
      </c>
      <c r="J2637" t="n">
        <v>0</v>
      </c>
      <c r="K2637" t="n">
        <v>0</v>
      </c>
      <c r="L2637" t="n">
        <v>0</v>
      </c>
      <c r="M2637" t="n">
        <v>0</v>
      </c>
      <c r="N2637" t="n">
        <v>0</v>
      </c>
      <c r="O2637" t="n">
        <v>0</v>
      </c>
      <c r="P2637" t="n">
        <v>0</v>
      </c>
      <c r="Q2637" t="n">
        <v>0</v>
      </c>
      <c r="R2637" s="2" t="inlineStr"/>
    </row>
    <row r="2638" ht="15" customHeight="1">
      <c r="A2638" t="inlineStr">
        <is>
          <t>A 8244-2024</t>
        </is>
      </c>
      <c r="B2638" s="1" t="n">
        <v>45351</v>
      </c>
      <c r="C2638" s="1" t="n">
        <v>45637</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8234-2024</t>
        </is>
      </c>
      <c r="B2639" s="1" t="n">
        <v>45352</v>
      </c>
      <c r="C2639" s="1" t="n">
        <v>45637</v>
      </c>
      <c r="D2639" t="inlineStr">
        <is>
          <t>VÄSTERNORRLANDS LÄN</t>
        </is>
      </c>
      <c r="E2639" t="inlineStr">
        <is>
          <t>SOLLEFTEÅ</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8235-2024</t>
        </is>
      </c>
      <c r="B2640" s="1" t="n">
        <v>45352</v>
      </c>
      <c r="C2640" s="1" t="n">
        <v>45637</v>
      </c>
      <c r="D2640" t="inlineStr">
        <is>
          <t>VÄSTERNORRLANDS LÄN</t>
        </is>
      </c>
      <c r="E2640" t="inlineStr">
        <is>
          <t>SOLLEFTEÅ</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8414-2024</t>
        </is>
      </c>
      <c r="B2641" s="1" t="n">
        <v>45352</v>
      </c>
      <c r="C2641" s="1" t="n">
        <v>45637</v>
      </c>
      <c r="D2641" t="inlineStr">
        <is>
          <t>VÄSTERNORRLANDS LÄN</t>
        </is>
      </c>
      <c r="E2641" t="inlineStr">
        <is>
          <t>SOLLEFTEÅ</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8608-2024</t>
        </is>
      </c>
      <c r="B2642" s="1" t="n">
        <v>45355</v>
      </c>
      <c r="C2642" s="1" t="n">
        <v>45637</v>
      </c>
      <c r="D2642" t="inlineStr">
        <is>
          <t>VÄSTERNORRLANDS LÄN</t>
        </is>
      </c>
      <c r="E2642" t="inlineStr">
        <is>
          <t>SOLLEFTEÅ</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8918-2024</t>
        </is>
      </c>
      <c r="B2643" s="1" t="n">
        <v>45355</v>
      </c>
      <c r="C2643" s="1" t="n">
        <v>45637</v>
      </c>
      <c r="D2643" t="inlineStr">
        <is>
          <t>VÄSTERNORRLANDS LÄN</t>
        </is>
      </c>
      <c r="E2643" t="inlineStr">
        <is>
          <t>SOLLEFTEÅ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8653-2024</t>
        </is>
      </c>
      <c r="B2644" s="1" t="n">
        <v>45356</v>
      </c>
      <c r="C2644" s="1" t="n">
        <v>45637</v>
      </c>
      <c r="D2644" t="inlineStr">
        <is>
          <t>VÄSTERNORRLANDS LÄN</t>
        </is>
      </c>
      <c r="E2644" t="inlineStr">
        <is>
          <t>SOLLEFTEÅ</t>
        </is>
      </c>
      <c r="F2644" t="inlineStr">
        <is>
          <t>SCA</t>
        </is>
      </c>
      <c r="G2644" t="n">
        <v>67.8</v>
      </c>
      <c r="H2644" t="n">
        <v>0</v>
      </c>
      <c r="I2644" t="n">
        <v>0</v>
      </c>
      <c r="J2644" t="n">
        <v>0</v>
      </c>
      <c r="K2644" t="n">
        <v>0</v>
      </c>
      <c r="L2644" t="n">
        <v>0</v>
      </c>
      <c r="M2644" t="n">
        <v>0</v>
      </c>
      <c r="N2644" t="n">
        <v>0</v>
      </c>
      <c r="O2644" t="n">
        <v>0</v>
      </c>
      <c r="P2644" t="n">
        <v>0</v>
      </c>
      <c r="Q2644" t="n">
        <v>0</v>
      </c>
      <c r="R2644" s="2" t="inlineStr"/>
    </row>
    <row r="2645" ht="15" customHeight="1">
      <c r="A2645" t="inlineStr">
        <is>
          <t>A 8636-2024</t>
        </is>
      </c>
      <c r="B2645" s="1" t="n">
        <v>45356</v>
      </c>
      <c r="C2645" s="1" t="n">
        <v>45637</v>
      </c>
      <c r="D2645" t="inlineStr">
        <is>
          <t>VÄSTERNORRLANDS LÄN</t>
        </is>
      </c>
      <c r="E2645" t="inlineStr">
        <is>
          <t>SOLLEFTEÅ</t>
        </is>
      </c>
      <c r="F2645" t="inlineStr">
        <is>
          <t>SCA</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8729-2024</t>
        </is>
      </c>
      <c r="B2646" s="1" t="n">
        <v>45356</v>
      </c>
      <c r="C2646" s="1" t="n">
        <v>45637</v>
      </c>
      <c r="D2646" t="inlineStr">
        <is>
          <t>VÄSTERNORRLANDS LÄN</t>
        </is>
      </c>
      <c r="E2646" t="inlineStr">
        <is>
          <t>SOLLEFTEÅ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8652-2024</t>
        </is>
      </c>
      <c r="B2647" s="1" t="n">
        <v>45356</v>
      </c>
      <c r="C2647" s="1" t="n">
        <v>45637</v>
      </c>
      <c r="D2647" t="inlineStr">
        <is>
          <t>VÄSTERNORRLANDS LÄN</t>
        </is>
      </c>
      <c r="E2647" t="inlineStr">
        <is>
          <t>SOLLEFTEÅ</t>
        </is>
      </c>
      <c r="F2647" t="inlineStr">
        <is>
          <t>SCA</t>
        </is>
      </c>
      <c r="G2647" t="n">
        <v>38.6</v>
      </c>
      <c r="H2647" t="n">
        <v>0</v>
      </c>
      <c r="I2647" t="n">
        <v>0</v>
      </c>
      <c r="J2647" t="n">
        <v>0</v>
      </c>
      <c r="K2647" t="n">
        <v>0</v>
      </c>
      <c r="L2647" t="n">
        <v>0</v>
      </c>
      <c r="M2647" t="n">
        <v>0</v>
      </c>
      <c r="N2647" t="n">
        <v>0</v>
      </c>
      <c r="O2647" t="n">
        <v>0</v>
      </c>
      <c r="P2647" t="n">
        <v>0</v>
      </c>
      <c r="Q2647" t="n">
        <v>0</v>
      </c>
      <c r="R2647" s="2" t="inlineStr"/>
    </row>
    <row r="2648" ht="15" customHeight="1">
      <c r="A2648" t="inlineStr">
        <is>
          <t>A 8656-2024</t>
        </is>
      </c>
      <c r="B2648" s="1" t="n">
        <v>45356</v>
      </c>
      <c r="C2648" s="1" t="n">
        <v>45637</v>
      </c>
      <c r="D2648" t="inlineStr">
        <is>
          <t>VÄSTERNORRLANDS LÄN</t>
        </is>
      </c>
      <c r="E2648" t="inlineStr">
        <is>
          <t>SOLLEFTEÅ</t>
        </is>
      </c>
      <c r="F2648" t="inlineStr">
        <is>
          <t>SCA</t>
        </is>
      </c>
      <c r="G2648" t="n">
        <v>18.4</v>
      </c>
      <c r="H2648" t="n">
        <v>0</v>
      </c>
      <c r="I2648" t="n">
        <v>0</v>
      </c>
      <c r="J2648" t="n">
        <v>0</v>
      </c>
      <c r="K2648" t="n">
        <v>0</v>
      </c>
      <c r="L2648" t="n">
        <v>0</v>
      </c>
      <c r="M2648" t="n">
        <v>0</v>
      </c>
      <c r="N2648" t="n">
        <v>0</v>
      </c>
      <c r="O2648" t="n">
        <v>0</v>
      </c>
      <c r="P2648" t="n">
        <v>0</v>
      </c>
      <c r="Q2648" t="n">
        <v>0</v>
      </c>
      <c r="R2648" s="2" t="inlineStr"/>
    </row>
    <row r="2649" ht="15" customHeight="1">
      <c r="A2649" t="inlineStr">
        <is>
          <t>A 8885-2024</t>
        </is>
      </c>
      <c r="B2649" s="1" t="n">
        <v>45357</v>
      </c>
      <c r="C2649" s="1" t="n">
        <v>45637</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9145-2024</t>
        </is>
      </c>
      <c r="B2650" s="1" t="n">
        <v>45357</v>
      </c>
      <c r="C2650" s="1" t="n">
        <v>45637</v>
      </c>
      <c r="D2650" t="inlineStr">
        <is>
          <t>VÄSTERNORRLANDS LÄN</t>
        </is>
      </c>
      <c r="E2650" t="inlineStr">
        <is>
          <t>SOLLEFTEÅ</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9120-2024</t>
        </is>
      </c>
      <c r="B2651" s="1" t="n">
        <v>45358</v>
      </c>
      <c r="C2651" s="1" t="n">
        <v>45637</v>
      </c>
      <c r="D2651" t="inlineStr">
        <is>
          <t>VÄSTERNORRLANDS LÄN</t>
        </is>
      </c>
      <c r="E2651" t="inlineStr">
        <is>
          <t>SOLLEFTEÅ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9121-2024</t>
        </is>
      </c>
      <c r="B2652" s="1" t="n">
        <v>45358</v>
      </c>
      <c r="C2652" s="1" t="n">
        <v>45637</v>
      </c>
      <c r="D2652" t="inlineStr">
        <is>
          <t>VÄSTERNORRLANDS LÄN</t>
        </is>
      </c>
      <c r="E2652" t="inlineStr">
        <is>
          <t>SOLLEFTEÅ</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9122-2024</t>
        </is>
      </c>
      <c r="B2653" s="1" t="n">
        <v>45358</v>
      </c>
      <c r="C2653" s="1" t="n">
        <v>45637</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9306-2024</t>
        </is>
      </c>
      <c r="B2654" s="1" t="n">
        <v>45358</v>
      </c>
      <c r="C2654" s="1" t="n">
        <v>45637</v>
      </c>
      <c r="D2654" t="inlineStr">
        <is>
          <t>VÄSTERNORRLANDS LÄN</t>
        </is>
      </c>
      <c r="E2654" t="inlineStr">
        <is>
          <t>SOLLEFTEÅ</t>
        </is>
      </c>
      <c r="G2654" t="n">
        <v>19.6</v>
      </c>
      <c r="H2654" t="n">
        <v>0</v>
      </c>
      <c r="I2654" t="n">
        <v>0</v>
      </c>
      <c r="J2654" t="n">
        <v>0</v>
      </c>
      <c r="K2654" t="n">
        <v>0</v>
      </c>
      <c r="L2654" t="n">
        <v>0</v>
      </c>
      <c r="M2654" t="n">
        <v>0</v>
      </c>
      <c r="N2654" t="n">
        <v>0</v>
      </c>
      <c r="O2654" t="n">
        <v>0</v>
      </c>
      <c r="P2654" t="n">
        <v>0</v>
      </c>
      <c r="Q2654" t="n">
        <v>0</v>
      </c>
      <c r="R2654" s="2" t="inlineStr"/>
    </row>
    <row r="2655" ht="15" customHeight="1">
      <c r="A2655" t="inlineStr">
        <is>
          <t>A 9342-2024</t>
        </is>
      </c>
      <c r="B2655" s="1" t="n">
        <v>45359</v>
      </c>
      <c r="C2655" s="1" t="n">
        <v>45637</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9346-2024</t>
        </is>
      </c>
      <c r="B2656" s="1" t="n">
        <v>45359</v>
      </c>
      <c r="C2656" s="1" t="n">
        <v>45637</v>
      </c>
      <c r="D2656" t="inlineStr">
        <is>
          <t>VÄSTERNORRLANDS LÄN</t>
        </is>
      </c>
      <c r="E2656" t="inlineStr">
        <is>
          <t>SOLLEFTEÅ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9304-2024</t>
        </is>
      </c>
      <c r="B2657" s="1" t="n">
        <v>45358</v>
      </c>
      <c r="C2657" s="1" t="n">
        <v>45637</v>
      </c>
      <c r="D2657" t="inlineStr">
        <is>
          <t>VÄSTERNORRLANDS LÄN</t>
        </is>
      </c>
      <c r="E2657" t="inlineStr">
        <is>
          <t>SOLLEFTEÅ</t>
        </is>
      </c>
      <c r="G2657" t="n">
        <v>30.7</v>
      </c>
      <c r="H2657" t="n">
        <v>0</v>
      </c>
      <c r="I2657" t="n">
        <v>0</v>
      </c>
      <c r="J2657" t="n">
        <v>0</v>
      </c>
      <c r="K2657" t="n">
        <v>0</v>
      </c>
      <c r="L2657" t="n">
        <v>0</v>
      </c>
      <c r="M2657" t="n">
        <v>0</v>
      </c>
      <c r="N2657" t="n">
        <v>0</v>
      </c>
      <c r="O2657" t="n">
        <v>0</v>
      </c>
      <c r="P2657" t="n">
        <v>0</v>
      </c>
      <c r="Q2657" t="n">
        <v>0</v>
      </c>
      <c r="R2657" s="2" t="inlineStr"/>
    </row>
    <row r="2658" ht="15" customHeight="1">
      <c r="A2658" t="inlineStr">
        <is>
          <t>A 9328-2024</t>
        </is>
      </c>
      <c r="B2658" s="1" t="n">
        <v>45359</v>
      </c>
      <c r="C2658" s="1" t="n">
        <v>45637</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9309-2024</t>
        </is>
      </c>
      <c r="B2659" s="1" t="n">
        <v>45358</v>
      </c>
      <c r="C2659" s="1" t="n">
        <v>45637</v>
      </c>
      <c r="D2659" t="inlineStr">
        <is>
          <t>VÄSTERNORRLANDS LÄN</t>
        </is>
      </c>
      <c r="E2659" t="inlineStr">
        <is>
          <t>SOLLEFTEÅ</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9339-2024</t>
        </is>
      </c>
      <c r="B2660" s="1" t="n">
        <v>45358</v>
      </c>
      <c r="C2660" s="1" t="n">
        <v>45637</v>
      </c>
      <c r="D2660" t="inlineStr">
        <is>
          <t>VÄSTERNORRLANDS LÄN</t>
        </is>
      </c>
      <c r="E2660" t="inlineStr">
        <is>
          <t>SOLLEFTEÅ</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9341-2024</t>
        </is>
      </c>
      <c r="B2661" s="1" t="n">
        <v>45358</v>
      </c>
      <c r="C2661" s="1" t="n">
        <v>45637</v>
      </c>
      <c r="D2661" t="inlineStr">
        <is>
          <t>VÄSTERNORRLANDS LÄN</t>
        </is>
      </c>
      <c r="E2661" t="inlineStr">
        <is>
          <t>SOLLEFTEÅ</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9340-2024</t>
        </is>
      </c>
      <c r="B2662" s="1" t="n">
        <v>45359</v>
      </c>
      <c r="C2662" s="1" t="n">
        <v>45637</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9555-2024</t>
        </is>
      </c>
      <c r="B2663" s="1" t="n">
        <v>45360</v>
      </c>
      <c r="C2663" s="1" t="n">
        <v>45637</v>
      </c>
      <c r="D2663" t="inlineStr">
        <is>
          <t>VÄSTERNORRLANDS LÄN</t>
        </is>
      </c>
      <c r="E2663" t="inlineStr">
        <is>
          <t>SOLLEFTEÅ</t>
        </is>
      </c>
      <c r="F2663" t="inlineStr">
        <is>
          <t>SCA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9557-2024</t>
        </is>
      </c>
      <c r="B2664" s="1" t="n">
        <v>45360</v>
      </c>
      <c r="C2664" s="1" t="n">
        <v>45637</v>
      </c>
      <c r="D2664" t="inlineStr">
        <is>
          <t>VÄSTERNORRLANDS LÄN</t>
        </is>
      </c>
      <c r="E2664" t="inlineStr">
        <is>
          <t>SOLLEFTEÅ</t>
        </is>
      </c>
      <c r="F2664" t="inlineStr">
        <is>
          <t>SCA</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9558-2024</t>
        </is>
      </c>
      <c r="B2665" s="1" t="n">
        <v>45360</v>
      </c>
      <c r="C2665" s="1" t="n">
        <v>45637</v>
      </c>
      <c r="D2665" t="inlineStr">
        <is>
          <t>VÄSTERNORRLANDS LÄN</t>
        </is>
      </c>
      <c r="E2665" t="inlineStr">
        <is>
          <t>SOLLEFTEÅ</t>
        </is>
      </c>
      <c r="F2665" t="inlineStr">
        <is>
          <t>SCA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9689-2024</t>
        </is>
      </c>
      <c r="B2666" s="1" t="n">
        <v>45362</v>
      </c>
      <c r="C2666" s="1" t="n">
        <v>45637</v>
      </c>
      <c r="D2666" t="inlineStr">
        <is>
          <t>VÄSTERNORRLANDS LÄN</t>
        </is>
      </c>
      <c r="E2666" t="inlineStr">
        <is>
          <t>SOLLEFTEÅ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9820-2024</t>
        </is>
      </c>
      <c r="B2667" s="1" t="n">
        <v>45363</v>
      </c>
      <c r="C2667" s="1" t="n">
        <v>45637</v>
      </c>
      <c r="D2667" t="inlineStr">
        <is>
          <t>VÄSTERNORRLANDS LÄN</t>
        </is>
      </c>
      <c r="E2667" t="inlineStr">
        <is>
          <t>SOLLEFTEÅ</t>
        </is>
      </c>
      <c r="F2667" t="inlineStr">
        <is>
          <t>Kyrkan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9828-2024</t>
        </is>
      </c>
      <c r="B2668" s="1" t="n">
        <v>45363</v>
      </c>
      <c r="C2668" s="1" t="n">
        <v>45637</v>
      </c>
      <c r="D2668" t="inlineStr">
        <is>
          <t>VÄSTERNORRLANDS LÄN</t>
        </is>
      </c>
      <c r="E2668" t="inlineStr">
        <is>
          <t>SOLLEFTEÅ</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9822-2024</t>
        </is>
      </c>
      <c r="B2669" s="1" t="n">
        <v>45363</v>
      </c>
      <c r="C2669" s="1" t="n">
        <v>45637</v>
      </c>
      <c r="D2669" t="inlineStr">
        <is>
          <t>VÄSTERNORRLANDS LÄN</t>
        </is>
      </c>
      <c r="E2669" t="inlineStr">
        <is>
          <t>SOLLEFTEÅ</t>
        </is>
      </c>
      <c r="F2669" t="inlineStr">
        <is>
          <t>SCA</t>
        </is>
      </c>
      <c r="G2669" t="n">
        <v>9.9</v>
      </c>
      <c r="H2669" t="n">
        <v>0</v>
      </c>
      <c r="I2669" t="n">
        <v>0</v>
      </c>
      <c r="J2669" t="n">
        <v>0</v>
      </c>
      <c r="K2669" t="n">
        <v>0</v>
      </c>
      <c r="L2669" t="n">
        <v>0</v>
      </c>
      <c r="M2669" t="n">
        <v>0</v>
      </c>
      <c r="N2669" t="n">
        <v>0</v>
      </c>
      <c r="O2669" t="n">
        <v>0</v>
      </c>
      <c r="P2669" t="n">
        <v>0</v>
      </c>
      <c r="Q2669" t="n">
        <v>0</v>
      </c>
      <c r="R2669" s="2" t="inlineStr"/>
    </row>
    <row r="2670" ht="15" customHeight="1">
      <c r="A2670" t="inlineStr">
        <is>
          <t>A 9831-2024</t>
        </is>
      </c>
      <c r="B2670" s="1" t="n">
        <v>45363</v>
      </c>
      <c r="C2670" s="1" t="n">
        <v>45637</v>
      </c>
      <c r="D2670" t="inlineStr">
        <is>
          <t>VÄSTERNORRLANDS LÄN</t>
        </is>
      </c>
      <c r="E2670" t="inlineStr">
        <is>
          <t>SOLLEFTEÅ</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10038-2024</t>
        </is>
      </c>
      <c r="B2671" s="1" t="n">
        <v>45364</v>
      </c>
      <c r="C2671" s="1" t="n">
        <v>45637</v>
      </c>
      <c r="D2671" t="inlineStr">
        <is>
          <t>VÄSTERNORRLANDS LÄN</t>
        </is>
      </c>
      <c r="E2671" t="inlineStr">
        <is>
          <t>SOLLEFTEÅ</t>
        </is>
      </c>
      <c r="F2671" t="inlineStr">
        <is>
          <t>SCA</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10415-2024</t>
        </is>
      </c>
      <c r="B2672" s="1" t="n">
        <v>45365</v>
      </c>
      <c r="C2672" s="1" t="n">
        <v>45637</v>
      </c>
      <c r="D2672" t="inlineStr">
        <is>
          <t>VÄSTERNORRLANDS LÄN</t>
        </is>
      </c>
      <c r="E2672" t="inlineStr">
        <is>
          <t>SOLLEFTEÅ</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10526-2024</t>
        </is>
      </c>
      <c r="B2673" s="1" t="n">
        <v>45366</v>
      </c>
      <c r="C2673" s="1" t="n">
        <v>45637</v>
      </c>
      <c r="D2673" t="inlineStr">
        <is>
          <t>VÄSTERNORRLANDS LÄN</t>
        </is>
      </c>
      <c r="E2673" t="inlineStr">
        <is>
          <t>SOLLEFTEÅ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10532-2024</t>
        </is>
      </c>
      <c r="B2674" s="1" t="n">
        <v>45366</v>
      </c>
      <c r="C2674" s="1" t="n">
        <v>45637</v>
      </c>
      <c r="D2674" t="inlineStr">
        <is>
          <t>VÄSTERNORRLANDS LÄN</t>
        </is>
      </c>
      <c r="E2674" t="inlineStr">
        <is>
          <t>SOLLEFTEÅ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10539-2024</t>
        </is>
      </c>
      <c r="B2675" s="1" t="n">
        <v>45366</v>
      </c>
      <c r="C2675" s="1" t="n">
        <v>45637</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10537-2024</t>
        </is>
      </c>
      <c r="B2676" s="1" t="n">
        <v>45366</v>
      </c>
      <c r="C2676" s="1" t="n">
        <v>45637</v>
      </c>
      <c r="D2676" t="inlineStr">
        <is>
          <t>VÄSTERNORRLANDS LÄN</t>
        </is>
      </c>
      <c r="E2676" t="inlineStr">
        <is>
          <t>SOLLEFTEÅ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10569-2024</t>
        </is>
      </c>
      <c r="B2677" s="1" t="n">
        <v>45366</v>
      </c>
      <c r="C2677" s="1" t="n">
        <v>45637</v>
      </c>
      <c r="D2677" t="inlineStr">
        <is>
          <t>VÄSTERNORRLANDS LÄN</t>
        </is>
      </c>
      <c r="E2677" t="inlineStr">
        <is>
          <t>SOLLEFTEÅ</t>
        </is>
      </c>
      <c r="F2677" t="inlineStr">
        <is>
          <t>Holmen skog AB</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10618-2024</t>
        </is>
      </c>
      <c r="B2678" s="1" t="n">
        <v>45367</v>
      </c>
      <c r="C2678" s="1" t="n">
        <v>45637</v>
      </c>
      <c r="D2678" t="inlineStr">
        <is>
          <t>VÄSTERNORRLANDS LÄN</t>
        </is>
      </c>
      <c r="E2678" t="inlineStr">
        <is>
          <t>SOLLEFTEÅ</t>
        </is>
      </c>
      <c r="F2678" t="inlineStr">
        <is>
          <t>SCA</t>
        </is>
      </c>
      <c r="G2678" t="n">
        <v>21.1</v>
      </c>
      <c r="H2678" t="n">
        <v>0</v>
      </c>
      <c r="I2678" t="n">
        <v>0</v>
      </c>
      <c r="J2678" t="n">
        <v>0</v>
      </c>
      <c r="K2678" t="n">
        <v>0</v>
      </c>
      <c r="L2678" t="n">
        <v>0</v>
      </c>
      <c r="M2678" t="n">
        <v>0</v>
      </c>
      <c r="N2678" t="n">
        <v>0</v>
      </c>
      <c r="O2678" t="n">
        <v>0</v>
      </c>
      <c r="P2678" t="n">
        <v>0</v>
      </c>
      <c r="Q2678" t="n">
        <v>0</v>
      </c>
      <c r="R2678" s="2" t="inlineStr"/>
    </row>
    <row r="2679" ht="15" customHeight="1">
      <c r="A2679" t="inlineStr">
        <is>
          <t>A 10687-2024</t>
        </is>
      </c>
      <c r="B2679" s="1" t="n">
        <v>45369</v>
      </c>
      <c r="C2679" s="1" t="n">
        <v>45637</v>
      </c>
      <c r="D2679" t="inlineStr">
        <is>
          <t>VÄSTERNORRLANDS LÄN</t>
        </is>
      </c>
      <c r="E2679" t="inlineStr">
        <is>
          <t>SOLLEFTEÅ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10870-2024</t>
        </is>
      </c>
      <c r="B2680" s="1" t="n">
        <v>45370</v>
      </c>
      <c r="C2680" s="1" t="n">
        <v>45637</v>
      </c>
      <c r="D2680" t="inlineStr">
        <is>
          <t>VÄSTERNORRLANDS LÄN</t>
        </is>
      </c>
      <c r="E2680" t="inlineStr">
        <is>
          <t>SOLLEFTEÅ</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10853-2024</t>
        </is>
      </c>
      <c r="B2681" s="1" t="n">
        <v>45370</v>
      </c>
      <c r="C2681" s="1" t="n">
        <v>45637</v>
      </c>
      <c r="D2681" t="inlineStr">
        <is>
          <t>VÄSTERNORRLANDS LÄN</t>
        </is>
      </c>
      <c r="E2681" t="inlineStr">
        <is>
          <t>SOLLEFTEÅ</t>
        </is>
      </c>
      <c r="F2681" t="inlineStr">
        <is>
          <t>SCA</t>
        </is>
      </c>
      <c r="G2681" t="n">
        <v>37.7</v>
      </c>
      <c r="H2681" t="n">
        <v>0</v>
      </c>
      <c r="I2681" t="n">
        <v>0</v>
      </c>
      <c r="J2681" t="n">
        <v>0</v>
      </c>
      <c r="K2681" t="n">
        <v>0</v>
      </c>
      <c r="L2681" t="n">
        <v>0</v>
      </c>
      <c r="M2681" t="n">
        <v>0</v>
      </c>
      <c r="N2681" t="n">
        <v>0</v>
      </c>
      <c r="O2681" t="n">
        <v>0</v>
      </c>
      <c r="P2681" t="n">
        <v>0</v>
      </c>
      <c r="Q2681" t="n">
        <v>0</v>
      </c>
      <c r="R2681" s="2" t="inlineStr"/>
    </row>
    <row r="2682" ht="15" customHeight="1">
      <c r="A2682" t="inlineStr">
        <is>
          <t>A 10869-2024</t>
        </is>
      </c>
      <c r="B2682" s="1" t="n">
        <v>45370</v>
      </c>
      <c r="C2682" s="1" t="n">
        <v>45637</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11009-2024</t>
        </is>
      </c>
      <c r="B2683" s="1" t="n">
        <v>45370</v>
      </c>
      <c r="C2683" s="1" t="n">
        <v>45637</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11090-2024</t>
        </is>
      </c>
      <c r="B2684" s="1" t="n">
        <v>45370</v>
      </c>
      <c r="C2684" s="1" t="n">
        <v>45637</v>
      </c>
      <c r="D2684" t="inlineStr">
        <is>
          <t>VÄSTERNORRLANDS LÄN</t>
        </is>
      </c>
      <c r="E2684" t="inlineStr">
        <is>
          <t>SOLLEFTEÅ</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11083-2024</t>
        </is>
      </c>
      <c r="B2685" s="1" t="n">
        <v>45370</v>
      </c>
      <c r="C2685" s="1" t="n">
        <v>45637</v>
      </c>
      <c r="D2685" t="inlineStr">
        <is>
          <t>VÄSTERNORRLANDS LÄN</t>
        </is>
      </c>
      <c r="E2685" t="inlineStr">
        <is>
          <t>SOLLEFTEÅ</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11087-2024</t>
        </is>
      </c>
      <c r="B2686" s="1" t="n">
        <v>45370</v>
      </c>
      <c r="C2686" s="1" t="n">
        <v>45637</v>
      </c>
      <c r="D2686" t="inlineStr">
        <is>
          <t>VÄSTERNORRLANDS LÄN</t>
        </is>
      </c>
      <c r="E2686" t="inlineStr">
        <is>
          <t>SOLLEFTEÅ</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11043-2024</t>
        </is>
      </c>
      <c r="B2687" s="1" t="n">
        <v>45370</v>
      </c>
      <c r="C2687" s="1" t="n">
        <v>45637</v>
      </c>
      <c r="D2687" t="inlineStr">
        <is>
          <t>VÄSTERNORRLANDS LÄN</t>
        </is>
      </c>
      <c r="E2687" t="inlineStr">
        <is>
          <t>SOLLEFTEÅ</t>
        </is>
      </c>
      <c r="G2687" t="n">
        <v>36.5</v>
      </c>
      <c r="H2687" t="n">
        <v>0</v>
      </c>
      <c r="I2687" t="n">
        <v>0</v>
      </c>
      <c r="J2687" t="n">
        <v>0</v>
      </c>
      <c r="K2687" t="n">
        <v>0</v>
      </c>
      <c r="L2687" t="n">
        <v>0</v>
      </c>
      <c r="M2687" t="n">
        <v>0</v>
      </c>
      <c r="N2687" t="n">
        <v>0</v>
      </c>
      <c r="O2687" t="n">
        <v>0</v>
      </c>
      <c r="P2687" t="n">
        <v>0</v>
      </c>
      <c r="Q2687" t="n">
        <v>0</v>
      </c>
      <c r="R2687" s="2" t="inlineStr"/>
    </row>
    <row r="2688" ht="15" customHeight="1">
      <c r="A2688" t="inlineStr">
        <is>
          <t>A 11089-2024</t>
        </is>
      </c>
      <c r="B2688" s="1" t="n">
        <v>45370</v>
      </c>
      <c r="C2688" s="1" t="n">
        <v>45637</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11334-2024</t>
        </is>
      </c>
      <c r="B2689" s="1" t="n">
        <v>45372</v>
      </c>
      <c r="C2689" s="1" t="n">
        <v>45637</v>
      </c>
      <c r="D2689" t="inlineStr">
        <is>
          <t>VÄSTERNORRLANDS LÄN</t>
        </is>
      </c>
      <c r="E2689" t="inlineStr">
        <is>
          <t>SOLLEFTEÅ</t>
        </is>
      </c>
      <c r="F2689" t="inlineStr">
        <is>
          <t>SCA</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11332-2024</t>
        </is>
      </c>
      <c r="B2690" s="1" t="n">
        <v>45372</v>
      </c>
      <c r="C2690" s="1" t="n">
        <v>45637</v>
      </c>
      <c r="D2690" t="inlineStr">
        <is>
          <t>VÄSTERNORRLANDS LÄN</t>
        </is>
      </c>
      <c r="E2690" t="inlineStr">
        <is>
          <t>SOLLEFTEÅ</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11333-2024</t>
        </is>
      </c>
      <c r="B2691" s="1" t="n">
        <v>45372</v>
      </c>
      <c r="C2691" s="1" t="n">
        <v>45637</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11394-2024</t>
        </is>
      </c>
      <c r="B2692" s="1" t="n">
        <v>45372</v>
      </c>
      <c r="C2692" s="1" t="n">
        <v>45637</v>
      </c>
      <c r="D2692" t="inlineStr">
        <is>
          <t>VÄSTERNORRLANDS LÄN</t>
        </is>
      </c>
      <c r="E2692" t="inlineStr">
        <is>
          <t>SOLLEFTEÅ</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11539-2024</t>
        </is>
      </c>
      <c r="B2693" s="1" t="n">
        <v>45372</v>
      </c>
      <c r="C2693" s="1" t="n">
        <v>45637</v>
      </c>
      <c r="D2693" t="inlineStr">
        <is>
          <t>VÄSTERNORRLANDS LÄN</t>
        </is>
      </c>
      <c r="E2693" t="inlineStr">
        <is>
          <t>SOLLEFTEÅ</t>
        </is>
      </c>
      <c r="F2693" t="inlineStr">
        <is>
          <t>SCA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11542-2024</t>
        </is>
      </c>
      <c r="B2694" s="1" t="n">
        <v>45372</v>
      </c>
      <c r="C2694" s="1" t="n">
        <v>45637</v>
      </c>
      <c r="D2694" t="inlineStr">
        <is>
          <t>VÄSTERNORRLANDS LÄN</t>
        </is>
      </c>
      <c r="E2694" t="inlineStr">
        <is>
          <t>SOLLEFTEÅ</t>
        </is>
      </c>
      <c r="F2694" t="inlineStr">
        <is>
          <t>SCA</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11767-2024</t>
        </is>
      </c>
      <c r="B2695" s="1" t="n">
        <v>45373</v>
      </c>
      <c r="C2695" s="1" t="n">
        <v>45637</v>
      </c>
      <c r="D2695" t="inlineStr">
        <is>
          <t>VÄSTERNORRLANDS LÄN</t>
        </is>
      </c>
      <c r="E2695" t="inlineStr">
        <is>
          <t>SOLLEFTEÅ</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11749-2024</t>
        </is>
      </c>
      <c r="B2696" s="1" t="n">
        <v>45373</v>
      </c>
      <c r="C2696" s="1" t="n">
        <v>45637</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11976-2024</t>
        </is>
      </c>
      <c r="B2697" s="1" t="n">
        <v>45376</v>
      </c>
      <c r="C2697" s="1" t="n">
        <v>45637</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11988-2024</t>
        </is>
      </c>
      <c r="B2698" s="1" t="n">
        <v>45376</v>
      </c>
      <c r="C2698" s="1" t="n">
        <v>45637</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12184-2024</t>
        </is>
      </c>
      <c r="B2699" s="1" t="n">
        <v>45377</v>
      </c>
      <c r="C2699" s="1" t="n">
        <v>45637</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12186-2024</t>
        </is>
      </c>
      <c r="B2700" s="1" t="n">
        <v>45377</v>
      </c>
      <c r="C2700" s="1" t="n">
        <v>45637</v>
      </c>
      <c r="D2700" t="inlineStr">
        <is>
          <t>VÄSTERNORRLANDS LÄN</t>
        </is>
      </c>
      <c r="E2700" t="inlineStr">
        <is>
          <t>SOLLEFTEÅ</t>
        </is>
      </c>
      <c r="F2700" t="inlineStr">
        <is>
          <t>SCA</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12187-2024</t>
        </is>
      </c>
      <c r="B2701" s="1" t="n">
        <v>45377</v>
      </c>
      <c r="C2701" s="1" t="n">
        <v>45637</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12354-2024</t>
        </is>
      </c>
      <c r="B2702" s="1" t="n">
        <v>45378</v>
      </c>
      <c r="C2702" s="1" t="n">
        <v>45637</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12368-2024</t>
        </is>
      </c>
      <c r="B2703" s="1" t="n">
        <v>45378</v>
      </c>
      <c r="C2703" s="1" t="n">
        <v>45637</v>
      </c>
      <c r="D2703" t="inlineStr">
        <is>
          <t>VÄSTERNORRLANDS LÄN</t>
        </is>
      </c>
      <c r="E2703" t="inlineStr">
        <is>
          <t>SOLLEFTEÅ</t>
        </is>
      </c>
      <c r="F2703" t="inlineStr">
        <is>
          <t>SCA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12351-2024</t>
        </is>
      </c>
      <c r="B2704" s="1" t="n">
        <v>45378</v>
      </c>
      <c r="C2704" s="1" t="n">
        <v>45637</v>
      </c>
      <c r="D2704" t="inlineStr">
        <is>
          <t>VÄSTERNORRLANDS LÄN</t>
        </is>
      </c>
      <c r="E2704" t="inlineStr">
        <is>
          <t>SOLLEFTEÅ</t>
        </is>
      </c>
      <c r="G2704" t="n">
        <v>23.9</v>
      </c>
      <c r="H2704" t="n">
        <v>0</v>
      </c>
      <c r="I2704" t="n">
        <v>0</v>
      </c>
      <c r="J2704" t="n">
        <v>0</v>
      </c>
      <c r="K2704" t="n">
        <v>0</v>
      </c>
      <c r="L2704" t="n">
        <v>0</v>
      </c>
      <c r="M2704" t="n">
        <v>0</v>
      </c>
      <c r="N2704" t="n">
        <v>0</v>
      </c>
      <c r="O2704" t="n">
        <v>0</v>
      </c>
      <c r="P2704" t="n">
        <v>0</v>
      </c>
      <c r="Q2704" t="n">
        <v>0</v>
      </c>
      <c r="R2704" s="2" t="inlineStr"/>
    </row>
    <row r="2705" ht="15" customHeight="1">
      <c r="A2705" t="inlineStr">
        <is>
          <t>A 12355-2024</t>
        </is>
      </c>
      <c r="B2705" s="1" t="n">
        <v>45378</v>
      </c>
      <c r="C2705" s="1" t="n">
        <v>45637</v>
      </c>
      <c r="D2705" t="inlineStr">
        <is>
          <t>VÄSTERNORRLANDS LÄN</t>
        </is>
      </c>
      <c r="E2705" t="inlineStr">
        <is>
          <t>SOLLEFTEÅ</t>
        </is>
      </c>
      <c r="F2705" t="inlineStr">
        <is>
          <t>SCA</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12363-2024</t>
        </is>
      </c>
      <c r="B2706" s="1" t="n">
        <v>45378</v>
      </c>
      <c r="C2706" s="1" t="n">
        <v>45637</v>
      </c>
      <c r="D2706" t="inlineStr">
        <is>
          <t>VÄSTERNORRLANDS LÄN</t>
        </is>
      </c>
      <c r="E2706" t="inlineStr">
        <is>
          <t>SOLLEFTEÅ</t>
        </is>
      </c>
      <c r="F2706" t="inlineStr">
        <is>
          <t>SCA</t>
        </is>
      </c>
      <c r="G2706" t="n">
        <v>16.3</v>
      </c>
      <c r="H2706" t="n">
        <v>0</v>
      </c>
      <c r="I2706" t="n">
        <v>0</v>
      </c>
      <c r="J2706" t="n">
        <v>0</v>
      </c>
      <c r="K2706" t="n">
        <v>0</v>
      </c>
      <c r="L2706" t="n">
        <v>0</v>
      </c>
      <c r="M2706" t="n">
        <v>0</v>
      </c>
      <c r="N2706" t="n">
        <v>0</v>
      </c>
      <c r="O2706" t="n">
        <v>0</v>
      </c>
      <c r="P2706" t="n">
        <v>0</v>
      </c>
      <c r="Q2706" t="n">
        <v>0</v>
      </c>
      <c r="R2706" s="2" t="inlineStr"/>
    </row>
    <row r="2707" ht="15" customHeight="1">
      <c r="A2707" t="inlineStr">
        <is>
          <t>A 12590-2024</t>
        </is>
      </c>
      <c r="B2707" s="1" t="n">
        <v>45379</v>
      </c>
      <c r="C2707" s="1" t="n">
        <v>45637</v>
      </c>
      <c r="D2707" t="inlineStr">
        <is>
          <t>VÄSTERNORRLANDS LÄN</t>
        </is>
      </c>
      <c r="E2707" t="inlineStr">
        <is>
          <t>SOLLEFTEÅ</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12582-2024</t>
        </is>
      </c>
      <c r="B2708" s="1" t="n">
        <v>45379</v>
      </c>
      <c r="C2708" s="1" t="n">
        <v>45637</v>
      </c>
      <c r="D2708" t="inlineStr">
        <is>
          <t>VÄSTERNORRLANDS LÄN</t>
        </is>
      </c>
      <c r="E2708" t="inlineStr">
        <is>
          <t>SOLLEFTEÅ</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12865-2024</t>
        </is>
      </c>
      <c r="B2709" s="1" t="n">
        <v>45384</v>
      </c>
      <c r="C2709" s="1" t="n">
        <v>45637</v>
      </c>
      <c r="D2709" t="inlineStr">
        <is>
          <t>VÄSTERNORRLANDS LÄN</t>
        </is>
      </c>
      <c r="E2709" t="inlineStr">
        <is>
          <t>SOLLEFTEÅ</t>
        </is>
      </c>
      <c r="F2709" t="inlineStr">
        <is>
          <t>SCA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13138-2024</t>
        </is>
      </c>
      <c r="B2710" s="1" t="n">
        <v>45386</v>
      </c>
      <c r="C2710" s="1" t="n">
        <v>45637</v>
      </c>
      <c r="D2710" t="inlineStr">
        <is>
          <t>VÄSTERNORRLANDS LÄN</t>
        </is>
      </c>
      <c r="E2710" t="inlineStr">
        <is>
          <t>SOLLEFTEÅ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13154-2024</t>
        </is>
      </c>
      <c r="B2711" s="1" t="n">
        <v>45386</v>
      </c>
      <c r="C2711" s="1" t="n">
        <v>45637</v>
      </c>
      <c r="D2711" t="inlineStr">
        <is>
          <t>VÄSTERNORRLANDS LÄN</t>
        </is>
      </c>
      <c r="E2711" t="inlineStr">
        <is>
          <t>SOLLEFTEÅ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13546-2024</t>
        </is>
      </c>
      <c r="B2712" s="1" t="n">
        <v>45388</v>
      </c>
      <c r="C2712" s="1" t="n">
        <v>45637</v>
      </c>
      <c r="D2712" t="inlineStr">
        <is>
          <t>VÄSTERNORRLANDS LÄN</t>
        </is>
      </c>
      <c r="E2712" t="inlineStr">
        <is>
          <t>SOLLEFTEÅ</t>
        </is>
      </c>
      <c r="F2712" t="inlineStr">
        <is>
          <t>SCA</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13539-2024</t>
        </is>
      </c>
      <c r="B2713" s="1" t="n">
        <v>45388</v>
      </c>
      <c r="C2713" s="1" t="n">
        <v>45637</v>
      </c>
      <c r="D2713" t="inlineStr">
        <is>
          <t>VÄSTERNORRLANDS LÄN</t>
        </is>
      </c>
      <c r="E2713" t="inlineStr">
        <is>
          <t>SOLLEFTEÅ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13942-2024</t>
        </is>
      </c>
      <c r="B2714" s="1" t="n">
        <v>45392</v>
      </c>
      <c r="C2714" s="1" t="n">
        <v>45637</v>
      </c>
      <c r="D2714" t="inlineStr">
        <is>
          <t>VÄSTERNORRLANDS LÄN</t>
        </is>
      </c>
      <c r="E2714" t="inlineStr">
        <is>
          <t>SOLLEFTEÅ</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14109-2024</t>
        </is>
      </c>
      <c r="B2715" s="1" t="n">
        <v>45392</v>
      </c>
      <c r="C2715" s="1" t="n">
        <v>45637</v>
      </c>
      <c r="D2715" t="inlineStr">
        <is>
          <t>VÄSTERNORRLANDS LÄN</t>
        </is>
      </c>
      <c r="E2715" t="inlineStr">
        <is>
          <t>SOLLEFTEÅ</t>
        </is>
      </c>
      <c r="F2715" t="inlineStr">
        <is>
          <t>Övriga Aktiebolag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14110-2024</t>
        </is>
      </c>
      <c r="B2716" s="1" t="n">
        <v>45392</v>
      </c>
      <c r="C2716" s="1" t="n">
        <v>45637</v>
      </c>
      <c r="D2716" t="inlineStr">
        <is>
          <t>VÄSTERNORRLANDS LÄN</t>
        </is>
      </c>
      <c r="E2716" t="inlineStr">
        <is>
          <t>SOLLEFTEÅ</t>
        </is>
      </c>
      <c r="F2716" t="inlineStr">
        <is>
          <t>Övriga Aktiebolag</t>
        </is>
      </c>
      <c r="G2716" t="n">
        <v>11.6</v>
      </c>
      <c r="H2716" t="n">
        <v>0</v>
      </c>
      <c r="I2716" t="n">
        <v>0</v>
      </c>
      <c r="J2716" t="n">
        <v>0</v>
      </c>
      <c r="K2716" t="n">
        <v>0</v>
      </c>
      <c r="L2716" t="n">
        <v>0</v>
      </c>
      <c r="M2716" t="n">
        <v>0</v>
      </c>
      <c r="N2716" t="n">
        <v>0</v>
      </c>
      <c r="O2716" t="n">
        <v>0</v>
      </c>
      <c r="P2716" t="n">
        <v>0</v>
      </c>
      <c r="Q2716" t="n">
        <v>0</v>
      </c>
      <c r="R2716" s="2" t="inlineStr"/>
    </row>
    <row r="2717" ht="15" customHeight="1">
      <c r="A2717" t="inlineStr">
        <is>
          <t>A 14087-2024</t>
        </is>
      </c>
      <c r="B2717" s="1" t="n">
        <v>45392</v>
      </c>
      <c r="C2717" s="1" t="n">
        <v>45637</v>
      </c>
      <c r="D2717" t="inlineStr">
        <is>
          <t>VÄSTERNORRLANDS LÄN</t>
        </is>
      </c>
      <c r="E2717" t="inlineStr">
        <is>
          <t>SOLLEFTEÅ</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14165-2024</t>
        </is>
      </c>
      <c r="B2718" s="1" t="n">
        <v>45393</v>
      </c>
      <c r="C2718" s="1" t="n">
        <v>45637</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14169-2024</t>
        </is>
      </c>
      <c r="B2719" s="1" t="n">
        <v>45393</v>
      </c>
      <c r="C2719" s="1" t="n">
        <v>45637</v>
      </c>
      <c r="D2719" t="inlineStr">
        <is>
          <t>VÄSTERNORRLANDS LÄN</t>
        </is>
      </c>
      <c r="E2719" t="inlineStr">
        <is>
          <t>SOLLEFTEÅ</t>
        </is>
      </c>
      <c r="F2719" t="inlineStr">
        <is>
          <t>SCA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14344-2024</t>
        </is>
      </c>
      <c r="B2720" s="1" t="n">
        <v>45393</v>
      </c>
      <c r="C2720" s="1" t="n">
        <v>45637</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14365-2024</t>
        </is>
      </c>
      <c r="B2721" s="1" t="n">
        <v>45394</v>
      </c>
      <c r="C2721" s="1" t="n">
        <v>45637</v>
      </c>
      <c r="D2721" t="inlineStr">
        <is>
          <t>VÄSTERNORRLANDS LÄN</t>
        </is>
      </c>
      <c r="E2721" t="inlineStr">
        <is>
          <t>SOLLEFTEÅ</t>
        </is>
      </c>
      <c r="F2721" t="inlineStr">
        <is>
          <t>SCA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14554-2024</t>
        </is>
      </c>
      <c r="B2722" s="1" t="n">
        <v>45394</v>
      </c>
      <c r="C2722" s="1" t="n">
        <v>45637</v>
      </c>
      <c r="D2722" t="inlineStr">
        <is>
          <t>VÄSTERNORRLANDS LÄN</t>
        </is>
      </c>
      <c r="E2722" t="inlineStr">
        <is>
          <t>SOLLEFTEÅ</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14581-2024</t>
        </is>
      </c>
      <c r="B2723" s="1" t="n">
        <v>45395</v>
      </c>
      <c r="C2723" s="1" t="n">
        <v>45637</v>
      </c>
      <c r="D2723" t="inlineStr">
        <is>
          <t>VÄSTERNORRLANDS LÄN</t>
        </is>
      </c>
      <c r="E2723" t="inlineStr">
        <is>
          <t>SOLLEFTEÅ</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14571-2024</t>
        </is>
      </c>
      <c r="B2724" s="1" t="n">
        <v>45394</v>
      </c>
      <c r="C2724" s="1" t="n">
        <v>45637</v>
      </c>
      <c r="D2724" t="inlineStr">
        <is>
          <t>VÄSTERNORRLANDS LÄN</t>
        </is>
      </c>
      <c r="E2724" t="inlineStr">
        <is>
          <t>SOLLEFTEÅ</t>
        </is>
      </c>
      <c r="F2724" t="inlineStr">
        <is>
          <t>SCA</t>
        </is>
      </c>
      <c r="G2724" t="n">
        <v>20.8</v>
      </c>
      <c r="H2724" t="n">
        <v>0</v>
      </c>
      <c r="I2724" t="n">
        <v>0</v>
      </c>
      <c r="J2724" t="n">
        <v>0</v>
      </c>
      <c r="K2724" t="n">
        <v>0</v>
      </c>
      <c r="L2724" t="n">
        <v>0</v>
      </c>
      <c r="M2724" t="n">
        <v>0</v>
      </c>
      <c r="N2724" t="n">
        <v>0</v>
      </c>
      <c r="O2724" t="n">
        <v>0</v>
      </c>
      <c r="P2724" t="n">
        <v>0</v>
      </c>
      <c r="Q2724" t="n">
        <v>0</v>
      </c>
      <c r="R2724" s="2" t="inlineStr"/>
    </row>
    <row r="2725" ht="15" customHeight="1">
      <c r="A2725" t="inlineStr">
        <is>
          <t>A 14577-2024</t>
        </is>
      </c>
      <c r="B2725" s="1" t="n">
        <v>45395</v>
      </c>
      <c r="C2725" s="1" t="n">
        <v>45637</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14819-2024</t>
        </is>
      </c>
      <c r="B2726" s="1" t="n">
        <v>45397</v>
      </c>
      <c r="C2726" s="1" t="n">
        <v>45637</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14970-2024</t>
        </is>
      </c>
      <c r="B2727" s="1" t="n">
        <v>45398</v>
      </c>
      <c r="C2727" s="1" t="n">
        <v>45637</v>
      </c>
      <c r="D2727" t="inlineStr">
        <is>
          <t>VÄSTERNORRLANDS LÄN</t>
        </is>
      </c>
      <c r="E2727" t="inlineStr">
        <is>
          <t>SOLLEFTEÅ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14982-2024</t>
        </is>
      </c>
      <c r="B2728" s="1" t="n">
        <v>45399</v>
      </c>
      <c r="C2728" s="1" t="n">
        <v>45637</v>
      </c>
      <c r="D2728" t="inlineStr">
        <is>
          <t>VÄSTERNORRLANDS LÄN</t>
        </is>
      </c>
      <c r="E2728" t="inlineStr">
        <is>
          <t>SOLLEFTEÅ</t>
        </is>
      </c>
      <c r="F2728" t="inlineStr">
        <is>
          <t>SCA</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14971-2024</t>
        </is>
      </c>
      <c r="B2729" s="1" t="n">
        <v>45399</v>
      </c>
      <c r="C2729" s="1" t="n">
        <v>45637</v>
      </c>
      <c r="D2729" t="inlineStr">
        <is>
          <t>VÄSTERNORRLANDS LÄN</t>
        </is>
      </c>
      <c r="E2729" t="inlineStr">
        <is>
          <t>SOLLEFTEÅ</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14975-2024</t>
        </is>
      </c>
      <c r="B2730" s="1" t="n">
        <v>45399</v>
      </c>
      <c r="C2730" s="1" t="n">
        <v>45637</v>
      </c>
      <c r="D2730" t="inlineStr">
        <is>
          <t>VÄSTERNORRLANDS LÄN</t>
        </is>
      </c>
      <c r="E2730" t="inlineStr">
        <is>
          <t>SOLLEFTEÅ</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14983-2024</t>
        </is>
      </c>
      <c r="B2731" s="1" t="n">
        <v>45399</v>
      </c>
      <c r="C2731" s="1" t="n">
        <v>45637</v>
      </c>
      <c r="D2731" t="inlineStr">
        <is>
          <t>VÄSTERNORRLANDS LÄN</t>
        </is>
      </c>
      <c r="E2731" t="inlineStr">
        <is>
          <t>SOLLEFTEÅ</t>
        </is>
      </c>
      <c r="F2731" t="inlineStr">
        <is>
          <t>SCA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15154-2024</t>
        </is>
      </c>
      <c r="B2732" s="1" t="n">
        <v>45400</v>
      </c>
      <c r="C2732" s="1" t="n">
        <v>45637</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15147-2024</t>
        </is>
      </c>
      <c r="B2733" s="1" t="n">
        <v>45400</v>
      </c>
      <c r="C2733" s="1" t="n">
        <v>45637</v>
      </c>
      <c r="D2733" t="inlineStr">
        <is>
          <t>VÄSTERNORRLANDS LÄN</t>
        </is>
      </c>
      <c r="E2733" t="inlineStr">
        <is>
          <t>SOLLEFTEÅ</t>
        </is>
      </c>
      <c r="F2733" t="inlineStr">
        <is>
          <t>SCA</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15380-2024</t>
        </is>
      </c>
      <c r="B2734" s="1" t="n">
        <v>45401</v>
      </c>
      <c r="C2734" s="1" t="n">
        <v>45637</v>
      </c>
      <c r="D2734" t="inlineStr">
        <is>
          <t>VÄSTERNORRLANDS LÄN</t>
        </is>
      </c>
      <c r="E2734" t="inlineStr">
        <is>
          <t>SOLLEFTEÅ</t>
        </is>
      </c>
      <c r="F2734" t="inlineStr">
        <is>
          <t>SCA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15377-2024</t>
        </is>
      </c>
      <c r="B2735" s="1" t="n">
        <v>45400</v>
      </c>
      <c r="C2735" s="1" t="n">
        <v>45637</v>
      </c>
      <c r="D2735" t="inlineStr">
        <is>
          <t>VÄSTERNORRLANDS LÄN</t>
        </is>
      </c>
      <c r="E2735" t="inlineStr">
        <is>
          <t>SOLLEFTEÅ</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15616-2024</t>
        </is>
      </c>
      <c r="B2736" s="1" t="n">
        <v>45402</v>
      </c>
      <c r="C2736" s="1" t="n">
        <v>45637</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15614-2024</t>
        </is>
      </c>
      <c r="B2737" s="1" t="n">
        <v>45402</v>
      </c>
      <c r="C2737" s="1" t="n">
        <v>45637</v>
      </c>
      <c r="D2737" t="inlineStr">
        <is>
          <t>VÄSTERNORRLANDS LÄN</t>
        </is>
      </c>
      <c r="E2737" t="inlineStr">
        <is>
          <t>SOLLEFTEÅ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15613-2024</t>
        </is>
      </c>
      <c r="B2738" s="1" t="n">
        <v>45402</v>
      </c>
      <c r="C2738" s="1" t="n">
        <v>45637</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15859-2024</t>
        </is>
      </c>
      <c r="B2739" s="1" t="n">
        <v>45405</v>
      </c>
      <c r="C2739" s="1" t="n">
        <v>45637</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15863-2024</t>
        </is>
      </c>
      <c r="B2740" s="1" t="n">
        <v>45405</v>
      </c>
      <c r="C2740" s="1" t="n">
        <v>45637</v>
      </c>
      <c r="D2740" t="inlineStr">
        <is>
          <t>VÄSTERNORRLANDS LÄN</t>
        </is>
      </c>
      <c r="E2740" t="inlineStr">
        <is>
          <t>SOLLEFTEÅ</t>
        </is>
      </c>
      <c r="F2740" t="inlineStr">
        <is>
          <t>SCA</t>
        </is>
      </c>
      <c r="G2740" t="n">
        <v>32.2</v>
      </c>
      <c r="H2740" t="n">
        <v>0</v>
      </c>
      <c r="I2740" t="n">
        <v>0</v>
      </c>
      <c r="J2740" t="n">
        <v>0</v>
      </c>
      <c r="K2740" t="n">
        <v>0</v>
      </c>
      <c r="L2740" t="n">
        <v>0</v>
      </c>
      <c r="M2740" t="n">
        <v>0</v>
      </c>
      <c r="N2740" t="n">
        <v>0</v>
      </c>
      <c r="O2740" t="n">
        <v>0</v>
      </c>
      <c r="P2740" t="n">
        <v>0</v>
      </c>
      <c r="Q2740" t="n">
        <v>0</v>
      </c>
      <c r="R2740" s="2" t="inlineStr"/>
    </row>
    <row r="2741" ht="15" customHeight="1">
      <c r="A2741" t="inlineStr">
        <is>
          <t>A 15872-2024</t>
        </is>
      </c>
      <c r="B2741" s="1" t="n">
        <v>45405</v>
      </c>
      <c r="C2741" s="1" t="n">
        <v>45637</v>
      </c>
      <c r="D2741" t="inlineStr">
        <is>
          <t>VÄSTERNORRLANDS LÄN</t>
        </is>
      </c>
      <c r="E2741" t="inlineStr">
        <is>
          <t>SOLLEFTEÅ</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15875-2024</t>
        </is>
      </c>
      <c r="B2742" s="1" t="n">
        <v>45405</v>
      </c>
      <c r="C2742" s="1" t="n">
        <v>45637</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15983-2024</t>
        </is>
      </c>
      <c r="B2743" s="1" t="n">
        <v>45405</v>
      </c>
      <c r="C2743" s="1" t="n">
        <v>45637</v>
      </c>
      <c r="D2743" t="inlineStr">
        <is>
          <t>VÄSTERNORRLANDS LÄN</t>
        </is>
      </c>
      <c r="E2743" t="inlineStr">
        <is>
          <t>SOLLEFTEÅ</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16052-2024</t>
        </is>
      </c>
      <c r="B2744" s="1" t="n">
        <v>45406</v>
      </c>
      <c r="C2744" s="1" t="n">
        <v>45637</v>
      </c>
      <c r="D2744" t="inlineStr">
        <is>
          <t>VÄSTERNORRLANDS LÄN</t>
        </is>
      </c>
      <c r="E2744" t="inlineStr">
        <is>
          <t>SOLLEFTEÅ</t>
        </is>
      </c>
      <c r="F2744" t="inlineStr">
        <is>
          <t>SCA</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16051-2024</t>
        </is>
      </c>
      <c r="B2745" s="1" t="n">
        <v>45406</v>
      </c>
      <c r="C2745" s="1" t="n">
        <v>45637</v>
      </c>
      <c r="D2745" t="inlineStr">
        <is>
          <t>VÄSTERNORRLANDS LÄN</t>
        </is>
      </c>
      <c r="E2745" t="inlineStr">
        <is>
          <t>SOLLEFTEÅ</t>
        </is>
      </c>
      <c r="F2745" t="inlineStr">
        <is>
          <t>SCA</t>
        </is>
      </c>
      <c r="G2745" t="n">
        <v>15.7</v>
      </c>
      <c r="H2745" t="n">
        <v>0</v>
      </c>
      <c r="I2745" t="n">
        <v>0</v>
      </c>
      <c r="J2745" t="n">
        <v>0</v>
      </c>
      <c r="K2745" t="n">
        <v>0</v>
      </c>
      <c r="L2745" t="n">
        <v>0</v>
      </c>
      <c r="M2745" t="n">
        <v>0</v>
      </c>
      <c r="N2745" t="n">
        <v>0</v>
      </c>
      <c r="O2745" t="n">
        <v>0</v>
      </c>
      <c r="P2745" t="n">
        <v>0</v>
      </c>
      <c r="Q2745" t="n">
        <v>0</v>
      </c>
      <c r="R2745" s="2" t="inlineStr"/>
    </row>
    <row r="2746" ht="15" customHeight="1">
      <c r="A2746" t="inlineStr">
        <is>
          <t>A 16165-2024</t>
        </is>
      </c>
      <c r="B2746" s="1" t="n">
        <v>45406</v>
      </c>
      <c r="C2746" s="1" t="n">
        <v>45637</v>
      </c>
      <c r="D2746" t="inlineStr">
        <is>
          <t>VÄSTERNORRLANDS LÄN</t>
        </is>
      </c>
      <c r="E2746" t="inlineStr">
        <is>
          <t>SOLLEFTEÅ</t>
        </is>
      </c>
      <c r="G2746" t="n">
        <v>15.2</v>
      </c>
      <c r="H2746" t="n">
        <v>0</v>
      </c>
      <c r="I2746" t="n">
        <v>0</v>
      </c>
      <c r="J2746" t="n">
        <v>0</v>
      </c>
      <c r="K2746" t="n">
        <v>0</v>
      </c>
      <c r="L2746" t="n">
        <v>0</v>
      </c>
      <c r="M2746" t="n">
        <v>0</v>
      </c>
      <c r="N2746" t="n">
        <v>0</v>
      </c>
      <c r="O2746" t="n">
        <v>0</v>
      </c>
      <c r="P2746" t="n">
        <v>0</v>
      </c>
      <c r="Q2746" t="n">
        <v>0</v>
      </c>
      <c r="R2746" s="2" t="inlineStr"/>
    </row>
    <row r="2747" ht="15" customHeight="1">
      <c r="A2747" t="inlineStr">
        <is>
          <t>A 16061-2024</t>
        </is>
      </c>
      <c r="B2747" s="1" t="n">
        <v>45406</v>
      </c>
      <c r="C2747" s="1" t="n">
        <v>45637</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16086-2024</t>
        </is>
      </c>
      <c r="B2748" s="1" t="n">
        <v>45406</v>
      </c>
      <c r="C2748" s="1" t="n">
        <v>45637</v>
      </c>
      <c r="D2748" t="inlineStr">
        <is>
          <t>VÄSTERNORRLANDS LÄN</t>
        </is>
      </c>
      <c r="E2748" t="inlineStr">
        <is>
          <t>SOLLEFTEÅ</t>
        </is>
      </c>
      <c r="G2748" t="n">
        <v>15.9</v>
      </c>
      <c r="H2748" t="n">
        <v>0</v>
      </c>
      <c r="I2748" t="n">
        <v>0</v>
      </c>
      <c r="J2748" t="n">
        <v>0</v>
      </c>
      <c r="K2748" t="n">
        <v>0</v>
      </c>
      <c r="L2748" t="n">
        <v>0</v>
      </c>
      <c r="M2748" t="n">
        <v>0</v>
      </c>
      <c r="N2748" t="n">
        <v>0</v>
      </c>
      <c r="O2748" t="n">
        <v>0</v>
      </c>
      <c r="P2748" t="n">
        <v>0</v>
      </c>
      <c r="Q2748" t="n">
        <v>0</v>
      </c>
      <c r="R2748" s="2" t="inlineStr"/>
    </row>
    <row r="2749" ht="15" customHeight="1">
      <c r="A2749" t="inlineStr">
        <is>
          <t>A 16238-2024</t>
        </is>
      </c>
      <c r="B2749" s="1" t="n">
        <v>45407</v>
      </c>
      <c r="C2749" s="1" t="n">
        <v>45637</v>
      </c>
      <c r="D2749" t="inlineStr">
        <is>
          <t>VÄSTERNORRLANDS LÄN</t>
        </is>
      </c>
      <c r="E2749" t="inlineStr">
        <is>
          <t>SOLLEFTEÅ</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16239-2024</t>
        </is>
      </c>
      <c r="B2750" s="1" t="n">
        <v>45407</v>
      </c>
      <c r="C2750" s="1" t="n">
        <v>45637</v>
      </c>
      <c r="D2750" t="inlineStr">
        <is>
          <t>VÄSTERNORRLANDS LÄN</t>
        </is>
      </c>
      <c r="E2750" t="inlineStr">
        <is>
          <t>SOLLEFTEÅ</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16237-2024</t>
        </is>
      </c>
      <c r="B2751" s="1" t="n">
        <v>45407</v>
      </c>
      <c r="C2751" s="1" t="n">
        <v>45637</v>
      </c>
      <c r="D2751" t="inlineStr">
        <is>
          <t>VÄSTERNORRLANDS LÄN</t>
        </is>
      </c>
      <c r="E2751" t="inlineStr">
        <is>
          <t>SOLLEFTEÅ</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16241-2024</t>
        </is>
      </c>
      <c r="B2752" s="1" t="n">
        <v>45407</v>
      </c>
      <c r="C2752" s="1" t="n">
        <v>45637</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16253-2024</t>
        </is>
      </c>
      <c r="B2753" s="1" t="n">
        <v>45407</v>
      </c>
      <c r="C2753" s="1" t="n">
        <v>45637</v>
      </c>
      <c r="D2753" t="inlineStr">
        <is>
          <t>VÄSTERNORRLANDS LÄN</t>
        </is>
      </c>
      <c r="E2753" t="inlineStr">
        <is>
          <t>SOLLEFTEÅ</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16468-2024</t>
        </is>
      </c>
      <c r="B2754" s="1" t="n">
        <v>45408</v>
      </c>
      <c r="C2754" s="1" t="n">
        <v>45637</v>
      </c>
      <c r="D2754" t="inlineStr">
        <is>
          <t>VÄSTERNORRLANDS LÄN</t>
        </is>
      </c>
      <c r="E2754" t="inlineStr">
        <is>
          <t>SOLLEFTEÅ</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16463-2024</t>
        </is>
      </c>
      <c r="B2755" s="1" t="n">
        <v>45408</v>
      </c>
      <c r="C2755" s="1" t="n">
        <v>45637</v>
      </c>
      <c r="D2755" t="inlineStr">
        <is>
          <t>VÄSTERNORRLANDS LÄN</t>
        </is>
      </c>
      <c r="E2755" t="inlineStr">
        <is>
          <t>SOLLEFTEÅ</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16467-2024</t>
        </is>
      </c>
      <c r="B2756" s="1" t="n">
        <v>45408</v>
      </c>
      <c r="C2756" s="1" t="n">
        <v>45637</v>
      </c>
      <c r="D2756" t="inlineStr">
        <is>
          <t>VÄSTERNORRLANDS LÄN</t>
        </is>
      </c>
      <c r="E2756" t="inlineStr">
        <is>
          <t>SOLLEFTEÅ</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16470-2024</t>
        </is>
      </c>
      <c r="B2757" s="1" t="n">
        <v>45408</v>
      </c>
      <c r="C2757" s="1" t="n">
        <v>45637</v>
      </c>
      <c r="D2757" t="inlineStr">
        <is>
          <t>VÄSTERNORRLANDS LÄN</t>
        </is>
      </c>
      <c r="E2757" t="inlineStr">
        <is>
          <t>SOLLEFTEÅ</t>
        </is>
      </c>
      <c r="F2757" t="inlineStr">
        <is>
          <t>SCA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16691-2024</t>
        </is>
      </c>
      <c r="B2758" s="1" t="n">
        <v>45408</v>
      </c>
      <c r="C2758" s="1" t="n">
        <v>45637</v>
      </c>
      <c r="D2758" t="inlineStr">
        <is>
          <t>VÄSTERNORRLANDS LÄN</t>
        </is>
      </c>
      <c r="E2758" t="inlineStr">
        <is>
          <t>SOLLEFTEÅ</t>
        </is>
      </c>
      <c r="G2758" t="n">
        <v>12.3</v>
      </c>
      <c r="H2758" t="n">
        <v>0</v>
      </c>
      <c r="I2758" t="n">
        <v>0</v>
      </c>
      <c r="J2758" t="n">
        <v>0</v>
      </c>
      <c r="K2758" t="n">
        <v>0</v>
      </c>
      <c r="L2758" t="n">
        <v>0</v>
      </c>
      <c r="M2758" t="n">
        <v>0</v>
      </c>
      <c r="N2758" t="n">
        <v>0</v>
      </c>
      <c r="O2758" t="n">
        <v>0</v>
      </c>
      <c r="P2758" t="n">
        <v>0</v>
      </c>
      <c r="Q2758" t="n">
        <v>0</v>
      </c>
      <c r="R2758" s="2" t="inlineStr"/>
    </row>
    <row r="2759" ht="15" customHeight="1">
      <c r="A2759" t="inlineStr">
        <is>
          <t>A 16693-2024</t>
        </is>
      </c>
      <c r="B2759" s="1" t="n">
        <v>45408</v>
      </c>
      <c r="C2759" s="1" t="n">
        <v>45637</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16710-2024</t>
        </is>
      </c>
      <c r="B2760" s="1" t="n">
        <v>45409</v>
      </c>
      <c r="C2760" s="1" t="n">
        <v>45637</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16703-2024</t>
        </is>
      </c>
      <c r="B2761" s="1" t="n">
        <v>45409</v>
      </c>
      <c r="C2761" s="1" t="n">
        <v>45637</v>
      </c>
      <c r="D2761" t="inlineStr">
        <is>
          <t>VÄSTERNORRLANDS LÄN</t>
        </is>
      </c>
      <c r="E2761" t="inlineStr">
        <is>
          <t>SOLLEFTEÅ</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16701-2024</t>
        </is>
      </c>
      <c r="B2762" s="1" t="n">
        <v>45409</v>
      </c>
      <c r="C2762" s="1" t="n">
        <v>45637</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16709-2024</t>
        </is>
      </c>
      <c r="B2763" s="1" t="n">
        <v>45409</v>
      </c>
      <c r="C2763" s="1" t="n">
        <v>45637</v>
      </c>
      <c r="D2763" t="inlineStr">
        <is>
          <t>VÄSTERNORRLANDS LÄN</t>
        </is>
      </c>
      <c r="E2763" t="inlineStr">
        <is>
          <t>SOLLEFTEÅ</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16717-2024</t>
        </is>
      </c>
      <c r="B2764" s="1" t="n">
        <v>45409</v>
      </c>
      <c r="C2764" s="1" t="n">
        <v>45637</v>
      </c>
      <c r="D2764" t="inlineStr">
        <is>
          <t>VÄSTERNORRLANDS LÄN</t>
        </is>
      </c>
      <c r="E2764" t="inlineStr">
        <is>
          <t>SOLLEFTEÅ</t>
        </is>
      </c>
      <c r="F2764" t="inlineStr">
        <is>
          <t>SCA</t>
        </is>
      </c>
      <c r="G2764" t="n">
        <v>10.6</v>
      </c>
      <c r="H2764" t="n">
        <v>0</v>
      </c>
      <c r="I2764" t="n">
        <v>0</v>
      </c>
      <c r="J2764" t="n">
        <v>0</v>
      </c>
      <c r="K2764" t="n">
        <v>0</v>
      </c>
      <c r="L2764" t="n">
        <v>0</v>
      </c>
      <c r="M2764" t="n">
        <v>0</v>
      </c>
      <c r="N2764" t="n">
        <v>0</v>
      </c>
      <c r="O2764" t="n">
        <v>0</v>
      </c>
      <c r="P2764" t="n">
        <v>0</v>
      </c>
      <c r="Q2764" t="n">
        <v>0</v>
      </c>
      <c r="R2764" s="2" t="inlineStr"/>
    </row>
    <row r="2765" ht="15" customHeight="1">
      <c r="A2765" t="inlineStr">
        <is>
          <t>A 16726-2024</t>
        </is>
      </c>
      <c r="B2765" s="1" t="n">
        <v>45410</v>
      </c>
      <c r="C2765" s="1" t="n">
        <v>45637</v>
      </c>
      <c r="D2765" t="inlineStr">
        <is>
          <t>VÄSTERNORRLANDS LÄN</t>
        </is>
      </c>
      <c r="E2765" t="inlineStr">
        <is>
          <t>SOLLEFTEÅ</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17172-2024</t>
        </is>
      </c>
      <c r="B2766" s="1" t="n">
        <v>45413</v>
      </c>
      <c r="C2766" s="1" t="n">
        <v>45637</v>
      </c>
      <c r="D2766" t="inlineStr">
        <is>
          <t>VÄSTERNORRLANDS LÄN</t>
        </is>
      </c>
      <c r="E2766" t="inlineStr">
        <is>
          <t>SOLLEFTEÅ</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17120-2024</t>
        </is>
      </c>
      <c r="B2767" s="1" t="n">
        <v>45412</v>
      </c>
      <c r="C2767" s="1" t="n">
        <v>45637</v>
      </c>
      <c r="D2767" t="inlineStr">
        <is>
          <t>VÄSTERNORRLANDS LÄN</t>
        </is>
      </c>
      <c r="E2767" t="inlineStr">
        <is>
          <t>SOLLEFTEÅ</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17173-2024</t>
        </is>
      </c>
      <c r="B2768" s="1" t="n">
        <v>45413</v>
      </c>
      <c r="C2768" s="1" t="n">
        <v>45637</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17111-2024</t>
        </is>
      </c>
      <c r="B2769" s="1" t="n">
        <v>45412</v>
      </c>
      <c r="C2769" s="1" t="n">
        <v>45637</v>
      </c>
      <c r="D2769" t="inlineStr">
        <is>
          <t>VÄSTERNORRLANDS LÄN</t>
        </is>
      </c>
      <c r="E2769" t="inlineStr">
        <is>
          <t>SOLLEFTEÅ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17170-2024</t>
        </is>
      </c>
      <c r="B2770" s="1" t="n">
        <v>45413</v>
      </c>
      <c r="C2770" s="1" t="n">
        <v>45637</v>
      </c>
      <c r="D2770" t="inlineStr">
        <is>
          <t>VÄSTERNORRLANDS LÄN</t>
        </is>
      </c>
      <c r="E2770" t="inlineStr">
        <is>
          <t>SOLLEFTEÅ</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17209-2024</t>
        </is>
      </c>
      <c r="B2771" s="1" t="n">
        <v>45414</v>
      </c>
      <c r="C2771" s="1" t="n">
        <v>45637</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17263-2024</t>
        </is>
      </c>
      <c r="B2772" s="1" t="n">
        <v>45414</v>
      </c>
      <c r="C2772" s="1" t="n">
        <v>45637</v>
      </c>
      <c r="D2772" t="inlineStr">
        <is>
          <t>VÄSTERNORRLANDS LÄN</t>
        </is>
      </c>
      <c r="E2772" t="inlineStr">
        <is>
          <t>SOLLEFTEÅ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17585-2024</t>
        </is>
      </c>
      <c r="B2773" s="1" t="n">
        <v>45416</v>
      </c>
      <c r="C2773" s="1" t="n">
        <v>45637</v>
      </c>
      <c r="D2773" t="inlineStr">
        <is>
          <t>VÄSTERNORRLANDS LÄN</t>
        </is>
      </c>
      <c r="E2773" t="inlineStr">
        <is>
          <t>SOLLEFTEÅ</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17512-2024</t>
        </is>
      </c>
      <c r="B2774" s="1" t="n">
        <v>45415</v>
      </c>
      <c r="C2774" s="1" t="n">
        <v>45637</v>
      </c>
      <c r="D2774" t="inlineStr">
        <is>
          <t>VÄSTERNORRLANDS LÄN</t>
        </is>
      </c>
      <c r="E2774" t="inlineStr">
        <is>
          <t>SOLLEFTEÅ</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17822-2024</t>
        </is>
      </c>
      <c r="B2775" s="1" t="n">
        <v>45419</v>
      </c>
      <c r="C2775" s="1" t="n">
        <v>45637</v>
      </c>
      <c r="D2775" t="inlineStr">
        <is>
          <t>VÄSTERNORRLANDS LÄN</t>
        </is>
      </c>
      <c r="E2775" t="inlineStr">
        <is>
          <t>SOLLEFTEÅ</t>
        </is>
      </c>
      <c r="F2775" t="inlineStr">
        <is>
          <t>SCA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17826-2024</t>
        </is>
      </c>
      <c r="B2776" s="1" t="n">
        <v>45419</v>
      </c>
      <c r="C2776" s="1" t="n">
        <v>45637</v>
      </c>
      <c r="D2776" t="inlineStr">
        <is>
          <t>VÄSTERNORRLANDS LÄN</t>
        </is>
      </c>
      <c r="E2776" t="inlineStr">
        <is>
          <t>SOLLEFTEÅ</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18003-2024</t>
        </is>
      </c>
      <c r="B2777" s="1" t="n">
        <v>45420</v>
      </c>
      <c r="C2777" s="1" t="n">
        <v>45637</v>
      </c>
      <c r="D2777" t="inlineStr">
        <is>
          <t>VÄSTERNORRLANDS LÄN</t>
        </is>
      </c>
      <c r="E2777" t="inlineStr">
        <is>
          <t>SOLLEFTEÅ</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18226-2024</t>
        </is>
      </c>
      <c r="B2778" s="1" t="n">
        <v>45420</v>
      </c>
      <c r="C2778" s="1" t="n">
        <v>45637</v>
      </c>
      <c r="D2778" t="inlineStr">
        <is>
          <t>VÄSTERNORRLANDS LÄN</t>
        </is>
      </c>
      <c r="E2778" t="inlineStr">
        <is>
          <t>SOLLEFTEÅ</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18220-2024</t>
        </is>
      </c>
      <c r="B2779" s="1" t="n">
        <v>45420</v>
      </c>
      <c r="C2779" s="1" t="n">
        <v>45637</v>
      </c>
      <c r="D2779" t="inlineStr">
        <is>
          <t>VÄSTERNORRLANDS LÄN</t>
        </is>
      </c>
      <c r="E2779" t="inlineStr">
        <is>
          <t>SOLLEFTEÅ</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18224-2024</t>
        </is>
      </c>
      <c r="B2780" s="1" t="n">
        <v>45421</v>
      </c>
      <c r="C2780" s="1" t="n">
        <v>45637</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18362-2024</t>
        </is>
      </c>
      <c r="B2781" s="1" t="n">
        <v>45422</v>
      </c>
      <c r="C2781" s="1" t="n">
        <v>45637</v>
      </c>
      <c r="D2781" t="inlineStr">
        <is>
          <t>VÄSTERNORRLANDS LÄN</t>
        </is>
      </c>
      <c r="E2781" t="inlineStr">
        <is>
          <t>SOLLEFTEÅ</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18366-2024</t>
        </is>
      </c>
      <c r="B2782" s="1" t="n">
        <v>45422</v>
      </c>
      <c r="C2782" s="1" t="n">
        <v>45637</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18363-2024</t>
        </is>
      </c>
      <c r="B2783" s="1" t="n">
        <v>45422</v>
      </c>
      <c r="C2783" s="1" t="n">
        <v>45637</v>
      </c>
      <c r="D2783" t="inlineStr">
        <is>
          <t>VÄSTERNORRLANDS LÄN</t>
        </is>
      </c>
      <c r="E2783" t="inlineStr">
        <is>
          <t>SOLLEFTEÅ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18299-2024</t>
        </is>
      </c>
      <c r="B2784" s="1" t="n">
        <v>45422</v>
      </c>
      <c r="C2784" s="1" t="n">
        <v>45637</v>
      </c>
      <c r="D2784" t="inlineStr">
        <is>
          <t>VÄSTERNORRLANDS LÄN</t>
        </is>
      </c>
      <c r="E2784" t="inlineStr">
        <is>
          <t>SOLLEFTEÅ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18365-2024</t>
        </is>
      </c>
      <c r="B2785" s="1" t="n">
        <v>45422</v>
      </c>
      <c r="C2785" s="1" t="n">
        <v>45637</v>
      </c>
      <c r="D2785" t="inlineStr">
        <is>
          <t>VÄSTERNORRLANDS LÄN</t>
        </is>
      </c>
      <c r="E2785" t="inlineStr">
        <is>
          <t>SOLLEFTEÅ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18364-2024</t>
        </is>
      </c>
      <c r="B2786" s="1" t="n">
        <v>45422</v>
      </c>
      <c r="C2786" s="1" t="n">
        <v>45637</v>
      </c>
      <c r="D2786" t="inlineStr">
        <is>
          <t>VÄSTERNORRLANDS LÄN</t>
        </is>
      </c>
      <c r="E2786" t="inlineStr">
        <is>
          <t>SOLLEFTEÅ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18623-2024</t>
        </is>
      </c>
      <c r="B2787" s="1" t="n">
        <v>45426</v>
      </c>
      <c r="C2787" s="1" t="n">
        <v>45637</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18436-2024</t>
        </is>
      </c>
      <c r="B2788" s="1" t="n">
        <v>45425</v>
      </c>
      <c r="C2788" s="1" t="n">
        <v>45637</v>
      </c>
      <c r="D2788" t="inlineStr">
        <is>
          <t>VÄSTERNORRLANDS LÄN</t>
        </is>
      </c>
      <c r="E2788" t="inlineStr">
        <is>
          <t>SOLLEFTEÅ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18587-2024</t>
        </is>
      </c>
      <c r="B2789" s="1" t="n">
        <v>45425</v>
      </c>
      <c r="C2789" s="1" t="n">
        <v>45637</v>
      </c>
      <c r="D2789" t="inlineStr">
        <is>
          <t>VÄSTERNORRLANDS LÄN</t>
        </is>
      </c>
      <c r="E2789" t="inlineStr">
        <is>
          <t>SOLLEFTEÅ</t>
        </is>
      </c>
      <c r="G2789" t="n">
        <v>15.7</v>
      </c>
      <c r="H2789" t="n">
        <v>0</v>
      </c>
      <c r="I2789" t="n">
        <v>0</v>
      </c>
      <c r="J2789" t="n">
        <v>0</v>
      </c>
      <c r="K2789" t="n">
        <v>0</v>
      </c>
      <c r="L2789" t="n">
        <v>0</v>
      </c>
      <c r="M2789" t="n">
        <v>0</v>
      </c>
      <c r="N2789" t="n">
        <v>0</v>
      </c>
      <c r="O2789" t="n">
        <v>0</v>
      </c>
      <c r="P2789" t="n">
        <v>0</v>
      </c>
      <c r="Q2789" t="n">
        <v>0</v>
      </c>
      <c r="R2789" s="2" t="inlineStr"/>
    </row>
    <row r="2790" ht="15" customHeight="1">
      <c r="A2790" t="inlineStr">
        <is>
          <t>A 18620-2024</t>
        </is>
      </c>
      <c r="B2790" s="1" t="n">
        <v>45425</v>
      </c>
      <c r="C2790" s="1" t="n">
        <v>45637</v>
      </c>
      <c r="D2790" t="inlineStr">
        <is>
          <t>VÄSTERNORRLANDS LÄN</t>
        </is>
      </c>
      <c r="E2790" t="inlineStr">
        <is>
          <t>SOLLEFTEÅ</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18648-2024</t>
        </is>
      </c>
      <c r="B2791" s="1" t="n">
        <v>45426</v>
      </c>
      <c r="C2791" s="1" t="n">
        <v>45637</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18621-2024</t>
        </is>
      </c>
      <c r="B2792" s="1" t="n">
        <v>45425</v>
      </c>
      <c r="C2792" s="1" t="n">
        <v>45637</v>
      </c>
      <c r="D2792" t="inlineStr">
        <is>
          <t>VÄSTERNORRLANDS LÄN</t>
        </is>
      </c>
      <c r="E2792" t="inlineStr">
        <is>
          <t>SOLLEFTEÅ</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18649-2024</t>
        </is>
      </c>
      <c r="B2793" s="1" t="n">
        <v>45426</v>
      </c>
      <c r="C2793" s="1" t="n">
        <v>45637</v>
      </c>
      <c r="D2793" t="inlineStr">
        <is>
          <t>VÄSTERNORRLANDS LÄN</t>
        </is>
      </c>
      <c r="E2793" t="inlineStr">
        <is>
          <t>SOLLEFTEÅ</t>
        </is>
      </c>
      <c r="F2793" t="inlineStr">
        <is>
          <t>SCA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18622-2024</t>
        </is>
      </c>
      <c r="B2794" s="1" t="n">
        <v>45426</v>
      </c>
      <c r="C2794" s="1" t="n">
        <v>45637</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18672-2024</t>
        </is>
      </c>
      <c r="B2795" s="1" t="n">
        <v>45425</v>
      </c>
      <c r="C2795" s="1" t="n">
        <v>45637</v>
      </c>
      <c r="D2795" t="inlineStr">
        <is>
          <t>VÄSTERNORRLANDS LÄN</t>
        </is>
      </c>
      <c r="E2795" t="inlineStr">
        <is>
          <t>SOLLEFTEÅ</t>
        </is>
      </c>
      <c r="G2795" t="n">
        <v>22.8</v>
      </c>
      <c r="H2795" t="n">
        <v>0</v>
      </c>
      <c r="I2795" t="n">
        <v>0</v>
      </c>
      <c r="J2795" t="n">
        <v>0</v>
      </c>
      <c r="K2795" t="n">
        <v>0</v>
      </c>
      <c r="L2795" t="n">
        <v>0</v>
      </c>
      <c r="M2795" t="n">
        <v>0</v>
      </c>
      <c r="N2795" t="n">
        <v>0</v>
      </c>
      <c r="O2795" t="n">
        <v>0</v>
      </c>
      <c r="P2795" t="n">
        <v>0</v>
      </c>
      <c r="Q2795" t="n">
        <v>0</v>
      </c>
      <c r="R2795" s="2" t="inlineStr"/>
    </row>
    <row r="2796" ht="15" customHeight="1">
      <c r="A2796" t="inlineStr">
        <is>
          <t>A 19067-2024</t>
        </is>
      </c>
      <c r="B2796" s="1" t="n">
        <v>45427</v>
      </c>
      <c r="C2796" s="1" t="n">
        <v>45637</v>
      </c>
      <c r="D2796" t="inlineStr">
        <is>
          <t>VÄSTERNORRLANDS LÄN</t>
        </is>
      </c>
      <c r="E2796" t="inlineStr">
        <is>
          <t>SOLLEFTEÅ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19064-2024</t>
        </is>
      </c>
      <c r="B2797" s="1" t="n">
        <v>45427</v>
      </c>
      <c r="C2797" s="1" t="n">
        <v>45637</v>
      </c>
      <c r="D2797" t="inlineStr">
        <is>
          <t>VÄSTERNORRLANDS LÄN</t>
        </is>
      </c>
      <c r="E2797" t="inlineStr">
        <is>
          <t>SOLLEFTEÅ</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19065-2024</t>
        </is>
      </c>
      <c r="B2798" s="1" t="n">
        <v>45427</v>
      </c>
      <c r="C2798" s="1" t="n">
        <v>45637</v>
      </c>
      <c r="D2798" t="inlineStr">
        <is>
          <t>VÄSTERNORRLANDS LÄN</t>
        </is>
      </c>
      <c r="E2798" t="inlineStr">
        <is>
          <t>SOLLEFTEÅ</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19082-2024</t>
        </is>
      </c>
      <c r="B2799" s="1" t="n">
        <v>45428</v>
      </c>
      <c r="C2799" s="1" t="n">
        <v>45637</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19207-2024</t>
        </is>
      </c>
      <c r="B2800" s="1" t="n">
        <v>45428</v>
      </c>
      <c r="C2800" s="1" t="n">
        <v>45637</v>
      </c>
      <c r="D2800" t="inlineStr">
        <is>
          <t>VÄSTERNORRLANDS LÄN</t>
        </is>
      </c>
      <c r="E2800" t="inlineStr">
        <is>
          <t>SOLLEFTEÅ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19347-2024</t>
        </is>
      </c>
      <c r="B2801" s="1" t="n">
        <v>45429</v>
      </c>
      <c r="C2801" s="1" t="n">
        <v>45637</v>
      </c>
      <c r="D2801" t="inlineStr">
        <is>
          <t>VÄSTERNORRLANDS LÄN</t>
        </is>
      </c>
      <c r="E2801" t="inlineStr">
        <is>
          <t>SOLLEFTEÅ</t>
        </is>
      </c>
      <c r="G2801" t="n">
        <v>14.5</v>
      </c>
      <c r="H2801" t="n">
        <v>0</v>
      </c>
      <c r="I2801" t="n">
        <v>0</v>
      </c>
      <c r="J2801" t="n">
        <v>0</v>
      </c>
      <c r="K2801" t="n">
        <v>0</v>
      </c>
      <c r="L2801" t="n">
        <v>0</v>
      </c>
      <c r="M2801" t="n">
        <v>0</v>
      </c>
      <c r="N2801" t="n">
        <v>0</v>
      </c>
      <c r="O2801" t="n">
        <v>0</v>
      </c>
      <c r="P2801" t="n">
        <v>0</v>
      </c>
      <c r="Q2801" t="n">
        <v>0</v>
      </c>
      <c r="R2801" s="2" t="inlineStr"/>
    </row>
    <row r="2802" ht="15" customHeight="1">
      <c r="A2802" t="inlineStr">
        <is>
          <t>A 19326-2024</t>
        </is>
      </c>
      <c r="B2802" s="1" t="n">
        <v>45428</v>
      </c>
      <c r="C2802" s="1" t="n">
        <v>45637</v>
      </c>
      <c r="D2802" t="inlineStr">
        <is>
          <t>VÄSTERNORRLANDS LÄN</t>
        </is>
      </c>
      <c r="E2802" t="inlineStr">
        <is>
          <t>SOLLEFTEÅ</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19429-2024</t>
        </is>
      </c>
      <c r="B2803" s="1" t="n">
        <v>45429</v>
      </c>
      <c r="C2803" s="1" t="n">
        <v>45637</v>
      </c>
      <c r="D2803" t="inlineStr">
        <is>
          <t>VÄSTERNORRLANDS LÄN</t>
        </is>
      </c>
      <c r="E2803" t="inlineStr">
        <is>
          <t>SOLLEFTEÅ</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19577-2024</t>
        </is>
      </c>
      <c r="B2804" s="1" t="n">
        <v>45429</v>
      </c>
      <c r="C2804" s="1" t="n">
        <v>45637</v>
      </c>
      <c r="D2804" t="inlineStr">
        <is>
          <t>VÄSTERNORRLANDS LÄN</t>
        </is>
      </c>
      <c r="E2804" t="inlineStr">
        <is>
          <t>SOLLEFTEÅ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19556-2024</t>
        </is>
      </c>
      <c r="B2805" s="1" t="n">
        <v>45429</v>
      </c>
      <c r="C2805" s="1" t="n">
        <v>45637</v>
      </c>
      <c r="D2805" t="inlineStr">
        <is>
          <t>VÄSTERNORRLANDS LÄN</t>
        </is>
      </c>
      <c r="E2805" t="inlineStr">
        <is>
          <t>SOLLEFTEÅ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19580-2024</t>
        </is>
      </c>
      <c r="B2806" s="1" t="n">
        <v>45429</v>
      </c>
      <c r="C2806" s="1" t="n">
        <v>45637</v>
      </c>
      <c r="D2806" t="inlineStr">
        <is>
          <t>VÄSTERNORRLANDS LÄN</t>
        </is>
      </c>
      <c r="E2806" t="inlineStr">
        <is>
          <t>SOLLEFTEÅ</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19571-2024</t>
        </is>
      </c>
      <c r="B2807" s="1" t="n">
        <v>45429</v>
      </c>
      <c r="C2807" s="1" t="n">
        <v>45637</v>
      </c>
      <c r="D2807" t="inlineStr">
        <is>
          <t>VÄSTERNORRLANDS LÄN</t>
        </is>
      </c>
      <c r="E2807" t="inlineStr">
        <is>
          <t>SOLLEFTEÅ</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19602-2024</t>
        </is>
      </c>
      <c r="B2808" s="1" t="n">
        <v>45431</v>
      </c>
      <c r="C2808" s="1" t="n">
        <v>45637</v>
      </c>
      <c r="D2808" t="inlineStr">
        <is>
          <t>VÄSTERNORRLANDS LÄN</t>
        </is>
      </c>
      <c r="E2808" t="inlineStr">
        <is>
          <t>SOLLEFTEÅ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19994-2024</t>
        </is>
      </c>
      <c r="B2809" s="1" t="n">
        <v>45434</v>
      </c>
      <c r="C2809" s="1" t="n">
        <v>45637</v>
      </c>
      <c r="D2809" t="inlineStr">
        <is>
          <t>VÄSTERNORRLANDS LÄN</t>
        </is>
      </c>
      <c r="E2809" t="inlineStr">
        <is>
          <t>SOLLEFTEÅ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20002-2024</t>
        </is>
      </c>
      <c r="B2810" s="1" t="n">
        <v>45433</v>
      </c>
      <c r="C2810" s="1" t="n">
        <v>45637</v>
      </c>
      <c r="D2810" t="inlineStr">
        <is>
          <t>VÄSTERNORRLANDS LÄN</t>
        </is>
      </c>
      <c r="E2810" t="inlineStr">
        <is>
          <t>SOLLEFTEÅ</t>
        </is>
      </c>
      <c r="F2810" t="inlineStr">
        <is>
          <t>SCA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20022-2024</t>
        </is>
      </c>
      <c r="B2811" s="1" t="n">
        <v>45434</v>
      </c>
      <c r="C2811" s="1" t="n">
        <v>45637</v>
      </c>
      <c r="D2811" t="inlineStr">
        <is>
          <t>VÄSTERNORRLANDS LÄN</t>
        </is>
      </c>
      <c r="E2811" t="inlineStr">
        <is>
          <t>SOLLEFTEÅ</t>
        </is>
      </c>
      <c r="F2811" t="inlineStr">
        <is>
          <t>Holmen skog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20025-2024</t>
        </is>
      </c>
      <c r="B2812" s="1" t="n">
        <v>45434</v>
      </c>
      <c r="C2812" s="1" t="n">
        <v>45637</v>
      </c>
      <c r="D2812" t="inlineStr">
        <is>
          <t>VÄSTERNORRLANDS LÄN</t>
        </is>
      </c>
      <c r="E2812" t="inlineStr">
        <is>
          <t>SOLLEFTEÅ</t>
        </is>
      </c>
      <c r="F2812" t="inlineStr">
        <is>
          <t>Holmen skog AB</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20066-2024</t>
        </is>
      </c>
      <c r="B2813" s="1" t="n">
        <v>45434</v>
      </c>
      <c r="C2813" s="1" t="n">
        <v>45637</v>
      </c>
      <c r="D2813" t="inlineStr">
        <is>
          <t>VÄSTERNORRLANDS LÄN</t>
        </is>
      </c>
      <c r="E2813" t="inlineStr">
        <is>
          <t>SOLLEFTEÅ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20223-2024</t>
        </is>
      </c>
      <c r="B2814" s="1" t="n">
        <v>45434</v>
      </c>
      <c r="C2814" s="1" t="n">
        <v>45637</v>
      </c>
      <c r="D2814" t="inlineStr">
        <is>
          <t>VÄSTERNORRLANDS LÄN</t>
        </is>
      </c>
      <c r="E2814" t="inlineStr">
        <is>
          <t>SOLLEFTEÅ</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20281-2024</t>
        </is>
      </c>
      <c r="B2815" s="1" t="n">
        <v>45435</v>
      </c>
      <c r="C2815" s="1" t="n">
        <v>45637</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20280-2024</t>
        </is>
      </c>
      <c r="B2816" s="1" t="n">
        <v>45435</v>
      </c>
      <c r="C2816" s="1" t="n">
        <v>45637</v>
      </c>
      <c r="D2816" t="inlineStr">
        <is>
          <t>VÄSTERNORRLANDS LÄN</t>
        </is>
      </c>
      <c r="E2816" t="inlineStr">
        <is>
          <t>SOLLEFTEÅ</t>
        </is>
      </c>
      <c r="F2816" t="inlineStr">
        <is>
          <t>SCA</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20506-2024</t>
        </is>
      </c>
      <c r="B2817" s="1" t="n">
        <v>45436</v>
      </c>
      <c r="C2817" s="1" t="n">
        <v>45637</v>
      </c>
      <c r="D2817" t="inlineStr">
        <is>
          <t>VÄSTERNORRLANDS LÄN</t>
        </is>
      </c>
      <c r="E2817" t="inlineStr">
        <is>
          <t>SOLLEFTEÅ</t>
        </is>
      </c>
      <c r="F2817" t="inlineStr">
        <is>
          <t>SCA</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20354-2024</t>
        </is>
      </c>
      <c r="B2818" s="1" t="n">
        <v>45435</v>
      </c>
      <c r="C2818" s="1" t="n">
        <v>45637</v>
      </c>
      <c r="D2818" t="inlineStr">
        <is>
          <t>VÄSTERNORRLANDS LÄN</t>
        </is>
      </c>
      <c r="E2818" t="inlineStr">
        <is>
          <t>SOLLEFTEÅ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20516-2024</t>
        </is>
      </c>
      <c r="B2819" s="1" t="n">
        <v>45435</v>
      </c>
      <c r="C2819" s="1" t="n">
        <v>45637</v>
      </c>
      <c r="D2819" t="inlineStr">
        <is>
          <t>VÄSTERNORRLANDS LÄN</t>
        </is>
      </c>
      <c r="E2819" t="inlineStr">
        <is>
          <t>SOLLEFTEÅ</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20507-2024</t>
        </is>
      </c>
      <c r="B2820" s="1" t="n">
        <v>45435</v>
      </c>
      <c r="C2820" s="1" t="n">
        <v>45637</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20515-2024</t>
        </is>
      </c>
      <c r="B2821" s="1" t="n">
        <v>45435</v>
      </c>
      <c r="C2821" s="1" t="n">
        <v>45637</v>
      </c>
      <c r="D2821" t="inlineStr">
        <is>
          <t>VÄSTERNORRLANDS LÄN</t>
        </is>
      </c>
      <c r="E2821" t="inlineStr">
        <is>
          <t>SOLLEFTEÅ</t>
        </is>
      </c>
      <c r="F2821" t="inlineStr">
        <is>
          <t>SCA</t>
        </is>
      </c>
      <c r="G2821" t="n">
        <v>18.8</v>
      </c>
      <c r="H2821" t="n">
        <v>0</v>
      </c>
      <c r="I2821" t="n">
        <v>0</v>
      </c>
      <c r="J2821" t="n">
        <v>0</v>
      </c>
      <c r="K2821" t="n">
        <v>0</v>
      </c>
      <c r="L2821" t="n">
        <v>0</v>
      </c>
      <c r="M2821" t="n">
        <v>0</v>
      </c>
      <c r="N2821" t="n">
        <v>0</v>
      </c>
      <c r="O2821" t="n">
        <v>0</v>
      </c>
      <c r="P2821" t="n">
        <v>0</v>
      </c>
      <c r="Q2821" t="n">
        <v>0</v>
      </c>
      <c r="R2821" s="2" t="inlineStr"/>
    </row>
    <row r="2822" ht="15" customHeight="1">
      <c r="A2822" t="inlineStr">
        <is>
          <t>A 20520-2024</t>
        </is>
      </c>
      <c r="B2822" s="1" t="n">
        <v>45435</v>
      </c>
      <c r="C2822" s="1" t="n">
        <v>45637</v>
      </c>
      <c r="D2822" t="inlineStr">
        <is>
          <t>VÄSTERNORRLANDS LÄN</t>
        </is>
      </c>
      <c r="E2822" t="inlineStr">
        <is>
          <t>SOLLEFTEÅ</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20604-2024</t>
        </is>
      </c>
      <c r="B2823" s="1" t="n">
        <v>45436</v>
      </c>
      <c r="C2823" s="1" t="n">
        <v>45637</v>
      </c>
      <c r="D2823" t="inlineStr">
        <is>
          <t>VÄSTERNORRLANDS LÄN</t>
        </is>
      </c>
      <c r="E2823" t="inlineStr">
        <is>
          <t>SOLLEFTEÅ</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20764-2024</t>
        </is>
      </c>
      <c r="B2824" s="1" t="n">
        <v>45436</v>
      </c>
      <c r="C2824" s="1" t="n">
        <v>45637</v>
      </c>
      <c r="D2824" t="inlineStr">
        <is>
          <t>VÄSTERNORRLANDS LÄN</t>
        </is>
      </c>
      <c r="E2824" t="inlineStr">
        <is>
          <t>SOLLEFTEÅ</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20799-2024</t>
        </is>
      </c>
      <c r="B2825" s="1" t="n">
        <v>45438</v>
      </c>
      <c r="C2825" s="1" t="n">
        <v>45637</v>
      </c>
      <c r="D2825" t="inlineStr">
        <is>
          <t>VÄSTERNORRLANDS LÄN</t>
        </is>
      </c>
      <c r="E2825" t="inlineStr">
        <is>
          <t>SOLLEFTEÅ</t>
        </is>
      </c>
      <c r="F2825" t="inlineStr">
        <is>
          <t>SCA</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21031-2024</t>
        </is>
      </c>
      <c r="B2826" s="1" t="n">
        <v>45439</v>
      </c>
      <c r="C2826" s="1" t="n">
        <v>45637</v>
      </c>
      <c r="D2826" t="inlineStr">
        <is>
          <t>VÄSTERNORRLANDS LÄN</t>
        </is>
      </c>
      <c r="E2826" t="inlineStr">
        <is>
          <t>SOLLEFTEÅ</t>
        </is>
      </c>
      <c r="F2826" t="inlineStr">
        <is>
          <t>Holmen skog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21098-2024</t>
        </is>
      </c>
      <c r="B2827" s="1" t="n">
        <v>45440</v>
      </c>
      <c r="C2827" s="1" t="n">
        <v>45637</v>
      </c>
      <c r="D2827" t="inlineStr">
        <is>
          <t>VÄSTERNORRLANDS LÄN</t>
        </is>
      </c>
      <c r="E2827" t="inlineStr">
        <is>
          <t>SOLLEFTEÅ</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21106-2024</t>
        </is>
      </c>
      <c r="B2828" s="1" t="n">
        <v>45440</v>
      </c>
      <c r="C2828" s="1" t="n">
        <v>45637</v>
      </c>
      <c r="D2828" t="inlineStr">
        <is>
          <t>VÄSTERNORRLANDS LÄN</t>
        </is>
      </c>
      <c r="E2828" t="inlineStr">
        <is>
          <t>SOLLEFTEÅ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21096-2024</t>
        </is>
      </c>
      <c r="B2829" s="1" t="n">
        <v>45440</v>
      </c>
      <c r="C2829" s="1" t="n">
        <v>45637</v>
      </c>
      <c r="D2829" t="inlineStr">
        <is>
          <t>VÄSTERNORRLANDS LÄN</t>
        </is>
      </c>
      <c r="E2829" t="inlineStr">
        <is>
          <t>SOLLEFTEÅ</t>
        </is>
      </c>
      <c r="F2829" t="inlineStr">
        <is>
          <t>SCA</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21100-2024</t>
        </is>
      </c>
      <c r="B2830" s="1" t="n">
        <v>45440</v>
      </c>
      <c r="C2830" s="1" t="n">
        <v>45637</v>
      </c>
      <c r="D2830" t="inlineStr">
        <is>
          <t>VÄSTERNORRLANDS LÄN</t>
        </is>
      </c>
      <c r="E2830" t="inlineStr">
        <is>
          <t>SOLLEFTEÅ</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21092-2024</t>
        </is>
      </c>
      <c r="B2831" s="1" t="n">
        <v>45440</v>
      </c>
      <c r="C2831" s="1" t="n">
        <v>45637</v>
      </c>
      <c r="D2831" t="inlineStr">
        <is>
          <t>VÄSTERNORRLANDS LÄN</t>
        </is>
      </c>
      <c r="E2831" t="inlineStr">
        <is>
          <t>SOLLEFTEÅ</t>
        </is>
      </c>
      <c r="F2831" t="inlineStr">
        <is>
          <t>SCA</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21099-2024</t>
        </is>
      </c>
      <c r="B2832" s="1" t="n">
        <v>45439</v>
      </c>
      <c r="C2832" s="1" t="n">
        <v>45637</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21095-2024</t>
        </is>
      </c>
      <c r="B2833" s="1" t="n">
        <v>45440</v>
      </c>
      <c r="C2833" s="1" t="n">
        <v>45637</v>
      </c>
      <c r="D2833" t="inlineStr">
        <is>
          <t>VÄSTERNORRLANDS LÄN</t>
        </is>
      </c>
      <c r="E2833" t="inlineStr">
        <is>
          <t>SOLLEFTEÅ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21087-2024</t>
        </is>
      </c>
      <c r="B2834" s="1" t="n">
        <v>45440</v>
      </c>
      <c r="C2834" s="1" t="n">
        <v>45637</v>
      </c>
      <c r="D2834" t="inlineStr">
        <is>
          <t>VÄSTERNORRLANDS LÄN</t>
        </is>
      </c>
      <c r="E2834" t="inlineStr">
        <is>
          <t>SOLLEFTEÅ</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21101-2024</t>
        </is>
      </c>
      <c r="B2835" s="1" t="n">
        <v>45439</v>
      </c>
      <c r="C2835" s="1" t="n">
        <v>45637</v>
      </c>
      <c r="D2835" t="inlineStr">
        <is>
          <t>VÄSTERNORRLANDS LÄN</t>
        </is>
      </c>
      <c r="E2835" t="inlineStr">
        <is>
          <t>SOLLEFTEÅ</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21137-2024</t>
        </is>
      </c>
      <c r="B2836" s="1" t="n">
        <v>45440</v>
      </c>
      <c r="C2836" s="1" t="n">
        <v>45637</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21364-2024</t>
        </is>
      </c>
      <c r="B2837" s="1" t="n">
        <v>45441</v>
      </c>
      <c r="C2837" s="1" t="n">
        <v>45637</v>
      </c>
      <c r="D2837" t="inlineStr">
        <is>
          <t>VÄSTERNORRLANDS LÄN</t>
        </is>
      </c>
      <c r="E2837" t="inlineStr">
        <is>
          <t>SOLLEFTEÅ</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21363-2024</t>
        </is>
      </c>
      <c r="B2838" s="1" t="n">
        <v>45441</v>
      </c>
      <c r="C2838" s="1" t="n">
        <v>45637</v>
      </c>
      <c r="D2838" t="inlineStr">
        <is>
          <t>VÄSTERNORRLANDS LÄN</t>
        </is>
      </c>
      <c r="E2838" t="inlineStr">
        <is>
          <t>SOLLEFTEÅ</t>
        </is>
      </c>
      <c r="F2838" t="inlineStr">
        <is>
          <t>SCA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21384-2024</t>
        </is>
      </c>
      <c r="B2839" s="1" t="n">
        <v>45440</v>
      </c>
      <c r="C2839" s="1" t="n">
        <v>45637</v>
      </c>
      <c r="D2839" t="inlineStr">
        <is>
          <t>VÄSTERNORRLANDS LÄN</t>
        </is>
      </c>
      <c r="E2839" t="inlineStr">
        <is>
          <t>SOLLEFTEÅ</t>
        </is>
      </c>
      <c r="F2839" t="inlineStr">
        <is>
          <t>SCA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21852-2024</t>
        </is>
      </c>
      <c r="B2840" s="1" t="n">
        <v>45443</v>
      </c>
      <c r="C2840" s="1" t="n">
        <v>45637</v>
      </c>
      <c r="D2840" t="inlineStr">
        <is>
          <t>VÄSTERNORRLANDS LÄN</t>
        </is>
      </c>
      <c r="E2840" t="inlineStr">
        <is>
          <t>SOLLEFTEÅ</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22100-2024</t>
        </is>
      </c>
      <c r="B2841" s="1" t="n">
        <v>45444</v>
      </c>
      <c r="C2841" s="1" t="n">
        <v>45637</v>
      </c>
      <c r="D2841" t="inlineStr">
        <is>
          <t>VÄSTERNORRLANDS LÄN</t>
        </is>
      </c>
      <c r="E2841" t="inlineStr">
        <is>
          <t>SOLLEFTEÅ</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22119-2024</t>
        </is>
      </c>
      <c r="B2842" s="1" t="n">
        <v>45443</v>
      </c>
      <c r="C2842" s="1" t="n">
        <v>45637</v>
      </c>
      <c r="D2842" t="inlineStr">
        <is>
          <t>VÄSTERNORRLANDS LÄN</t>
        </is>
      </c>
      <c r="E2842" t="inlineStr">
        <is>
          <t>SOLLEFTEÅ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22118-2024</t>
        </is>
      </c>
      <c r="B2843" s="1" t="n">
        <v>45443</v>
      </c>
      <c r="C2843" s="1" t="n">
        <v>45637</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22471-2024</t>
        </is>
      </c>
      <c r="B2844" s="1" t="n">
        <v>45446</v>
      </c>
      <c r="C2844" s="1" t="n">
        <v>45637</v>
      </c>
      <c r="D2844" t="inlineStr">
        <is>
          <t>VÄSTERNORRLANDS LÄN</t>
        </is>
      </c>
      <c r="E2844" t="inlineStr">
        <is>
          <t>SOLLEFTEÅ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22475-2024</t>
        </is>
      </c>
      <c r="B2845" s="1" t="n">
        <v>45447</v>
      </c>
      <c r="C2845" s="1" t="n">
        <v>45637</v>
      </c>
      <c r="D2845" t="inlineStr">
        <is>
          <t>VÄSTERNORRLANDS LÄN</t>
        </is>
      </c>
      <c r="E2845" t="inlineStr">
        <is>
          <t>SOLLEFTEÅ</t>
        </is>
      </c>
      <c r="F2845" t="inlineStr">
        <is>
          <t>SCA</t>
        </is>
      </c>
      <c r="G2845" t="n">
        <v>18.5</v>
      </c>
      <c r="H2845" t="n">
        <v>0</v>
      </c>
      <c r="I2845" t="n">
        <v>0</v>
      </c>
      <c r="J2845" t="n">
        <v>0</v>
      </c>
      <c r="K2845" t="n">
        <v>0</v>
      </c>
      <c r="L2845" t="n">
        <v>0</v>
      </c>
      <c r="M2845" t="n">
        <v>0</v>
      </c>
      <c r="N2845" t="n">
        <v>0</v>
      </c>
      <c r="O2845" t="n">
        <v>0</v>
      </c>
      <c r="P2845" t="n">
        <v>0</v>
      </c>
      <c r="Q2845" t="n">
        <v>0</v>
      </c>
      <c r="R2845" s="2" t="inlineStr"/>
    </row>
    <row r="2846" ht="15" customHeight="1">
      <c r="A2846" t="inlineStr">
        <is>
          <t>A 22473-2024</t>
        </is>
      </c>
      <c r="B2846" s="1" t="n">
        <v>45446</v>
      </c>
      <c r="C2846" s="1" t="n">
        <v>45637</v>
      </c>
      <c r="D2846" t="inlineStr">
        <is>
          <t>VÄSTERNORRLANDS LÄN</t>
        </is>
      </c>
      <c r="E2846" t="inlineStr">
        <is>
          <t>SOLLEFTEÅ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22457-2024</t>
        </is>
      </c>
      <c r="B2847" s="1" t="n">
        <v>45446</v>
      </c>
      <c r="C2847" s="1" t="n">
        <v>45637</v>
      </c>
      <c r="D2847" t="inlineStr">
        <is>
          <t>VÄSTERNORRLANDS LÄN</t>
        </is>
      </c>
      <c r="E2847" t="inlineStr">
        <is>
          <t>SOLLEFTEÅ</t>
        </is>
      </c>
      <c r="F2847" t="inlineStr">
        <is>
          <t>SCA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22208-2024</t>
        </is>
      </c>
      <c r="B2848" s="1" t="n">
        <v>45446</v>
      </c>
      <c r="C2848" s="1" t="n">
        <v>45637</v>
      </c>
      <c r="D2848" t="inlineStr">
        <is>
          <t>VÄSTERNORRLANDS LÄN</t>
        </is>
      </c>
      <c r="E2848" t="inlineStr">
        <is>
          <t>SOLLEFTEÅ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22456-2024</t>
        </is>
      </c>
      <c r="B2849" s="1" t="n">
        <v>45447</v>
      </c>
      <c r="C2849" s="1" t="n">
        <v>45637</v>
      </c>
      <c r="D2849" t="inlineStr">
        <is>
          <t>VÄSTERNORRLANDS LÄN</t>
        </is>
      </c>
      <c r="E2849" t="inlineStr">
        <is>
          <t>SOLLEFTEÅ</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22468-2024</t>
        </is>
      </c>
      <c r="B2850" s="1" t="n">
        <v>45447</v>
      </c>
      <c r="C2850" s="1" t="n">
        <v>45637</v>
      </c>
      <c r="D2850" t="inlineStr">
        <is>
          <t>VÄSTERNORRLANDS LÄN</t>
        </is>
      </c>
      <c r="E2850" t="inlineStr">
        <is>
          <t>SOLLEFTEÅ</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22472-2024</t>
        </is>
      </c>
      <c r="B2851" s="1" t="n">
        <v>45447</v>
      </c>
      <c r="C2851" s="1" t="n">
        <v>45637</v>
      </c>
      <c r="D2851" t="inlineStr">
        <is>
          <t>VÄSTERNORRLANDS LÄN</t>
        </is>
      </c>
      <c r="E2851" t="inlineStr">
        <is>
          <t>SOLLEFTEÅ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22476-2024</t>
        </is>
      </c>
      <c r="B2852" s="1" t="n">
        <v>45446</v>
      </c>
      <c r="C2852" s="1" t="n">
        <v>45637</v>
      </c>
      <c r="D2852" t="inlineStr">
        <is>
          <t>VÄSTERNORRLANDS LÄN</t>
        </is>
      </c>
      <c r="E2852" t="inlineStr">
        <is>
          <t>SOLLEFTEÅ</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22462-2024</t>
        </is>
      </c>
      <c r="B2853" s="1" t="n">
        <v>45446</v>
      </c>
      <c r="C2853" s="1" t="n">
        <v>45637</v>
      </c>
      <c r="D2853" t="inlineStr">
        <is>
          <t>VÄSTERNORRLANDS LÄN</t>
        </is>
      </c>
      <c r="E2853" t="inlineStr">
        <is>
          <t>SOLLEFTEÅ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22243-2024</t>
        </is>
      </c>
      <c r="B2854" s="1" t="n">
        <v>45446</v>
      </c>
      <c r="C2854" s="1" t="n">
        <v>45637</v>
      </c>
      <c r="D2854" t="inlineStr">
        <is>
          <t>VÄSTERNORRLANDS LÄN</t>
        </is>
      </c>
      <c r="E2854" t="inlineStr">
        <is>
          <t>SOLLEFTEÅ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22235-2024</t>
        </is>
      </c>
      <c r="B2855" s="1" t="n">
        <v>45446</v>
      </c>
      <c r="C2855" s="1" t="n">
        <v>45637</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22671-2024</t>
        </is>
      </c>
      <c r="B2856" s="1" t="n">
        <v>45448</v>
      </c>
      <c r="C2856" s="1" t="n">
        <v>45637</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22675-2024</t>
        </is>
      </c>
      <c r="B2857" s="1" t="n">
        <v>45448</v>
      </c>
      <c r="C2857" s="1" t="n">
        <v>45637</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22666-2024</t>
        </is>
      </c>
      <c r="B2858" s="1" t="n">
        <v>45447</v>
      </c>
      <c r="C2858" s="1" t="n">
        <v>45637</v>
      </c>
      <c r="D2858" t="inlineStr">
        <is>
          <t>VÄSTERNORRLANDS LÄN</t>
        </is>
      </c>
      <c r="E2858" t="inlineStr">
        <is>
          <t>SOLLEFTEÅ</t>
        </is>
      </c>
      <c r="F2858" t="inlineStr">
        <is>
          <t>SCA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22661-2024</t>
        </is>
      </c>
      <c r="B2859" s="1" t="n">
        <v>45448</v>
      </c>
      <c r="C2859" s="1" t="n">
        <v>45637</v>
      </c>
      <c r="D2859" t="inlineStr">
        <is>
          <t>VÄSTERNORRLANDS LÄN</t>
        </is>
      </c>
      <c r="E2859" t="inlineStr">
        <is>
          <t>SOLLEFTEÅ</t>
        </is>
      </c>
      <c r="F2859" t="inlineStr">
        <is>
          <t>SCA</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22665-2024</t>
        </is>
      </c>
      <c r="B2860" s="1" t="n">
        <v>45448</v>
      </c>
      <c r="C2860" s="1" t="n">
        <v>45637</v>
      </c>
      <c r="D2860" t="inlineStr">
        <is>
          <t>VÄSTERNORRLANDS LÄN</t>
        </is>
      </c>
      <c r="E2860" t="inlineStr">
        <is>
          <t>SOLLEFTEÅ</t>
        </is>
      </c>
      <c r="F2860" t="inlineStr">
        <is>
          <t>SCA</t>
        </is>
      </c>
      <c r="G2860" t="n">
        <v>35.6</v>
      </c>
      <c r="H2860" t="n">
        <v>0</v>
      </c>
      <c r="I2860" t="n">
        <v>0</v>
      </c>
      <c r="J2860" t="n">
        <v>0</v>
      </c>
      <c r="K2860" t="n">
        <v>0</v>
      </c>
      <c r="L2860" t="n">
        <v>0</v>
      </c>
      <c r="M2860" t="n">
        <v>0</v>
      </c>
      <c r="N2860" t="n">
        <v>0</v>
      </c>
      <c r="O2860" t="n">
        <v>0</v>
      </c>
      <c r="P2860" t="n">
        <v>0</v>
      </c>
      <c r="Q2860" t="n">
        <v>0</v>
      </c>
      <c r="R2860" s="2" t="inlineStr"/>
    </row>
    <row r="2861" ht="15" customHeight="1">
      <c r="A2861" t="inlineStr">
        <is>
          <t>A 22664-2024</t>
        </is>
      </c>
      <c r="B2861" s="1" t="n">
        <v>45448</v>
      </c>
      <c r="C2861" s="1" t="n">
        <v>45637</v>
      </c>
      <c r="D2861" t="inlineStr">
        <is>
          <t>VÄSTERNORRLANDS LÄN</t>
        </is>
      </c>
      <c r="E2861" t="inlineStr">
        <is>
          <t>SOLLEFTEÅ</t>
        </is>
      </c>
      <c r="F2861" t="inlineStr">
        <is>
          <t>SCA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22668-2024</t>
        </is>
      </c>
      <c r="B2862" s="1" t="n">
        <v>45448</v>
      </c>
      <c r="C2862" s="1" t="n">
        <v>45637</v>
      </c>
      <c r="D2862" t="inlineStr">
        <is>
          <t>VÄSTERNORRLANDS LÄN</t>
        </is>
      </c>
      <c r="E2862" t="inlineStr">
        <is>
          <t>SOLLEFTEÅ</t>
        </is>
      </c>
      <c r="F2862" t="inlineStr">
        <is>
          <t>SCA</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22673-2024</t>
        </is>
      </c>
      <c r="B2863" s="1" t="n">
        <v>45448</v>
      </c>
      <c r="C2863" s="1" t="n">
        <v>45637</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22682-2024</t>
        </is>
      </c>
      <c r="B2864" s="1" t="n">
        <v>45447</v>
      </c>
      <c r="C2864" s="1" t="n">
        <v>45637</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22672-2024</t>
        </is>
      </c>
      <c r="B2865" s="1" t="n">
        <v>45448</v>
      </c>
      <c r="C2865" s="1" t="n">
        <v>45637</v>
      </c>
      <c r="D2865" t="inlineStr">
        <is>
          <t>VÄSTERNORRLANDS LÄN</t>
        </is>
      </c>
      <c r="E2865" t="inlineStr">
        <is>
          <t>SOLLEFTEÅ</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22690-2024</t>
        </is>
      </c>
      <c r="B2866" s="1" t="n">
        <v>45448</v>
      </c>
      <c r="C2866" s="1" t="n">
        <v>45637</v>
      </c>
      <c r="D2866" t="inlineStr">
        <is>
          <t>VÄSTERNORRLANDS LÄN</t>
        </is>
      </c>
      <c r="E2866" t="inlineStr">
        <is>
          <t>SOLLEFTEÅ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22938-2024</t>
        </is>
      </c>
      <c r="B2867" s="1" t="n">
        <v>45448</v>
      </c>
      <c r="C2867" s="1" t="n">
        <v>45637</v>
      </c>
      <c r="D2867" t="inlineStr">
        <is>
          <t>VÄSTERNORRLANDS LÄN</t>
        </is>
      </c>
      <c r="E2867" t="inlineStr">
        <is>
          <t>SOLLEFTEÅ</t>
        </is>
      </c>
      <c r="F2867" t="inlineStr">
        <is>
          <t>SCA</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22939-2024</t>
        </is>
      </c>
      <c r="B2868" s="1" t="n">
        <v>45449</v>
      </c>
      <c r="C2868" s="1" t="n">
        <v>45637</v>
      </c>
      <c r="D2868" t="inlineStr">
        <is>
          <t>VÄSTERNORRLANDS LÄN</t>
        </is>
      </c>
      <c r="E2868" t="inlineStr">
        <is>
          <t>SOLLEFTEÅ</t>
        </is>
      </c>
      <c r="F2868" t="inlineStr">
        <is>
          <t>SCA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23021-2024</t>
        </is>
      </c>
      <c r="B2869" s="1" t="n">
        <v>45450</v>
      </c>
      <c r="C2869" s="1" t="n">
        <v>45637</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23025-2024</t>
        </is>
      </c>
      <c r="B2870" s="1" t="n">
        <v>45450</v>
      </c>
      <c r="C2870" s="1" t="n">
        <v>45637</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23175-2024</t>
        </is>
      </c>
      <c r="B2871" s="1" t="n">
        <v>45451</v>
      </c>
      <c r="C2871" s="1" t="n">
        <v>45637</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23542-2024</t>
        </is>
      </c>
      <c r="B2872" s="1" t="n">
        <v>45454</v>
      </c>
      <c r="C2872" s="1" t="n">
        <v>45637</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23530-2024</t>
        </is>
      </c>
      <c r="B2873" s="1" t="n">
        <v>45454</v>
      </c>
      <c r="C2873" s="1" t="n">
        <v>45637</v>
      </c>
      <c r="D2873" t="inlineStr">
        <is>
          <t>VÄSTERNORRLANDS LÄN</t>
        </is>
      </c>
      <c r="E2873" t="inlineStr">
        <is>
          <t>SOLLEFTEÅ</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23540-2024</t>
        </is>
      </c>
      <c r="B2874" s="1" t="n">
        <v>45454</v>
      </c>
      <c r="C2874" s="1" t="n">
        <v>45637</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23532-2024</t>
        </is>
      </c>
      <c r="B2875" s="1" t="n">
        <v>45454</v>
      </c>
      <c r="C2875" s="1" t="n">
        <v>45637</v>
      </c>
      <c r="D2875" t="inlineStr">
        <is>
          <t>VÄSTERNORRLANDS LÄN</t>
        </is>
      </c>
      <c r="E2875" t="inlineStr">
        <is>
          <t>SOLLEFTEÅ</t>
        </is>
      </c>
      <c r="F2875" t="inlineStr">
        <is>
          <t>SCA</t>
        </is>
      </c>
      <c r="G2875" t="n">
        <v>15.6</v>
      </c>
      <c r="H2875" t="n">
        <v>0</v>
      </c>
      <c r="I2875" t="n">
        <v>0</v>
      </c>
      <c r="J2875" t="n">
        <v>0</v>
      </c>
      <c r="K2875" t="n">
        <v>0</v>
      </c>
      <c r="L2875" t="n">
        <v>0</v>
      </c>
      <c r="M2875" t="n">
        <v>0</v>
      </c>
      <c r="N2875" t="n">
        <v>0</v>
      </c>
      <c r="O2875" t="n">
        <v>0</v>
      </c>
      <c r="P2875" t="n">
        <v>0</v>
      </c>
      <c r="Q2875" t="n">
        <v>0</v>
      </c>
      <c r="R2875" s="2" t="inlineStr"/>
    </row>
    <row r="2876" ht="15" customHeight="1">
      <c r="A2876" t="inlineStr">
        <is>
          <t>A 23547-2024</t>
        </is>
      </c>
      <c r="B2876" s="1" t="n">
        <v>45454</v>
      </c>
      <c r="C2876" s="1" t="n">
        <v>45637</v>
      </c>
      <c r="D2876" t="inlineStr">
        <is>
          <t>VÄSTERNORRLANDS LÄN</t>
        </is>
      </c>
      <c r="E2876" t="inlineStr">
        <is>
          <t>SOLLEFTEÅ</t>
        </is>
      </c>
      <c r="F2876" t="inlineStr">
        <is>
          <t>SCA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23529-2024</t>
        </is>
      </c>
      <c r="B2877" s="1" t="n">
        <v>45454</v>
      </c>
      <c r="C2877" s="1" t="n">
        <v>45637</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23541-2024</t>
        </is>
      </c>
      <c r="B2878" s="1" t="n">
        <v>45454</v>
      </c>
      <c r="C2878" s="1" t="n">
        <v>45637</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23731-2024</t>
        </is>
      </c>
      <c r="B2879" s="1" t="n">
        <v>45455</v>
      </c>
      <c r="C2879" s="1" t="n">
        <v>45637</v>
      </c>
      <c r="D2879" t="inlineStr">
        <is>
          <t>VÄSTERNORRLANDS LÄN</t>
        </is>
      </c>
      <c r="E2879" t="inlineStr">
        <is>
          <t>SOLLEFTEÅ</t>
        </is>
      </c>
      <c r="F2879" t="inlineStr">
        <is>
          <t>SCA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23730-2024</t>
        </is>
      </c>
      <c r="B2880" s="1" t="n">
        <v>45455</v>
      </c>
      <c r="C2880" s="1" t="n">
        <v>45637</v>
      </c>
      <c r="D2880" t="inlineStr">
        <is>
          <t>VÄSTERNORRLANDS LÄN</t>
        </is>
      </c>
      <c r="E2880" t="inlineStr">
        <is>
          <t>SOLLEFTEÅ</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23936-2024</t>
        </is>
      </c>
      <c r="B2881" s="1" t="n">
        <v>45456</v>
      </c>
      <c r="C2881" s="1" t="n">
        <v>45637</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23969-2024</t>
        </is>
      </c>
      <c r="B2882" s="1" t="n">
        <v>45456</v>
      </c>
      <c r="C2882" s="1" t="n">
        <v>45637</v>
      </c>
      <c r="D2882" t="inlineStr">
        <is>
          <t>VÄSTERNORRLANDS LÄN</t>
        </is>
      </c>
      <c r="E2882" t="inlineStr">
        <is>
          <t>SOLLEFTEÅ</t>
        </is>
      </c>
      <c r="F2882" t="inlineStr">
        <is>
          <t>SCA</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23935-2024</t>
        </is>
      </c>
      <c r="B2883" s="1" t="n">
        <v>45456</v>
      </c>
      <c r="C2883" s="1" t="n">
        <v>45637</v>
      </c>
      <c r="D2883" t="inlineStr">
        <is>
          <t>VÄSTERNORRLANDS LÄN</t>
        </is>
      </c>
      <c r="E2883" t="inlineStr">
        <is>
          <t>SOLLEFTEÅ</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23968-2024</t>
        </is>
      </c>
      <c r="B2884" s="1" t="n">
        <v>45456</v>
      </c>
      <c r="C2884" s="1" t="n">
        <v>45637</v>
      </c>
      <c r="D2884" t="inlineStr">
        <is>
          <t>VÄSTERNORRLANDS LÄN</t>
        </is>
      </c>
      <c r="E2884" t="inlineStr">
        <is>
          <t>SOLLEFTEÅ</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24199-2024</t>
        </is>
      </c>
      <c r="B2885" s="1" t="n">
        <v>45457</v>
      </c>
      <c r="C2885" s="1" t="n">
        <v>45637</v>
      </c>
      <c r="D2885" t="inlineStr">
        <is>
          <t>VÄSTERNORRLANDS LÄN</t>
        </is>
      </c>
      <c r="E2885" t="inlineStr">
        <is>
          <t>SOLLEFTEÅ</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24211-2024</t>
        </is>
      </c>
      <c r="B2886" s="1" t="n">
        <v>45457</v>
      </c>
      <c r="C2886" s="1" t="n">
        <v>45637</v>
      </c>
      <c r="D2886" t="inlineStr">
        <is>
          <t>VÄSTERNORRLANDS LÄN</t>
        </is>
      </c>
      <c r="E2886" t="inlineStr">
        <is>
          <t>SOLLEFTEÅ</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24209-2024</t>
        </is>
      </c>
      <c r="B2887" s="1" t="n">
        <v>45457</v>
      </c>
      <c r="C2887" s="1" t="n">
        <v>45637</v>
      </c>
      <c r="D2887" t="inlineStr">
        <is>
          <t>VÄSTERNORRLANDS LÄN</t>
        </is>
      </c>
      <c r="E2887" t="inlineStr">
        <is>
          <t>SOLLEFTEÅ</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24210-2024</t>
        </is>
      </c>
      <c r="B2888" s="1" t="n">
        <v>45457</v>
      </c>
      <c r="C2888" s="1" t="n">
        <v>45637</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24208-2024</t>
        </is>
      </c>
      <c r="B2889" s="1" t="n">
        <v>45457</v>
      </c>
      <c r="C2889" s="1" t="n">
        <v>45637</v>
      </c>
      <c r="D2889" t="inlineStr">
        <is>
          <t>VÄSTERNORRLANDS LÄN</t>
        </is>
      </c>
      <c r="E2889" t="inlineStr">
        <is>
          <t>SOLLEFTEÅ</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24461-2024</t>
        </is>
      </c>
      <c r="B2890" s="1" t="n">
        <v>45458</v>
      </c>
      <c r="C2890" s="1" t="n">
        <v>45637</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24239-2024</t>
        </is>
      </c>
      <c r="B2891" s="1" t="n">
        <v>45457</v>
      </c>
      <c r="C2891" s="1" t="n">
        <v>45637</v>
      </c>
      <c r="D2891" t="inlineStr">
        <is>
          <t>VÄSTERNORRLANDS LÄN</t>
        </is>
      </c>
      <c r="E2891" t="inlineStr">
        <is>
          <t>SOLLEFTEÅ</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24777-2024</t>
        </is>
      </c>
      <c r="B2892" s="1" t="n">
        <v>45460</v>
      </c>
      <c r="C2892" s="1" t="n">
        <v>45637</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25023-2024</t>
        </is>
      </c>
      <c r="B2893" s="1" t="n">
        <v>45462</v>
      </c>
      <c r="C2893" s="1" t="n">
        <v>45637</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25035-2024</t>
        </is>
      </c>
      <c r="B2894" s="1" t="n">
        <v>45462</v>
      </c>
      <c r="C2894" s="1" t="n">
        <v>45637</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25026-2024</t>
        </is>
      </c>
      <c r="B2895" s="1" t="n">
        <v>45462</v>
      </c>
      <c r="C2895" s="1" t="n">
        <v>45637</v>
      </c>
      <c r="D2895" t="inlineStr">
        <is>
          <t>VÄSTERNORRLANDS LÄN</t>
        </is>
      </c>
      <c r="E2895" t="inlineStr">
        <is>
          <t>SOLLEFTEÅ</t>
        </is>
      </c>
      <c r="F2895" t="inlineStr">
        <is>
          <t>SCA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25356-2024</t>
        </is>
      </c>
      <c r="B2896" s="1" t="n">
        <v>45463</v>
      </c>
      <c r="C2896" s="1" t="n">
        <v>45637</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25364-2024</t>
        </is>
      </c>
      <c r="B2897" s="1" t="n">
        <v>45463</v>
      </c>
      <c r="C2897" s="1" t="n">
        <v>45637</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25363-2024</t>
        </is>
      </c>
      <c r="B2898" s="1" t="n">
        <v>45463</v>
      </c>
      <c r="C2898" s="1" t="n">
        <v>45637</v>
      </c>
      <c r="D2898" t="inlineStr">
        <is>
          <t>VÄSTERNORRLANDS LÄN</t>
        </is>
      </c>
      <c r="E2898" t="inlineStr">
        <is>
          <t>SOLLEFTEÅ</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25384-2024</t>
        </is>
      </c>
      <c r="B2899" s="1" t="n">
        <v>45463</v>
      </c>
      <c r="C2899" s="1" t="n">
        <v>45637</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25334-2024</t>
        </is>
      </c>
      <c r="B2900" s="1" t="n">
        <v>45462</v>
      </c>
      <c r="C2900" s="1" t="n">
        <v>45637</v>
      </c>
      <c r="D2900" t="inlineStr">
        <is>
          <t>VÄSTERNORRLANDS LÄN</t>
        </is>
      </c>
      <c r="E2900" t="inlineStr">
        <is>
          <t>SOLLEFTEÅ</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25357-2024</t>
        </is>
      </c>
      <c r="B2901" s="1" t="n">
        <v>45462</v>
      </c>
      <c r="C2901" s="1" t="n">
        <v>45637</v>
      </c>
      <c r="D2901" t="inlineStr">
        <is>
          <t>VÄSTERNORRLANDS LÄN</t>
        </is>
      </c>
      <c r="E2901" t="inlineStr">
        <is>
          <t>SOLLEFTEÅ</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25139-2024</t>
        </is>
      </c>
      <c r="B2902" s="1" t="n">
        <v>45462</v>
      </c>
      <c r="C2902" s="1" t="n">
        <v>45637</v>
      </c>
      <c r="D2902" t="inlineStr">
        <is>
          <t>VÄSTERNORRLANDS LÄN</t>
        </is>
      </c>
      <c r="E2902" t="inlineStr">
        <is>
          <t>SOLLEFTEÅ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25131-2024</t>
        </is>
      </c>
      <c r="B2903" s="1" t="n">
        <v>45462</v>
      </c>
      <c r="C2903" s="1" t="n">
        <v>45637</v>
      </c>
      <c r="D2903" t="inlineStr">
        <is>
          <t>VÄSTERNORRLANDS LÄN</t>
        </is>
      </c>
      <c r="E2903" t="inlineStr">
        <is>
          <t>SOLLEFTEÅ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25703-2024</t>
        </is>
      </c>
      <c r="B2904" s="1" t="n">
        <v>45463</v>
      </c>
      <c r="C2904" s="1" t="n">
        <v>45637</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25711-2024</t>
        </is>
      </c>
      <c r="B2905" s="1" t="n">
        <v>45463</v>
      </c>
      <c r="C2905" s="1" t="n">
        <v>45637</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25704-2024</t>
        </is>
      </c>
      <c r="B2906" s="1" t="n">
        <v>45464</v>
      </c>
      <c r="C2906" s="1" t="n">
        <v>45637</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25702-2024</t>
        </is>
      </c>
      <c r="B2907" s="1" t="n">
        <v>45463</v>
      </c>
      <c r="C2907" s="1" t="n">
        <v>45637</v>
      </c>
      <c r="D2907" t="inlineStr">
        <is>
          <t>VÄSTERNORRLANDS LÄN</t>
        </is>
      </c>
      <c r="E2907" t="inlineStr">
        <is>
          <t>SOLLEFTEÅ</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25514-2024</t>
        </is>
      </c>
      <c r="B2908" s="1" t="n">
        <v>45463</v>
      </c>
      <c r="C2908" s="1" t="n">
        <v>45637</v>
      </c>
      <c r="D2908" t="inlineStr">
        <is>
          <t>VÄSTERNORRLANDS LÄN</t>
        </is>
      </c>
      <c r="E2908" t="inlineStr">
        <is>
          <t>SOLLEFTEÅ</t>
        </is>
      </c>
      <c r="F2908" t="inlineStr">
        <is>
          <t>Kyrkan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25799-2024</t>
        </is>
      </c>
      <c r="B2909" s="1" t="n">
        <v>45463</v>
      </c>
      <c r="C2909" s="1" t="n">
        <v>45637</v>
      </c>
      <c r="D2909" t="inlineStr">
        <is>
          <t>VÄSTERNORRLANDS LÄN</t>
        </is>
      </c>
      <c r="E2909" t="inlineStr">
        <is>
          <t>SOLLEFTEÅ</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25847-2024</t>
        </is>
      </c>
      <c r="B2910" s="1" t="n">
        <v>45467</v>
      </c>
      <c r="C2910" s="1" t="n">
        <v>45637</v>
      </c>
      <c r="D2910" t="inlineStr">
        <is>
          <t>VÄSTERNORRLANDS LÄN</t>
        </is>
      </c>
      <c r="E2910" t="inlineStr">
        <is>
          <t>SOLLEFTEÅ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25851-2024</t>
        </is>
      </c>
      <c r="B2911" s="1" t="n">
        <v>45467</v>
      </c>
      <c r="C2911" s="1" t="n">
        <v>45637</v>
      </c>
      <c r="D2911" t="inlineStr">
        <is>
          <t>VÄSTERNORRLANDS LÄN</t>
        </is>
      </c>
      <c r="E2911" t="inlineStr">
        <is>
          <t>SOLLEFTEÅ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25907-2024</t>
        </is>
      </c>
      <c r="B2912" s="1" t="n">
        <v>45467</v>
      </c>
      <c r="C2912" s="1" t="n">
        <v>45637</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26005-2024</t>
        </is>
      </c>
      <c r="B2913" s="1" t="n">
        <v>45468</v>
      </c>
      <c r="C2913" s="1" t="n">
        <v>45637</v>
      </c>
      <c r="D2913" t="inlineStr">
        <is>
          <t>VÄSTERNORRLANDS LÄN</t>
        </is>
      </c>
      <c r="E2913" t="inlineStr">
        <is>
          <t>SOLLEFTEÅ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26022-2024</t>
        </is>
      </c>
      <c r="B2914" s="1" t="n">
        <v>45467</v>
      </c>
      <c r="C2914" s="1" t="n">
        <v>45637</v>
      </c>
      <c r="D2914" t="inlineStr">
        <is>
          <t>VÄSTERNORRLANDS LÄN</t>
        </is>
      </c>
      <c r="E2914" t="inlineStr">
        <is>
          <t>SOLLEFTEÅ</t>
        </is>
      </c>
      <c r="F2914" t="inlineStr">
        <is>
          <t>SCA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26046-2024</t>
        </is>
      </c>
      <c r="B2915" s="1" t="n">
        <v>45467</v>
      </c>
      <c r="C2915" s="1" t="n">
        <v>45637</v>
      </c>
      <c r="D2915" t="inlineStr">
        <is>
          <t>VÄSTERNORRLANDS LÄN</t>
        </is>
      </c>
      <c r="E2915" t="inlineStr">
        <is>
          <t>SOLLEFTEÅ</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26023-2024</t>
        </is>
      </c>
      <c r="B2916" s="1" t="n">
        <v>45468</v>
      </c>
      <c r="C2916" s="1" t="n">
        <v>45637</v>
      </c>
      <c r="D2916" t="inlineStr">
        <is>
          <t>VÄSTERNORRLANDS LÄN</t>
        </is>
      </c>
      <c r="E2916" t="inlineStr">
        <is>
          <t>SOLLEFTEÅ</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26391-2024</t>
        </is>
      </c>
      <c r="B2917" s="1" t="n">
        <v>45468</v>
      </c>
      <c r="C2917" s="1" t="n">
        <v>45637</v>
      </c>
      <c r="D2917" t="inlineStr">
        <is>
          <t>VÄSTERNORRLANDS LÄN</t>
        </is>
      </c>
      <c r="E2917" t="inlineStr">
        <is>
          <t>SOLLEFTEÅ</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26325-2024</t>
        </is>
      </c>
      <c r="B2918" s="1" t="n">
        <v>45468</v>
      </c>
      <c r="C2918" s="1" t="n">
        <v>45637</v>
      </c>
      <c r="D2918" t="inlineStr">
        <is>
          <t>VÄSTERNORRLANDS LÄN</t>
        </is>
      </c>
      <c r="E2918" t="inlineStr">
        <is>
          <t>SOLLEFTEÅ</t>
        </is>
      </c>
      <c r="F2918" t="inlineStr">
        <is>
          <t>SCA</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26323-2024</t>
        </is>
      </c>
      <c r="B2919" s="1" t="n">
        <v>45469</v>
      </c>
      <c r="C2919" s="1" t="n">
        <v>45637</v>
      </c>
      <c r="D2919" t="inlineStr">
        <is>
          <t>VÄSTERNORRLANDS LÄN</t>
        </is>
      </c>
      <c r="E2919" t="inlineStr">
        <is>
          <t>SOLLEFTEÅ</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26319-2024</t>
        </is>
      </c>
      <c r="B2920" s="1" t="n">
        <v>45469</v>
      </c>
      <c r="C2920" s="1" t="n">
        <v>45637</v>
      </c>
      <c r="D2920" t="inlineStr">
        <is>
          <t>VÄSTERNORRLANDS LÄN</t>
        </is>
      </c>
      <c r="E2920" t="inlineStr">
        <is>
          <t>SOLLEFTEÅ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26172-2024</t>
        </is>
      </c>
      <c r="B2921" s="1" t="n">
        <v>45468</v>
      </c>
      <c r="C2921" s="1" t="n">
        <v>45637</v>
      </c>
      <c r="D2921" t="inlineStr">
        <is>
          <t>VÄSTERNORRLANDS LÄN</t>
        </is>
      </c>
      <c r="E2921" t="inlineStr">
        <is>
          <t>SOLLEFTEÅ</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26163-2024</t>
        </is>
      </c>
      <c r="B2922" s="1" t="n">
        <v>45468</v>
      </c>
      <c r="C2922" s="1" t="n">
        <v>45637</v>
      </c>
      <c r="D2922" t="inlineStr">
        <is>
          <t>VÄSTERNORRLANDS LÄN</t>
        </is>
      </c>
      <c r="E2922" t="inlineStr">
        <is>
          <t>SOLLEFTEÅ</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26296-2024</t>
        </is>
      </c>
      <c r="B2923" s="1" t="n">
        <v>45468</v>
      </c>
      <c r="C2923" s="1" t="n">
        <v>45637</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26444-2024</t>
        </is>
      </c>
      <c r="B2924" s="1" t="n">
        <v>45469</v>
      </c>
      <c r="C2924" s="1" t="n">
        <v>45637</v>
      </c>
      <c r="D2924" t="inlineStr">
        <is>
          <t>VÄSTERNORRLANDS LÄN</t>
        </is>
      </c>
      <c r="E2924" t="inlineStr">
        <is>
          <t>SOLLEFTEÅ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26500-2024</t>
        </is>
      </c>
      <c r="B2925" s="1" t="n">
        <v>45469</v>
      </c>
      <c r="C2925" s="1" t="n">
        <v>45637</v>
      </c>
      <c r="D2925" t="inlineStr">
        <is>
          <t>VÄSTERNORRLANDS LÄN</t>
        </is>
      </c>
      <c r="E2925" t="inlineStr">
        <is>
          <t>SOLLEFTEÅ</t>
        </is>
      </c>
      <c r="F2925" t="inlineStr">
        <is>
          <t>Holmen skog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26655-2024</t>
        </is>
      </c>
      <c r="B2926" s="1" t="n">
        <v>45469</v>
      </c>
      <c r="C2926" s="1" t="n">
        <v>45637</v>
      </c>
      <c r="D2926" t="inlineStr">
        <is>
          <t>VÄSTERNORRLANDS LÄN</t>
        </is>
      </c>
      <c r="E2926" t="inlineStr">
        <is>
          <t>SOLLEFTEÅ</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26962-2024</t>
        </is>
      </c>
      <c r="B2927" s="1" t="n">
        <v>45471</v>
      </c>
      <c r="C2927" s="1" t="n">
        <v>45637</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26955-2024</t>
        </is>
      </c>
      <c r="B2928" s="1" t="n">
        <v>45471</v>
      </c>
      <c r="C2928" s="1" t="n">
        <v>45637</v>
      </c>
      <c r="D2928" t="inlineStr">
        <is>
          <t>VÄSTERNORRLANDS LÄN</t>
        </is>
      </c>
      <c r="E2928" t="inlineStr">
        <is>
          <t>SOLLEFTEÅ</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26963-2024</t>
        </is>
      </c>
      <c r="B2929" s="1" t="n">
        <v>45471</v>
      </c>
      <c r="C2929" s="1" t="n">
        <v>45637</v>
      </c>
      <c r="D2929" t="inlineStr">
        <is>
          <t>VÄSTERNORRLANDS LÄN</t>
        </is>
      </c>
      <c r="E2929" t="inlineStr">
        <is>
          <t>SOLLEFTEÅ</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26890-2024</t>
        </is>
      </c>
      <c r="B2930" s="1" t="n">
        <v>45470</v>
      </c>
      <c r="C2930" s="1" t="n">
        <v>45637</v>
      </c>
      <c r="D2930" t="inlineStr">
        <is>
          <t>VÄSTERNORRLANDS LÄN</t>
        </is>
      </c>
      <c r="E2930" t="inlineStr">
        <is>
          <t>SOLLEFTEÅ</t>
        </is>
      </c>
      <c r="F2930" t="inlineStr">
        <is>
          <t>Holmen skog AB</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26936-2024</t>
        </is>
      </c>
      <c r="B2931" s="1" t="n">
        <v>45470</v>
      </c>
      <c r="C2931" s="1" t="n">
        <v>45637</v>
      </c>
      <c r="D2931" t="inlineStr">
        <is>
          <t>VÄSTERNORRLANDS LÄN</t>
        </is>
      </c>
      <c r="E2931" t="inlineStr">
        <is>
          <t>SOLLEFTEÅ</t>
        </is>
      </c>
      <c r="F2931" t="inlineStr">
        <is>
          <t>SCA</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26941-2024</t>
        </is>
      </c>
      <c r="B2932" s="1" t="n">
        <v>45470</v>
      </c>
      <c r="C2932" s="1" t="n">
        <v>45637</v>
      </c>
      <c r="D2932" t="inlineStr">
        <is>
          <t>VÄSTERNORRLANDS LÄN</t>
        </is>
      </c>
      <c r="E2932" t="inlineStr">
        <is>
          <t>SOLLEFTEÅ</t>
        </is>
      </c>
      <c r="F2932" t="inlineStr">
        <is>
          <t>SCA</t>
        </is>
      </c>
      <c r="G2932" t="n">
        <v>31.9</v>
      </c>
      <c r="H2932" t="n">
        <v>0</v>
      </c>
      <c r="I2932" t="n">
        <v>0</v>
      </c>
      <c r="J2932" t="n">
        <v>0</v>
      </c>
      <c r="K2932" t="n">
        <v>0</v>
      </c>
      <c r="L2932" t="n">
        <v>0</v>
      </c>
      <c r="M2932" t="n">
        <v>0</v>
      </c>
      <c r="N2932" t="n">
        <v>0</v>
      </c>
      <c r="O2932" t="n">
        <v>0</v>
      </c>
      <c r="P2932" t="n">
        <v>0</v>
      </c>
      <c r="Q2932" t="n">
        <v>0</v>
      </c>
      <c r="R2932" s="2" t="inlineStr"/>
    </row>
    <row r="2933" ht="15" customHeight="1">
      <c r="A2933" t="inlineStr">
        <is>
          <t>A 26937-2024</t>
        </is>
      </c>
      <c r="B2933" s="1" t="n">
        <v>45471</v>
      </c>
      <c r="C2933" s="1" t="n">
        <v>45637</v>
      </c>
      <c r="D2933" t="inlineStr">
        <is>
          <t>VÄSTERNORRLANDS LÄN</t>
        </is>
      </c>
      <c r="E2933" t="inlineStr">
        <is>
          <t>SOLLEFTEÅ</t>
        </is>
      </c>
      <c r="F2933" t="inlineStr">
        <is>
          <t>SCA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27025-2024</t>
        </is>
      </c>
      <c r="B2934" s="1" t="n">
        <v>45471</v>
      </c>
      <c r="C2934" s="1" t="n">
        <v>45637</v>
      </c>
      <c r="D2934" t="inlineStr">
        <is>
          <t>VÄSTERNORRLANDS LÄN</t>
        </is>
      </c>
      <c r="E2934" t="inlineStr">
        <is>
          <t>SOLLEFTEÅ</t>
        </is>
      </c>
      <c r="F2934" t="inlineStr">
        <is>
          <t>Holmen skog AB</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27071-2024</t>
        </is>
      </c>
      <c r="B2935" s="1" t="n">
        <v>45471</v>
      </c>
      <c r="C2935" s="1" t="n">
        <v>45637</v>
      </c>
      <c r="D2935" t="inlineStr">
        <is>
          <t>VÄSTERNORRLANDS LÄN</t>
        </is>
      </c>
      <c r="E2935" t="inlineStr">
        <is>
          <t>SOLLEFTEÅ</t>
        </is>
      </c>
      <c r="F2935" t="inlineStr">
        <is>
          <t>Holmen skog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27293-2024</t>
        </is>
      </c>
      <c r="B2936" s="1" t="n">
        <v>45472</v>
      </c>
      <c r="C2936" s="1" t="n">
        <v>45637</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27314-2024</t>
        </is>
      </c>
      <c r="B2937" s="1" t="n">
        <v>45472</v>
      </c>
      <c r="C2937" s="1" t="n">
        <v>45637</v>
      </c>
      <c r="D2937" t="inlineStr">
        <is>
          <t>VÄSTERNORRLANDS LÄN</t>
        </is>
      </c>
      <c r="E2937" t="inlineStr">
        <is>
          <t>SOLLEFTEÅ</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27377-2024</t>
        </is>
      </c>
      <c r="B2938" s="1" t="n">
        <v>45473</v>
      </c>
      <c r="C2938" s="1" t="n">
        <v>45637</v>
      </c>
      <c r="D2938" t="inlineStr">
        <is>
          <t>VÄSTERNORRLANDS LÄN</t>
        </is>
      </c>
      <c r="E2938" t="inlineStr">
        <is>
          <t>SOLLEFTEÅ</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27639-2024</t>
        </is>
      </c>
      <c r="B2939" s="1" t="n">
        <v>45474</v>
      </c>
      <c r="C2939" s="1" t="n">
        <v>45637</v>
      </c>
      <c r="D2939" t="inlineStr">
        <is>
          <t>VÄSTERNORRLANDS LÄN</t>
        </is>
      </c>
      <c r="E2939" t="inlineStr">
        <is>
          <t>SOLLEFTEÅ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27634-2024</t>
        </is>
      </c>
      <c r="B2940" s="1" t="n">
        <v>45475</v>
      </c>
      <c r="C2940" s="1" t="n">
        <v>45637</v>
      </c>
      <c r="D2940" t="inlineStr">
        <is>
          <t>VÄSTERNORRLANDS LÄN</t>
        </is>
      </c>
      <c r="E2940" t="inlineStr">
        <is>
          <t>SOLLEFTEÅ</t>
        </is>
      </c>
      <c r="F2940" t="inlineStr">
        <is>
          <t>SCA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27633-2024</t>
        </is>
      </c>
      <c r="B2941" s="1" t="n">
        <v>45475</v>
      </c>
      <c r="C2941" s="1" t="n">
        <v>45637</v>
      </c>
      <c r="D2941" t="inlineStr">
        <is>
          <t>VÄSTERNORRLANDS LÄN</t>
        </is>
      </c>
      <c r="E2941" t="inlineStr">
        <is>
          <t>SOLLEFTEÅ</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27641-2024</t>
        </is>
      </c>
      <c r="B2942" s="1" t="n">
        <v>45475</v>
      </c>
      <c r="C2942" s="1" t="n">
        <v>45637</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27922-2024</t>
        </is>
      </c>
      <c r="B2943" s="1" t="n">
        <v>45476</v>
      </c>
      <c r="C2943" s="1" t="n">
        <v>45637</v>
      </c>
      <c r="D2943" t="inlineStr">
        <is>
          <t>VÄSTERNORRLANDS LÄN</t>
        </is>
      </c>
      <c r="E2943" t="inlineStr">
        <is>
          <t>SOLLEFTEÅ</t>
        </is>
      </c>
      <c r="F2943" t="inlineStr">
        <is>
          <t>SCA</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27927-2024</t>
        </is>
      </c>
      <c r="B2944" s="1" t="n">
        <v>45475</v>
      </c>
      <c r="C2944" s="1" t="n">
        <v>45637</v>
      </c>
      <c r="D2944" t="inlineStr">
        <is>
          <t>VÄSTERNORRLANDS LÄN</t>
        </is>
      </c>
      <c r="E2944" t="inlineStr">
        <is>
          <t>SOLLEFTEÅ</t>
        </is>
      </c>
      <c r="F2944" t="inlineStr">
        <is>
          <t>SCA</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27911-2024</t>
        </is>
      </c>
      <c r="B2945" s="1" t="n">
        <v>45475</v>
      </c>
      <c r="C2945" s="1" t="n">
        <v>45637</v>
      </c>
      <c r="D2945" t="inlineStr">
        <is>
          <t>VÄSTERNORRLANDS LÄN</t>
        </is>
      </c>
      <c r="E2945" t="inlineStr">
        <is>
          <t>SOLLEFTEÅ</t>
        </is>
      </c>
      <c r="F2945" t="inlineStr">
        <is>
          <t>SCA</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27908-2024</t>
        </is>
      </c>
      <c r="B2946" s="1" t="n">
        <v>45476</v>
      </c>
      <c r="C2946" s="1" t="n">
        <v>45637</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27916-2024</t>
        </is>
      </c>
      <c r="B2947" s="1" t="n">
        <v>45476</v>
      </c>
      <c r="C2947" s="1" t="n">
        <v>45637</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27848-2024</t>
        </is>
      </c>
      <c r="B2948" s="1" t="n">
        <v>45475</v>
      </c>
      <c r="C2948" s="1" t="n">
        <v>45637</v>
      </c>
      <c r="D2948" t="inlineStr">
        <is>
          <t>VÄSTERNORRLANDS LÄN</t>
        </is>
      </c>
      <c r="E2948" t="inlineStr">
        <is>
          <t>SOLLEFTEÅ</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27901-2024</t>
        </is>
      </c>
      <c r="B2949" s="1" t="n">
        <v>45476</v>
      </c>
      <c r="C2949" s="1" t="n">
        <v>45637</v>
      </c>
      <c r="D2949" t="inlineStr">
        <is>
          <t>VÄSTERNORRLANDS LÄN</t>
        </is>
      </c>
      <c r="E2949" t="inlineStr">
        <is>
          <t>SOLLEFTEÅ</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27925-2024</t>
        </is>
      </c>
      <c r="B2950" s="1" t="n">
        <v>45475</v>
      </c>
      <c r="C2950" s="1" t="n">
        <v>45637</v>
      </c>
      <c r="D2950" t="inlineStr">
        <is>
          <t>VÄSTERNORRLANDS LÄN</t>
        </is>
      </c>
      <c r="E2950" t="inlineStr">
        <is>
          <t>SOLLEFTEÅ</t>
        </is>
      </c>
      <c r="G2950" t="n">
        <v>19.8</v>
      </c>
      <c r="H2950" t="n">
        <v>0</v>
      </c>
      <c r="I2950" t="n">
        <v>0</v>
      </c>
      <c r="J2950" t="n">
        <v>0</v>
      </c>
      <c r="K2950" t="n">
        <v>0</v>
      </c>
      <c r="L2950" t="n">
        <v>0</v>
      </c>
      <c r="M2950" t="n">
        <v>0</v>
      </c>
      <c r="N2950" t="n">
        <v>0</v>
      </c>
      <c r="O2950" t="n">
        <v>0</v>
      </c>
      <c r="P2950" t="n">
        <v>0</v>
      </c>
      <c r="Q2950" t="n">
        <v>0</v>
      </c>
      <c r="R2950" s="2" t="inlineStr"/>
    </row>
    <row r="2951" ht="15" customHeight="1">
      <c r="A2951" t="inlineStr">
        <is>
          <t>A 27789-2024</t>
        </is>
      </c>
      <c r="B2951" s="1" t="n">
        <v>45475</v>
      </c>
      <c r="C2951" s="1" t="n">
        <v>45637</v>
      </c>
      <c r="D2951" t="inlineStr">
        <is>
          <t>VÄSTERNORRLANDS LÄN</t>
        </is>
      </c>
      <c r="E2951" t="inlineStr">
        <is>
          <t>SOLLEFTEÅ</t>
        </is>
      </c>
      <c r="F2951" t="inlineStr">
        <is>
          <t>SCA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27924-2024</t>
        </is>
      </c>
      <c r="B2952" s="1" t="n">
        <v>45475</v>
      </c>
      <c r="C2952" s="1" t="n">
        <v>45637</v>
      </c>
      <c r="D2952" t="inlineStr">
        <is>
          <t>VÄSTERNORRLANDS LÄN</t>
        </is>
      </c>
      <c r="E2952" t="inlineStr">
        <is>
          <t>SOLLEFTEÅ</t>
        </is>
      </c>
      <c r="F2952" t="inlineStr">
        <is>
          <t>SCA</t>
        </is>
      </c>
      <c r="G2952" t="n">
        <v>23.5</v>
      </c>
      <c r="H2952" t="n">
        <v>0</v>
      </c>
      <c r="I2952" t="n">
        <v>0</v>
      </c>
      <c r="J2952" t="n">
        <v>0</v>
      </c>
      <c r="K2952" t="n">
        <v>0</v>
      </c>
      <c r="L2952" t="n">
        <v>0</v>
      </c>
      <c r="M2952" t="n">
        <v>0</v>
      </c>
      <c r="N2952" t="n">
        <v>0</v>
      </c>
      <c r="O2952" t="n">
        <v>0</v>
      </c>
      <c r="P2952" t="n">
        <v>0</v>
      </c>
      <c r="Q2952" t="n">
        <v>0</v>
      </c>
      <c r="R2952" s="2" t="inlineStr"/>
    </row>
    <row r="2953" ht="15" customHeight="1">
      <c r="A2953" t="inlineStr">
        <is>
          <t>A 27936-2024</t>
        </is>
      </c>
      <c r="B2953" s="1" t="n">
        <v>45476</v>
      </c>
      <c r="C2953" s="1" t="n">
        <v>45637</v>
      </c>
      <c r="D2953" t="inlineStr">
        <is>
          <t>VÄSTERNORRLANDS LÄN</t>
        </is>
      </c>
      <c r="E2953" t="inlineStr">
        <is>
          <t>SOLLEFTEÅ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28159-2024</t>
        </is>
      </c>
      <c r="B2954" s="1" t="n">
        <v>45477</v>
      </c>
      <c r="C2954" s="1" t="n">
        <v>45637</v>
      </c>
      <c r="D2954" t="inlineStr">
        <is>
          <t>VÄSTERNORRLANDS LÄN</t>
        </is>
      </c>
      <c r="E2954" t="inlineStr">
        <is>
          <t>SOLLEFTEÅ</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28164-2024</t>
        </is>
      </c>
      <c r="B2955" s="1" t="n">
        <v>45476</v>
      </c>
      <c r="C2955" s="1" t="n">
        <v>45637</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28170-2024</t>
        </is>
      </c>
      <c r="B2956" s="1" t="n">
        <v>45477</v>
      </c>
      <c r="C2956" s="1" t="n">
        <v>45637</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28162-2024</t>
        </is>
      </c>
      <c r="B2957" s="1" t="n">
        <v>45476</v>
      </c>
      <c r="C2957" s="1" t="n">
        <v>45637</v>
      </c>
      <c r="D2957" t="inlineStr">
        <is>
          <t>VÄSTERNORRLANDS LÄN</t>
        </is>
      </c>
      <c r="E2957" t="inlineStr">
        <is>
          <t>SOLLEFTEÅ</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28327-2024</t>
        </is>
      </c>
      <c r="B2958" s="1" t="n">
        <v>45477</v>
      </c>
      <c r="C2958" s="1" t="n">
        <v>45637</v>
      </c>
      <c r="D2958" t="inlineStr">
        <is>
          <t>VÄSTERNORRLANDS LÄN</t>
        </is>
      </c>
      <c r="E2958" t="inlineStr">
        <is>
          <t>SOLLEFTEÅ</t>
        </is>
      </c>
      <c r="F2958" t="inlineStr">
        <is>
          <t>Holmen skog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28269-2024</t>
        </is>
      </c>
      <c r="B2959" s="1" t="n">
        <v>45477</v>
      </c>
      <c r="C2959" s="1" t="n">
        <v>45637</v>
      </c>
      <c r="D2959" t="inlineStr">
        <is>
          <t>VÄSTERNORRLANDS LÄN</t>
        </is>
      </c>
      <c r="E2959" t="inlineStr">
        <is>
          <t>SOLLEFTEÅ</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28499-2024</t>
        </is>
      </c>
      <c r="B2960" s="1" t="n">
        <v>45478</v>
      </c>
      <c r="C2960" s="1" t="n">
        <v>45637</v>
      </c>
      <c r="D2960" t="inlineStr">
        <is>
          <t>VÄSTERNORRLANDS LÄN</t>
        </is>
      </c>
      <c r="E2960" t="inlineStr">
        <is>
          <t>SOLLEFTEÅ</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28354-2024</t>
        </is>
      </c>
      <c r="B2961" s="1" t="n">
        <v>45477</v>
      </c>
      <c r="C2961" s="1" t="n">
        <v>45637</v>
      </c>
      <c r="D2961" t="inlineStr">
        <is>
          <t>VÄSTERNORRLANDS LÄN</t>
        </is>
      </c>
      <c r="E2961" t="inlineStr">
        <is>
          <t>SOLLEFTEÅ</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28290-2024</t>
        </is>
      </c>
      <c r="B2962" s="1" t="n">
        <v>45477</v>
      </c>
      <c r="C2962" s="1" t="n">
        <v>45637</v>
      </c>
      <c r="D2962" t="inlineStr">
        <is>
          <t>VÄSTERNORRLANDS LÄN</t>
        </is>
      </c>
      <c r="E2962" t="inlineStr">
        <is>
          <t>SOLLEFTEÅ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28579-2024</t>
        </is>
      </c>
      <c r="B2963" s="1" t="n">
        <v>45478</v>
      </c>
      <c r="C2963" s="1" t="n">
        <v>45637</v>
      </c>
      <c r="D2963" t="inlineStr">
        <is>
          <t>VÄSTERNORRLANDS LÄN</t>
        </is>
      </c>
      <c r="E2963" t="inlineStr">
        <is>
          <t>SOLLEFTEÅ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28576-2024</t>
        </is>
      </c>
      <c r="B2964" s="1" t="n">
        <v>45478</v>
      </c>
      <c r="C2964" s="1" t="n">
        <v>45637</v>
      </c>
      <c r="D2964" t="inlineStr">
        <is>
          <t>VÄSTERNORRLANDS LÄN</t>
        </is>
      </c>
      <c r="E2964" t="inlineStr">
        <is>
          <t>SOLLEFTEÅ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28580-2024</t>
        </is>
      </c>
      <c r="B2965" s="1" t="n">
        <v>45478</v>
      </c>
      <c r="C2965" s="1" t="n">
        <v>45637</v>
      </c>
      <c r="D2965" t="inlineStr">
        <is>
          <t>VÄSTERNORRLANDS LÄN</t>
        </is>
      </c>
      <c r="E2965" t="inlineStr">
        <is>
          <t>SOLLEFTEÅ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28866-2024</t>
        </is>
      </c>
      <c r="B2966" s="1" t="n">
        <v>45478</v>
      </c>
      <c r="C2966" s="1" t="n">
        <v>45637</v>
      </c>
      <c r="D2966" t="inlineStr">
        <is>
          <t>VÄSTERNORRLANDS LÄN</t>
        </is>
      </c>
      <c r="E2966" t="inlineStr">
        <is>
          <t>SOLLEFTEÅ</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28790-2024</t>
        </is>
      </c>
      <c r="B2967" s="1" t="n">
        <v>45478</v>
      </c>
      <c r="C2967" s="1" t="n">
        <v>45637</v>
      </c>
      <c r="D2967" t="inlineStr">
        <is>
          <t>VÄSTERNORRLANDS LÄN</t>
        </is>
      </c>
      <c r="E2967" t="inlineStr">
        <is>
          <t>SOLLEFTEÅ</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29059-2024</t>
        </is>
      </c>
      <c r="B2968" s="1" t="n">
        <v>45481</v>
      </c>
      <c r="C2968" s="1" t="n">
        <v>45637</v>
      </c>
      <c r="D2968" t="inlineStr">
        <is>
          <t>VÄSTERNORRLANDS LÄN</t>
        </is>
      </c>
      <c r="E2968" t="inlineStr">
        <is>
          <t>SOLLEFTEÅ</t>
        </is>
      </c>
      <c r="F2968" t="inlineStr">
        <is>
          <t>Kyrkan</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29055-2024</t>
        </is>
      </c>
      <c r="B2969" s="1" t="n">
        <v>45481</v>
      </c>
      <c r="C2969" s="1" t="n">
        <v>45637</v>
      </c>
      <c r="D2969" t="inlineStr">
        <is>
          <t>VÄSTERNORRLANDS LÄN</t>
        </is>
      </c>
      <c r="E2969" t="inlineStr">
        <is>
          <t>SOLLEFTEÅ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29054-2024</t>
        </is>
      </c>
      <c r="B2970" s="1" t="n">
        <v>45481</v>
      </c>
      <c r="C2970" s="1" t="n">
        <v>45637</v>
      </c>
      <c r="D2970" t="inlineStr">
        <is>
          <t>VÄSTERNORRLANDS LÄN</t>
        </is>
      </c>
      <c r="E2970" t="inlineStr">
        <is>
          <t>SOLLEFTEÅ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29211-2024</t>
        </is>
      </c>
      <c r="B2971" s="1" t="n">
        <v>45482</v>
      </c>
      <c r="C2971" s="1" t="n">
        <v>45637</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29258-2024</t>
        </is>
      </c>
      <c r="B2972" s="1" t="n">
        <v>45483</v>
      </c>
      <c r="C2972" s="1" t="n">
        <v>45637</v>
      </c>
      <c r="D2972" t="inlineStr">
        <is>
          <t>VÄSTERNORRLANDS LÄN</t>
        </is>
      </c>
      <c r="E2972" t="inlineStr">
        <is>
          <t>SOLLEFTEÅ</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29248-2024</t>
        </is>
      </c>
      <c r="B2973" s="1" t="n">
        <v>45482</v>
      </c>
      <c r="C2973" s="1" t="n">
        <v>45637</v>
      </c>
      <c r="D2973" t="inlineStr">
        <is>
          <t>VÄSTERNORRLANDS LÄN</t>
        </is>
      </c>
      <c r="E2973" t="inlineStr">
        <is>
          <t>SOLLEFTEÅ</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29457-2024</t>
        </is>
      </c>
      <c r="B2974" s="1" t="n">
        <v>45484</v>
      </c>
      <c r="C2974" s="1" t="n">
        <v>45637</v>
      </c>
      <c r="D2974" t="inlineStr">
        <is>
          <t>VÄSTERNORRLANDS LÄN</t>
        </is>
      </c>
      <c r="E2974" t="inlineStr">
        <is>
          <t>SOLLEFTEÅ</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29459-2024</t>
        </is>
      </c>
      <c r="B2975" s="1" t="n">
        <v>45484</v>
      </c>
      <c r="C2975" s="1" t="n">
        <v>45637</v>
      </c>
      <c r="D2975" t="inlineStr">
        <is>
          <t>VÄSTERNORRLANDS LÄN</t>
        </is>
      </c>
      <c r="E2975" t="inlineStr">
        <is>
          <t>SOLLEFTEÅ</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29693-2024</t>
        </is>
      </c>
      <c r="B2976" s="1" t="n">
        <v>45485</v>
      </c>
      <c r="C2976" s="1" t="n">
        <v>45637</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29575-2024</t>
        </is>
      </c>
      <c r="B2977" s="1" t="n">
        <v>45484</v>
      </c>
      <c r="C2977" s="1" t="n">
        <v>45637</v>
      </c>
      <c r="D2977" t="inlineStr">
        <is>
          <t>VÄSTERNORRLANDS LÄN</t>
        </is>
      </c>
      <c r="E2977" t="inlineStr">
        <is>
          <t>SOLLEFTEÅ</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29871-2024</t>
        </is>
      </c>
      <c r="B2978" s="1" t="n">
        <v>45486</v>
      </c>
      <c r="C2978" s="1" t="n">
        <v>45637</v>
      </c>
      <c r="D2978" t="inlineStr">
        <is>
          <t>VÄSTERNORRLANDS LÄN</t>
        </is>
      </c>
      <c r="E2978" t="inlineStr">
        <is>
          <t>SOLLEFTEÅ</t>
        </is>
      </c>
      <c r="F2978" t="inlineStr">
        <is>
          <t>SCA</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29839-2024</t>
        </is>
      </c>
      <c r="B2979" s="1" t="n">
        <v>45485</v>
      </c>
      <c r="C2979" s="1" t="n">
        <v>45637</v>
      </c>
      <c r="D2979" t="inlineStr">
        <is>
          <t>VÄSTERNORRLANDS LÄN</t>
        </is>
      </c>
      <c r="E2979" t="inlineStr">
        <is>
          <t>SOLLEFTEÅ</t>
        </is>
      </c>
      <c r="F2979" t="inlineStr">
        <is>
          <t>Holmen skog AB</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29755-2024</t>
        </is>
      </c>
      <c r="B2980" s="1" t="n">
        <v>45485</v>
      </c>
      <c r="C2980" s="1" t="n">
        <v>45637</v>
      </c>
      <c r="D2980" t="inlineStr">
        <is>
          <t>VÄSTERNORRLANDS LÄN</t>
        </is>
      </c>
      <c r="E2980" t="inlineStr">
        <is>
          <t>SOLLEFTEÅ</t>
        </is>
      </c>
      <c r="F2980" t="inlineStr">
        <is>
          <t>Holmen skog AB</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29870-2024</t>
        </is>
      </c>
      <c r="B2981" s="1" t="n">
        <v>45486</v>
      </c>
      <c r="C2981" s="1" t="n">
        <v>45637</v>
      </c>
      <c r="D2981" t="inlineStr">
        <is>
          <t>VÄSTERNORRLANDS LÄN</t>
        </is>
      </c>
      <c r="E2981" t="inlineStr">
        <is>
          <t>SOLLEFTEÅ</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29869-2024</t>
        </is>
      </c>
      <c r="B2982" s="1" t="n">
        <v>45486</v>
      </c>
      <c r="C2982" s="1" t="n">
        <v>45637</v>
      </c>
      <c r="D2982" t="inlineStr">
        <is>
          <t>VÄSTERNORRLANDS LÄN</t>
        </is>
      </c>
      <c r="E2982" t="inlineStr">
        <is>
          <t>SOLLEFTEÅ</t>
        </is>
      </c>
      <c r="F2982" t="inlineStr">
        <is>
          <t>SCA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29914-2024</t>
        </is>
      </c>
      <c r="B2983" s="1" t="n">
        <v>45488</v>
      </c>
      <c r="C2983" s="1" t="n">
        <v>45637</v>
      </c>
      <c r="D2983" t="inlineStr">
        <is>
          <t>VÄSTERNORRLANDS LÄN</t>
        </is>
      </c>
      <c r="E2983" t="inlineStr">
        <is>
          <t>SOLLEFTEÅ</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29915-2024</t>
        </is>
      </c>
      <c r="B2984" s="1" t="n">
        <v>45488</v>
      </c>
      <c r="C2984" s="1" t="n">
        <v>45637</v>
      </c>
      <c r="D2984" t="inlineStr">
        <is>
          <t>VÄSTERNORRLANDS LÄN</t>
        </is>
      </c>
      <c r="E2984" t="inlineStr">
        <is>
          <t>SOLLEFTEÅ</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29913-2024</t>
        </is>
      </c>
      <c r="B2985" s="1" t="n">
        <v>45488</v>
      </c>
      <c r="C2985" s="1" t="n">
        <v>45637</v>
      </c>
      <c r="D2985" t="inlineStr">
        <is>
          <t>VÄSTERNORRLANDS LÄN</t>
        </is>
      </c>
      <c r="E2985" t="inlineStr">
        <is>
          <t>SOLLEFTEÅ</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29916-2024</t>
        </is>
      </c>
      <c r="B2986" s="1" t="n">
        <v>45488</v>
      </c>
      <c r="C2986" s="1" t="n">
        <v>45637</v>
      </c>
      <c r="D2986" t="inlineStr">
        <is>
          <t>VÄSTERNORRLANDS LÄN</t>
        </is>
      </c>
      <c r="E2986" t="inlineStr">
        <is>
          <t>SOLLEFTEÅ</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30063-2024</t>
        </is>
      </c>
      <c r="B2987" s="1" t="n">
        <v>45489</v>
      </c>
      <c r="C2987" s="1" t="n">
        <v>45637</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30060-2024</t>
        </is>
      </c>
      <c r="B2988" s="1" t="n">
        <v>45489</v>
      </c>
      <c r="C2988" s="1" t="n">
        <v>45637</v>
      </c>
      <c r="D2988" t="inlineStr">
        <is>
          <t>VÄSTERNORRLANDS LÄN</t>
        </is>
      </c>
      <c r="E2988" t="inlineStr">
        <is>
          <t>SOLLEFTEÅ</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30068-2024</t>
        </is>
      </c>
      <c r="B2989" s="1" t="n">
        <v>45489</v>
      </c>
      <c r="C2989" s="1" t="n">
        <v>45637</v>
      </c>
      <c r="D2989" t="inlineStr">
        <is>
          <t>VÄSTERNORRLANDS LÄN</t>
        </is>
      </c>
      <c r="E2989" t="inlineStr">
        <is>
          <t>SOLLEFTEÅ</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30061-2024</t>
        </is>
      </c>
      <c r="B2990" s="1" t="n">
        <v>45489</v>
      </c>
      <c r="C2990" s="1" t="n">
        <v>45637</v>
      </c>
      <c r="D2990" t="inlineStr">
        <is>
          <t>VÄSTERNORRLANDS LÄN</t>
        </is>
      </c>
      <c r="E2990" t="inlineStr">
        <is>
          <t>SOLLEFTEÅ</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30069-2024</t>
        </is>
      </c>
      <c r="B2991" s="1" t="n">
        <v>45489</v>
      </c>
      <c r="C2991" s="1" t="n">
        <v>45637</v>
      </c>
      <c r="D2991" t="inlineStr">
        <is>
          <t>VÄSTERNORRLANDS LÄN</t>
        </is>
      </c>
      <c r="E2991" t="inlineStr">
        <is>
          <t>SOLLEFTEÅ</t>
        </is>
      </c>
      <c r="F2991" t="inlineStr">
        <is>
          <t>SCA</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30214-2024</t>
        </is>
      </c>
      <c r="B2992" s="1" t="n">
        <v>45490</v>
      </c>
      <c r="C2992" s="1" t="n">
        <v>45637</v>
      </c>
      <c r="D2992" t="inlineStr">
        <is>
          <t>VÄSTERNORRLANDS LÄN</t>
        </is>
      </c>
      <c r="E2992" t="inlineStr">
        <is>
          <t>SOLLEFTEÅ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30327-2024</t>
        </is>
      </c>
      <c r="B2993" s="1" t="n">
        <v>45491</v>
      </c>
      <c r="C2993" s="1" t="n">
        <v>45637</v>
      </c>
      <c r="D2993" t="inlineStr">
        <is>
          <t>VÄSTERNORRLANDS LÄN</t>
        </is>
      </c>
      <c r="E2993" t="inlineStr">
        <is>
          <t>SOLLEFTEÅ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30328-2024</t>
        </is>
      </c>
      <c r="B2994" s="1" t="n">
        <v>45491</v>
      </c>
      <c r="C2994" s="1" t="n">
        <v>45637</v>
      </c>
      <c r="D2994" t="inlineStr">
        <is>
          <t>VÄSTERNORRLANDS LÄN</t>
        </is>
      </c>
      <c r="E2994" t="inlineStr">
        <is>
          <t>SOLLEFTEÅ</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30329-2024</t>
        </is>
      </c>
      <c r="B2995" s="1" t="n">
        <v>45491</v>
      </c>
      <c r="C2995" s="1" t="n">
        <v>45637</v>
      </c>
      <c r="D2995" t="inlineStr">
        <is>
          <t>VÄSTERNORRLANDS LÄN</t>
        </is>
      </c>
      <c r="E2995" t="inlineStr">
        <is>
          <t>SOLLEFTEÅ</t>
        </is>
      </c>
      <c r="F2995" t="inlineStr">
        <is>
          <t>SCA</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30325-2024</t>
        </is>
      </c>
      <c r="B2996" s="1" t="n">
        <v>45491</v>
      </c>
      <c r="C2996" s="1" t="n">
        <v>45637</v>
      </c>
      <c r="D2996" t="inlineStr">
        <is>
          <t>VÄSTERNORRLANDS LÄN</t>
        </is>
      </c>
      <c r="E2996" t="inlineStr">
        <is>
          <t>SOLLEFTEÅ</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30466-2024</t>
        </is>
      </c>
      <c r="B2997" s="1" t="n">
        <v>45492</v>
      </c>
      <c r="C2997" s="1" t="n">
        <v>45637</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30476-2024</t>
        </is>
      </c>
      <c r="B2998" s="1" t="n">
        <v>45492</v>
      </c>
      <c r="C2998" s="1" t="n">
        <v>45637</v>
      </c>
      <c r="D2998" t="inlineStr">
        <is>
          <t>VÄSTERNORRLANDS LÄN</t>
        </is>
      </c>
      <c r="E2998" t="inlineStr">
        <is>
          <t>SOLLEFTEÅ</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30464-2024</t>
        </is>
      </c>
      <c r="B2999" s="1" t="n">
        <v>45492</v>
      </c>
      <c r="C2999" s="1" t="n">
        <v>45637</v>
      </c>
      <c r="D2999" t="inlineStr">
        <is>
          <t>VÄSTERNORRLANDS LÄN</t>
        </is>
      </c>
      <c r="E2999" t="inlineStr">
        <is>
          <t>SOLLEFTEÅ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30570-2024</t>
        </is>
      </c>
      <c r="B3000" s="1" t="n">
        <v>45493</v>
      </c>
      <c r="C3000" s="1" t="n">
        <v>45637</v>
      </c>
      <c r="D3000" t="inlineStr">
        <is>
          <t>VÄSTERNORRLANDS LÄN</t>
        </is>
      </c>
      <c r="E3000" t="inlineStr">
        <is>
          <t>SOLLEFTEÅ</t>
        </is>
      </c>
      <c r="F3000" t="inlineStr">
        <is>
          <t>SCA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30812-2024</t>
        </is>
      </c>
      <c r="B3001" s="1" t="n">
        <v>45497</v>
      </c>
      <c r="C3001" s="1" t="n">
        <v>45637</v>
      </c>
      <c r="D3001" t="inlineStr">
        <is>
          <t>VÄSTERNORRLANDS LÄN</t>
        </is>
      </c>
      <c r="E3001" t="inlineStr">
        <is>
          <t>SOLLEFTEÅ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31521-2024</t>
        </is>
      </c>
      <c r="B3002" s="1" t="n">
        <v>45505</v>
      </c>
      <c r="C3002" s="1" t="n">
        <v>45637</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31482-2024</t>
        </is>
      </c>
      <c r="B3003" s="1" t="n">
        <v>45505</v>
      </c>
      <c r="C3003" s="1" t="n">
        <v>45637</v>
      </c>
      <c r="D3003" t="inlineStr">
        <is>
          <t>VÄSTERNORRLANDS LÄN</t>
        </is>
      </c>
      <c r="E3003" t="inlineStr">
        <is>
          <t>SOLLEFTEÅ</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31555-2024</t>
        </is>
      </c>
      <c r="B3004" s="1" t="n">
        <v>45506</v>
      </c>
      <c r="C3004" s="1" t="n">
        <v>45637</v>
      </c>
      <c r="D3004" t="inlineStr">
        <is>
          <t>VÄSTERNORRLANDS LÄN</t>
        </is>
      </c>
      <c r="E3004" t="inlineStr">
        <is>
          <t>SOLLEFTEÅ</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31547-2024</t>
        </is>
      </c>
      <c r="B3005" s="1" t="n">
        <v>45506</v>
      </c>
      <c r="C3005" s="1" t="n">
        <v>45637</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31556-2024</t>
        </is>
      </c>
      <c r="B3006" s="1" t="n">
        <v>45505</v>
      </c>
      <c r="C3006" s="1" t="n">
        <v>45637</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31480-2024</t>
        </is>
      </c>
      <c r="B3007" s="1" t="n">
        <v>45506</v>
      </c>
      <c r="C3007" s="1" t="n">
        <v>45637</v>
      </c>
      <c r="D3007" t="inlineStr">
        <is>
          <t>VÄSTERNORRLANDS LÄN</t>
        </is>
      </c>
      <c r="E3007" t="inlineStr">
        <is>
          <t>SOLLEFTEÅ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31496-2024</t>
        </is>
      </c>
      <c r="B3008" s="1" t="n">
        <v>45506</v>
      </c>
      <c r="C3008" s="1" t="n">
        <v>45637</v>
      </c>
      <c r="D3008" t="inlineStr">
        <is>
          <t>VÄSTERNORRLANDS LÄN</t>
        </is>
      </c>
      <c r="E3008" t="inlineStr">
        <is>
          <t>SOLLEFTEÅ</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31562-2024</t>
        </is>
      </c>
      <c r="B3009" s="1" t="n">
        <v>45505</v>
      </c>
      <c r="C3009" s="1" t="n">
        <v>45637</v>
      </c>
      <c r="D3009" t="inlineStr">
        <is>
          <t>VÄSTERNORRLANDS LÄN</t>
        </is>
      </c>
      <c r="E3009" t="inlineStr">
        <is>
          <t>SOLLEFTEÅ</t>
        </is>
      </c>
      <c r="F3009" t="inlineStr">
        <is>
          <t>SCA</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31549-2024</t>
        </is>
      </c>
      <c r="B3010" s="1" t="n">
        <v>45506</v>
      </c>
      <c r="C3010" s="1" t="n">
        <v>45637</v>
      </c>
      <c r="D3010" t="inlineStr">
        <is>
          <t>VÄSTERNORRLANDS LÄN</t>
        </is>
      </c>
      <c r="E3010" t="inlineStr">
        <is>
          <t>SOLLEFTEÅ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31537-2024</t>
        </is>
      </c>
      <c r="B3011" s="1" t="n">
        <v>45506</v>
      </c>
      <c r="C3011" s="1" t="n">
        <v>45637</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31511-2024</t>
        </is>
      </c>
      <c r="B3012" s="1" t="n">
        <v>45506</v>
      </c>
      <c r="C3012" s="1" t="n">
        <v>45637</v>
      </c>
      <c r="D3012" t="inlineStr">
        <is>
          <t>VÄSTERNORRLANDS LÄN</t>
        </is>
      </c>
      <c r="E3012" t="inlineStr">
        <is>
          <t>SOLLEFTEÅ</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31481-2024</t>
        </is>
      </c>
      <c r="B3013" s="1" t="n">
        <v>45505</v>
      </c>
      <c r="C3013" s="1" t="n">
        <v>45637</v>
      </c>
      <c r="D3013" t="inlineStr">
        <is>
          <t>VÄSTERNORRLANDS LÄN</t>
        </is>
      </c>
      <c r="E3013" t="inlineStr">
        <is>
          <t>SOLLEFTEÅ</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31559-2024</t>
        </is>
      </c>
      <c r="B3014" s="1" t="n">
        <v>45506</v>
      </c>
      <c r="C3014" s="1" t="n">
        <v>45637</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31554-2024</t>
        </is>
      </c>
      <c r="B3015" s="1" t="n">
        <v>45506</v>
      </c>
      <c r="C3015" s="1" t="n">
        <v>45637</v>
      </c>
      <c r="D3015" t="inlineStr">
        <is>
          <t>VÄSTERNORRLANDS LÄN</t>
        </is>
      </c>
      <c r="E3015" t="inlineStr">
        <is>
          <t>SOLLEFTEÅ</t>
        </is>
      </c>
      <c r="F3015" t="inlineStr">
        <is>
          <t>SCA</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31550-2024</t>
        </is>
      </c>
      <c r="B3016" s="1" t="n">
        <v>45505</v>
      </c>
      <c r="C3016" s="1" t="n">
        <v>45637</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31477-2024</t>
        </is>
      </c>
      <c r="B3017" s="1" t="n">
        <v>45505</v>
      </c>
      <c r="C3017" s="1" t="n">
        <v>45637</v>
      </c>
      <c r="D3017" t="inlineStr">
        <is>
          <t>VÄSTERNORRLANDS LÄN</t>
        </is>
      </c>
      <c r="E3017" t="inlineStr">
        <is>
          <t>SOLLEFTEÅ</t>
        </is>
      </c>
      <c r="F3017" t="inlineStr">
        <is>
          <t>SCA</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31528-2024</t>
        </is>
      </c>
      <c r="B3018" s="1" t="n">
        <v>45505</v>
      </c>
      <c r="C3018" s="1" t="n">
        <v>45637</v>
      </c>
      <c r="D3018" t="inlineStr">
        <is>
          <t>VÄSTERNORRLANDS LÄN</t>
        </is>
      </c>
      <c r="E3018" t="inlineStr">
        <is>
          <t>SOLLEFTEÅ</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31520-2024</t>
        </is>
      </c>
      <c r="B3019" s="1" t="n">
        <v>45505</v>
      </c>
      <c r="C3019" s="1" t="n">
        <v>45637</v>
      </c>
      <c r="D3019" t="inlineStr">
        <is>
          <t>VÄSTERNORRLANDS LÄN</t>
        </is>
      </c>
      <c r="E3019" t="inlineStr">
        <is>
          <t>SOLLEFTEÅ</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31516-2024</t>
        </is>
      </c>
      <c r="B3020" s="1" t="n">
        <v>45505</v>
      </c>
      <c r="C3020" s="1" t="n">
        <v>45637</v>
      </c>
      <c r="D3020" t="inlineStr">
        <is>
          <t>VÄSTERNORRLANDS LÄN</t>
        </is>
      </c>
      <c r="E3020" t="inlineStr">
        <is>
          <t>SOLLEFTEÅ</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31569-2024</t>
        </is>
      </c>
      <c r="B3021" s="1" t="n">
        <v>45505</v>
      </c>
      <c r="C3021" s="1" t="n">
        <v>45637</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31548-2024</t>
        </is>
      </c>
      <c r="B3022" s="1" t="n">
        <v>45506</v>
      </c>
      <c r="C3022" s="1" t="n">
        <v>45637</v>
      </c>
      <c r="D3022" t="inlineStr">
        <is>
          <t>VÄSTERNORRLANDS LÄN</t>
        </is>
      </c>
      <c r="E3022" t="inlineStr">
        <is>
          <t>SOLLEFTEÅ</t>
        </is>
      </c>
      <c r="F3022" t="inlineStr">
        <is>
          <t>SCA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31680-2024</t>
        </is>
      </c>
      <c r="B3023" s="1" t="n">
        <v>45507</v>
      </c>
      <c r="C3023" s="1" t="n">
        <v>45637</v>
      </c>
      <c r="D3023" t="inlineStr">
        <is>
          <t>VÄSTERNORRLANDS LÄN</t>
        </is>
      </c>
      <c r="E3023" t="inlineStr">
        <is>
          <t>SOLLEFTEÅ</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31669-2024</t>
        </is>
      </c>
      <c r="B3024" s="1" t="n">
        <v>45507</v>
      </c>
      <c r="C3024" s="1" t="n">
        <v>45637</v>
      </c>
      <c r="D3024" t="inlineStr">
        <is>
          <t>VÄSTERNORRLANDS LÄN</t>
        </is>
      </c>
      <c r="E3024" t="inlineStr">
        <is>
          <t>SOLLEFTEÅ</t>
        </is>
      </c>
      <c r="F3024" t="inlineStr">
        <is>
          <t>SCA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31614-2024</t>
        </is>
      </c>
      <c r="B3025" s="1" t="n">
        <v>45506</v>
      </c>
      <c r="C3025" s="1" t="n">
        <v>45637</v>
      </c>
      <c r="D3025" t="inlineStr">
        <is>
          <t>VÄSTERNORRLANDS LÄN</t>
        </is>
      </c>
      <c r="E3025" t="inlineStr">
        <is>
          <t>SOLLEFTEÅ</t>
        </is>
      </c>
      <c r="F3025" t="inlineStr">
        <is>
          <t>Kommuner</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31681-2024</t>
        </is>
      </c>
      <c r="B3026" s="1" t="n">
        <v>45507</v>
      </c>
      <c r="C3026" s="1" t="n">
        <v>45637</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31658-2024</t>
        </is>
      </c>
      <c r="B3027" s="1" t="n">
        <v>45506</v>
      </c>
      <c r="C3027" s="1" t="n">
        <v>45637</v>
      </c>
      <c r="D3027" t="inlineStr">
        <is>
          <t>VÄSTERNORRLANDS LÄN</t>
        </is>
      </c>
      <c r="E3027" t="inlineStr">
        <is>
          <t>SOLLEFTEÅ</t>
        </is>
      </c>
      <c r="G3027" t="n">
        <v>15.5</v>
      </c>
      <c r="H3027" t="n">
        <v>0</v>
      </c>
      <c r="I3027" t="n">
        <v>0</v>
      </c>
      <c r="J3027" t="n">
        <v>0</v>
      </c>
      <c r="K3027" t="n">
        <v>0</v>
      </c>
      <c r="L3027" t="n">
        <v>0</v>
      </c>
      <c r="M3027" t="n">
        <v>0</v>
      </c>
      <c r="N3027" t="n">
        <v>0</v>
      </c>
      <c r="O3027" t="n">
        <v>0</v>
      </c>
      <c r="P3027" t="n">
        <v>0</v>
      </c>
      <c r="Q3027" t="n">
        <v>0</v>
      </c>
      <c r="R3027" s="2" t="inlineStr"/>
    </row>
    <row r="3028" ht="15" customHeight="1">
      <c r="A3028" t="inlineStr">
        <is>
          <t>A 31662-2024</t>
        </is>
      </c>
      <c r="B3028" s="1" t="n">
        <v>45507</v>
      </c>
      <c r="C3028" s="1" t="n">
        <v>45637</v>
      </c>
      <c r="D3028" t="inlineStr">
        <is>
          <t>VÄSTERNORRLANDS LÄN</t>
        </is>
      </c>
      <c r="E3028" t="inlineStr">
        <is>
          <t>SOLLEFTEÅ</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31670-2024</t>
        </is>
      </c>
      <c r="B3029" s="1" t="n">
        <v>45507</v>
      </c>
      <c r="C3029" s="1" t="n">
        <v>45637</v>
      </c>
      <c r="D3029" t="inlineStr">
        <is>
          <t>VÄSTERNORRLANDS LÄN</t>
        </is>
      </c>
      <c r="E3029" t="inlineStr">
        <is>
          <t>SOLLEFTEÅ</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31686-2024</t>
        </is>
      </c>
      <c r="B3030" s="1" t="n">
        <v>45506</v>
      </c>
      <c r="C3030" s="1" t="n">
        <v>45637</v>
      </c>
      <c r="D3030" t="inlineStr">
        <is>
          <t>VÄSTERNORRLANDS LÄN</t>
        </is>
      </c>
      <c r="E3030" t="inlineStr">
        <is>
          <t>SOLLEFTEÅ</t>
        </is>
      </c>
      <c r="F3030" t="inlineStr">
        <is>
          <t>SCA</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31708-2024</t>
        </is>
      </c>
      <c r="B3031" s="1" t="n">
        <v>45509</v>
      </c>
      <c r="C3031" s="1" t="n">
        <v>45637</v>
      </c>
      <c r="D3031" t="inlineStr">
        <is>
          <t>VÄSTERNORRLANDS LÄN</t>
        </is>
      </c>
      <c r="E3031" t="inlineStr">
        <is>
          <t>SOLLEFTEÅ</t>
        </is>
      </c>
      <c r="F3031" t="inlineStr">
        <is>
          <t>SCA</t>
        </is>
      </c>
      <c r="G3031" t="n">
        <v>13.9</v>
      </c>
      <c r="H3031" t="n">
        <v>0</v>
      </c>
      <c r="I3031" t="n">
        <v>0</v>
      </c>
      <c r="J3031" t="n">
        <v>0</v>
      </c>
      <c r="K3031" t="n">
        <v>0</v>
      </c>
      <c r="L3031" t="n">
        <v>0</v>
      </c>
      <c r="M3031" t="n">
        <v>0</v>
      </c>
      <c r="N3031" t="n">
        <v>0</v>
      </c>
      <c r="O3031" t="n">
        <v>0</v>
      </c>
      <c r="P3031" t="n">
        <v>0</v>
      </c>
      <c r="Q3031" t="n">
        <v>0</v>
      </c>
      <c r="R3031" s="2" t="inlineStr"/>
    </row>
    <row r="3032" ht="15" customHeight="1">
      <c r="A3032" t="inlineStr">
        <is>
          <t>A 31807-2024</t>
        </is>
      </c>
      <c r="B3032" s="1" t="n">
        <v>45509</v>
      </c>
      <c r="C3032" s="1" t="n">
        <v>45637</v>
      </c>
      <c r="D3032" t="inlineStr">
        <is>
          <t>VÄSTERNORRLANDS LÄN</t>
        </is>
      </c>
      <c r="E3032" t="inlineStr">
        <is>
          <t>SOLLEFTEÅ</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31886-2024</t>
        </is>
      </c>
      <c r="B3033" s="1" t="n">
        <v>45510</v>
      </c>
      <c r="C3033" s="1" t="n">
        <v>45637</v>
      </c>
      <c r="D3033" t="inlineStr">
        <is>
          <t>VÄSTERNORRLANDS LÄN</t>
        </is>
      </c>
      <c r="E3033" t="inlineStr">
        <is>
          <t>SOLLEFTEÅ</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31881-2024</t>
        </is>
      </c>
      <c r="B3034" s="1" t="n">
        <v>45509</v>
      </c>
      <c r="C3034" s="1" t="n">
        <v>45637</v>
      </c>
      <c r="D3034" t="inlineStr">
        <is>
          <t>VÄSTERNORRLANDS LÄN</t>
        </is>
      </c>
      <c r="E3034" t="inlineStr">
        <is>
          <t>SOLLEFTEÅ</t>
        </is>
      </c>
      <c r="F3034" t="inlineStr">
        <is>
          <t>SCA</t>
        </is>
      </c>
      <c r="G3034" t="n">
        <v>10.3</v>
      </c>
      <c r="H3034" t="n">
        <v>0</v>
      </c>
      <c r="I3034" t="n">
        <v>0</v>
      </c>
      <c r="J3034" t="n">
        <v>0</v>
      </c>
      <c r="K3034" t="n">
        <v>0</v>
      </c>
      <c r="L3034" t="n">
        <v>0</v>
      </c>
      <c r="M3034" t="n">
        <v>0</v>
      </c>
      <c r="N3034" t="n">
        <v>0</v>
      </c>
      <c r="O3034" t="n">
        <v>0</v>
      </c>
      <c r="P3034" t="n">
        <v>0</v>
      </c>
      <c r="Q3034" t="n">
        <v>0</v>
      </c>
      <c r="R3034" s="2" t="inlineStr"/>
    </row>
    <row r="3035" ht="15" customHeight="1">
      <c r="A3035" t="inlineStr">
        <is>
          <t>A 31889-2024</t>
        </is>
      </c>
      <c r="B3035" s="1" t="n">
        <v>45510</v>
      </c>
      <c r="C3035" s="1" t="n">
        <v>45637</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31880-2024</t>
        </is>
      </c>
      <c r="B3036" s="1" t="n">
        <v>45509</v>
      </c>
      <c r="C3036" s="1" t="n">
        <v>45637</v>
      </c>
      <c r="D3036" t="inlineStr">
        <is>
          <t>VÄSTERNORRLANDS LÄN</t>
        </is>
      </c>
      <c r="E3036" t="inlineStr">
        <is>
          <t>SOLLEFTEÅ</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32062-2024</t>
        </is>
      </c>
      <c r="B3037" s="1" t="n">
        <v>45510</v>
      </c>
      <c r="C3037" s="1" t="n">
        <v>45637</v>
      </c>
      <c r="D3037" t="inlineStr">
        <is>
          <t>VÄSTERNORRLANDS LÄN</t>
        </is>
      </c>
      <c r="E3037" t="inlineStr">
        <is>
          <t>SOLLEFTEÅ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32071-2024</t>
        </is>
      </c>
      <c r="B3038" s="1" t="n">
        <v>45511</v>
      </c>
      <c r="C3038" s="1" t="n">
        <v>45637</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32242-2024</t>
        </is>
      </c>
      <c r="B3039" s="1" t="n">
        <v>45512</v>
      </c>
      <c r="C3039" s="1" t="n">
        <v>45637</v>
      </c>
      <c r="D3039" t="inlineStr">
        <is>
          <t>VÄSTERNORRLANDS LÄN</t>
        </is>
      </c>
      <c r="E3039" t="inlineStr">
        <is>
          <t>SOLLEFTEÅ</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32255-2024</t>
        </is>
      </c>
      <c r="B3040" s="1" t="n">
        <v>45512</v>
      </c>
      <c r="C3040" s="1" t="n">
        <v>45637</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32140-2024</t>
        </is>
      </c>
      <c r="B3041" s="1" t="n">
        <v>45511</v>
      </c>
      <c r="C3041" s="1" t="n">
        <v>45637</v>
      </c>
      <c r="D3041" t="inlineStr">
        <is>
          <t>VÄSTERNORRLANDS LÄN</t>
        </is>
      </c>
      <c r="E3041" t="inlineStr">
        <is>
          <t>SOLLEFTEÅ</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32157-2024</t>
        </is>
      </c>
      <c r="B3042" s="1" t="n">
        <v>45511</v>
      </c>
      <c r="C3042" s="1" t="n">
        <v>45637</v>
      </c>
      <c r="D3042" t="inlineStr">
        <is>
          <t>VÄSTERNORRLANDS LÄN</t>
        </is>
      </c>
      <c r="E3042" t="inlineStr">
        <is>
          <t>SOLLEFTEÅ</t>
        </is>
      </c>
      <c r="F3042" t="inlineStr">
        <is>
          <t>Holmen skog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32467-2024</t>
        </is>
      </c>
      <c r="B3043" s="1" t="n">
        <v>45512</v>
      </c>
      <c r="C3043" s="1" t="n">
        <v>45637</v>
      </c>
      <c r="D3043" t="inlineStr">
        <is>
          <t>VÄSTERNORRLANDS LÄN</t>
        </is>
      </c>
      <c r="E3043" t="inlineStr">
        <is>
          <t>SOLLEFTEÅ</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32754-2024</t>
        </is>
      </c>
      <c r="B3044" s="1" t="n">
        <v>45516</v>
      </c>
      <c r="C3044" s="1" t="n">
        <v>45637</v>
      </c>
      <c r="D3044" t="inlineStr">
        <is>
          <t>VÄSTERNORRLANDS LÄN</t>
        </is>
      </c>
      <c r="E3044" t="inlineStr">
        <is>
          <t>SOLLEFTEÅ</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32924-2024</t>
        </is>
      </c>
      <c r="B3045" s="1" t="n">
        <v>45517</v>
      </c>
      <c r="C3045" s="1" t="n">
        <v>45637</v>
      </c>
      <c r="D3045" t="inlineStr">
        <is>
          <t>VÄSTERNORRLANDS LÄN</t>
        </is>
      </c>
      <c r="E3045" t="inlineStr">
        <is>
          <t>SOLLEFTEÅ</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32812-2024</t>
        </is>
      </c>
      <c r="B3046" s="1" t="n">
        <v>45516</v>
      </c>
      <c r="C3046" s="1" t="n">
        <v>45637</v>
      </c>
      <c r="D3046" t="inlineStr">
        <is>
          <t>VÄSTERNORRLANDS LÄN</t>
        </is>
      </c>
      <c r="E3046" t="inlineStr">
        <is>
          <t>SOLLEFTEÅ</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32702-2024</t>
        </is>
      </c>
      <c r="B3047" s="1" t="n">
        <v>45516</v>
      </c>
      <c r="C3047" s="1" t="n">
        <v>45637</v>
      </c>
      <c r="D3047" t="inlineStr">
        <is>
          <t>VÄSTERNORRLANDS LÄN</t>
        </is>
      </c>
      <c r="E3047" t="inlineStr">
        <is>
          <t>SOLLEFTEÅ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33110-2024</t>
        </is>
      </c>
      <c r="B3048" s="1" t="n">
        <v>45517</v>
      </c>
      <c r="C3048" s="1" t="n">
        <v>45637</v>
      </c>
      <c r="D3048" t="inlineStr">
        <is>
          <t>VÄSTERNORRLANDS LÄN</t>
        </is>
      </c>
      <c r="E3048" t="inlineStr">
        <is>
          <t>SOLLEFTEÅ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33111-2024</t>
        </is>
      </c>
      <c r="B3049" s="1" t="n">
        <v>45517</v>
      </c>
      <c r="C3049" s="1" t="n">
        <v>45637</v>
      </c>
      <c r="D3049" t="inlineStr">
        <is>
          <t>VÄSTERNORRLANDS LÄN</t>
        </is>
      </c>
      <c r="E3049" t="inlineStr">
        <is>
          <t>SOLLEFTEÅ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33031-2024</t>
        </is>
      </c>
      <c r="B3050" s="1" t="n">
        <v>45517</v>
      </c>
      <c r="C3050" s="1" t="n">
        <v>45637</v>
      </c>
      <c r="D3050" t="inlineStr">
        <is>
          <t>VÄSTERNORRLANDS LÄN</t>
        </is>
      </c>
      <c r="E3050" t="inlineStr">
        <is>
          <t>SOLLEFTEÅ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33241-2024</t>
        </is>
      </c>
      <c r="B3051" s="1" t="n">
        <v>45518</v>
      </c>
      <c r="C3051" s="1" t="n">
        <v>45637</v>
      </c>
      <c r="D3051" t="inlineStr">
        <is>
          <t>VÄSTERNORRLANDS LÄN</t>
        </is>
      </c>
      <c r="E3051" t="inlineStr">
        <is>
          <t>SOLLEFTEÅ</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33316-2024</t>
        </is>
      </c>
      <c r="B3052" s="1" t="n">
        <v>45519</v>
      </c>
      <c r="C3052" s="1" t="n">
        <v>45637</v>
      </c>
      <c r="D3052" t="inlineStr">
        <is>
          <t>VÄSTERNORRLANDS LÄN</t>
        </is>
      </c>
      <c r="E3052" t="inlineStr">
        <is>
          <t>SOLLEFTEÅ</t>
        </is>
      </c>
      <c r="F3052" t="inlineStr">
        <is>
          <t>SCA</t>
        </is>
      </c>
      <c r="G3052" t="n">
        <v>12.9</v>
      </c>
      <c r="H3052" t="n">
        <v>0</v>
      </c>
      <c r="I3052" t="n">
        <v>0</v>
      </c>
      <c r="J3052" t="n">
        <v>0</v>
      </c>
      <c r="K3052" t="n">
        <v>0</v>
      </c>
      <c r="L3052" t="n">
        <v>0</v>
      </c>
      <c r="M3052" t="n">
        <v>0</v>
      </c>
      <c r="N3052" t="n">
        <v>0</v>
      </c>
      <c r="O3052" t="n">
        <v>0</v>
      </c>
      <c r="P3052" t="n">
        <v>0</v>
      </c>
      <c r="Q3052" t="n">
        <v>0</v>
      </c>
      <c r="R3052" s="2" t="inlineStr"/>
    </row>
    <row r="3053" ht="15" customHeight="1">
      <c r="A3053" t="inlineStr">
        <is>
          <t>A 33312-2024</t>
        </is>
      </c>
      <c r="B3053" s="1" t="n">
        <v>45519</v>
      </c>
      <c r="C3053" s="1" t="n">
        <v>45637</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33141-2024</t>
        </is>
      </c>
      <c r="B3054" s="1" t="n">
        <v>45518</v>
      </c>
      <c r="C3054" s="1" t="n">
        <v>45637</v>
      </c>
      <c r="D3054" t="inlineStr">
        <is>
          <t>VÄSTERNORRLANDS LÄN</t>
        </is>
      </c>
      <c r="E3054" t="inlineStr">
        <is>
          <t>SOLLEFTEÅ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33134-2024</t>
        </is>
      </c>
      <c r="B3055" s="1" t="n">
        <v>45518</v>
      </c>
      <c r="C3055" s="1" t="n">
        <v>45637</v>
      </c>
      <c r="D3055" t="inlineStr">
        <is>
          <t>VÄSTERNORRLANDS LÄN</t>
        </is>
      </c>
      <c r="E3055" t="inlineStr">
        <is>
          <t>SOLLEFTEÅ</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33314-2024</t>
        </is>
      </c>
      <c r="B3056" s="1" t="n">
        <v>45519</v>
      </c>
      <c r="C3056" s="1" t="n">
        <v>45637</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33332-2024</t>
        </is>
      </c>
      <c r="B3057" s="1" t="n">
        <v>45519</v>
      </c>
      <c r="C3057" s="1" t="n">
        <v>45637</v>
      </c>
      <c r="D3057" t="inlineStr">
        <is>
          <t>VÄSTERNORRLANDS LÄN</t>
        </is>
      </c>
      <c r="E3057" t="inlineStr">
        <is>
          <t>SOLLEFTEÅ</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33490-2024</t>
        </is>
      </c>
      <c r="B3058" s="1" t="n">
        <v>45519</v>
      </c>
      <c r="C3058" s="1" t="n">
        <v>45637</v>
      </c>
      <c r="D3058" t="inlineStr">
        <is>
          <t>VÄSTERNORRLANDS LÄN</t>
        </is>
      </c>
      <c r="E3058" t="inlineStr">
        <is>
          <t>SOLLEFTEÅ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33617-2024</t>
        </is>
      </c>
      <c r="B3059" s="1" t="n">
        <v>45520</v>
      </c>
      <c r="C3059" s="1" t="n">
        <v>45637</v>
      </c>
      <c r="D3059" t="inlineStr">
        <is>
          <t>VÄSTERNORRLANDS LÄN</t>
        </is>
      </c>
      <c r="E3059" t="inlineStr">
        <is>
          <t>SOLLEFTEÅ</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33628-2024</t>
        </is>
      </c>
      <c r="B3060" s="1" t="n">
        <v>45520</v>
      </c>
      <c r="C3060" s="1" t="n">
        <v>45637</v>
      </c>
      <c r="D3060" t="inlineStr">
        <is>
          <t>VÄSTERNORRLANDS LÄN</t>
        </is>
      </c>
      <c r="E3060" t="inlineStr">
        <is>
          <t>SOLLEFTEÅ</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33677-2024</t>
        </is>
      </c>
      <c r="B3061" s="1" t="n">
        <v>45520</v>
      </c>
      <c r="C3061" s="1" t="n">
        <v>45637</v>
      </c>
      <c r="D3061" t="inlineStr">
        <is>
          <t>VÄSTERNORRLANDS LÄN</t>
        </is>
      </c>
      <c r="E3061" t="inlineStr">
        <is>
          <t>SOLLEFTEÅ</t>
        </is>
      </c>
      <c r="F3061" t="inlineStr">
        <is>
          <t>Holmen skog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33739-2024</t>
        </is>
      </c>
      <c r="B3062" s="1" t="n">
        <v>45520</v>
      </c>
      <c r="C3062" s="1" t="n">
        <v>45637</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33656-2024</t>
        </is>
      </c>
      <c r="B3063" s="1" t="n">
        <v>45520</v>
      </c>
      <c r="C3063" s="1" t="n">
        <v>45637</v>
      </c>
      <c r="D3063" t="inlineStr">
        <is>
          <t>VÄSTERNORRLANDS LÄN</t>
        </is>
      </c>
      <c r="E3063" t="inlineStr">
        <is>
          <t>SOLLEFTEÅ</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33799-2024</t>
        </is>
      </c>
      <c r="B3064" s="1" t="n">
        <v>45520</v>
      </c>
      <c r="C3064" s="1" t="n">
        <v>45637</v>
      </c>
      <c r="D3064" t="inlineStr">
        <is>
          <t>VÄSTERNORRLANDS LÄN</t>
        </is>
      </c>
      <c r="E3064" t="inlineStr">
        <is>
          <t>SOLLEFTEÅ</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33815-2024</t>
        </is>
      </c>
      <c r="B3065" s="1" t="n">
        <v>45520</v>
      </c>
      <c r="C3065" s="1" t="n">
        <v>45637</v>
      </c>
      <c r="D3065" t="inlineStr">
        <is>
          <t>VÄSTERNORRLANDS LÄN</t>
        </is>
      </c>
      <c r="E3065" t="inlineStr">
        <is>
          <t>SOLLEFTEÅ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34318-2024</t>
        </is>
      </c>
      <c r="B3066" s="1" t="n">
        <v>45524</v>
      </c>
      <c r="C3066" s="1" t="n">
        <v>45637</v>
      </c>
      <c r="D3066" t="inlineStr">
        <is>
          <t>VÄSTERNORRLANDS LÄN</t>
        </is>
      </c>
      <c r="E3066" t="inlineStr">
        <is>
          <t>SOLLEFTEÅ</t>
        </is>
      </c>
      <c r="F3066" t="inlineStr">
        <is>
          <t>Övriga statliga verk och myndigheter</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34216-2024</t>
        </is>
      </c>
      <c r="B3067" s="1" t="n">
        <v>45524</v>
      </c>
      <c r="C3067" s="1" t="n">
        <v>45637</v>
      </c>
      <c r="D3067" t="inlineStr">
        <is>
          <t>VÄSTERNORRLANDS LÄN</t>
        </is>
      </c>
      <c r="E3067" t="inlineStr">
        <is>
          <t>SOLLEFTEÅ</t>
        </is>
      </c>
      <c r="F3067" t="inlineStr">
        <is>
          <t>Kommuner</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34313-2024</t>
        </is>
      </c>
      <c r="B3068" s="1" t="n">
        <v>45524</v>
      </c>
      <c r="C3068" s="1" t="n">
        <v>45637</v>
      </c>
      <c r="D3068" t="inlineStr">
        <is>
          <t>VÄSTERNORRLANDS LÄN</t>
        </is>
      </c>
      <c r="E3068" t="inlineStr">
        <is>
          <t>SOLLEFTEÅ</t>
        </is>
      </c>
      <c r="F3068" t="inlineStr">
        <is>
          <t>Övriga statliga verk och myndigheter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34316-2024</t>
        </is>
      </c>
      <c r="B3069" s="1" t="n">
        <v>45524</v>
      </c>
      <c r="C3069" s="1" t="n">
        <v>45637</v>
      </c>
      <c r="D3069" t="inlineStr">
        <is>
          <t>VÄSTERNORRLANDS LÄN</t>
        </is>
      </c>
      <c r="E3069" t="inlineStr">
        <is>
          <t>SOLLEFTEÅ</t>
        </is>
      </c>
      <c r="F3069" t="inlineStr">
        <is>
          <t>Övriga statliga verk och myndigheter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34398-2024</t>
        </is>
      </c>
      <c r="B3070" s="1" t="n">
        <v>45525</v>
      </c>
      <c r="C3070" s="1" t="n">
        <v>45637</v>
      </c>
      <c r="D3070" t="inlineStr">
        <is>
          <t>VÄSTERNORRLANDS LÄN</t>
        </is>
      </c>
      <c r="E3070" t="inlineStr">
        <is>
          <t>SOLLEFTEÅ</t>
        </is>
      </c>
      <c r="F3070" t="inlineStr">
        <is>
          <t>Holmen skog AB</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34458-2024</t>
        </is>
      </c>
      <c r="B3071" s="1" t="n">
        <v>45525</v>
      </c>
      <c r="C3071" s="1" t="n">
        <v>45637</v>
      </c>
      <c r="D3071" t="inlineStr">
        <is>
          <t>VÄSTERNORRLANDS LÄN</t>
        </is>
      </c>
      <c r="E3071" t="inlineStr">
        <is>
          <t>SOLLEFTEÅ</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34388-2024</t>
        </is>
      </c>
      <c r="B3072" s="1" t="n">
        <v>45525</v>
      </c>
      <c r="C3072" s="1" t="n">
        <v>45637</v>
      </c>
      <c r="D3072" t="inlineStr">
        <is>
          <t>VÄSTERNORRLANDS LÄN</t>
        </is>
      </c>
      <c r="E3072" t="inlineStr">
        <is>
          <t>SOLLEFTEÅ</t>
        </is>
      </c>
      <c r="F3072" t="inlineStr">
        <is>
          <t>SCA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34376-2024</t>
        </is>
      </c>
      <c r="B3073" s="1" t="n">
        <v>45525</v>
      </c>
      <c r="C3073" s="1" t="n">
        <v>45637</v>
      </c>
      <c r="D3073" t="inlineStr">
        <is>
          <t>VÄSTERNORRLANDS LÄN</t>
        </is>
      </c>
      <c r="E3073" t="inlineStr">
        <is>
          <t>SOLLEFTEÅ</t>
        </is>
      </c>
      <c r="F3073" t="inlineStr">
        <is>
          <t>Övriga statliga verk och myndigheter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34460-2024</t>
        </is>
      </c>
      <c r="B3074" s="1" t="n">
        <v>45525</v>
      </c>
      <c r="C3074" s="1" t="n">
        <v>45637</v>
      </c>
      <c r="D3074" t="inlineStr">
        <is>
          <t>VÄSTERNORRLANDS LÄN</t>
        </is>
      </c>
      <c r="E3074" t="inlineStr">
        <is>
          <t>SOLLEFTEÅ</t>
        </is>
      </c>
      <c r="F3074" t="inlineStr">
        <is>
          <t>Kommuner</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34640-2024</t>
        </is>
      </c>
      <c r="B3075" s="1" t="n">
        <v>45526</v>
      </c>
      <c r="C3075" s="1" t="n">
        <v>45637</v>
      </c>
      <c r="D3075" t="inlineStr">
        <is>
          <t>VÄSTERNORRLANDS LÄN</t>
        </is>
      </c>
      <c r="E3075" t="inlineStr">
        <is>
          <t>SOLLEFTEÅ</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34700-2024</t>
        </is>
      </c>
      <c r="B3076" s="1" t="n">
        <v>45526</v>
      </c>
      <c r="C3076" s="1" t="n">
        <v>45637</v>
      </c>
      <c r="D3076" t="inlineStr">
        <is>
          <t>VÄSTERNORRLANDS LÄN</t>
        </is>
      </c>
      <c r="E3076" t="inlineStr">
        <is>
          <t>SOLLEFTEÅ</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34560-2024</t>
        </is>
      </c>
      <c r="B3077" s="1" t="n">
        <v>45526</v>
      </c>
      <c r="C3077" s="1" t="n">
        <v>45637</v>
      </c>
      <c r="D3077" t="inlineStr">
        <is>
          <t>VÄSTERNORRLANDS LÄN</t>
        </is>
      </c>
      <c r="E3077" t="inlineStr">
        <is>
          <t>SOLLEFTEÅ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34765-2024</t>
        </is>
      </c>
      <c r="B3078" s="1" t="n">
        <v>45526</v>
      </c>
      <c r="C3078" s="1" t="n">
        <v>45637</v>
      </c>
      <c r="D3078" t="inlineStr">
        <is>
          <t>VÄSTERNORRLANDS LÄN</t>
        </is>
      </c>
      <c r="E3078" t="inlineStr">
        <is>
          <t>SOLLEFTEÅ</t>
        </is>
      </c>
      <c r="F3078" t="inlineStr">
        <is>
          <t>SCA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34638-2024</t>
        </is>
      </c>
      <c r="B3079" s="1" t="n">
        <v>45526</v>
      </c>
      <c r="C3079" s="1" t="n">
        <v>45637</v>
      </c>
      <c r="D3079" t="inlineStr">
        <is>
          <t>VÄSTERNORRLANDS LÄN</t>
        </is>
      </c>
      <c r="E3079" t="inlineStr">
        <is>
          <t>SOLLEFTEÅ</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34878-2024</t>
        </is>
      </c>
      <c r="B3080" s="1" t="n">
        <v>45527</v>
      </c>
      <c r="C3080" s="1" t="n">
        <v>45637</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35217-2024</t>
        </is>
      </c>
      <c r="B3081" s="1" t="n">
        <v>45530</v>
      </c>
      <c r="C3081" s="1" t="n">
        <v>45637</v>
      </c>
      <c r="D3081" t="inlineStr">
        <is>
          <t>VÄSTERNORRLANDS LÄN</t>
        </is>
      </c>
      <c r="E3081" t="inlineStr">
        <is>
          <t>SOLLEFTEÅ</t>
        </is>
      </c>
      <c r="F3081" t="inlineStr">
        <is>
          <t>Kommuner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35391-2024</t>
        </is>
      </c>
      <c r="B3082" s="1" t="n">
        <v>45531</v>
      </c>
      <c r="C3082" s="1" t="n">
        <v>45637</v>
      </c>
      <c r="D3082" t="inlineStr">
        <is>
          <t>VÄSTERNORRLANDS LÄN</t>
        </is>
      </c>
      <c r="E3082" t="inlineStr">
        <is>
          <t>SOLLEFTEÅ</t>
        </is>
      </c>
      <c r="F3082" t="inlineStr">
        <is>
          <t>SCA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35417-2024</t>
        </is>
      </c>
      <c r="B3083" s="1" t="n">
        <v>45531</v>
      </c>
      <c r="C3083" s="1" t="n">
        <v>45637</v>
      </c>
      <c r="D3083" t="inlineStr">
        <is>
          <t>VÄSTERNORRLANDS LÄN</t>
        </is>
      </c>
      <c r="E3083" t="inlineStr">
        <is>
          <t>SOLLEFTEÅ</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35469-2024</t>
        </is>
      </c>
      <c r="B3084" s="1" t="n">
        <v>45531</v>
      </c>
      <c r="C3084" s="1" t="n">
        <v>45637</v>
      </c>
      <c r="D3084" t="inlineStr">
        <is>
          <t>VÄSTERNORRLANDS LÄN</t>
        </is>
      </c>
      <c r="E3084" t="inlineStr">
        <is>
          <t>SOLLEFTEÅ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35502-2024</t>
        </is>
      </c>
      <c r="B3085" s="1" t="n">
        <v>45531</v>
      </c>
      <c r="C3085" s="1" t="n">
        <v>45637</v>
      </c>
      <c r="D3085" t="inlineStr">
        <is>
          <t>VÄSTERNORRLANDS LÄN</t>
        </is>
      </c>
      <c r="E3085" t="inlineStr">
        <is>
          <t>SOLLEFTEÅ</t>
        </is>
      </c>
      <c r="F3085" t="inlineStr">
        <is>
          <t>Övriga Aktiebolag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35420-2024</t>
        </is>
      </c>
      <c r="B3086" s="1" t="n">
        <v>45531</v>
      </c>
      <c r="C3086" s="1" t="n">
        <v>45637</v>
      </c>
      <c r="D3086" t="inlineStr">
        <is>
          <t>VÄSTERNORRLANDS LÄN</t>
        </is>
      </c>
      <c r="E3086" t="inlineStr">
        <is>
          <t>SOLLEFTEÅ</t>
        </is>
      </c>
      <c r="F3086" t="inlineStr">
        <is>
          <t>SCA</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35509-2024</t>
        </is>
      </c>
      <c r="B3087" s="1" t="n">
        <v>45531</v>
      </c>
      <c r="C3087" s="1" t="n">
        <v>45637</v>
      </c>
      <c r="D3087" t="inlineStr">
        <is>
          <t>VÄSTERNORRLANDS LÄN</t>
        </is>
      </c>
      <c r="E3087" t="inlineStr">
        <is>
          <t>SOLLEFTEÅ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35513-2024</t>
        </is>
      </c>
      <c r="B3088" s="1" t="n">
        <v>45531</v>
      </c>
      <c r="C3088" s="1" t="n">
        <v>45637</v>
      </c>
      <c r="D3088" t="inlineStr">
        <is>
          <t>VÄSTERNORRLANDS LÄN</t>
        </is>
      </c>
      <c r="E3088" t="inlineStr">
        <is>
          <t>SOLLEFTEÅ</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35463-2024</t>
        </is>
      </c>
      <c r="B3089" s="1" t="n">
        <v>45531</v>
      </c>
      <c r="C3089" s="1" t="n">
        <v>45637</v>
      </c>
      <c r="D3089" t="inlineStr">
        <is>
          <t>VÄSTERNORRLANDS LÄN</t>
        </is>
      </c>
      <c r="E3089" t="inlineStr">
        <is>
          <t>SOLLEFTEÅ</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35508-2024</t>
        </is>
      </c>
      <c r="B3090" s="1" t="n">
        <v>45531</v>
      </c>
      <c r="C3090" s="1" t="n">
        <v>45637</v>
      </c>
      <c r="D3090" t="inlineStr">
        <is>
          <t>VÄSTERNORRLANDS LÄN</t>
        </is>
      </c>
      <c r="E3090" t="inlineStr">
        <is>
          <t>SOLLEFTEÅ</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35673-2024</t>
        </is>
      </c>
      <c r="B3091" s="1" t="n">
        <v>45532</v>
      </c>
      <c r="C3091" s="1" t="n">
        <v>45637</v>
      </c>
      <c r="D3091" t="inlineStr">
        <is>
          <t>VÄSTERNORRLANDS LÄN</t>
        </is>
      </c>
      <c r="E3091" t="inlineStr">
        <is>
          <t>SOLLEFTEÅ</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35794-2024</t>
        </is>
      </c>
      <c r="B3092" s="1" t="n">
        <v>45532</v>
      </c>
      <c r="C3092" s="1" t="n">
        <v>45637</v>
      </c>
      <c r="D3092" t="inlineStr">
        <is>
          <t>VÄSTERNORRLANDS LÄN</t>
        </is>
      </c>
      <c r="E3092" t="inlineStr">
        <is>
          <t>SOLLEFTEÅ</t>
        </is>
      </c>
      <c r="F3092" t="inlineStr">
        <is>
          <t>SCA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35795-2024</t>
        </is>
      </c>
      <c r="B3093" s="1" t="n">
        <v>45532</v>
      </c>
      <c r="C3093" s="1" t="n">
        <v>45637</v>
      </c>
      <c r="D3093" t="inlineStr">
        <is>
          <t>VÄSTERNORRLANDS LÄN</t>
        </is>
      </c>
      <c r="E3093" t="inlineStr">
        <is>
          <t>SOLLEFTEÅ</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35803-2024</t>
        </is>
      </c>
      <c r="B3094" s="1" t="n">
        <v>45532</v>
      </c>
      <c r="C3094" s="1" t="n">
        <v>45637</v>
      </c>
      <c r="D3094" t="inlineStr">
        <is>
          <t>VÄSTERNORRLANDS LÄN</t>
        </is>
      </c>
      <c r="E3094" t="inlineStr">
        <is>
          <t>SOLLEFTEÅ</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35827-2024</t>
        </is>
      </c>
      <c r="B3095" s="1" t="n">
        <v>45532</v>
      </c>
      <c r="C3095" s="1" t="n">
        <v>45637</v>
      </c>
      <c r="D3095" t="inlineStr">
        <is>
          <t>VÄSTERNORRLANDS LÄN</t>
        </is>
      </c>
      <c r="E3095" t="inlineStr">
        <is>
          <t>SOLLEFTEÅ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35793-2024</t>
        </is>
      </c>
      <c r="B3096" s="1" t="n">
        <v>45532</v>
      </c>
      <c r="C3096" s="1" t="n">
        <v>45637</v>
      </c>
      <c r="D3096" t="inlineStr">
        <is>
          <t>VÄSTERNORRLANDS LÄN</t>
        </is>
      </c>
      <c r="E3096" t="inlineStr">
        <is>
          <t>SOLLEFTEÅ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35873-2024</t>
        </is>
      </c>
      <c r="B3097" s="1" t="n">
        <v>45533</v>
      </c>
      <c r="C3097" s="1" t="n">
        <v>45637</v>
      </c>
      <c r="D3097" t="inlineStr">
        <is>
          <t>VÄSTERNORRLANDS LÄN</t>
        </is>
      </c>
      <c r="E3097" t="inlineStr">
        <is>
          <t>SOLLEFTEÅ</t>
        </is>
      </c>
      <c r="F3097" t="inlineStr">
        <is>
          <t>SCA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35905-2024</t>
        </is>
      </c>
      <c r="B3098" s="1" t="n">
        <v>45533</v>
      </c>
      <c r="C3098" s="1" t="n">
        <v>45637</v>
      </c>
      <c r="D3098" t="inlineStr">
        <is>
          <t>VÄSTERNORRLANDS LÄN</t>
        </is>
      </c>
      <c r="E3098" t="inlineStr">
        <is>
          <t>SOLLEFTEÅ</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35872-2024</t>
        </is>
      </c>
      <c r="B3099" s="1" t="n">
        <v>45533</v>
      </c>
      <c r="C3099" s="1" t="n">
        <v>45637</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35875-2024</t>
        </is>
      </c>
      <c r="B3100" s="1" t="n">
        <v>45533</v>
      </c>
      <c r="C3100" s="1" t="n">
        <v>45637</v>
      </c>
      <c r="D3100" t="inlineStr">
        <is>
          <t>VÄSTERNORRLANDS LÄN</t>
        </is>
      </c>
      <c r="E3100" t="inlineStr">
        <is>
          <t>SOLLEFTEÅ</t>
        </is>
      </c>
      <c r="F3100" t="inlineStr">
        <is>
          <t>SCA</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36039-2024</t>
        </is>
      </c>
      <c r="B3101" s="1" t="n">
        <v>45533</v>
      </c>
      <c r="C3101" s="1" t="n">
        <v>45637</v>
      </c>
      <c r="D3101" t="inlineStr">
        <is>
          <t>VÄSTERNORRLANDS LÄN</t>
        </is>
      </c>
      <c r="E3101" t="inlineStr">
        <is>
          <t>SOLLEFTEÅ</t>
        </is>
      </c>
      <c r="F3101" t="inlineStr">
        <is>
          <t>Holmen skog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36009-2024</t>
        </is>
      </c>
      <c r="B3102" s="1" t="n">
        <v>45533</v>
      </c>
      <c r="C3102" s="1" t="n">
        <v>45637</v>
      </c>
      <c r="D3102" t="inlineStr">
        <is>
          <t>VÄSTERNORRLANDS LÄN</t>
        </is>
      </c>
      <c r="E3102" t="inlineStr">
        <is>
          <t>SOLLEFTEÅ</t>
        </is>
      </c>
      <c r="F3102" t="inlineStr">
        <is>
          <t>Holmen skog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36004-2024</t>
        </is>
      </c>
      <c r="B3103" s="1" t="n">
        <v>45533</v>
      </c>
      <c r="C3103" s="1" t="n">
        <v>45637</v>
      </c>
      <c r="D3103" t="inlineStr">
        <is>
          <t>VÄSTERNORRLANDS LÄN</t>
        </is>
      </c>
      <c r="E3103" t="inlineStr">
        <is>
          <t>SOLLEFTEÅ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36137-2024</t>
        </is>
      </c>
      <c r="B3104" s="1" t="n">
        <v>45534</v>
      </c>
      <c r="C3104" s="1" t="n">
        <v>45637</v>
      </c>
      <c r="D3104" t="inlineStr">
        <is>
          <t>VÄSTERNORRLANDS LÄN</t>
        </is>
      </c>
      <c r="E3104" t="inlineStr">
        <is>
          <t>SOLLEFTEÅ</t>
        </is>
      </c>
      <c r="G3104" t="n">
        <v>17.9</v>
      </c>
      <c r="H3104" t="n">
        <v>0</v>
      </c>
      <c r="I3104" t="n">
        <v>0</v>
      </c>
      <c r="J3104" t="n">
        <v>0</v>
      </c>
      <c r="K3104" t="n">
        <v>0</v>
      </c>
      <c r="L3104" t="n">
        <v>0</v>
      </c>
      <c r="M3104" t="n">
        <v>0</v>
      </c>
      <c r="N3104" t="n">
        <v>0</v>
      </c>
      <c r="O3104" t="n">
        <v>0</v>
      </c>
      <c r="P3104" t="n">
        <v>0</v>
      </c>
      <c r="Q3104" t="n">
        <v>0</v>
      </c>
      <c r="R3104" s="2" t="inlineStr"/>
    </row>
    <row r="3105" ht="15" customHeight="1">
      <c r="A3105" t="inlineStr">
        <is>
          <t>A 36141-2024</t>
        </is>
      </c>
      <c r="B3105" s="1" t="n">
        <v>45534</v>
      </c>
      <c r="C3105" s="1" t="n">
        <v>45637</v>
      </c>
      <c r="D3105" t="inlineStr">
        <is>
          <t>VÄSTERNORRLANDS LÄN</t>
        </is>
      </c>
      <c r="E3105" t="inlineStr">
        <is>
          <t>SOLLEFTEÅ</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36139-2024</t>
        </is>
      </c>
      <c r="B3106" s="1" t="n">
        <v>45534</v>
      </c>
      <c r="C3106" s="1" t="n">
        <v>45637</v>
      </c>
      <c r="D3106" t="inlineStr">
        <is>
          <t>VÄSTERNORRLANDS LÄN</t>
        </is>
      </c>
      <c r="E3106" t="inlineStr">
        <is>
          <t>SOLLEFTEÅ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36142-2024</t>
        </is>
      </c>
      <c r="B3107" s="1" t="n">
        <v>45534</v>
      </c>
      <c r="C3107" s="1" t="n">
        <v>45637</v>
      </c>
      <c r="D3107" t="inlineStr">
        <is>
          <t>VÄSTERNORRLANDS LÄN</t>
        </is>
      </c>
      <c r="E3107" t="inlineStr">
        <is>
          <t>SOLLEFTEÅ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36322-2024</t>
        </is>
      </c>
      <c r="B3108" s="1" t="n">
        <v>45534</v>
      </c>
      <c r="C3108" s="1" t="n">
        <v>45637</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36144-2024</t>
        </is>
      </c>
      <c r="B3109" s="1" t="n">
        <v>45534</v>
      </c>
      <c r="C3109" s="1" t="n">
        <v>45637</v>
      </c>
      <c r="D3109" t="inlineStr">
        <is>
          <t>VÄSTERNORRLANDS LÄN</t>
        </is>
      </c>
      <c r="E3109" t="inlineStr">
        <is>
          <t>SOLLEFTEÅ</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36337-2024</t>
        </is>
      </c>
      <c r="B3110" s="1" t="n">
        <v>45534</v>
      </c>
      <c r="C3110" s="1" t="n">
        <v>45637</v>
      </c>
      <c r="D3110" t="inlineStr">
        <is>
          <t>VÄSTERNORRLANDS LÄN</t>
        </is>
      </c>
      <c r="E3110" t="inlineStr">
        <is>
          <t>SOLLEFTEÅ</t>
        </is>
      </c>
      <c r="F3110" t="inlineStr">
        <is>
          <t>SCA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36341-2024</t>
        </is>
      </c>
      <c r="B3111" s="1" t="n">
        <v>45534</v>
      </c>
      <c r="C3111" s="1" t="n">
        <v>45637</v>
      </c>
      <c r="D3111" t="inlineStr">
        <is>
          <t>VÄSTERNORRLANDS LÄN</t>
        </is>
      </c>
      <c r="E3111" t="inlineStr">
        <is>
          <t>SOLLEFTEÅ</t>
        </is>
      </c>
      <c r="F3111" t="inlineStr">
        <is>
          <t>SCA</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36319-2024</t>
        </is>
      </c>
      <c r="B3112" s="1" t="n">
        <v>45534</v>
      </c>
      <c r="C3112" s="1" t="n">
        <v>45637</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36352-2024</t>
        </is>
      </c>
      <c r="B3113" s="1" t="n">
        <v>45534</v>
      </c>
      <c r="C3113" s="1" t="n">
        <v>45637</v>
      </c>
      <c r="D3113" t="inlineStr">
        <is>
          <t>VÄSTERNORRLANDS LÄN</t>
        </is>
      </c>
      <c r="E3113" t="inlineStr">
        <is>
          <t>SOLLEFTEÅ</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36463-2024</t>
        </is>
      </c>
      <c r="B3114" s="1" t="n">
        <v>45537</v>
      </c>
      <c r="C3114" s="1" t="n">
        <v>45637</v>
      </c>
      <c r="D3114" t="inlineStr">
        <is>
          <t>VÄSTERNORRLANDS LÄN</t>
        </is>
      </c>
      <c r="E3114" t="inlineStr">
        <is>
          <t>SOLLEFTEÅ</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36471-2024</t>
        </is>
      </c>
      <c r="B3115" s="1" t="n">
        <v>45537</v>
      </c>
      <c r="C3115" s="1" t="n">
        <v>45637</v>
      </c>
      <c r="D3115" t="inlineStr">
        <is>
          <t>VÄSTERNORRLANDS LÄN</t>
        </is>
      </c>
      <c r="E3115" t="inlineStr">
        <is>
          <t>SOLLEFTEÅ</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36685-2024</t>
        </is>
      </c>
      <c r="B3116" s="1" t="n">
        <v>45537</v>
      </c>
      <c r="C3116" s="1" t="n">
        <v>45637</v>
      </c>
      <c r="D3116" t="inlineStr">
        <is>
          <t>VÄSTERNORRLANDS LÄN</t>
        </is>
      </c>
      <c r="E3116" t="inlineStr">
        <is>
          <t>SOLLEFTEÅ</t>
        </is>
      </c>
      <c r="F3116" t="inlineStr">
        <is>
          <t>Holmen skog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37197-2024</t>
        </is>
      </c>
      <c r="B3117" s="1" t="n">
        <v>45539</v>
      </c>
      <c r="C3117" s="1" t="n">
        <v>45637</v>
      </c>
      <c r="D3117" t="inlineStr">
        <is>
          <t>VÄSTERNORRLANDS LÄN</t>
        </is>
      </c>
      <c r="E3117" t="inlineStr">
        <is>
          <t>SOLLEFTEÅ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37201-2024</t>
        </is>
      </c>
      <c r="B3118" s="1" t="n">
        <v>45539</v>
      </c>
      <c r="C3118" s="1" t="n">
        <v>45637</v>
      </c>
      <c r="D3118" t="inlineStr">
        <is>
          <t>VÄSTERNORRLANDS LÄN</t>
        </is>
      </c>
      <c r="E3118" t="inlineStr">
        <is>
          <t>SOLLEFTEÅ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37046-2024</t>
        </is>
      </c>
      <c r="B3119" s="1" t="n">
        <v>45539</v>
      </c>
      <c r="C3119" s="1" t="n">
        <v>45637</v>
      </c>
      <c r="D3119" t="inlineStr">
        <is>
          <t>VÄSTERNORRLANDS LÄN</t>
        </is>
      </c>
      <c r="E3119" t="inlineStr">
        <is>
          <t>SOLLEFTEÅ</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37269-2024</t>
        </is>
      </c>
      <c r="B3120" s="1" t="n">
        <v>45540</v>
      </c>
      <c r="C3120" s="1" t="n">
        <v>45637</v>
      </c>
      <c r="D3120" t="inlineStr">
        <is>
          <t>VÄSTERNORRLANDS LÄN</t>
        </is>
      </c>
      <c r="E3120" t="inlineStr">
        <is>
          <t>SOLLEFTEÅ</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37354-2024</t>
        </is>
      </c>
      <c r="B3121" s="1" t="n">
        <v>45540</v>
      </c>
      <c r="C3121" s="1" t="n">
        <v>45637</v>
      </c>
      <c r="D3121" t="inlineStr">
        <is>
          <t>VÄSTERNORRLANDS LÄN</t>
        </is>
      </c>
      <c r="E3121" t="inlineStr">
        <is>
          <t>SOLLEFTEÅ</t>
        </is>
      </c>
      <c r="F3121" t="inlineStr">
        <is>
          <t>Holmen skog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38054-2024</t>
        </is>
      </c>
      <c r="B3122" s="1" t="n">
        <v>45544</v>
      </c>
      <c r="C3122" s="1" t="n">
        <v>45637</v>
      </c>
      <c r="D3122" t="inlineStr">
        <is>
          <t>VÄSTERNORRLANDS LÄN</t>
        </is>
      </c>
      <c r="E3122" t="inlineStr">
        <is>
          <t>SOLLEFTEÅ</t>
        </is>
      </c>
      <c r="F3122" t="inlineStr">
        <is>
          <t>SCA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38053-2024</t>
        </is>
      </c>
      <c r="B3123" s="1" t="n">
        <v>45544</v>
      </c>
      <c r="C3123" s="1" t="n">
        <v>45637</v>
      </c>
      <c r="D3123" t="inlineStr">
        <is>
          <t>VÄSTERNORRLANDS LÄN</t>
        </is>
      </c>
      <c r="E3123" t="inlineStr">
        <is>
          <t>SOLLEFTEÅ</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38095-2024</t>
        </is>
      </c>
      <c r="B3124" s="1" t="n">
        <v>45545</v>
      </c>
      <c r="C3124" s="1" t="n">
        <v>45637</v>
      </c>
      <c r="D3124" t="inlineStr">
        <is>
          <t>VÄSTERNORRLANDS LÄN</t>
        </is>
      </c>
      <c r="E3124" t="inlineStr">
        <is>
          <t>SOLLEFTEÅ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38231-2024</t>
        </is>
      </c>
      <c r="B3125" s="1" t="n">
        <v>45545</v>
      </c>
      <c r="C3125" s="1" t="n">
        <v>45637</v>
      </c>
      <c r="D3125" t="inlineStr">
        <is>
          <t>VÄSTERNORRLANDS LÄN</t>
        </is>
      </c>
      <c r="E3125" t="inlineStr">
        <is>
          <t>SOLLEFTEÅ</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38245-2024</t>
        </is>
      </c>
      <c r="B3126" s="1" t="n">
        <v>45545</v>
      </c>
      <c r="C3126" s="1" t="n">
        <v>45637</v>
      </c>
      <c r="D3126" t="inlineStr">
        <is>
          <t>VÄSTERNORRLANDS LÄN</t>
        </is>
      </c>
      <c r="E3126" t="inlineStr">
        <is>
          <t>SOLLEFTEÅ</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38273-2024</t>
        </is>
      </c>
      <c r="B3127" s="1" t="n">
        <v>45545</v>
      </c>
      <c r="C3127" s="1" t="n">
        <v>45637</v>
      </c>
      <c r="D3127" t="inlineStr">
        <is>
          <t>VÄSTERNORRLANDS LÄN</t>
        </is>
      </c>
      <c r="E3127" t="inlineStr">
        <is>
          <t>SOLLEFTEÅ</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38234-2024</t>
        </is>
      </c>
      <c r="B3128" s="1" t="n">
        <v>45545</v>
      </c>
      <c r="C3128" s="1" t="n">
        <v>45637</v>
      </c>
      <c r="D3128" t="inlineStr">
        <is>
          <t>VÄSTERNORRLANDS LÄN</t>
        </is>
      </c>
      <c r="E3128" t="inlineStr">
        <is>
          <t>SOLLEFTEÅ</t>
        </is>
      </c>
      <c r="F3128" t="inlineStr">
        <is>
          <t>Holmen skog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38250-2024</t>
        </is>
      </c>
      <c r="B3129" s="1" t="n">
        <v>45545</v>
      </c>
      <c r="C3129" s="1" t="n">
        <v>45637</v>
      </c>
      <c r="D3129" t="inlineStr">
        <is>
          <t>VÄSTERNORRLANDS LÄN</t>
        </is>
      </c>
      <c r="E3129" t="inlineStr">
        <is>
          <t>SOLLEFTEÅ</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38275-2024</t>
        </is>
      </c>
      <c r="B3130" s="1" t="n">
        <v>45545</v>
      </c>
      <c r="C3130" s="1" t="n">
        <v>45637</v>
      </c>
      <c r="D3130" t="inlineStr">
        <is>
          <t>VÄSTERNORRLANDS LÄN</t>
        </is>
      </c>
      <c r="E3130" t="inlineStr">
        <is>
          <t>SOLLEFTEÅ</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38592-2024</t>
        </is>
      </c>
      <c r="B3131" s="1" t="n">
        <v>45546</v>
      </c>
      <c r="C3131" s="1" t="n">
        <v>45637</v>
      </c>
      <c r="D3131" t="inlineStr">
        <is>
          <t>VÄSTERNORRLANDS LÄN</t>
        </is>
      </c>
      <c r="E3131" t="inlineStr">
        <is>
          <t>SOLLEFTEÅ</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41170-2024</t>
        </is>
      </c>
      <c r="B3132" s="1" t="n">
        <v>45546</v>
      </c>
      <c r="C3132" s="1" t="n">
        <v>45637</v>
      </c>
      <c r="D3132" t="inlineStr">
        <is>
          <t>VÄSTERNORRLANDS LÄN</t>
        </is>
      </c>
      <c r="E3132" t="inlineStr">
        <is>
          <t>SOLLEFTEÅ</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38749-2024</t>
        </is>
      </c>
      <c r="B3133" s="1" t="n">
        <v>45547</v>
      </c>
      <c r="C3133" s="1" t="n">
        <v>45637</v>
      </c>
      <c r="D3133" t="inlineStr">
        <is>
          <t>VÄSTERNORRLANDS LÄN</t>
        </is>
      </c>
      <c r="E3133" t="inlineStr">
        <is>
          <t>SOLLEFTEÅ</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38768-2024</t>
        </is>
      </c>
      <c r="B3134" s="1" t="n">
        <v>45547</v>
      </c>
      <c r="C3134" s="1" t="n">
        <v>45637</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38769-2024</t>
        </is>
      </c>
      <c r="B3135" s="1" t="n">
        <v>45547</v>
      </c>
      <c r="C3135" s="1" t="n">
        <v>45637</v>
      </c>
      <c r="D3135" t="inlineStr">
        <is>
          <t>VÄSTERNORRLANDS LÄN</t>
        </is>
      </c>
      <c r="E3135" t="inlineStr">
        <is>
          <t>SOLLEFTEÅ</t>
        </is>
      </c>
      <c r="F3135" t="inlineStr">
        <is>
          <t>SCA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38766-2024</t>
        </is>
      </c>
      <c r="B3136" s="1" t="n">
        <v>45547</v>
      </c>
      <c r="C3136" s="1" t="n">
        <v>45637</v>
      </c>
      <c r="D3136" t="inlineStr">
        <is>
          <t>VÄSTERNORRLANDS LÄN</t>
        </is>
      </c>
      <c r="E3136" t="inlineStr">
        <is>
          <t>SOLLEFTEÅ</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38767-2024</t>
        </is>
      </c>
      <c r="B3137" s="1" t="n">
        <v>45547</v>
      </c>
      <c r="C3137" s="1" t="n">
        <v>45637</v>
      </c>
      <c r="D3137" t="inlineStr">
        <is>
          <t>VÄSTERNORRLANDS LÄN</t>
        </is>
      </c>
      <c r="E3137" t="inlineStr">
        <is>
          <t>SOLLEFTEÅ</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39142-2024</t>
        </is>
      </c>
      <c r="B3138" s="1" t="n">
        <v>45548</v>
      </c>
      <c r="C3138" s="1" t="n">
        <v>45637</v>
      </c>
      <c r="D3138" t="inlineStr">
        <is>
          <t>VÄSTERNORRLANDS LÄN</t>
        </is>
      </c>
      <c r="E3138" t="inlineStr">
        <is>
          <t>SOLLEFTEÅ</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39177-2024</t>
        </is>
      </c>
      <c r="B3139" s="1" t="n">
        <v>45548</v>
      </c>
      <c r="C3139" s="1" t="n">
        <v>45637</v>
      </c>
      <c r="D3139" t="inlineStr">
        <is>
          <t>VÄSTERNORRLANDS LÄN</t>
        </is>
      </c>
      <c r="E3139" t="inlineStr">
        <is>
          <t>SOLLEFTEÅ</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39271-2024</t>
        </is>
      </c>
      <c r="B3140" s="1" t="n">
        <v>45551</v>
      </c>
      <c r="C3140" s="1" t="n">
        <v>45637</v>
      </c>
      <c r="D3140" t="inlineStr">
        <is>
          <t>VÄSTERNORRLANDS LÄN</t>
        </is>
      </c>
      <c r="E3140" t="inlineStr">
        <is>
          <t>SOLLEFTEÅ</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39429-2024</t>
        </is>
      </c>
      <c r="B3141" s="1" t="n">
        <v>45551</v>
      </c>
      <c r="C3141" s="1" t="n">
        <v>45637</v>
      </c>
      <c r="D3141" t="inlineStr">
        <is>
          <t>VÄSTERNORRLANDS LÄN</t>
        </is>
      </c>
      <c r="E3141" t="inlineStr">
        <is>
          <t>SOLLEFTEÅ</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39449-2024</t>
        </is>
      </c>
      <c r="B3142" s="1" t="n">
        <v>45551</v>
      </c>
      <c r="C3142" s="1" t="n">
        <v>45637</v>
      </c>
      <c r="D3142" t="inlineStr">
        <is>
          <t>VÄSTERNORRLANDS LÄN</t>
        </is>
      </c>
      <c r="E3142" t="inlineStr">
        <is>
          <t>SOLLEFTEÅ</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39469-2024</t>
        </is>
      </c>
      <c r="B3143" s="1" t="n">
        <v>45551</v>
      </c>
      <c r="C3143" s="1" t="n">
        <v>45637</v>
      </c>
      <c r="D3143" t="inlineStr">
        <is>
          <t>VÄSTERNORRLANDS LÄN</t>
        </is>
      </c>
      <c r="E3143" t="inlineStr">
        <is>
          <t>SOLLEFTEÅ</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39446-2024</t>
        </is>
      </c>
      <c r="B3144" s="1" t="n">
        <v>45551</v>
      </c>
      <c r="C3144" s="1" t="n">
        <v>45637</v>
      </c>
      <c r="D3144" t="inlineStr">
        <is>
          <t>VÄSTERNORRLANDS LÄN</t>
        </is>
      </c>
      <c r="E3144" t="inlineStr">
        <is>
          <t>SOLLEFTEÅ</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39500-2024</t>
        </is>
      </c>
      <c r="B3145" s="1" t="n">
        <v>45551</v>
      </c>
      <c r="C3145" s="1" t="n">
        <v>45637</v>
      </c>
      <c r="D3145" t="inlineStr">
        <is>
          <t>VÄSTERNORRLANDS LÄN</t>
        </is>
      </c>
      <c r="E3145" t="inlineStr">
        <is>
          <t>SOLLEFTEÅ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39755-2024</t>
        </is>
      </c>
      <c r="B3146" s="1" t="n">
        <v>45552</v>
      </c>
      <c r="C3146" s="1" t="n">
        <v>45637</v>
      </c>
      <c r="D3146" t="inlineStr">
        <is>
          <t>VÄSTERNORRLANDS LÄN</t>
        </is>
      </c>
      <c r="E3146" t="inlineStr">
        <is>
          <t>SOLLEFTEÅ</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39744-2024</t>
        </is>
      </c>
      <c r="B3147" s="1" t="n">
        <v>45552</v>
      </c>
      <c r="C3147" s="1" t="n">
        <v>45637</v>
      </c>
      <c r="D3147" t="inlineStr">
        <is>
          <t>VÄSTERNORRLANDS LÄN</t>
        </is>
      </c>
      <c r="E3147" t="inlineStr">
        <is>
          <t>SOLLEFTEÅ</t>
        </is>
      </c>
      <c r="F3147" t="inlineStr">
        <is>
          <t>SCA</t>
        </is>
      </c>
      <c r="G3147" t="n">
        <v>13.6</v>
      </c>
      <c r="H3147" t="n">
        <v>0</v>
      </c>
      <c r="I3147" t="n">
        <v>0</v>
      </c>
      <c r="J3147" t="n">
        <v>0</v>
      </c>
      <c r="K3147" t="n">
        <v>0</v>
      </c>
      <c r="L3147" t="n">
        <v>0</v>
      </c>
      <c r="M3147" t="n">
        <v>0</v>
      </c>
      <c r="N3147" t="n">
        <v>0</v>
      </c>
      <c r="O3147" t="n">
        <v>0</v>
      </c>
      <c r="P3147" t="n">
        <v>0</v>
      </c>
      <c r="Q3147" t="n">
        <v>0</v>
      </c>
      <c r="R3147" s="2" t="inlineStr"/>
    </row>
    <row r="3148" ht="15" customHeight="1">
      <c r="A3148" t="inlineStr">
        <is>
          <t>A 39801-2024</t>
        </is>
      </c>
      <c r="B3148" s="1" t="n">
        <v>45553</v>
      </c>
      <c r="C3148" s="1" t="n">
        <v>45637</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39799-2024</t>
        </is>
      </c>
      <c r="B3149" s="1" t="n">
        <v>45553</v>
      </c>
      <c r="C3149" s="1" t="n">
        <v>45637</v>
      </c>
      <c r="D3149" t="inlineStr">
        <is>
          <t>VÄSTERNORRLANDS LÄN</t>
        </is>
      </c>
      <c r="E3149" t="inlineStr">
        <is>
          <t>SOLLEFTEÅ</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39802-2024</t>
        </is>
      </c>
      <c r="B3150" s="1" t="n">
        <v>45553</v>
      </c>
      <c r="C3150" s="1" t="n">
        <v>45637</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39995-2024</t>
        </is>
      </c>
      <c r="B3151" s="1" t="n">
        <v>45553</v>
      </c>
      <c r="C3151" s="1" t="n">
        <v>45637</v>
      </c>
      <c r="D3151" t="inlineStr">
        <is>
          <t>VÄSTERNORRLANDS LÄN</t>
        </is>
      </c>
      <c r="E3151" t="inlineStr">
        <is>
          <t>SOLLEFTEÅ</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40028-2024</t>
        </is>
      </c>
      <c r="B3152" s="1" t="n">
        <v>45553</v>
      </c>
      <c r="C3152" s="1" t="n">
        <v>45637</v>
      </c>
      <c r="D3152" t="inlineStr">
        <is>
          <t>VÄSTERNORRLANDS LÄN</t>
        </is>
      </c>
      <c r="E3152" t="inlineStr">
        <is>
          <t>SOLLEFTEÅ</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40086-2024</t>
        </is>
      </c>
      <c r="B3153" s="1" t="n">
        <v>45554</v>
      </c>
      <c r="C3153" s="1" t="n">
        <v>45637</v>
      </c>
      <c r="D3153" t="inlineStr">
        <is>
          <t>VÄSTERNORRLANDS LÄN</t>
        </is>
      </c>
      <c r="E3153" t="inlineStr">
        <is>
          <t>SOLLEFTEÅ</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40211-2024</t>
        </is>
      </c>
      <c r="B3154" s="1" t="n">
        <v>45554</v>
      </c>
      <c r="C3154" s="1" t="n">
        <v>45637</v>
      </c>
      <c r="D3154" t="inlineStr">
        <is>
          <t>VÄSTERNORRLANDS LÄN</t>
        </is>
      </c>
      <c r="E3154" t="inlineStr">
        <is>
          <t>SOLLEFTEÅ</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40241-2024</t>
        </is>
      </c>
      <c r="B3155" s="1" t="n">
        <v>45554</v>
      </c>
      <c r="C3155" s="1" t="n">
        <v>45637</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40258-2024</t>
        </is>
      </c>
      <c r="B3156" s="1" t="n">
        <v>45554</v>
      </c>
      <c r="C3156" s="1" t="n">
        <v>45637</v>
      </c>
      <c r="D3156" t="inlineStr">
        <is>
          <t>VÄSTERNORRLANDS LÄN</t>
        </is>
      </c>
      <c r="E3156" t="inlineStr">
        <is>
          <t>SOLLEFTEÅ</t>
        </is>
      </c>
      <c r="F3156" t="inlineStr">
        <is>
          <t>SCA</t>
        </is>
      </c>
      <c r="G3156" t="n">
        <v>15.1</v>
      </c>
      <c r="H3156" t="n">
        <v>0</v>
      </c>
      <c r="I3156" t="n">
        <v>0</v>
      </c>
      <c r="J3156" t="n">
        <v>0</v>
      </c>
      <c r="K3156" t="n">
        <v>0</v>
      </c>
      <c r="L3156" t="n">
        <v>0</v>
      </c>
      <c r="M3156" t="n">
        <v>0</v>
      </c>
      <c r="N3156" t="n">
        <v>0</v>
      </c>
      <c r="O3156" t="n">
        <v>0</v>
      </c>
      <c r="P3156" t="n">
        <v>0</v>
      </c>
      <c r="Q3156" t="n">
        <v>0</v>
      </c>
      <c r="R3156" s="2" t="inlineStr"/>
    </row>
    <row r="3157" ht="15" customHeight="1">
      <c r="A3157" t="inlineStr">
        <is>
          <t>A 40356-2024</t>
        </is>
      </c>
      <c r="B3157" s="1" t="n">
        <v>45555</v>
      </c>
      <c r="C3157" s="1" t="n">
        <v>45637</v>
      </c>
      <c r="D3157" t="inlineStr">
        <is>
          <t>VÄSTERNORRLANDS LÄN</t>
        </is>
      </c>
      <c r="E3157" t="inlineStr">
        <is>
          <t>SOLLEFTEÅ</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40355-2024</t>
        </is>
      </c>
      <c r="B3158" s="1" t="n">
        <v>45555</v>
      </c>
      <c r="C3158" s="1" t="n">
        <v>45637</v>
      </c>
      <c r="D3158" t="inlineStr">
        <is>
          <t>VÄSTERNORRLANDS LÄN</t>
        </is>
      </c>
      <c r="E3158" t="inlineStr">
        <is>
          <t>SOLLEFTEÅ</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40354-2024</t>
        </is>
      </c>
      <c r="B3159" s="1" t="n">
        <v>45555</v>
      </c>
      <c r="C3159" s="1" t="n">
        <v>45637</v>
      </c>
      <c r="D3159" t="inlineStr">
        <is>
          <t>VÄSTERNORRLANDS LÄN</t>
        </is>
      </c>
      <c r="E3159" t="inlineStr">
        <is>
          <t>SOLLEFTEÅ</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40413-2024</t>
        </is>
      </c>
      <c r="B3160" s="1" t="n">
        <v>45555</v>
      </c>
      <c r="C3160" s="1" t="n">
        <v>45637</v>
      </c>
      <c r="D3160" t="inlineStr">
        <is>
          <t>VÄSTERNORRLANDS LÄN</t>
        </is>
      </c>
      <c r="E3160" t="inlineStr">
        <is>
          <t>SOLLEFTEÅ</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40383-2024</t>
        </is>
      </c>
      <c r="B3161" s="1" t="n">
        <v>45555</v>
      </c>
      <c r="C3161" s="1" t="n">
        <v>45637</v>
      </c>
      <c r="D3161" t="inlineStr">
        <is>
          <t>VÄSTERNORRLANDS LÄN</t>
        </is>
      </c>
      <c r="E3161" t="inlineStr">
        <is>
          <t>SOLLEFTEÅ</t>
        </is>
      </c>
      <c r="F3161" t="inlineStr">
        <is>
          <t>SCA</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40403-2024</t>
        </is>
      </c>
      <c r="B3162" s="1" t="n">
        <v>45555</v>
      </c>
      <c r="C3162" s="1" t="n">
        <v>45637</v>
      </c>
      <c r="D3162" t="inlineStr">
        <is>
          <t>VÄSTERNORRLANDS LÄN</t>
        </is>
      </c>
      <c r="E3162" t="inlineStr">
        <is>
          <t>SOLLEFTEÅ</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40429-2024</t>
        </is>
      </c>
      <c r="B3163" s="1" t="n">
        <v>45555</v>
      </c>
      <c r="C3163" s="1" t="n">
        <v>45637</v>
      </c>
      <c r="D3163" t="inlineStr">
        <is>
          <t>VÄSTERNORRLANDS LÄN</t>
        </is>
      </c>
      <c r="E3163" t="inlineStr">
        <is>
          <t>SOLLEFTEÅ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40569-2024</t>
        </is>
      </c>
      <c r="B3164" s="1" t="n">
        <v>45555</v>
      </c>
      <c r="C3164" s="1" t="n">
        <v>45637</v>
      </c>
      <c r="D3164" t="inlineStr">
        <is>
          <t>VÄSTERNORRLANDS LÄN</t>
        </is>
      </c>
      <c r="E3164" t="inlineStr">
        <is>
          <t>SOLLEFTEÅ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40570-2024</t>
        </is>
      </c>
      <c r="B3165" s="1" t="n">
        <v>45555</v>
      </c>
      <c r="C3165" s="1" t="n">
        <v>45637</v>
      </c>
      <c r="D3165" t="inlineStr">
        <is>
          <t>VÄSTERNORRLANDS LÄN</t>
        </is>
      </c>
      <c r="E3165" t="inlineStr">
        <is>
          <t>SOLLEFTEÅ</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40353-2024</t>
        </is>
      </c>
      <c r="B3166" s="1" t="n">
        <v>45555</v>
      </c>
      <c r="C3166" s="1" t="n">
        <v>45637</v>
      </c>
      <c r="D3166" t="inlineStr">
        <is>
          <t>VÄSTERNORRLANDS LÄN</t>
        </is>
      </c>
      <c r="E3166" t="inlineStr">
        <is>
          <t>SOLLEFTEÅ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40571-2024</t>
        </is>
      </c>
      <c r="B3167" s="1" t="n">
        <v>45555</v>
      </c>
      <c r="C3167" s="1" t="n">
        <v>45637</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40575-2024</t>
        </is>
      </c>
      <c r="B3168" s="1" t="n">
        <v>45555</v>
      </c>
      <c r="C3168" s="1" t="n">
        <v>45637</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40817-2024</t>
        </is>
      </c>
      <c r="B3169" s="1" t="n">
        <v>45558</v>
      </c>
      <c r="C3169" s="1" t="n">
        <v>45637</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40655-2024</t>
        </is>
      </c>
      <c r="B3170" s="1" t="n">
        <v>45558</v>
      </c>
      <c r="C3170" s="1" t="n">
        <v>45637</v>
      </c>
      <c r="D3170" t="inlineStr">
        <is>
          <t>VÄSTERNORRLANDS LÄN</t>
        </is>
      </c>
      <c r="E3170" t="inlineStr">
        <is>
          <t>SOLLEFTEÅ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40679-2024</t>
        </is>
      </c>
      <c r="B3171" s="1" t="n">
        <v>45558</v>
      </c>
      <c r="C3171" s="1" t="n">
        <v>45637</v>
      </c>
      <c r="D3171" t="inlineStr">
        <is>
          <t>VÄSTERNORRLANDS LÄN</t>
        </is>
      </c>
      <c r="E3171" t="inlineStr">
        <is>
          <t>SOLLEFTEÅ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40954-2024</t>
        </is>
      </c>
      <c r="B3172" s="1" t="n">
        <v>45558</v>
      </c>
      <c r="C3172" s="1" t="n">
        <v>45637</v>
      </c>
      <c r="D3172" t="inlineStr">
        <is>
          <t>VÄSTERNORRLANDS LÄN</t>
        </is>
      </c>
      <c r="E3172" t="inlineStr">
        <is>
          <t>SOLLEFTEÅ</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40921-2024</t>
        </is>
      </c>
      <c r="B3173" s="1" t="n">
        <v>45558</v>
      </c>
      <c r="C3173" s="1" t="n">
        <v>45637</v>
      </c>
      <c r="D3173" t="inlineStr">
        <is>
          <t>VÄSTERNORRLANDS LÄN</t>
        </is>
      </c>
      <c r="E3173" t="inlineStr">
        <is>
          <t>SOLLEFTEÅ</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40819-2024</t>
        </is>
      </c>
      <c r="B3174" s="1" t="n">
        <v>45558</v>
      </c>
      <c r="C3174" s="1" t="n">
        <v>45637</v>
      </c>
      <c r="D3174" t="inlineStr">
        <is>
          <t>VÄSTERNORRLANDS LÄN</t>
        </is>
      </c>
      <c r="E3174" t="inlineStr">
        <is>
          <t>SOLLEFTEÅ</t>
        </is>
      </c>
      <c r="F3174" t="inlineStr">
        <is>
          <t>SCA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40859-2024</t>
        </is>
      </c>
      <c r="B3175" s="1" t="n">
        <v>45558</v>
      </c>
      <c r="C3175" s="1" t="n">
        <v>45637</v>
      </c>
      <c r="D3175" t="inlineStr">
        <is>
          <t>VÄSTERNORRLANDS LÄN</t>
        </is>
      </c>
      <c r="E3175" t="inlineStr">
        <is>
          <t>SOLLEFTEÅ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41041-2024</t>
        </is>
      </c>
      <c r="B3176" s="1" t="n">
        <v>45558</v>
      </c>
      <c r="C3176" s="1" t="n">
        <v>45637</v>
      </c>
      <c r="D3176" t="inlineStr">
        <is>
          <t>VÄSTERNORRLANDS LÄN</t>
        </is>
      </c>
      <c r="E3176" t="inlineStr">
        <is>
          <t>SOLLEFTEÅ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41028-2024</t>
        </is>
      </c>
      <c r="B3177" s="1" t="n">
        <v>45559</v>
      </c>
      <c r="C3177" s="1" t="n">
        <v>45637</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41026-2024</t>
        </is>
      </c>
      <c r="B3178" s="1" t="n">
        <v>45559</v>
      </c>
      <c r="C3178" s="1" t="n">
        <v>45637</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41042-2024</t>
        </is>
      </c>
      <c r="B3179" s="1" t="n">
        <v>45559</v>
      </c>
      <c r="C3179" s="1" t="n">
        <v>45637</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41262-2024</t>
        </is>
      </c>
      <c r="B3180" s="1" t="n">
        <v>45559</v>
      </c>
      <c r="C3180" s="1" t="n">
        <v>45637</v>
      </c>
      <c r="D3180" t="inlineStr">
        <is>
          <t>VÄSTERNORRLANDS LÄN</t>
        </is>
      </c>
      <c r="E3180" t="inlineStr">
        <is>
          <t>SOLLEFTEÅ</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41532-2024</t>
        </is>
      </c>
      <c r="B3181" s="1" t="n">
        <v>45560</v>
      </c>
      <c r="C3181" s="1" t="n">
        <v>45637</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41434-2024</t>
        </is>
      </c>
      <c r="B3182" s="1" t="n">
        <v>45560</v>
      </c>
      <c r="C3182" s="1" t="n">
        <v>45637</v>
      </c>
      <c r="D3182" t="inlineStr">
        <is>
          <t>VÄSTERNORRLANDS LÄN</t>
        </is>
      </c>
      <c r="E3182" t="inlineStr">
        <is>
          <t>SOLLEFTEÅ</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41420-2024</t>
        </is>
      </c>
      <c r="B3183" s="1" t="n">
        <v>45560</v>
      </c>
      <c r="C3183" s="1" t="n">
        <v>45637</v>
      </c>
      <c r="D3183" t="inlineStr">
        <is>
          <t>VÄSTERNORRLANDS LÄN</t>
        </is>
      </c>
      <c r="E3183" t="inlineStr">
        <is>
          <t>SOLLEFTEÅ</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41413-2024</t>
        </is>
      </c>
      <c r="B3184" s="1" t="n">
        <v>45560</v>
      </c>
      <c r="C3184" s="1" t="n">
        <v>45637</v>
      </c>
      <c r="D3184" t="inlineStr">
        <is>
          <t>VÄSTERNORRLANDS LÄN</t>
        </is>
      </c>
      <c r="E3184" t="inlineStr">
        <is>
          <t>SOLLEFTEÅ</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41595-2024</t>
        </is>
      </c>
      <c r="B3185" s="1" t="n">
        <v>45560</v>
      </c>
      <c r="C3185" s="1" t="n">
        <v>45637</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41787-2024</t>
        </is>
      </c>
      <c r="B3186" s="1" t="n">
        <v>45561</v>
      </c>
      <c r="C3186" s="1" t="n">
        <v>45637</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41904-2024</t>
        </is>
      </c>
      <c r="B3187" s="1" t="n">
        <v>45561</v>
      </c>
      <c r="C3187" s="1" t="n">
        <v>45637</v>
      </c>
      <c r="D3187" t="inlineStr">
        <is>
          <t>VÄSTERNORRLANDS LÄN</t>
        </is>
      </c>
      <c r="E3187" t="inlineStr">
        <is>
          <t>SOLLEFTEÅ</t>
        </is>
      </c>
      <c r="F3187" t="inlineStr">
        <is>
          <t>SCA</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41925-2024</t>
        </is>
      </c>
      <c r="B3188" s="1" t="n">
        <v>45561</v>
      </c>
      <c r="C3188" s="1" t="n">
        <v>45637</v>
      </c>
      <c r="D3188" t="inlineStr">
        <is>
          <t>VÄSTERNORRLANDS LÄN</t>
        </is>
      </c>
      <c r="E3188" t="inlineStr">
        <is>
          <t>SOLLEFTEÅ</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41779-2024</t>
        </is>
      </c>
      <c r="B3189" s="1" t="n">
        <v>45561</v>
      </c>
      <c r="C3189" s="1" t="n">
        <v>45637</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41975-2024</t>
        </is>
      </c>
      <c r="B3190" s="1" t="n">
        <v>45561</v>
      </c>
      <c r="C3190" s="1" t="n">
        <v>45637</v>
      </c>
      <c r="D3190" t="inlineStr">
        <is>
          <t>VÄSTERNORRLANDS LÄN</t>
        </is>
      </c>
      <c r="E3190" t="inlineStr">
        <is>
          <t>SOLLEFTEÅ</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41834-2024</t>
        </is>
      </c>
      <c r="B3191" s="1" t="n">
        <v>45561</v>
      </c>
      <c r="C3191" s="1" t="n">
        <v>45637</v>
      </c>
      <c r="D3191" t="inlineStr">
        <is>
          <t>VÄSTERNORRLANDS LÄN</t>
        </is>
      </c>
      <c r="E3191" t="inlineStr">
        <is>
          <t>SOLLEFTEÅ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42093-2024</t>
        </is>
      </c>
      <c r="B3192" s="1" t="n">
        <v>45562</v>
      </c>
      <c r="C3192" s="1" t="n">
        <v>45637</v>
      </c>
      <c r="D3192" t="inlineStr">
        <is>
          <t>VÄSTERNORRLANDS LÄN</t>
        </is>
      </c>
      <c r="E3192" t="inlineStr">
        <is>
          <t>SOLLEFTEÅ</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42154-2024</t>
        </is>
      </c>
      <c r="B3193" s="1" t="n">
        <v>45562</v>
      </c>
      <c r="C3193" s="1" t="n">
        <v>45637</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42115-2024</t>
        </is>
      </c>
      <c r="B3194" s="1" t="n">
        <v>45562</v>
      </c>
      <c r="C3194" s="1" t="n">
        <v>45637</v>
      </c>
      <c r="D3194" t="inlineStr">
        <is>
          <t>VÄSTERNORRLANDS LÄN</t>
        </is>
      </c>
      <c r="E3194" t="inlineStr">
        <is>
          <t>SOLLEFTEÅ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42631-2024</t>
        </is>
      </c>
      <c r="B3195" s="1" t="n">
        <v>45565</v>
      </c>
      <c r="C3195" s="1" t="n">
        <v>45637</v>
      </c>
      <c r="D3195" t="inlineStr">
        <is>
          <t>VÄSTERNORRLANDS LÄN</t>
        </is>
      </c>
      <c r="E3195" t="inlineStr">
        <is>
          <t>SOLLEFTEÅ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42486-2024</t>
        </is>
      </c>
      <c r="B3196" s="1" t="n">
        <v>45565</v>
      </c>
      <c r="C3196" s="1" t="n">
        <v>45637</v>
      </c>
      <c r="D3196" t="inlineStr">
        <is>
          <t>VÄSTERNORRLANDS LÄN</t>
        </is>
      </c>
      <c r="E3196" t="inlineStr">
        <is>
          <t>SOLLEFTEÅ</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42482-2024</t>
        </is>
      </c>
      <c r="B3197" s="1" t="n">
        <v>45565</v>
      </c>
      <c r="C3197" s="1" t="n">
        <v>45637</v>
      </c>
      <c r="D3197" t="inlineStr">
        <is>
          <t>VÄSTERNORRLANDS LÄN</t>
        </is>
      </c>
      <c r="E3197" t="inlineStr">
        <is>
          <t>SOLLEFTEÅ</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42474-2024</t>
        </is>
      </c>
      <c r="B3198" s="1" t="n">
        <v>45565</v>
      </c>
      <c r="C3198" s="1" t="n">
        <v>45637</v>
      </c>
      <c r="D3198" t="inlineStr">
        <is>
          <t>VÄSTERNORRLANDS LÄN</t>
        </is>
      </c>
      <c r="E3198" t="inlineStr">
        <is>
          <t>SOLLEFTEÅ</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42915-2024</t>
        </is>
      </c>
      <c r="B3199" s="1" t="n">
        <v>45566</v>
      </c>
      <c r="C3199" s="1" t="n">
        <v>45637</v>
      </c>
      <c r="D3199" t="inlineStr">
        <is>
          <t>VÄSTERNORRLANDS LÄN</t>
        </is>
      </c>
      <c r="E3199" t="inlineStr">
        <is>
          <t>SOLLEFTEÅ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43049-2024</t>
        </is>
      </c>
      <c r="B3200" s="1" t="n">
        <v>45567</v>
      </c>
      <c r="C3200" s="1" t="n">
        <v>45637</v>
      </c>
      <c r="D3200" t="inlineStr">
        <is>
          <t>VÄSTERNORRLANDS LÄN</t>
        </is>
      </c>
      <c r="E3200" t="inlineStr">
        <is>
          <t>SOLLEFTEÅ</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43008-2024</t>
        </is>
      </c>
      <c r="B3201" s="1" t="n">
        <v>45567</v>
      </c>
      <c r="C3201" s="1" t="n">
        <v>45637</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42984-2024</t>
        </is>
      </c>
      <c r="B3202" s="1" t="n">
        <v>45567</v>
      </c>
      <c r="C3202" s="1" t="n">
        <v>45637</v>
      </c>
      <c r="D3202" t="inlineStr">
        <is>
          <t>VÄSTERNORRLANDS LÄN</t>
        </is>
      </c>
      <c r="E3202" t="inlineStr">
        <is>
          <t>SOLLEFTEÅ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42964-2024</t>
        </is>
      </c>
      <c r="B3203" s="1" t="n">
        <v>45567</v>
      </c>
      <c r="C3203" s="1" t="n">
        <v>45637</v>
      </c>
      <c r="D3203" t="inlineStr">
        <is>
          <t>VÄSTERNORRLANDS LÄN</t>
        </is>
      </c>
      <c r="E3203" t="inlineStr">
        <is>
          <t>SOLLEFTEÅ</t>
        </is>
      </c>
      <c r="F3203" t="inlineStr">
        <is>
          <t>SCA</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42985-2024</t>
        </is>
      </c>
      <c r="B3204" s="1" t="n">
        <v>45567</v>
      </c>
      <c r="C3204" s="1" t="n">
        <v>45637</v>
      </c>
      <c r="D3204" t="inlineStr">
        <is>
          <t>VÄSTERNORRLANDS LÄN</t>
        </is>
      </c>
      <c r="E3204" t="inlineStr">
        <is>
          <t>SOLLEFTEÅ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42981-2024</t>
        </is>
      </c>
      <c r="B3205" s="1" t="n">
        <v>45567</v>
      </c>
      <c r="C3205" s="1" t="n">
        <v>45637</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42973-2024</t>
        </is>
      </c>
      <c r="B3206" s="1" t="n">
        <v>45567</v>
      </c>
      <c r="C3206" s="1" t="n">
        <v>45637</v>
      </c>
      <c r="D3206" t="inlineStr">
        <is>
          <t>VÄSTERNORRLANDS LÄN</t>
        </is>
      </c>
      <c r="E3206" t="inlineStr">
        <is>
          <t>SOLLEFTEÅ</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42965-2024</t>
        </is>
      </c>
      <c r="B3207" s="1" t="n">
        <v>45567</v>
      </c>
      <c r="C3207" s="1" t="n">
        <v>45637</v>
      </c>
      <c r="D3207" t="inlineStr">
        <is>
          <t>VÄSTERNORRLANDS LÄN</t>
        </is>
      </c>
      <c r="E3207" t="inlineStr">
        <is>
          <t>SOLLEFTEÅ</t>
        </is>
      </c>
      <c r="F3207" t="inlineStr">
        <is>
          <t>SCA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42987-2024</t>
        </is>
      </c>
      <c r="B3208" s="1" t="n">
        <v>45567</v>
      </c>
      <c r="C3208" s="1" t="n">
        <v>45637</v>
      </c>
      <c r="D3208" t="inlineStr">
        <is>
          <t>VÄSTERNORRLANDS LÄN</t>
        </is>
      </c>
      <c r="E3208" t="inlineStr">
        <is>
          <t>SOLLEFTEÅ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42983-2024</t>
        </is>
      </c>
      <c r="B3209" s="1" t="n">
        <v>45567</v>
      </c>
      <c r="C3209" s="1" t="n">
        <v>45637</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42979-2024</t>
        </is>
      </c>
      <c r="B3210" s="1" t="n">
        <v>45567</v>
      </c>
      <c r="C3210" s="1" t="n">
        <v>45637</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42975-2024</t>
        </is>
      </c>
      <c r="B3211" s="1" t="n">
        <v>45567</v>
      </c>
      <c r="C3211" s="1" t="n">
        <v>45637</v>
      </c>
      <c r="D3211" t="inlineStr">
        <is>
          <t>VÄSTERNORRLANDS LÄN</t>
        </is>
      </c>
      <c r="E3211" t="inlineStr">
        <is>
          <t>SOLLEFTEÅ</t>
        </is>
      </c>
      <c r="F3211" t="inlineStr">
        <is>
          <t>SCA</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42971-2024</t>
        </is>
      </c>
      <c r="B3212" s="1" t="n">
        <v>45567</v>
      </c>
      <c r="C3212" s="1" t="n">
        <v>45637</v>
      </c>
      <c r="D3212" t="inlineStr">
        <is>
          <t>VÄSTERNORRLANDS LÄN</t>
        </is>
      </c>
      <c r="E3212" t="inlineStr">
        <is>
          <t>SOLLEFTEÅ</t>
        </is>
      </c>
      <c r="F3212" t="inlineStr">
        <is>
          <t>SCA</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42963-2024</t>
        </is>
      </c>
      <c r="B3213" s="1" t="n">
        <v>45567</v>
      </c>
      <c r="C3213" s="1" t="n">
        <v>45637</v>
      </c>
      <c r="D3213" t="inlineStr">
        <is>
          <t>VÄSTERNORRLANDS LÄN</t>
        </is>
      </c>
      <c r="E3213" t="inlineStr">
        <is>
          <t>SOLLEFTEÅ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42978-2024</t>
        </is>
      </c>
      <c r="B3214" s="1" t="n">
        <v>45567</v>
      </c>
      <c r="C3214" s="1" t="n">
        <v>45637</v>
      </c>
      <c r="D3214" t="inlineStr">
        <is>
          <t>VÄSTERNORRLANDS LÄN</t>
        </is>
      </c>
      <c r="E3214" t="inlineStr">
        <is>
          <t>SOLLEFTEÅ</t>
        </is>
      </c>
      <c r="F3214" t="inlineStr">
        <is>
          <t>SCA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42970-2024</t>
        </is>
      </c>
      <c r="B3215" s="1" t="n">
        <v>45567</v>
      </c>
      <c r="C3215" s="1" t="n">
        <v>45637</v>
      </c>
      <c r="D3215" t="inlineStr">
        <is>
          <t>VÄSTERNORRLANDS LÄN</t>
        </is>
      </c>
      <c r="E3215" t="inlineStr">
        <is>
          <t>SOLLEFTEÅ</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42950-2024</t>
        </is>
      </c>
      <c r="B3216" s="1" t="n">
        <v>45567</v>
      </c>
      <c r="C3216" s="1" t="n">
        <v>45637</v>
      </c>
      <c r="D3216" t="inlineStr">
        <is>
          <t>VÄSTERNORRLANDS LÄN</t>
        </is>
      </c>
      <c r="E3216" t="inlineStr">
        <is>
          <t>SOLLEFTEÅ</t>
        </is>
      </c>
      <c r="F3216" t="inlineStr">
        <is>
          <t>SCA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43265-2024</t>
        </is>
      </c>
      <c r="B3217" s="1" t="n">
        <v>45568</v>
      </c>
      <c r="C3217" s="1" t="n">
        <v>45637</v>
      </c>
      <c r="D3217" t="inlineStr">
        <is>
          <t>VÄSTERNORRLANDS LÄN</t>
        </is>
      </c>
      <c r="E3217" t="inlineStr">
        <is>
          <t>SOLLEFTEÅ</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43627-2024</t>
        </is>
      </c>
      <c r="B3218" s="1" t="n">
        <v>45569</v>
      </c>
      <c r="C3218" s="1" t="n">
        <v>45637</v>
      </c>
      <c r="D3218" t="inlineStr">
        <is>
          <t>VÄSTERNORRLANDS LÄN</t>
        </is>
      </c>
      <c r="E3218" t="inlineStr">
        <is>
          <t>SOLLEFTEÅ</t>
        </is>
      </c>
      <c r="F3218" t="inlineStr">
        <is>
          <t>SCA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43585-2024</t>
        </is>
      </c>
      <c r="B3219" s="1" t="n">
        <v>45569</v>
      </c>
      <c r="C3219" s="1" t="n">
        <v>45637</v>
      </c>
      <c r="D3219" t="inlineStr">
        <is>
          <t>VÄSTERNORRLANDS LÄN</t>
        </is>
      </c>
      <c r="E3219" t="inlineStr">
        <is>
          <t>SOLLEFTEÅ</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43845-2024</t>
        </is>
      </c>
      <c r="B3220" s="1" t="n">
        <v>45572</v>
      </c>
      <c r="C3220" s="1" t="n">
        <v>45637</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43843-2024</t>
        </is>
      </c>
      <c r="B3221" s="1" t="n">
        <v>45572</v>
      </c>
      <c r="C3221" s="1" t="n">
        <v>45637</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44172-2024</t>
        </is>
      </c>
      <c r="B3222" s="1" t="n">
        <v>45572</v>
      </c>
      <c r="C3222" s="1" t="n">
        <v>45637</v>
      </c>
      <c r="D3222" t="inlineStr">
        <is>
          <t>VÄSTERNORRLANDS LÄN</t>
        </is>
      </c>
      <c r="E3222" t="inlineStr">
        <is>
          <t>SOLLEFTEÅ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44201-2024</t>
        </is>
      </c>
      <c r="B3223" s="1" t="n">
        <v>45573</v>
      </c>
      <c r="C3223" s="1" t="n">
        <v>45637</v>
      </c>
      <c r="D3223" t="inlineStr">
        <is>
          <t>VÄSTERNORRLANDS LÄN</t>
        </is>
      </c>
      <c r="E3223" t="inlineStr">
        <is>
          <t>SOLLEFTEÅ</t>
        </is>
      </c>
      <c r="F3223" t="inlineStr">
        <is>
          <t>SCA</t>
        </is>
      </c>
      <c r="G3223" t="n">
        <v>3.6</v>
      </c>
      <c r="H3223" t="n">
        <v>0</v>
      </c>
      <c r="I3223" t="n">
        <v>0</v>
      </c>
      <c r="J3223" t="n">
        <v>0</v>
      </c>
      <c r="K3223" t="n">
        <v>0</v>
      </c>
      <c r="L3223" t="n">
        <v>0</v>
      </c>
      <c r="M3223" t="n">
        <v>0</v>
      </c>
      <c r="N3223" t="n">
        <v>0</v>
      </c>
      <c r="O3223" t="n">
        <v>0</v>
      </c>
      <c r="P3223" t="n">
        <v>0</v>
      </c>
      <c r="Q3223" t="n">
        <v>0</v>
      </c>
      <c r="R3223" s="2" t="inlineStr"/>
      <c r="U3223">
        <f>HYPERLINK("https://klasma.github.io/Logging_2283/knärot/A 44201-2024 karta knärot.png", "A 44201-2024")</f>
        <v/>
      </c>
      <c r="V3223">
        <f>HYPERLINK("https://klasma.github.io/Logging_2283/klagomål/A 44201-2024 FSC-klagomål.docx", "A 44201-2024")</f>
        <v/>
      </c>
      <c r="W3223">
        <f>HYPERLINK("https://klasma.github.io/Logging_2283/klagomålsmail/A 44201-2024 FSC-klagomål mail.docx", "A 44201-2024")</f>
        <v/>
      </c>
      <c r="X3223">
        <f>HYPERLINK("https://klasma.github.io/Logging_2283/tillsyn/A 44201-2024 tillsynsbegäran.docx", "A 44201-2024")</f>
        <v/>
      </c>
      <c r="Y3223">
        <f>HYPERLINK("https://klasma.github.io/Logging_2283/tillsynsmail/A 44201-2024 tillsynsbegäran mail.docx", "A 44201-2024")</f>
        <v/>
      </c>
    </row>
    <row r="3224" ht="15" customHeight="1">
      <c r="A3224" t="inlineStr">
        <is>
          <t>A 44299-2024</t>
        </is>
      </c>
      <c r="B3224" s="1" t="n">
        <v>45573</v>
      </c>
      <c r="C3224" s="1" t="n">
        <v>45637</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44320-2024</t>
        </is>
      </c>
      <c r="B3225" s="1" t="n">
        <v>45573</v>
      </c>
      <c r="C3225" s="1" t="n">
        <v>45637</v>
      </c>
      <c r="D3225" t="inlineStr">
        <is>
          <t>VÄSTERNORRLANDS LÄN</t>
        </is>
      </c>
      <c r="E3225" t="inlineStr">
        <is>
          <t>SOLLEFTEÅ</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44202-2024</t>
        </is>
      </c>
      <c r="B3226" s="1" t="n">
        <v>45573</v>
      </c>
      <c r="C3226" s="1" t="n">
        <v>45637</v>
      </c>
      <c r="D3226" t="inlineStr">
        <is>
          <t>VÄSTERNORRLANDS LÄN</t>
        </is>
      </c>
      <c r="E3226" t="inlineStr">
        <is>
          <t>SOLLEFTEÅ</t>
        </is>
      </c>
      <c r="F3226" t="inlineStr">
        <is>
          <t>SCA</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44323-2024</t>
        </is>
      </c>
      <c r="B3227" s="1" t="n">
        <v>45573</v>
      </c>
      <c r="C3227" s="1" t="n">
        <v>45637</v>
      </c>
      <c r="D3227" t="inlineStr">
        <is>
          <t>VÄSTERNORRLANDS LÄN</t>
        </is>
      </c>
      <c r="E3227" t="inlineStr">
        <is>
          <t>SOLLEFTEÅ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44302-2024</t>
        </is>
      </c>
      <c r="B3228" s="1" t="n">
        <v>45573</v>
      </c>
      <c r="C3228" s="1" t="n">
        <v>45637</v>
      </c>
      <c r="D3228" t="inlineStr">
        <is>
          <t>VÄSTERNORRLANDS LÄN</t>
        </is>
      </c>
      <c r="E3228" t="inlineStr">
        <is>
          <t>SOLLEFTEÅ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44298-2024</t>
        </is>
      </c>
      <c r="B3229" s="1" t="n">
        <v>45573</v>
      </c>
      <c r="C3229" s="1" t="n">
        <v>45637</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44294-2024</t>
        </is>
      </c>
      <c r="B3230" s="1" t="n">
        <v>45573</v>
      </c>
      <c r="C3230" s="1" t="n">
        <v>45637</v>
      </c>
      <c r="D3230" t="inlineStr">
        <is>
          <t>VÄSTERNORRLANDS LÄN</t>
        </is>
      </c>
      <c r="E3230" t="inlineStr">
        <is>
          <t>SOLLEFTEÅ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44200-2024</t>
        </is>
      </c>
      <c r="B3231" s="1" t="n">
        <v>45573</v>
      </c>
      <c r="C3231" s="1" t="n">
        <v>45637</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44554-2024</t>
        </is>
      </c>
      <c r="B3232" s="1" t="n">
        <v>45574</v>
      </c>
      <c r="C3232" s="1" t="n">
        <v>45637</v>
      </c>
      <c r="D3232" t="inlineStr">
        <is>
          <t>VÄSTERNORRLANDS LÄN</t>
        </is>
      </c>
      <c r="E3232" t="inlineStr">
        <is>
          <t>SOLLEFTEÅ</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44591-2024</t>
        </is>
      </c>
      <c r="B3233" s="1" t="n">
        <v>45574</v>
      </c>
      <c r="C3233" s="1" t="n">
        <v>45637</v>
      </c>
      <c r="D3233" t="inlineStr">
        <is>
          <t>VÄSTERNORRLANDS LÄN</t>
        </is>
      </c>
      <c r="E3233" t="inlineStr">
        <is>
          <t>SOLLEFTEÅ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44627-2024</t>
        </is>
      </c>
      <c r="B3234" s="1" t="n">
        <v>45574</v>
      </c>
      <c r="C3234" s="1" t="n">
        <v>45637</v>
      </c>
      <c r="D3234" t="inlineStr">
        <is>
          <t>VÄSTERNORRLANDS LÄN</t>
        </is>
      </c>
      <c r="E3234" t="inlineStr">
        <is>
          <t>SOLLEFTEÅ</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44640-2024</t>
        </is>
      </c>
      <c r="B3235" s="1" t="n">
        <v>45574</v>
      </c>
      <c r="C3235" s="1" t="n">
        <v>45637</v>
      </c>
      <c r="D3235" t="inlineStr">
        <is>
          <t>VÄSTERNORRLANDS LÄN</t>
        </is>
      </c>
      <c r="E3235" t="inlineStr">
        <is>
          <t>SOLLEFTEÅ</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44614-2024</t>
        </is>
      </c>
      <c r="B3236" s="1" t="n">
        <v>45574</v>
      </c>
      <c r="C3236" s="1" t="n">
        <v>45637</v>
      </c>
      <c r="D3236" t="inlineStr">
        <is>
          <t>VÄSTERNORRLANDS LÄN</t>
        </is>
      </c>
      <c r="E3236" t="inlineStr">
        <is>
          <t>SOLLEFTEÅ</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44639-2024</t>
        </is>
      </c>
      <c r="B3237" s="1" t="n">
        <v>45574</v>
      </c>
      <c r="C3237" s="1" t="n">
        <v>45637</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44661-2024</t>
        </is>
      </c>
      <c r="B3238" s="1" t="n">
        <v>45574</v>
      </c>
      <c r="C3238" s="1" t="n">
        <v>45637</v>
      </c>
      <c r="D3238" t="inlineStr">
        <is>
          <t>VÄSTERNORRLANDS LÄN</t>
        </is>
      </c>
      <c r="E3238" t="inlineStr">
        <is>
          <t>SOLLEFTEÅ</t>
        </is>
      </c>
      <c r="F3238" t="inlineStr">
        <is>
          <t>SCA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44621-2024</t>
        </is>
      </c>
      <c r="B3239" s="1" t="n">
        <v>45574</v>
      </c>
      <c r="C3239" s="1" t="n">
        <v>45637</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44662-2024</t>
        </is>
      </c>
      <c r="B3240" s="1" t="n">
        <v>45574</v>
      </c>
      <c r="C3240" s="1" t="n">
        <v>45637</v>
      </c>
      <c r="D3240" t="inlineStr">
        <is>
          <t>VÄSTERNORRLANDS LÄN</t>
        </is>
      </c>
      <c r="E3240" t="inlineStr">
        <is>
          <t>SOLLEFTEÅ</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45142-2024</t>
        </is>
      </c>
      <c r="B3241" s="1" t="n">
        <v>45575</v>
      </c>
      <c r="C3241" s="1" t="n">
        <v>45637</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45171-2024</t>
        </is>
      </c>
      <c r="B3242" s="1" t="n">
        <v>45575</v>
      </c>
      <c r="C3242" s="1" t="n">
        <v>45637</v>
      </c>
      <c r="D3242" t="inlineStr">
        <is>
          <t>VÄSTERNORRLANDS LÄN</t>
        </is>
      </c>
      <c r="E3242" t="inlineStr">
        <is>
          <t>SOLLEFTEÅ</t>
        </is>
      </c>
      <c r="F3242" t="inlineStr">
        <is>
          <t>SCA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44950-2024</t>
        </is>
      </c>
      <c r="B3243" s="1" t="n">
        <v>45575</v>
      </c>
      <c r="C3243" s="1" t="n">
        <v>45637</v>
      </c>
      <c r="D3243" t="inlineStr">
        <is>
          <t>VÄSTERNORRLANDS LÄN</t>
        </is>
      </c>
      <c r="E3243" t="inlineStr">
        <is>
          <t>SOLLEFTEÅ</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45435-2024</t>
        </is>
      </c>
      <c r="B3244" s="1" t="n">
        <v>45576</v>
      </c>
      <c r="C3244" s="1" t="n">
        <v>45637</v>
      </c>
      <c r="D3244" t="inlineStr">
        <is>
          <t>VÄSTERNORRLANDS LÄN</t>
        </is>
      </c>
      <c r="E3244" t="inlineStr">
        <is>
          <t>SOLLEFTEÅ</t>
        </is>
      </c>
      <c r="F3244" t="inlineStr">
        <is>
          <t>SCA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45334-2024</t>
        </is>
      </c>
      <c r="B3245" s="1" t="n">
        <v>45576</v>
      </c>
      <c r="C3245" s="1" t="n">
        <v>45637</v>
      </c>
      <c r="D3245" t="inlineStr">
        <is>
          <t>VÄSTERNORRLANDS LÄN</t>
        </is>
      </c>
      <c r="E3245" t="inlineStr">
        <is>
          <t>SOLLEFTEÅ</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45590-2024</t>
        </is>
      </c>
      <c r="B3246" s="1" t="n">
        <v>45579</v>
      </c>
      <c r="C3246" s="1" t="n">
        <v>45637</v>
      </c>
      <c r="D3246" t="inlineStr">
        <is>
          <t>VÄSTERNORRLANDS LÄN</t>
        </is>
      </c>
      <c r="E3246" t="inlineStr">
        <is>
          <t>SOLLEFTEÅ</t>
        </is>
      </c>
      <c r="F3246" t="inlineStr">
        <is>
          <t>Holmen skog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45801-2024</t>
        </is>
      </c>
      <c r="B3247" s="1" t="n">
        <v>45579</v>
      </c>
      <c r="C3247" s="1" t="n">
        <v>45637</v>
      </c>
      <c r="D3247" t="inlineStr">
        <is>
          <t>VÄSTERNORRLANDS LÄN</t>
        </is>
      </c>
      <c r="E3247" t="inlineStr">
        <is>
          <t>SOLLEFTEÅ</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45795-2024</t>
        </is>
      </c>
      <c r="B3248" s="1" t="n">
        <v>45579</v>
      </c>
      <c r="C3248" s="1" t="n">
        <v>45637</v>
      </c>
      <c r="D3248" t="inlineStr">
        <is>
          <t>VÄSTERNORRLANDS LÄN</t>
        </is>
      </c>
      <c r="E3248" t="inlineStr">
        <is>
          <t>SOLLEFTEÅ</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45573-2024</t>
        </is>
      </c>
      <c r="B3249" s="1" t="n">
        <v>45579</v>
      </c>
      <c r="C3249" s="1" t="n">
        <v>45637</v>
      </c>
      <c r="D3249" t="inlineStr">
        <is>
          <t>VÄSTERNORRLANDS LÄN</t>
        </is>
      </c>
      <c r="E3249" t="inlineStr">
        <is>
          <t>SOLLEFTEÅ</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45778-2024</t>
        </is>
      </c>
      <c r="B3250" s="1" t="n">
        <v>45579</v>
      </c>
      <c r="C3250" s="1" t="n">
        <v>45637</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45802-2024</t>
        </is>
      </c>
      <c r="B3251" s="1" t="n">
        <v>45579</v>
      </c>
      <c r="C3251" s="1" t="n">
        <v>45637</v>
      </c>
      <c r="D3251" t="inlineStr">
        <is>
          <t>VÄSTERNORRLANDS LÄN</t>
        </is>
      </c>
      <c r="E3251" t="inlineStr">
        <is>
          <t>SOLLEFTEÅ</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45748-2024</t>
        </is>
      </c>
      <c r="B3252" s="1" t="n">
        <v>45579</v>
      </c>
      <c r="C3252" s="1" t="n">
        <v>45637</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45975-2024</t>
        </is>
      </c>
      <c r="B3253" s="1" t="n">
        <v>45580</v>
      </c>
      <c r="C3253" s="1" t="n">
        <v>45637</v>
      </c>
      <c r="D3253" t="inlineStr">
        <is>
          <t>VÄSTERNORRLANDS LÄN</t>
        </is>
      </c>
      <c r="E3253" t="inlineStr">
        <is>
          <t>SOLLEFTEÅ</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45940-2024</t>
        </is>
      </c>
      <c r="B3254" s="1" t="n">
        <v>45580</v>
      </c>
      <c r="C3254" s="1" t="n">
        <v>45637</v>
      </c>
      <c r="D3254" t="inlineStr">
        <is>
          <t>VÄSTERNORRLANDS LÄN</t>
        </is>
      </c>
      <c r="E3254" t="inlineStr">
        <is>
          <t>SOLLEFTEÅ</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46255-2024</t>
        </is>
      </c>
      <c r="B3255" s="1" t="n">
        <v>45581</v>
      </c>
      <c r="C3255" s="1" t="n">
        <v>45637</v>
      </c>
      <c r="D3255" t="inlineStr">
        <is>
          <t>VÄSTERNORRLANDS LÄN</t>
        </is>
      </c>
      <c r="E3255" t="inlineStr">
        <is>
          <t>SOLLEFTEÅ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46101-2024</t>
        </is>
      </c>
      <c r="B3256" s="1" t="n">
        <v>45581</v>
      </c>
      <c r="C3256" s="1" t="n">
        <v>45637</v>
      </c>
      <c r="D3256" t="inlineStr">
        <is>
          <t>VÄSTERNORRLANDS LÄN</t>
        </is>
      </c>
      <c r="E3256" t="inlineStr">
        <is>
          <t>SOLLEFTEÅ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46261-2024</t>
        </is>
      </c>
      <c r="B3257" s="1" t="n">
        <v>45581</v>
      </c>
      <c r="C3257" s="1" t="n">
        <v>45637</v>
      </c>
      <c r="D3257" t="inlineStr">
        <is>
          <t>VÄSTERNORRLANDS LÄN</t>
        </is>
      </c>
      <c r="E3257" t="inlineStr">
        <is>
          <t>SOLLEFTEÅ</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46524-2024</t>
        </is>
      </c>
      <c r="B3258" s="1" t="n">
        <v>45582</v>
      </c>
      <c r="C3258" s="1" t="n">
        <v>45637</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46772-2024</t>
        </is>
      </c>
      <c r="B3259" s="1" t="n">
        <v>45583</v>
      </c>
      <c r="C3259" s="1" t="n">
        <v>45637</v>
      </c>
      <c r="D3259" t="inlineStr">
        <is>
          <t>VÄSTERNORRLANDS LÄN</t>
        </is>
      </c>
      <c r="E3259" t="inlineStr">
        <is>
          <t>SOLLEFTEÅ</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46850-2024</t>
        </is>
      </c>
      <c r="B3260" s="1" t="n">
        <v>45583</v>
      </c>
      <c r="C3260" s="1" t="n">
        <v>45637</v>
      </c>
      <c r="D3260" t="inlineStr">
        <is>
          <t>VÄSTERNORRLANDS LÄN</t>
        </is>
      </c>
      <c r="E3260" t="inlineStr">
        <is>
          <t>SOLLEFTEÅ</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46765-2024</t>
        </is>
      </c>
      <c r="B3261" s="1" t="n">
        <v>45583</v>
      </c>
      <c r="C3261" s="1" t="n">
        <v>45637</v>
      </c>
      <c r="D3261" t="inlineStr">
        <is>
          <t>VÄSTERNORRLANDS LÄN</t>
        </is>
      </c>
      <c r="E3261" t="inlineStr">
        <is>
          <t>SOLLEFTEÅ</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46755-2024</t>
        </is>
      </c>
      <c r="B3262" s="1" t="n">
        <v>45583</v>
      </c>
      <c r="C3262" s="1" t="n">
        <v>45637</v>
      </c>
      <c r="D3262" t="inlineStr">
        <is>
          <t>VÄSTERNORRLANDS LÄN</t>
        </is>
      </c>
      <c r="E3262" t="inlineStr">
        <is>
          <t>SOLLEFTEÅ</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46759-2024</t>
        </is>
      </c>
      <c r="B3263" s="1" t="n">
        <v>45583</v>
      </c>
      <c r="C3263" s="1" t="n">
        <v>45637</v>
      </c>
      <c r="D3263" t="inlineStr">
        <is>
          <t>VÄSTERNORRLANDS LÄN</t>
        </is>
      </c>
      <c r="E3263" t="inlineStr">
        <is>
          <t>SOLLEFTEÅ</t>
        </is>
      </c>
      <c r="F3263" t="inlineStr">
        <is>
          <t>SCA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46767-2024</t>
        </is>
      </c>
      <c r="B3264" s="1" t="n">
        <v>45583</v>
      </c>
      <c r="C3264" s="1" t="n">
        <v>45637</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46770-2024</t>
        </is>
      </c>
      <c r="B3265" s="1" t="n">
        <v>45583</v>
      </c>
      <c r="C3265" s="1" t="n">
        <v>45637</v>
      </c>
      <c r="D3265" t="inlineStr">
        <is>
          <t>VÄSTERNORRLANDS LÄN</t>
        </is>
      </c>
      <c r="E3265" t="inlineStr">
        <is>
          <t>SOLLEFTEÅ</t>
        </is>
      </c>
      <c r="F3265" t="inlineStr">
        <is>
          <t>SCA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46758-2024</t>
        </is>
      </c>
      <c r="B3266" s="1" t="n">
        <v>45583</v>
      </c>
      <c r="C3266" s="1" t="n">
        <v>45637</v>
      </c>
      <c r="D3266" t="inlineStr">
        <is>
          <t>VÄSTERNORRLANDS LÄN</t>
        </is>
      </c>
      <c r="E3266" t="inlineStr">
        <is>
          <t>SOLLEFTEÅ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47175-2024</t>
        </is>
      </c>
      <c r="B3267" s="1" t="n">
        <v>45586</v>
      </c>
      <c r="C3267" s="1" t="n">
        <v>45637</v>
      </c>
      <c r="D3267" t="inlineStr">
        <is>
          <t>VÄSTERNORRLANDS LÄN</t>
        </is>
      </c>
      <c r="E3267" t="inlineStr">
        <is>
          <t>SOLLEFTEÅ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47179-2024</t>
        </is>
      </c>
      <c r="B3268" s="1" t="n">
        <v>45586</v>
      </c>
      <c r="C3268" s="1" t="n">
        <v>45637</v>
      </c>
      <c r="D3268" t="inlineStr">
        <is>
          <t>VÄSTERNORRLANDS LÄN</t>
        </is>
      </c>
      <c r="E3268" t="inlineStr">
        <is>
          <t>SOLLEFTEÅ</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46973-2024</t>
        </is>
      </c>
      <c r="B3269" s="1" t="n">
        <v>45586</v>
      </c>
      <c r="C3269" s="1" t="n">
        <v>45637</v>
      </c>
      <c r="D3269" t="inlineStr">
        <is>
          <t>VÄSTERNORRLANDS LÄN</t>
        </is>
      </c>
      <c r="E3269" t="inlineStr">
        <is>
          <t>SOLLEFTEÅ</t>
        </is>
      </c>
      <c r="F3269" t="inlineStr">
        <is>
          <t>SCA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47471-2024</t>
        </is>
      </c>
      <c r="B3270" s="1" t="n">
        <v>45587</v>
      </c>
      <c r="C3270" s="1" t="n">
        <v>45637</v>
      </c>
      <c r="D3270" t="inlineStr">
        <is>
          <t>VÄSTERNORRLANDS LÄN</t>
        </is>
      </c>
      <c r="E3270" t="inlineStr">
        <is>
          <t>SOLLEFTEÅ</t>
        </is>
      </c>
      <c r="F3270" t="inlineStr">
        <is>
          <t>SCA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47354-2024</t>
        </is>
      </c>
      <c r="B3271" s="1" t="n">
        <v>45587</v>
      </c>
      <c r="C3271" s="1" t="n">
        <v>45637</v>
      </c>
      <c r="D3271" t="inlineStr">
        <is>
          <t>VÄSTERNORRLANDS LÄN</t>
        </is>
      </c>
      <c r="E3271" t="inlineStr">
        <is>
          <t>SOLLEFTEÅ</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47547-2024</t>
        </is>
      </c>
      <c r="B3272" s="1" t="n">
        <v>45587</v>
      </c>
      <c r="C3272" s="1" t="n">
        <v>45637</v>
      </c>
      <c r="D3272" t="inlineStr">
        <is>
          <t>VÄSTERNORRLANDS LÄN</t>
        </is>
      </c>
      <c r="E3272" t="inlineStr">
        <is>
          <t>SOLLEFTEÅ</t>
        </is>
      </c>
      <c r="F3272" t="inlineStr">
        <is>
          <t>SCA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47745-2024</t>
        </is>
      </c>
      <c r="B3273" s="1" t="n">
        <v>45588</v>
      </c>
      <c r="C3273" s="1" t="n">
        <v>45637</v>
      </c>
      <c r="D3273" t="inlineStr">
        <is>
          <t>VÄSTERNORRLANDS LÄN</t>
        </is>
      </c>
      <c r="E3273" t="inlineStr">
        <is>
          <t>SOLLEFTEÅ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47641-2024</t>
        </is>
      </c>
      <c r="B3274" s="1" t="n">
        <v>45588</v>
      </c>
      <c r="C3274" s="1" t="n">
        <v>45637</v>
      </c>
      <c r="D3274" t="inlineStr">
        <is>
          <t>VÄSTERNORRLANDS LÄN</t>
        </is>
      </c>
      <c r="E3274" t="inlineStr">
        <is>
          <t>SOLLEFTEÅ</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47631-2024</t>
        </is>
      </c>
      <c r="B3275" s="1" t="n">
        <v>45588</v>
      </c>
      <c r="C3275" s="1" t="n">
        <v>45637</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47868-2024</t>
        </is>
      </c>
      <c r="B3276" s="1" t="n">
        <v>45588</v>
      </c>
      <c r="C3276" s="1" t="n">
        <v>45637</v>
      </c>
      <c r="D3276" t="inlineStr">
        <is>
          <t>VÄSTERNORRLANDS LÄN</t>
        </is>
      </c>
      <c r="E3276" t="inlineStr">
        <is>
          <t>SOLLEFTEÅ</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48118-2024</t>
        </is>
      </c>
      <c r="B3277" s="1" t="n">
        <v>45589</v>
      </c>
      <c r="C3277" s="1" t="n">
        <v>45637</v>
      </c>
      <c r="D3277" t="inlineStr">
        <is>
          <t>VÄSTERNORRLANDS LÄN</t>
        </is>
      </c>
      <c r="E3277" t="inlineStr">
        <is>
          <t>SOLLEFTEÅ</t>
        </is>
      </c>
      <c r="F3277" t="inlineStr">
        <is>
          <t>SCA</t>
        </is>
      </c>
      <c r="G3277" t="n">
        <v>11.9</v>
      </c>
      <c r="H3277" t="n">
        <v>0</v>
      </c>
      <c r="I3277" t="n">
        <v>0</v>
      </c>
      <c r="J3277" t="n">
        <v>0</v>
      </c>
      <c r="K3277" t="n">
        <v>0</v>
      </c>
      <c r="L3277" t="n">
        <v>0</v>
      </c>
      <c r="M3277" t="n">
        <v>0</v>
      </c>
      <c r="N3277" t="n">
        <v>0</v>
      </c>
      <c r="O3277" t="n">
        <v>0</v>
      </c>
      <c r="P3277" t="n">
        <v>0</v>
      </c>
      <c r="Q3277" t="n">
        <v>0</v>
      </c>
      <c r="R3277" s="2" t="inlineStr"/>
    </row>
    <row r="3278" ht="15" customHeight="1">
      <c r="A3278" t="inlineStr">
        <is>
          <t>A 48038-2024</t>
        </is>
      </c>
      <c r="B3278" s="1" t="n">
        <v>45589</v>
      </c>
      <c r="C3278" s="1" t="n">
        <v>45637</v>
      </c>
      <c r="D3278" t="inlineStr">
        <is>
          <t>VÄSTERNORRLANDS LÄN</t>
        </is>
      </c>
      <c r="E3278" t="inlineStr">
        <is>
          <t>SOLLEFTEÅ</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47955-2024</t>
        </is>
      </c>
      <c r="B3279" s="1" t="n">
        <v>45589</v>
      </c>
      <c r="C3279" s="1" t="n">
        <v>45637</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47963-2024</t>
        </is>
      </c>
      <c r="B3280" s="1" t="n">
        <v>45589</v>
      </c>
      <c r="C3280" s="1" t="n">
        <v>45637</v>
      </c>
      <c r="D3280" t="inlineStr">
        <is>
          <t>VÄSTERNORRLANDS LÄN</t>
        </is>
      </c>
      <c r="E3280" t="inlineStr">
        <is>
          <t>SOLLEFTEÅ</t>
        </is>
      </c>
      <c r="F3280" t="inlineStr">
        <is>
          <t>SCA</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47987-2024</t>
        </is>
      </c>
      <c r="B3281" s="1" t="n">
        <v>45589</v>
      </c>
      <c r="C3281" s="1" t="n">
        <v>45637</v>
      </c>
      <c r="D3281" t="inlineStr">
        <is>
          <t>VÄSTERNORRLANDS LÄN</t>
        </is>
      </c>
      <c r="E3281" t="inlineStr">
        <is>
          <t>SOLLEFTEÅ</t>
        </is>
      </c>
      <c r="F3281" t="inlineStr">
        <is>
          <t>SCA</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48019-2024</t>
        </is>
      </c>
      <c r="B3282" s="1" t="n">
        <v>45589</v>
      </c>
      <c r="C3282" s="1" t="n">
        <v>45637</v>
      </c>
      <c r="D3282" t="inlineStr">
        <is>
          <t>VÄSTERNORRLANDS LÄN</t>
        </is>
      </c>
      <c r="E3282" t="inlineStr">
        <is>
          <t>SOLLEFTEÅ</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48081-2024</t>
        </is>
      </c>
      <c r="B3283" s="1" t="n">
        <v>45589</v>
      </c>
      <c r="C3283" s="1" t="n">
        <v>45637</v>
      </c>
      <c r="D3283" t="inlineStr">
        <is>
          <t>VÄSTERNORRLANDS LÄN</t>
        </is>
      </c>
      <c r="E3283" t="inlineStr">
        <is>
          <t>SOLLEFTEÅ</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48049-2024</t>
        </is>
      </c>
      <c r="B3284" s="1" t="n">
        <v>45589</v>
      </c>
      <c r="C3284" s="1" t="n">
        <v>45637</v>
      </c>
      <c r="D3284" t="inlineStr">
        <is>
          <t>VÄSTERNORRLANDS LÄN</t>
        </is>
      </c>
      <c r="E3284" t="inlineStr">
        <is>
          <t>SOLLEFTEÅ</t>
        </is>
      </c>
      <c r="F3284" t="inlineStr">
        <is>
          <t>SCA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48021-2024</t>
        </is>
      </c>
      <c r="B3285" s="1" t="n">
        <v>45589</v>
      </c>
      <c r="C3285" s="1" t="n">
        <v>45637</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48017-2024</t>
        </is>
      </c>
      <c r="B3286" s="1" t="n">
        <v>45589</v>
      </c>
      <c r="C3286" s="1" t="n">
        <v>45637</v>
      </c>
      <c r="D3286" t="inlineStr">
        <is>
          <t>VÄSTERNORRLANDS LÄN</t>
        </is>
      </c>
      <c r="E3286" t="inlineStr">
        <is>
          <t>SOLLEFTEÅ</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48001-2024</t>
        </is>
      </c>
      <c r="B3287" s="1" t="n">
        <v>45589</v>
      </c>
      <c r="C3287" s="1" t="n">
        <v>45637</v>
      </c>
      <c r="D3287" t="inlineStr">
        <is>
          <t>VÄSTERNORRLANDS LÄN</t>
        </is>
      </c>
      <c r="E3287" t="inlineStr">
        <is>
          <t>SOLLEFTEÅ</t>
        </is>
      </c>
      <c r="F3287" t="inlineStr">
        <is>
          <t>SCA</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47965-2024</t>
        </is>
      </c>
      <c r="B3288" s="1" t="n">
        <v>45589</v>
      </c>
      <c r="C3288" s="1" t="n">
        <v>45637</v>
      </c>
      <c r="D3288" t="inlineStr">
        <is>
          <t>VÄSTERNORRLANDS LÄN</t>
        </is>
      </c>
      <c r="E3288" t="inlineStr">
        <is>
          <t>SOLLEFTEÅ</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48020-2024</t>
        </is>
      </c>
      <c r="B3289" s="1" t="n">
        <v>45589</v>
      </c>
      <c r="C3289" s="1" t="n">
        <v>45637</v>
      </c>
      <c r="D3289" t="inlineStr">
        <is>
          <t>VÄSTERNORRLANDS LÄN</t>
        </is>
      </c>
      <c r="E3289" t="inlineStr">
        <is>
          <t>SOLLEFTEÅ</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48396-2024</t>
        </is>
      </c>
      <c r="B3290" s="1" t="n">
        <v>45590</v>
      </c>
      <c r="C3290" s="1" t="n">
        <v>45637</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48265-2024</t>
        </is>
      </c>
      <c r="B3291" s="1" t="n">
        <v>45590</v>
      </c>
      <c r="C3291" s="1" t="n">
        <v>45637</v>
      </c>
      <c r="D3291" t="inlineStr">
        <is>
          <t>VÄSTERNORRLANDS LÄN</t>
        </is>
      </c>
      <c r="E3291" t="inlineStr">
        <is>
          <t>SOLLEFTEÅ</t>
        </is>
      </c>
      <c r="F3291" t="inlineStr">
        <is>
          <t>SCA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48419-2024</t>
        </is>
      </c>
      <c r="B3292" s="1" t="n">
        <v>45590</v>
      </c>
      <c r="C3292" s="1" t="n">
        <v>45637</v>
      </c>
      <c r="D3292" t="inlineStr">
        <is>
          <t>VÄSTERNORRLANDS LÄN</t>
        </is>
      </c>
      <c r="E3292" t="inlineStr">
        <is>
          <t>SOLLEFTEÅ</t>
        </is>
      </c>
      <c r="F3292" t="inlineStr">
        <is>
          <t>SCA</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48235-2024</t>
        </is>
      </c>
      <c r="B3293" s="1" t="n">
        <v>45590</v>
      </c>
      <c r="C3293" s="1" t="n">
        <v>45637</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48490-2024</t>
        </is>
      </c>
      <c r="B3294" s="1" t="n">
        <v>45592</v>
      </c>
      <c r="C3294" s="1" t="n">
        <v>45637</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48489-2024</t>
        </is>
      </c>
      <c r="B3295" s="1" t="n">
        <v>45592</v>
      </c>
      <c r="C3295" s="1" t="n">
        <v>45637</v>
      </c>
      <c r="D3295" t="inlineStr">
        <is>
          <t>VÄSTERNORRLANDS LÄN</t>
        </is>
      </c>
      <c r="E3295" t="inlineStr">
        <is>
          <t>SOLLEFTEÅ</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48491-2024</t>
        </is>
      </c>
      <c r="B3296" s="1" t="n">
        <v>45592</v>
      </c>
      <c r="C3296" s="1" t="n">
        <v>45637</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48720-2024</t>
        </is>
      </c>
      <c r="B3297" s="1" t="n">
        <v>45593</v>
      </c>
      <c r="C3297" s="1" t="n">
        <v>45637</v>
      </c>
      <c r="D3297" t="inlineStr">
        <is>
          <t>VÄSTERNORRLANDS LÄN</t>
        </is>
      </c>
      <c r="E3297" t="inlineStr">
        <is>
          <t>SOLLEFTEÅ</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48673-2024</t>
        </is>
      </c>
      <c r="B3298" s="1" t="n">
        <v>45593</v>
      </c>
      <c r="C3298" s="1" t="n">
        <v>45637</v>
      </c>
      <c r="D3298" t="inlineStr">
        <is>
          <t>VÄSTERNORRLANDS LÄN</t>
        </is>
      </c>
      <c r="E3298" t="inlineStr">
        <is>
          <t>SOLLEFTEÅ</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48528-2024</t>
        </is>
      </c>
      <c r="B3299" s="1" t="n">
        <v>45593</v>
      </c>
      <c r="C3299" s="1" t="n">
        <v>45637</v>
      </c>
      <c r="D3299" t="inlineStr">
        <is>
          <t>VÄSTERNORRLANDS LÄN</t>
        </is>
      </c>
      <c r="E3299" t="inlineStr">
        <is>
          <t>SOLLEFTEÅ</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48529-2024</t>
        </is>
      </c>
      <c r="B3300" s="1" t="n">
        <v>45593</v>
      </c>
      <c r="C3300" s="1" t="n">
        <v>45637</v>
      </c>
      <c r="D3300" t="inlineStr">
        <is>
          <t>VÄSTERNORRLANDS LÄN</t>
        </is>
      </c>
      <c r="E3300" t="inlineStr">
        <is>
          <t>SOLLEFTEÅ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48606-2024</t>
        </is>
      </c>
      <c r="B3301" s="1" t="n">
        <v>45593</v>
      </c>
      <c r="C3301" s="1" t="n">
        <v>45637</v>
      </c>
      <c r="D3301" t="inlineStr">
        <is>
          <t>VÄSTERNORRLANDS LÄN</t>
        </is>
      </c>
      <c r="E3301" t="inlineStr">
        <is>
          <t>SOLLEFTEÅ</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48785-2024</t>
        </is>
      </c>
      <c r="B3302" s="1" t="n">
        <v>45593</v>
      </c>
      <c r="C3302" s="1" t="n">
        <v>45637</v>
      </c>
      <c r="D3302" t="inlineStr">
        <is>
          <t>VÄSTERNORRLANDS LÄN</t>
        </is>
      </c>
      <c r="E3302" t="inlineStr">
        <is>
          <t>SOLLEFTEÅ</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48962-2024</t>
        </is>
      </c>
      <c r="B3303" s="1" t="n">
        <v>45594</v>
      </c>
      <c r="C3303" s="1" t="n">
        <v>45637</v>
      </c>
      <c r="D3303" t="inlineStr">
        <is>
          <t>VÄSTERNORRLANDS LÄN</t>
        </is>
      </c>
      <c r="E3303" t="inlineStr">
        <is>
          <t>SOLLEFTEÅ</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48897-2024</t>
        </is>
      </c>
      <c r="B3304" s="1" t="n">
        <v>45594</v>
      </c>
      <c r="C3304" s="1" t="n">
        <v>45637</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49156-2024</t>
        </is>
      </c>
      <c r="B3305" s="1" t="n">
        <v>45594</v>
      </c>
      <c r="C3305" s="1" t="n">
        <v>45637</v>
      </c>
      <c r="D3305" t="inlineStr">
        <is>
          <t>VÄSTERNORRLANDS LÄN</t>
        </is>
      </c>
      <c r="E3305" t="inlineStr">
        <is>
          <t>SOLLEFTEÅ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48895-2024</t>
        </is>
      </c>
      <c r="B3306" s="1" t="n">
        <v>45594</v>
      </c>
      <c r="C3306" s="1" t="n">
        <v>45637</v>
      </c>
      <c r="D3306" t="inlineStr">
        <is>
          <t>VÄSTERNORRLANDS LÄN</t>
        </is>
      </c>
      <c r="E3306" t="inlineStr">
        <is>
          <t>SOLLEFTEÅ</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49238-2024</t>
        </is>
      </c>
      <c r="B3307" s="1" t="n">
        <v>45595</v>
      </c>
      <c r="C3307" s="1" t="n">
        <v>45637</v>
      </c>
      <c r="D3307" t="inlineStr">
        <is>
          <t>VÄSTERNORRLANDS LÄN</t>
        </is>
      </c>
      <c r="E3307" t="inlineStr">
        <is>
          <t>SOLLEFTEÅ</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49373-2024</t>
        </is>
      </c>
      <c r="B3308" s="1" t="n">
        <v>45595</v>
      </c>
      <c r="C3308" s="1" t="n">
        <v>45637</v>
      </c>
      <c r="D3308" t="inlineStr">
        <is>
          <t>VÄSTERNORRLANDS LÄN</t>
        </is>
      </c>
      <c r="E3308" t="inlineStr">
        <is>
          <t>SOLLEFTEÅ</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49403-2024</t>
        </is>
      </c>
      <c r="B3309" s="1" t="n">
        <v>45595</v>
      </c>
      <c r="C3309" s="1" t="n">
        <v>45637</v>
      </c>
      <c r="D3309" t="inlineStr">
        <is>
          <t>VÄSTERNORRLANDS LÄN</t>
        </is>
      </c>
      <c r="E3309" t="inlineStr">
        <is>
          <t>SOLLEFTEÅ</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49253-2024</t>
        </is>
      </c>
      <c r="B3310" s="1" t="n">
        <v>45595</v>
      </c>
      <c r="C3310" s="1" t="n">
        <v>45637</v>
      </c>
      <c r="D3310" t="inlineStr">
        <is>
          <t>VÄSTERNORRLANDS LÄN</t>
        </is>
      </c>
      <c r="E3310" t="inlineStr">
        <is>
          <t>SOLLEFTEÅ</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49673-2024</t>
        </is>
      </c>
      <c r="B3311" s="1" t="n">
        <v>45596</v>
      </c>
      <c r="C3311" s="1" t="n">
        <v>45637</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49567-2024</t>
        </is>
      </c>
      <c r="B3312" s="1" t="n">
        <v>45596</v>
      </c>
      <c r="C3312" s="1" t="n">
        <v>45637</v>
      </c>
      <c r="D3312" t="inlineStr">
        <is>
          <t>VÄSTERNORRLANDS LÄN</t>
        </is>
      </c>
      <c r="E3312" t="inlineStr">
        <is>
          <t>SOLLEFTEÅ</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49629-2024</t>
        </is>
      </c>
      <c r="B3313" s="1" t="n">
        <v>45596</v>
      </c>
      <c r="C3313" s="1" t="n">
        <v>45637</v>
      </c>
      <c r="D3313" t="inlineStr">
        <is>
          <t>VÄSTERNORRLANDS LÄN</t>
        </is>
      </c>
      <c r="E3313" t="inlineStr">
        <is>
          <t>SOLLEFTEÅ</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49771-2024</t>
        </is>
      </c>
      <c r="B3314" s="1" t="n">
        <v>45597</v>
      </c>
      <c r="C3314" s="1" t="n">
        <v>45637</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49829-2024</t>
        </is>
      </c>
      <c r="B3315" s="1" t="n">
        <v>45597</v>
      </c>
      <c r="C3315" s="1" t="n">
        <v>45637</v>
      </c>
      <c r="D3315" t="inlineStr">
        <is>
          <t>VÄSTERNORRLANDS LÄN</t>
        </is>
      </c>
      <c r="E3315" t="inlineStr">
        <is>
          <t>SOLLEFTEÅ</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49772-2024</t>
        </is>
      </c>
      <c r="B3316" s="1" t="n">
        <v>45597</v>
      </c>
      <c r="C3316" s="1" t="n">
        <v>45637</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50007-2024</t>
        </is>
      </c>
      <c r="B3317" s="1" t="n">
        <v>45598</v>
      </c>
      <c r="C3317" s="1" t="n">
        <v>45637</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50008-2024</t>
        </is>
      </c>
      <c r="B3318" s="1" t="n">
        <v>45598</v>
      </c>
      <c r="C3318" s="1" t="n">
        <v>45637</v>
      </c>
      <c r="D3318" t="inlineStr">
        <is>
          <t>VÄSTERNORRLANDS LÄN</t>
        </is>
      </c>
      <c r="E3318" t="inlineStr">
        <is>
          <t>SOLLEFTEÅ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49999-2024</t>
        </is>
      </c>
      <c r="B3319" s="1" t="n">
        <v>45598</v>
      </c>
      <c r="C3319" s="1" t="n">
        <v>45637</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50006-2024</t>
        </is>
      </c>
      <c r="B3320" s="1" t="n">
        <v>45598</v>
      </c>
      <c r="C3320" s="1" t="n">
        <v>45637</v>
      </c>
      <c r="D3320" t="inlineStr">
        <is>
          <t>VÄSTERNORRLANDS LÄN</t>
        </is>
      </c>
      <c r="E3320" t="inlineStr">
        <is>
          <t>SOLLEFTEÅ</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50036-2024</t>
        </is>
      </c>
      <c r="B3321" s="1" t="n">
        <v>45599</v>
      </c>
      <c r="C3321" s="1" t="n">
        <v>45637</v>
      </c>
      <c r="D3321" t="inlineStr">
        <is>
          <t>VÄSTERNORRLANDS LÄN</t>
        </is>
      </c>
      <c r="E3321" t="inlineStr">
        <is>
          <t>SOLLEFTEÅ</t>
        </is>
      </c>
      <c r="G3321" t="n">
        <v>17.9</v>
      </c>
      <c r="H3321" t="n">
        <v>0</v>
      </c>
      <c r="I3321" t="n">
        <v>0</v>
      </c>
      <c r="J3321" t="n">
        <v>0</v>
      </c>
      <c r="K3321" t="n">
        <v>0</v>
      </c>
      <c r="L3321" t="n">
        <v>0</v>
      </c>
      <c r="M3321" t="n">
        <v>0</v>
      </c>
      <c r="N3321" t="n">
        <v>0</v>
      </c>
      <c r="O3321" t="n">
        <v>0</v>
      </c>
      <c r="P3321" t="n">
        <v>0</v>
      </c>
      <c r="Q3321" t="n">
        <v>0</v>
      </c>
      <c r="R3321" s="2" t="inlineStr"/>
    </row>
    <row r="3322" ht="15" customHeight="1">
      <c r="A3322" t="inlineStr">
        <is>
          <t>A 50089-2024</t>
        </is>
      </c>
      <c r="B3322" s="1" t="n">
        <v>45600</v>
      </c>
      <c r="C3322" s="1" t="n">
        <v>45637</v>
      </c>
      <c r="D3322" t="inlineStr">
        <is>
          <t>VÄSTERNORRLANDS LÄN</t>
        </is>
      </c>
      <c r="E3322" t="inlineStr">
        <is>
          <t>SOLLEFTEÅ</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50316-2024</t>
        </is>
      </c>
      <c r="B3323" s="1" t="n">
        <v>45600</v>
      </c>
      <c r="C3323" s="1" t="n">
        <v>45637</v>
      </c>
      <c r="D3323" t="inlineStr">
        <is>
          <t>VÄSTERNORRLANDS LÄN</t>
        </is>
      </c>
      <c r="E3323" t="inlineStr">
        <is>
          <t>SOLLEFTEÅ</t>
        </is>
      </c>
      <c r="F3323" t="inlineStr">
        <is>
          <t>SCA</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50090-2024</t>
        </is>
      </c>
      <c r="B3324" s="1" t="n">
        <v>45600</v>
      </c>
      <c r="C3324" s="1" t="n">
        <v>45637</v>
      </c>
      <c r="D3324" t="inlineStr">
        <is>
          <t>VÄSTERNORRLANDS LÄN</t>
        </is>
      </c>
      <c r="E3324" t="inlineStr">
        <is>
          <t>SOLLEFTEÅ</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50624-2024</t>
        </is>
      </c>
      <c r="B3325" s="1" t="n">
        <v>45601</v>
      </c>
      <c r="C3325" s="1" t="n">
        <v>45637</v>
      </c>
      <c r="D3325" t="inlineStr">
        <is>
          <t>VÄSTERNORRLANDS LÄN</t>
        </is>
      </c>
      <c r="E3325" t="inlineStr">
        <is>
          <t>SOLLEFTEÅ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50557-2024</t>
        </is>
      </c>
      <c r="B3326" s="1" t="n">
        <v>45601</v>
      </c>
      <c r="C3326" s="1" t="n">
        <v>45637</v>
      </c>
      <c r="D3326" t="inlineStr">
        <is>
          <t>VÄSTERNORRLANDS LÄN</t>
        </is>
      </c>
      <c r="E3326" t="inlineStr">
        <is>
          <t>SOLLEFTEÅ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50549-2024</t>
        </is>
      </c>
      <c r="B3327" s="1" t="n">
        <v>45601</v>
      </c>
      <c r="C3327" s="1" t="n">
        <v>45637</v>
      </c>
      <c r="D3327" t="inlineStr">
        <is>
          <t>VÄSTERNORRLANDS LÄN</t>
        </is>
      </c>
      <c r="E3327" t="inlineStr">
        <is>
          <t>SOLLEFTEÅ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50430-2024</t>
        </is>
      </c>
      <c r="B3328" s="1" t="n">
        <v>45601</v>
      </c>
      <c r="C3328" s="1" t="n">
        <v>45637</v>
      </c>
      <c r="D3328" t="inlineStr">
        <is>
          <t>VÄSTERNORRLANDS LÄN</t>
        </is>
      </c>
      <c r="E3328" t="inlineStr">
        <is>
          <t>SOLLEFTEÅ</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50625-2024</t>
        </is>
      </c>
      <c r="B3329" s="1" t="n">
        <v>45601</v>
      </c>
      <c r="C3329" s="1" t="n">
        <v>45637</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50717-2024</t>
        </is>
      </c>
      <c r="B3330" s="1" t="n">
        <v>45602</v>
      </c>
      <c r="C3330" s="1" t="n">
        <v>45637</v>
      </c>
      <c r="D3330" t="inlineStr">
        <is>
          <t>VÄSTERNORRLANDS LÄN</t>
        </is>
      </c>
      <c r="E3330" t="inlineStr">
        <is>
          <t>SOLLEFTEÅ</t>
        </is>
      </c>
      <c r="F3330" t="inlineStr">
        <is>
          <t>SCA</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50721-2024</t>
        </is>
      </c>
      <c r="B3331" s="1" t="n">
        <v>45602</v>
      </c>
      <c r="C3331" s="1" t="n">
        <v>45637</v>
      </c>
      <c r="D3331" t="inlineStr">
        <is>
          <t>VÄSTERNORRLANDS LÄN</t>
        </is>
      </c>
      <c r="E3331" t="inlineStr">
        <is>
          <t>SOLLEFTEÅ</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50864-2024</t>
        </is>
      </c>
      <c r="B3332" s="1" t="n">
        <v>45602</v>
      </c>
      <c r="C3332" s="1" t="n">
        <v>45637</v>
      </c>
      <c r="D3332" t="inlineStr">
        <is>
          <t>VÄSTERNORRLANDS LÄN</t>
        </is>
      </c>
      <c r="E3332" t="inlineStr">
        <is>
          <t>SOLLEFTEÅ</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50751-2024</t>
        </is>
      </c>
      <c r="B3333" s="1" t="n">
        <v>45602</v>
      </c>
      <c r="C3333" s="1" t="n">
        <v>45637</v>
      </c>
      <c r="D3333" t="inlineStr">
        <is>
          <t>VÄSTERNORRLANDS LÄN</t>
        </is>
      </c>
      <c r="E3333" t="inlineStr">
        <is>
          <t>SOLLEFTEÅ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50720-2024</t>
        </is>
      </c>
      <c r="B3334" s="1" t="n">
        <v>45602</v>
      </c>
      <c r="C3334" s="1" t="n">
        <v>45637</v>
      </c>
      <c r="D3334" t="inlineStr">
        <is>
          <t>VÄSTERNORRLANDS LÄN</t>
        </is>
      </c>
      <c r="E3334" t="inlineStr">
        <is>
          <t>SOLLEFTEÅ</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50770-2024</t>
        </is>
      </c>
      <c r="B3335" s="1" t="n">
        <v>45602</v>
      </c>
      <c r="C3335" s="1" t="n">
        <v>45637</v>
      </c>
      <c r="D3335" t="inlineStr">
        <is>
          <t>VÄSTERNORRLANDS LÄN</t>
        </is>
      </c>
      <c r="E3335" t="inlineStr">
        <is>
          <t>SOLLEFTEÅ</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50877-2024</t>
        </is>
      </c>
      <c r="B3336" s="1" t="n">
        <v>45602</v>
      </c>
      <c r="C3336" s="1" t="n">
        <v>45637</v>
      </c>
      <c r="D3336" t="inlineStr">
        <is>
          <t>VÄSTERNORRLANDS LÄN</t>
        </is>
      </c>
      <c r="E3336" t="inlineStr">
        <is>
          <t>SOLLEFTEÅ</t>
        </is>
      </c>
      <c r="G3336" t="n">
        <v>15.2</v>
      </c>
      <c r="H3336" t="n">
        <v>0</v>
      </c>
      <c r="I3336" t="n">
        <v>0</v>
      </c>
      <c r="J3336" t="n">
        <v>0</v>
      </c>
      <c r="K3336" t="n">
        <v>0</v>
      </c>
      <c r="L3336" t="n">
        <v>0</v>
      </c>
      <c r="M3336" t="n">
        <v>0</v>
      </c>
      <c r="N3336" t="n">
        <v>0</v>
      </c>
      <c r="O3336" t="n">
        <v>0</v>
      </c>
      <c r="P3336" t="n">
        <v>0</v>
      </c>
      <c r="Q3336" t="n">
        <v>0</v>
      </c>
      <c r="R3336" s="2" t="inlineStr"/>
    </row>
    <row r="3337" ht="15" customHeight="1">
      <c r="A3337" t="inlineStr">
        <is>
          <t>A 51193-2024</t>
        </is>
      </c>
      <c r="B3337" s="1" t="n">
        <v>45603</v>
      </c>
      <c r="C3337" s="1" t="n">
        <v>45637</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50963-2024</t>
        </is>
      </c>
      <c r="B3338" s="1" t="n">
        <v>45603</v>
      </c>
      <c r="C3338" s="1" t="n">
        <v>45637</v>
      </c>
      <c r="D3338" t="inlineStr">
        <is>
          <t>VÄSTERNORRLANDS LÄN</t>
        </is>
      </c>
      <c r="E3338" t="inlineStr">
        <is>
          <t>SOLLEFTEÅ</t>
        </is>
      </c>
      <c r="F3338" t="inlineStr">
        <is>
          <t>Holmen skog AB</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51224-2024</t>
        </is>
      </c>
      <c r="B3339" s="1" t="n">
        <v>45603</v>
      </c>
      <c r="C3339" s="1" t="n">
        <v>45637</v>
      </c>
      <c r="D3339" t="inlineStr">
        <is>
          <t>VÄSTERNORRLANDS LÄN</t>
        </is>
      </c>
      <c r="E3339" t="inlineStr">
        <is>
          <t>SOLLEFTEÅ</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51055-2024</t>
        </is>
      </c>
      <c r="B3340" s="1" t="n">
        <v>45603</v>
      </c>
      <c r="C3340" s="1" t="n">
        <v>45637</v>
      </c>
      <c r="D3340" t="inlineStr">
        <is>
          <t>VÄSTERNORRLANDS LÄN</t>
        </is>
      </c>
      <c r="E3340" t="inlineStr">
        <is>
          <t>SOLLEFTEÅ</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51226-2024</t>
        </is>
      </c>
      <c r="B3341" s="1" t="n">
        <v>45603</v>
      </c>
      <c r="C3341" s="1" t="n">
        <v>45637</v>
      </c>
      <c r="D3341" t="inlineStr">
        <is>
          <t>VÄSTERNORRLANDS LÄN</t>
        </is>
      </c>
      <c r="E3341" t="inlineStr">
        <is>
          <t>SOLLEFTEÅ</t>
        </is>
      </c>
      <c r="F3341" t="inlineStr">
        <is>
          <t>SCA</t>
        </is>
      </c>
      <c r="G3341" t="n">
        <v>13.9</v>
      </c>
      <c r="H3341" t="n">
        <v>0</v>
      </c>
      <c r="I3341" t="n">
        <v>0</v>
      </c>
      <c r="J3341" t="n">
        <v>0</v>
      </c>
      <c r="K3341" t="n">
        <v>0</v>
      </c>
      <c r="L3341" t="n">
        <v>0</v>
      </c>
      <c r="M3341" t="n">
        <v>0</v>
      </c>
      <c r="N3341" t="n">
        <v>0</v>
      </c>
      <c r="O3341" t="n">
        <v>0</v>
      </c>
      <c r="P3341" t="n">
        <v>0</v>
      </c>
      <c r="Q3341" t="n">
        <v>0</v>
      </c>
      <c r="R3341" s="2" t="inlineStr"/>
    </row>
    <row r="3342" ht="15" customHeight="1">
      <c r="A3342" t="inlineStr">
        <is>
          <t>A 51132-2024</t>
        </is>
      </c>
      <c r="B3342" s="1" t="n">
        <v>45603</v>
      </c>
      <c r="C3342" s="1" t="n">
        <v>45637</v>
      </c>
      <c r="D3342" t="inlineStr">
        <is>
          <t>VÄSTERNORRLANDS LÄN</t>
        </is>
      </c>
      <c r="E3342" t="inlineStr">
        <is>
          <t>SOLLEFTEÅ</t>
        </is>
      </c>
      <c r="F3342" t="inlineStr">
        <is>
          <t>SCA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51264-2024</t>
        </is>
      </c>
      <c r="B3343" s="1" t="n">
        <v>45603</v>
      </c>
      <c r="C3343" s="1" t="n">
        <v>45637</v>
      </c>
      <c r="D3343" t="inlineStr">
        <is>
          <t>VÄSTERNORRLANDS LÄN</t>
        </is>
      </c>
      <c r="E3343" t="inlineStr">
        <is>
          <t>SOLLEFTEÅ</t>
        </is>
      </c>
      <c r="F3343" t="inlineStr">
        <is>
          <t>SCA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51227-2024</t>
        </is>
      </c>
      <c r="B3344" s="1" t="n">
        <v>45603</v>
      </c>
      <c r="C3344" s="1" t="n">
        <v>45637</v>
      </c>
      <c r="D3344" t="inlineStr">
        <is>
          <t>VÄSTERNORRLANDS LÄN</t>
        </is>
      </c>
      <c r="E3344" t="inlineStr">
        <is>
          <t>SOLLEFTEÅ</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51402-2024</t>
        </is>
      </c>
      <c r="B3345" s="1" t="n">
        <v>45604</v>
      </c>
      <c r="C3345" s="1" t="n">
        <v>45637</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51527-2024</t>
        </is>
      </c>
      <c r="B3346" s="1" t="n">
        <v>45604</v>
      </c>
      <c r="C3346" s="1" t="n">
        <v>45637</v>
      </c>
      <c r="D3346" t="inlineStr">
        <is>
          <t>VÄSTERNORRLANDS LÄN</t>
        </is>
      </c>
      <c r="E3346" t="inlineStr">
        <is>
          <t>SOLLEFTEÅ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51573-2024</t>
        </is>
      </c>
      <c r="B3347" s="1" t="n">
        <v>45604</v>
      </c>
      <c r="C3347" s="1" t="n">
        <v>45637</v>
      </c>
      <c r="D3347" t="inlineStr">
        <is>
          <t>VÄSTERNORRLANDS LÄN</t>
        </is>
      </c>
      <c r="E3347" t="inlineStr">
        <is>
          <t>SOLLEFTEÅ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51528-2024</t>
        </is>
      </c>
      <c r="B3348" s="1" t="n">
        <v>45604</v>
      </c>
      <c r="C3348" s="1" t="n">
        <v>45637</v>
      </c>
      <c r="D3348" t="inlineStr">
        <is>
          <t>VÄSTERNORRLANDS LÄN</t>
        </is>
      </c>
      <c r="E3348" t="inlineStr">
        <is>
          <t>SOLLEFTEÅ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51341-2024</t>
        </is>
      </c>
      <c r="B3349" s="1" t="n">
        <v>45604</v>
      </c>
      <c r="C3349" s="1" t="n">
        <v>45637</v>
      </c>
      <c r="D3349" t="inlineStr">
        <is>
          <t>VÄSTERNORRLANDS LÄN</t>
        </is>
      </c>
      <c r="E3349" t="inlineStr">
        <is>
          <t>SOLLEFTEÅ</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51505-2024</t>
        </is>
      </c>
      <c r="B3350" s="1" t="n">
        <v>45604</v>
      </c>
      <c r="C3350" s="1" t="n">
        <v>45637</v>
      </c>
      <c r="D3350" t="inlineStr">
        <is>
          <t>VÄSTERNORRLANDS LÄN</t>
        </is>
      </c>
      <c r="E3350" t="inlineStr">
        <is>
          <t>SOLLEFTEÅ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51616-2024</t>
        </is>
      </c>
      <c r="B3351" s="1" t="n">
        <v>45604</v>
      </c>
      <c r="C3351" s="1" t="n">
        <v>45637</v>
      </c>
      <c r="D3351" t="inlineStr">
        <is>
          <t>VÄSTERNORRLANDS LÄN</t>
        </is>
      </c>
      <c r="E3351" t="inlineStr">
        <is>
          <t>SOLLEFTEÅ</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51693-2024</t>
        </is>
      </c>
      <c r="B3352" s="1" t="n">
        <v>45607</v>
      </c>
      <c r="C3352" s="1" t="n">
        <v>45637</v>
      </c>
      <c r="D3352" t="inlineStr">
        <is>
          <t>VÄSTERNORRLANDS LÄN</t>
        </is>
      </c>
      <c r="E3352" t="inlineStr">
        <is>
          <t>SOLLEFTEÅ</t>
        </is>
      </c>
      <c r="F3352" t="inlineStr">
        <is>
          <t>SCA</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51872-2024</t>
        </is>
      </c>
      <c r="B3353" s="1" t="n">
        <v>45607</v>
      </c>
      <c r="C3353" s="1" t="n">
        <v>45637</v>
      </c>
      <c r="D3353" t="inlineStr">
        <is>
          <t>VÄSTERNORRLANDS LÄN</t>
        </is>
      </c>
      <c r="E3353" t="inlineStr">
        <is>
          <t>SOLLEFTEÅ</t>
        </is>
      </c>
      <c r="F3353" t="inlineStr">
        <is>
          <t>SCA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51942-2024</t>
        </is>
      </c>
      <c r="B3354" s="1" t="n">
        <v>45607</v>
      </c>
      <c r="C3354" s="1" t="n">
        <v>45637</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51735-2024</t>
        </is>
      </c>
      <c r="B3355" s="1" t="n">
        <v>45607</v>
      </c>
      <c r="C3355" s="1" t="n">
        <v>45637</v>
      </c>
      <c r="D3355" t="inlineStr">
        <is>
          <t>VÄSTERNORRLANDS LÄN</t>
        </is>
      </c>
      <c r="E3355" t="inlineStr">
        <is>
          <t>SOLLEFTEÅ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51890-2024</t>
        </is>
      </c>
      <c r="B3356" s="1" t="n">
        <v>45607</v>
      </c>
      <c r="C3356" s="1" t="n">
        <v>45637</v>
      </c>
      <c r="D3356" t="inlineStr">
        <is>
          <t>VÄSTERNORRLANDS LÄN</t>
        </is>
      </c>
      <c r="E3356" t="inlineStr">
        <is>
          <t>SOLLEFTEÅ</t>
        </is>
      </c>
      <c r="F3356" t="inlineStr">
        <is>
          <t>SCA</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51743-2024</t>
        </is>
      </c>
      <c r="B3357" s="1" t="n">
        <v>45607</v>
      </c>
      <c r="C3357" s="1" t="n">
        <v>45637</v>
      </c>
      <c r="D3357" t="inlineStr">
        <is>
          <t>VÄSTERNORRLANDS LÄN</t>
        </is>
      </c>
      <c r="E3357" t="inlineStr">
        <is>
          <t>SOLLEFTEÅ</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52341-2024</t>
        </is>
      </c>
      <c r="B3358" s="1" t="n">
        <v>45609</v>
      </c>
      <c r="C3358" s="1" t="n">
        <v>45637</v>
      </c>
      <c r="D3358" t="inlineStr">
        <is>
          <t>VÄSTERNORRLANDS LÄN</t>
        </is>
      </c>
      <c r="E3358" t="inlineStr">
        <is>
          <t>SOLLEFTEÅ</t>
        </is>
      </c>
      <c r="F3358" t="inlineStr">
        <is>
          <t>Holmen skog AB</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52406-2024</t>
        </is>
      </c>
      <c r="B3359" s="1" t="n">
        <v>45609</v>
      </c>
      <c r="C3359" s="1" t="n">
        <v>45637</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52461-2024</t>
        </is>
      </c>
      <c r="B3360" s="1" t="n">
        <v>45609</v>
      </c>
      <c r="C3360" s="1" t="n">
        <v>45637</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52530-2024</t>
        </is>
      </c>
      <c r="B3361" s="1" t="n">
        <v>45609</v>
      </c>
      <c r="C3361" s="1" t="n">
        <v>45637</v>
      </c>
      <c r="D3361" t="inlineStr">
        <is>
          <t>VÄSTERNORRLANDS LÄN</t>
        </is>
      </c>
      <c r="E3361" t="inlineStr">
        <is>
          <t>SOLLEFTEÅ</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52438-2024</t>
        </is>
      </c>
      <c r="B3362" s="1" t="n">
        <v>45609</v>
      </c>
      <c r="C3362" s="1" t="n">
        <v>45637</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52455-2024</t>
        </is>
      </c>
      <c r="B3363" s="1" t="n">
        <v>45609</v>
      </c>
      <c r="C3363" s="1" t="n">
        <v>45637</v>
      </c>
      <c r="D3363" t="inlineStr">
        <is>
          <t>VÄSTERNORRLANDS LÄN</t>
        </is>
      </c>
      <c r="E3363" t="inlineStr">
        <is>
          <t>SOLLEFTEÅ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52471-2024</t>
        </is>
      </c>
      <c r="B3364" s="1" t="n">
        <v>45609</v>
      </c>
      <c r="C3364" s="1" t="n">
        <v>45637</v>
      </c>
      <c r="D3364" t="inlineStr">
        <is>
          <t>VÄSTERNORRLANDS LÄN</t>
        </is>
      </c>
      <c r="E3364" t="inlineStr">
        <is>
          <t>SOLLEFTEÅ</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45637</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52602-2024</t>
        </is>
      </c>
      <c r="B3366" s="1" t="n">
        <v>45609</v>
      </c>
      <c r="C3366" s="1" t="n">
        <v>45637</v>
      </c>
      <c r="D3366" t="inlineStr">
        <is>
          <t>VÄSTERNORRLANDS LÄN</t>
        </is>
      </c>
      <c r="E3366" t="inlineStr">
        <is>
          <t>SOLLEFTEÅ</t>
        </is>
      </c>
      <c r="G3366" t="n">
        <v>10.8</v>
      </c>
      <c r="H3366" t="n">
        <v>0</v>
      </c>
      <c r="I3366" t="n">
        <v>0</v>
      </c>
      <c r="J3366" t="n">
        <v>0</v>
      </c>
      <c r="K3366" t="n">
        <v>0</v>
      </c>
      <c r="L3366" t="n">
        <v>0</v>
      </c>
      <c r="M3366" t="n">
        <v>0</v>
      </c>
      <c r="N3366" t="n">
        <v>0</v>
      </c>
      <c r="O3366" t="n">
        <v>0</v>
      </c>
      <c r="P3366" t="n">
        <v>0</v>
      </c>
      <c r="Q3366" t="n">
        <v>0</v>
      </c>
      <c r="R3366" s="2" t="inlineStr"/>
    </row>
    <row r="3367" ht="15" customHeight="1">
      <c r="A3367" t="inlineStr">
        <is>
          <t>A 52662-2024</t>
        </is>
      </c>
      <c r="B3367" s="1" t="n">
        <v>45610</v>
      </c>
      <c r="C3367" s="1" t="n">
        <v>45637</v>
      </c>
      <c r="D3367" t="inlineStr">
        <is>
          <t>VÄSTERNORRLANDS LÄN</t>
        </is>
      </c>
      <c r="E3367" t="inlineStr">
        <is>
          <t>SOLLEFTEÅ</t>
        </is>
      </c>
      <c r="F3367" t="inlineStr">
        <is>
          <t>SCA</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52702-2024</t>
        </is>
      </c>
      <c r="B3368" s="1" t="n">
        <v>45610</v>
      </c>
      <c r="C3368" s="1" t="n">
        <v>45637</v>
      </c>
      <c r="D3368" t="inlineStr">
        <is>
          <t>VÄSTERNORRLANDS LÄN</t>
        </is>
      </c>
      <c r="E3368" t="inlineStr">
        <is>
          <t>SOLLEFTEÅ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52681-2024</t>
        </is>
      </c>
      <c r="B3369" s="1" t="n">
        <v>45610</v>
      </c>
      <c r="C3369" s="1" t="n">
        <v>45637</v>
      </c>
      <c r="D3369" t="inlineStr">
        <is>
          <t>VÄSTERNORRLANDS LÄN</t>
        </is>
      </c>
      <c r="E3369" t="inlineStr">
        <is>
          <t>SOLLEFTEÅ</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52709-2024</t>
        </is>
      </c>
      <c r="B3370" s="1" t="n">
        <v>45610</v>
      </c>
      <c r="C3370" s="1" t="n">
        <v>45637</v>
      </c>
      <c r="D3370" t="inlineStr">
        <is>
          <t>VÄSTERNORRLANDS LÄN</t>
        </is>
      </c>
      <c r="E3370" t="inlineStr">
        <is>
          <t>SOLLEFTEÅ</t>
        </is>
      </c>
      <c r="F3370" t="inlineStr">
        <is>
          <t>SCA</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52768-2024</t>
        </is>
      </c>
      <c r="B3371" s="1" t="n">
        <v>45610</v>
      </c>
      <c r="C3371" s="1" t="n">
        <v>45637</v>
      </c>
      <c r="D3371" t="inlineStr">
        <is>
          <t>VÄSTERNORRLANDS LÄN</t>
        </is>
      </c>
      <c r="E3371" t="inlineStr">
        <is>
          <t>SOLLEFTEÅ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52663-2024</t>
        </is>
      </c>
      <c r="B3372" s="1" t="n">
        <v>45610</v>
      </c>
      <c r="C3372" s="1" t="n">
        <v>45637</v>
      </c>
      <c r="D3372" t="inlineStr">
        <is>
          <t>VÄSTERNORRLANDS LÄN</t>
        </is>
      </c>
      <c r="E3372" t="inlineStr">
        <is>
          <t>SOLLEFTEÅ</t>
        </is>
      </c>
      <c r="F3372" t="inlineStr">
        <is>
          <t>SCA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53120-2024</t>
        </is>
      </c>
      <c r="B3373" s="1" t="n">
        <v>45611</v>
      </c>
      <c r="C3373" s="1" t="n">
        <v>45637</v>
      </c>
      <c r="D3373" t="inlineStr">
        <is>
          <t>VÄSTERNORRLANDS LÄN</t>
        </is>
      </c>
      <c r="E3373" t="inlineStr">
        <is>
          <t>SOLLEFTEÅ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53165-2024</t>
        </is>
      </c>
      <c r="B3374" s="1" t="n">
        <v>45611</v>
      </c>
      <c r="C3374" s="1" t="n">
        <v>45637</v>
      </c>
      <c r="D3374" t="inlineStr">
        <is>
          <t>VÄSTERNORRLANDS LÄN</t>
        </is>
      </c>
      <c r="E3374" t="inlineStr">
        <is>
          <t>SOLLEFTEÅ</t>
        </is>
      </c>
      <c r="F3374" t="inlineStr">
        <is>
          <t>Holmen skog AB</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53477-2024</t>
        </is>
      </c>
      <c r="B3375" s="1" t="n">
        <v>45611</v>
      </c>
      <c r="C3375" s="1" t="n">
        <v>45637</v>
      </c>
      <c r="D3375" t="inlineStr">
        <is>
          <t>VÄSTERNORRLANDS LÄN</t>
        </is>
      </c>
      <c r="E3375" t="inlineStr">
        <is>
          <t>SOLLEFTEÅ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53483-2024</t>
        </is>
      </c>
      <c r="B3376" s="1" t="n">
        <v>45611</v>
      </c>
      <c r="C3376" s="1" t="n">
        <v>45637</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53212-2024</t>
        </is>
      </c>
      <c r="B3377" s="1" t="n">
        <v>45612</v>
      </c>
      <c r="C3377" s="1" t="n">
        <v>45637</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53206-2024</t>
        </is>
      </c>
      <c r="B3378" s="1" t="n">
        <v>45612</v>
      </c>
      <c r="C3378" s="1" t="n">
        <v>45637</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53210-2024</t>
        </is>
      </c>
      <c r="B3379" s="1" t="n">
        <v>45612</v>
      </c>
      <c r="C3379" s="1" t="n">
        <v>45637</v>
      </c>
      <c r="D3379" t="inlineStr">
        <is>
          <t>VÄSTERNORRLANDS LÄN</t>
        </is>
      </c>
      <c r="E3379" t="inlineStr">
        <is>
          <t>SOLLEFTEÅ</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53321-2024</t>
        </is>
      </c>
      <c r="B3380" s="1" t="n">
        <v>45614</v>
      </c>
      <c r="C3380" s="1" t="n">
        <v>45637</v>
      </c>
      <c r="D3380" t="inlineStr">
        <is>
          <t>VÄSTERNORRLANDS LÄN</t>
        </is>
      </c>
      <c r="E3380" t="inlineStr">
        <is>
          <t>SOLLEFTEÅ</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53325-2024</t>
        </is>
      </c>
      <c r="B3381" s="1" t="n">
        <v>45614</v>
      </c>
      <c r="C3381" s="1" t="n">
        <v>45637</v>
      </c>
      <c r="D3381" t="inlineStr">
        <is>
          <t>VÄSTERNORRLANDS LÄN</t>
        </is>
      </c>
      <c r="E3381" t="inlineStr">
        <is>
          <t>SOLLEFTEÅ</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53327-2024</t>
        </is>
      </c>
      <c r="B3382" s="1" t="n">
        <v>45614</v>
      </c>
      <c r="C3382" s="1" t="n">
        <v>45637</v>
      </c>
      <c r="D3382" t="inlineStr">
        <is>
          <t>VÄSTERNORRLANDS LÄN</t>
        </is>
      </c>
      <c r="E3382" t="inlineStr">
        <is>
          <t>SOLLEFTEÅ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53330-2024</t>
        </is>
      </c>
      <c r="B3383" s="1" t="n">
        <v>45614</v>
      </c>
      <c r="C3383" s="1" t="n">
        <v>45637</v>
      </c>
      <c r="D3383" t="inlineStr">
        <is>
          <t>VÄSTERNORRLANDS LÄN</t>
        </is>
      </c>
      <c r="E3383" t="inlineStr">
        <is>
          <t>SOLLEFTEÅ</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53334-2024</t>
        </is>
      </c>
      <c r="B3384" s="1" t="n">
        <v>45614</v>
      </c>
      <c r="C3384" s="1" t="n">
        <v>45637</v>
      </c>
      <c r="D3384" t="inlineStr">
        <is>
          <t>VÄSTERNORRLANDS LÄN</t>
        </is>
      </c>
      <c r="E3384" t="inlineStr">
        <is>
          <t>SOLLEFTEÅ</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53332-2024</t>
        </is>
      </c>
      <c r="B3385" s="1" t="n">
        <v>45614</v>
      </c>
      <c r="C3385" s="1" t="n">
        <v>45637</v>
      </c>
      <c r="D3385" t="inlineStr">
        <is>
          <t>VÄSTERNORRLANDS LÄN</t>
        </is>
      </c>
      <c r="E3385" t="inlineStr">
        <is>
          <t>SOLLEFTEÅ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53545-2024</t>
        </is>
      </c>
      <c r="B3386" s="1" t="n">
        <v>45614</v>
      </c>
      <c r="C3386" s="1" t="n">
        <v>45637</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53855-2024</t>
        </is>
      </c>
      <c r="B3387" s="1" t="n">
        <v>45615</v>
      </c>
      <c r="C3387" s="1" t="n">
        <v>45637</v>
      </c>
      <c r="D3387" t="inlineStr">
        <is>
          <t>VÄSTERNORRLANDS LÄN</t>
        </is>
      </c>
      <c r="E3387" t="inlineStr">
        <is>
          <t>SOLLEFTEÅ</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53831-2024</t>
        </is>
      </c>
      <c r="B3388" s="1" t="n">
        <v>45615</v>
      </c>
      <c r="C3388" s="1" t="n">
        <v>45637</v>
      </c>
      <c r="D3388" t="inlineStr">
        <is>
          <t>VÄSTERNORRLANDS LÄN</t>
        </is>
      </c>
      <c r="E3388" t="inlineStr">
        <is>
          <t>SOLLEFTEÅ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54073-2024</t>
        </is>
      </c>
      <c r="B3389" s="1" t="n">
        <v>45616</v>
      </c>
      <c r="C3389" s="1" t="n">
        <v>45637</v>
      </c>
      <c r="D3389" t="inlineStr">
        <is>
          <t>VÄSTERNORRLANDS LÄN</t>
        </is>
      </c>
      <c r="E3389" t="inlineStr">
        <is>
          <t>SOLLEFTEÅ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54177-2024</t>
        </is>
      </c>
      <c r="B3390" s="1" t="n">
        <v>45616</v>
      </c>
      <c r="C3390" s="1" t="n">
        <v>45637</v>
      </c>
      <c r="D3390" t="inlineStr">
        <is>
          <t>VÄSTERNORRLANDS LÄN</t>
        </is>
      </c>
      <c r="E3390" t="inlineStr">
        <is>
          <t>SOLLEFTEÅ</t>
        </is>
      </c>
      <c r="F3390" t="inlineStr">
        <is>
          <t>SCA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54233-2024</t>
        </is>
      </c>
      <c r="B3391" s="1" t="n">
        <v>45616</v>
      </c>
      <c r="C3391" s="1" t="n">
        <v>45637</v>
      </c>
      <c r="D3391" t="inlineStr">
        <is>
          <t>VÄSTERNORRLANDS LÄN</t>
        </is>
      </c>
      <c r="E3391" t="inlineStr">
        <is>
          <t>SOLLEFTEÅ</t>
        </is>
      </c>
      <c r="F3391" t="inlineStr">
        <is>
          <t>SCA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54241-2024</t>
        </is>
      </c>
      <c r="B3392" s="1" t="n">
        <v>45616</v>
      </c>
      <c r="C3392" s="1" t="n">
        <v>45637</v>
      </c>
      <c r="D3392" t="inlineStr">
        <is>
          <t>VÄSTERNORRLANDS LÄN</t>
        </is>
      </c>
      <c r="E3392" t="inlineStr">
        <is>
          <t>SOLLEFTEÅ</t>
        </is>
      </c>
      <c r="F3392" t="inlineStr">
        <is>
          <t>SCA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54231-2024</t>
        </is>
      </c>
      <c r="B3393" s="1" t="n">
        <v>45616</v>
      </c>
      <c r="C3393" s="1" t="n">
        <v>45637</v>
      </c>
      <c r="D3393" t="inlineStr">
        <is>
          <t>VÄSTERNORRLANDS LÄN</t>
        </is>
      </c>
      <c r="E3393" t="inlineStr">
        <is>
          <t>SOLLEFTEÅ</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54235-2024</t>
        </is>
      </c>
      <c r="B3394" s="1" t="n">
        <v>45616</v>
      </c>
      <c r="C3394" s="1" t="n">
        <v>45637</v>
      </c>
      <c r="D3394" t="inlineStr">
        <is>
          <t>VÄSTERNORRLANDS LÄN</t>
        </is>
      </c>
      <c r="E3394" t="inlineStr">
        <is>
          <t>SOLLEFTEÅ</t>
        </is>
      </c>
      <c r="F3394" t="inlineStr">
        <is>
          <t>SCA</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54094-2024</t>
        </is>
      </c>
      <c r="B3395" s="1" t="n">
        <v>45616</v>
      </c>
      <c r="C3395" s="1" t="n">
        <v>45637</v>
      </c>
      <c r="D3395" t="inlineStr">
        <is>
          <t>VÄSTERNORRLANDS LÄN</t>
        </is>
      </c>
      <c r="E3395" t="inlineStr">
        <is>
          <t>SOLLEFTEÅ</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54240-2024</t>
        </is>
      </c>
      <c r="B3396" s="1" t="n">
        <v>45616</v>
      </c>
      <c r="C3396" s="1" t="n">
        <v>45637</v>
      </c>
      <c r="D3396" t="inlineStr">
        <is>
          <t>VÄSTERNORRLANDS LÄN</t>
        </is>
      </c>
      <c r="E3396" t="inlineStr">
        <is>
          <t>SOLLEFTEÅ</t>
        </is>
      </c>
      <c r="F3396" t="inlineStr">
        <is>
          <t>SCA</t>
        </is>
      </c>
      <c r="G3396" t="n">
        <v>38.4</v>
      </c>
      <c r="H3396" t="n">
        <v>0</v>
      </c>
      <c r="I3396" t="n">
        <v>0</v>
      </c>
      <c r="J3396" t="n">
        <v>0</v>
      </c>
      <c r="K3396" t="n">
        <v>0</v>
      </c>
      <c r="L3396" t="n">
        <v>0</v>
      </c>
      <c r="M3396" t="n">
        <v>0</v>
      </c>
      <c r="N3396" t="n">
        <v>0</v>
      </c>
      <c r="O3396" t="n">
        <v>0</v>
      </c>
      <c r="P3396" t="n">
        <v>0</v>
      </c>
      <c r="Q3396" t="n">
        <v>0</v>
      </c>
      <c r="R3396" s="2" t="inlineStr"/>
    </row>
    <row r="3397" ht="15" customHeight="1">
      <c r="A3397" t="inlineStr">
        <is>
          <t>A 54234-2024</t>
        </is>
      </c>
      <c r="B3397" s="1" t="n">
        <v>45616</v>
      </c>
      <c r="C3397" s="1" t="n">
        <v>45637</v>
      </c>
      <c r="D3397" t="inlineStr">
        <is>
          <t>VÄSTERNORRLANDS LÄN</t>
        </is>
      </c>
      <c r="E3397" t="inlineStr">
        <is>
          <t>SOLLEFTEÅ</t>
        </is>
      </c>
      <c r="F3397" t="inlineStr">
        <is>
          <t>SCA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54238-2024</t>
        </is>
      </c>
      <c r="B3398" s="1" t="n">
        <v>45616</v>
      </c>
      <c r="C3398" s="1" t="n">
        <v>45637</v>
      </c>
      <c r="D3398" t="inlineStr">
        <is>
          <t>VÄSTERNORRLANDS LÄN</t>
        </is>
      </c>
      <c r="E3398" t="inlineStr">
        <is>
          <t>SOLLEFTEÅ</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54532-2024</t>
        </is>
      </c>
      <c r="B3399" s="1" t="n">
        <v>45617</v>
      </c>
      <c r="C3399" s="1" t="n">
        <v>45637</v>
      </c>
      <c r="D3399" t="inlineStr">
        <is>
          <t>VÄSTERNORRLANDS LÄN</t>
        </is>
      </c>
      <c r="E3399" t="inlineStr">
        <is>
          <t>SOLLEFTEÅ</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54553-2024</t>
        </is>
      </c>
      <c r="B3400" s="1" t="n">
        <v>45617</v>
      </c>
      <c r="C3400" s="1" t="n">
        <v>45637</v>
      </c>
      <c r="D3400" t="inlineStr">
        <is>
          <t>VÄSTERNORRLANDS LÄN</t>
        </is>
      </c>
      <c r="E3400" t="inlineStr">
        <is>
          <t>SOLLEFTEÅ</t>
        </is>
      </c>
      <c r="F3400" t="inlineStr">
        <is>
          <t>SCA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54485-2024</t>
        </is>
      </c>
      <c r="B3401" s="1" t="n">
        <v>45617</v>
      </c>
      <c r="C3401" s="1" t="n">
        <v>45637</v>
      </c>
      <c r="D3401" t="inlineStr">
        <is>
          <t>VÄSTERNORRLANDS LÄN</t>
        </is>
      </c>
      <c r="E3401" t="inlineStr">
        <is>
          <t>SOLLEFTEÅ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54574-2024</t>
        </is>
      </c>
      <c r="B3402" s="1" t="n">
        <v>45617</v>
      </c>
      <c r="C3402" s="1" t="n">
        <v>45637</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54575-2024</t>
        </is>
      </c>
      <c r="B3403" s="1" t="n">
        <v>45617</v>
      </c>
      <c r="C3403" s="1" t="n">
        <v>45637</v>
      </c>
      <c r="D3403" t="inlineStr">
        <is>
          <t>VÄSTERNORRLANDS LÄN</t>
        </is>
      </c>
      <c r="E3403" t="inlineStr">
        <is>
          <t>SOLLEFTEÅ</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54458-2024</t>
        </is>
      </c>
      <c r="B3404" s="1" t="n">
        <v>45617</v>
      </c>
      <c r="C3404" s="1" t="n">
        <v>45637</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54548-2024</t>
        </is>
      </c>
      <c r="B3405" s="1" t="n">
        <v>45617</v>
      </c>
      <c r="C3405" s="1" t="n">
        <v>45637</v>
      </c>
      <c r="D3405" t="inlineStr">
        <is>
          <t>VÄSTERNORRLANDS LÄN</t>
        </is>
      </c>
      <c r="E3405" t="inlineStr">
        <is>
          <t>SOLLEFTEÅ</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54572-2024</t>
        </is>
      </c>
      <c r="B3406" s="1" t="n">
        <v>45617</v>
      </c>
      <c r="C3406" s="1" t="n">
        <v>45637</v>
      </c>
      <c r="D3406" t="inlineStr">
        <is>
          <t>VÄSTERNORRLANDS LÄN</t>
        </is>
      </c>
      <c r="E3406" t="inlineStr">
        <is>
          <t>SOLLEFTEÅ</t>
        </is>
      </c>
      <c r="G3406" t="n">
        <v>28.2</v>
      </c>
      <c r="H3406" t="n">
        <v>0</v>
      </c>
      <c r="I3406" t="n">
        <v>0</v>
      </c>
      <c r="J3406" t="n">
        <v>0</v>
      </c>
      <c r="K3406" t="n">
        <v>0</v>
      </c>
      <c r="L3406" t="n">
        <v>0</v>
      </c>
      <c r="M3406" t="n">
        <v>0</v>
      </c>
      <c r="N3406" t="n">
        <v>0</v>
      </c>
      <c r="O3406" t="n">
        <v>0</v>
      </c>
      <c r="P3406" t="n">
        <v>0</v>
      </c>
      <c r="Q3406" t="n">
        <v>0</v>
      </c>
      <c r="R3406" s="2" t="inlineStr"/>
    </row>
    <row r="3407" ht="15" customHeight="1">
      <c r="A3407" t="inlineStr">
        <is>
          <t>A 54726-2024</t>
        </is>
      </c>
      <c r="B3407" s="1" t="n">
        <v>45618</v>
      </c>
      <c r="C3407" s="1" t="n">
        <v>45637</v>
      </c>
      <c r="D3407" t="inlineStr">
        <is>
          <t>VÄSTERNORRLANDS LÄN</t>
        </is>
      </c>
      <c r="E3407" t="inlineStr">
        <is>
          <t>SOLLEFTEÅ</t>
        </is>
      </c>
      <c r="F3407" t="inlineStr">
        <is>
          <t>SCA</t>
        </is>
      </c>
      <c r="G3407" t="n">
        <v>28.2</v>
      </c>
      <c r="H3407" t="n">
        <v>0</v>
      </c>
      <c r="I3407" t="n">
        <v>0</v>
      </c>
      <c r="J3407" t="n">
        <v>0</v>
      </c>
      <c r="K3407" t="n">
        <v>0</v>
      </c>
      <c r="L3407" t="n">
        <v>0</v>
      </c>
      <c r="M3407" t="n">
        <v>0</v>
      </c>
      <c r="N3407" t="n">
        <v>0</v>
      </c>
      <c r="O3407" t="n">
        <v>0</v>
      </c>
      <c r="P3407" t="n">
        <v>0</v>
      </c>
      <c r="Q3407" t="n">
        <v>0</v>
      </c>
      <c r="R3407" s="2" t="inlineStr"/>
    </row>
    <row r="3408" ht="15" customHeight="1">
      <c r="A3408" t="inlineStr">
        <is>
          <t>A 54725-2024</t>
        </is>
      </c>
      <c r="B3408" s="1" t="n">
        <v>45618</v>
      </c>
      <c r="C3408" s="1" t="n">
        <v>45637</v>
      </c>
      <c r="D3408" t="inlineStr">
        <is>
          <t>VÄSTERNORRLANDS LÄN</t>
        </is>
      </c>
      <c r="E3408" t="inlineStr">
        <is>
          <t>SOLLEFTEÅ</t>
        </is>
      </c>
      <c r="F3408" t="inlineStr">
        <is>
          <t>SCA</t>
        </is>
      </c>
      <c r="G3408" t="n">
        <v>35.2</v>
      </c>
      <c r="H3408" t="n">
        <v>0</v>
      </c>
      <c r="I3408" t="n">
        <v>0</v>
      </c>
      <c r="J3408" t="n">
        <v>0</v>
      </c>
      <c r="K3408" t="n">
        <v>0</v>
      </c>
      <c r="L3408" t="n">
        <v>0</v>
      </c>
      <c r="M3408" t="n">
        <v>0</v>
      </c>
      <c r="N3408" t="n">
        <v>0</v>
      </c>
      <c r="O3408" t="n">
        <v>0</v>
      </c>
      <c r="P3408" t="n">
        <v>0</v>
      </c>
      <c r="Q3408" t="n">
        <v>0</v>
      </c>
      <c r="R3408" s="2" t="inlineStr"/>
    </row>
    <row r="3409" ht="15" customHeight="1">
      <c r="A3409" t="inlineStr">
        <is>
          <t>A 54806-2024</t>
        </is>
      </c>
      <c r="B3409" s="1" t="n">
        <v>45618</v>
      </c>
      <c r="C3409" s="1" t="n">
        <v>45637</v>
      </c>
      <c r="D3409" t="inlineStr">
        <is>
          <t>VÄSTERNORRLANDS LÄN</t>
        </is>
      </c>
      <c r="E3409" t="inlineStr">
        <is>
          <t>SOLLEFTEÅ</t>
        </is>
      </c>
      <c r="F3409" t="inlineStr">
        <is>
          <t>SCA</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54923-2024</t>
        </is>
      </c>
      <c r="B3410" s="1" t="n">
        <v>45618</v>
      </c>
      <c r="C3410" s="1" t="n">
        <v>45637</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55149-2024</t>
        </is>
      </c>
      <c r="B3411" s="1" t="n">
        <v>45621</v>
      </c>
      <c r="C3411" s="1" t="n">
        <v>45637</v>
      </c>
      <c r="D3411" t="inlineStr">
        <is>
          <t>VÄSTERNORRLANDS LÄN</t>
        </is>
      </c>
      <c r="E3411" t="inlineStr">
        <is>
          <t>SOLLEFTEÅ</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55272-2024</t>
        </is>
      </c>
      <c r="B3412" s="1" t="n">
        <v>45621</v>
      </c>
      <c r="C3412" s="1" t="n">
        <v>45637</v>
      </c>
      <c r="D3412" t="inlineStr">
        <is>
          <t>VÄSTERNORRLANDS LÄN</t>
        </is>
      </c>
      <c r="E3412" t="inlineStr">
        <is>
          <t>SOLLEFTEÅ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55440-2024</t>
        </is>
      </c>
      <c r="B3413" s="1" t="n">
        <v>45622</v>
      </c>
      <c r="C3413" s="1" t="n">
        <v>45637</v>
      </c>
      <c r="D3413" t="inlineStr">
        <is>
          <t>VÄSTERNORRLANDS LÄN</t>
        </is>
      </c>
      <c r="E3413" t="inlineStr">
        <is>
          <t>SOLLEFTEÅ</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55420-2024</t>
        </is>
      </c>
      <c r="B3414" s="1" t="n">
        <v>45622</v>
      </c>
      <c r="C3414" s="1" t="n">
        <v>45637</v>
      </c>
      <c r="D3414" t="inlineStr">
        <is>
          <t>VÄSTERNORRLANDS LÄN</t>
        </is>
      </c>
      <c r="E3414" t="inlineStr">
        <is>
          <t>SOLLEFTEÅ</t>
        </is>
      </c>
      <c r="F3414" t="inlineStr">
        <is>
          <t>SCA</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55439-2024</t>
        </is>
      </c>
      <c r="B3415" s="1" t="n">
        <v>45622</v>
      </c>
      <c r="C3415" s="1" t="n">
        <v>45637</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55691-2024</t>
        </is>
      </c>
      <c r="B3416" s="1" t="n">
        <v>45622</v>
      </c>
      <c r="C3416" s="1" t="n">
        <v>45637</v>
      </c>
      <c r="D3416" t="inlineStr">
        <is>
          <t>VÄSTERNORRLANDS LÄN</t>
        </is>
      </c>
      <c r="E3416" t="inlineStr">
        <is>
          <t>SOLLEFTEÅ</t>
        </is>
      </c>
      <c r="F3416" t="inlineStr">
        <is>
          <t>SCA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55707-2024</t>
        </is>
      </c>
      <c r="B3417" s="1" t="n">
        <v>45622</v>
      </c>
      <c r="C3417" s="1" t="n">
        <v>45637</v>
      </c>
      <c r="D3417" t="inlineStr">
        <is>
          <t>VÄSTERNORRLANDS LÄN</t>
        </is>
      </c>
      <c r="E3417" t="inlineStr">
        <is>
          <t>SOLLEFTEÅ</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55422-2024</t>
        </is>
      </c>
      <c r="B3418" s="1" t="n">
        <v>45622</v>
      </c>
      <c r="C3418" s="1" t="n">
        <v>45637</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55542-2024</t>
        </is>
      </c>
      <c r="B3419" s="1" t="n">
        <v>45622</v>
      </c>
      <c r="C3419" s="1" t="n">
        <v>45637</v>
      </c>
      <c r="D3419" t="inlineStr">
        <is>
          <t>VÄSTERNORRLANDS LÄN</t>
        </is>
      </c>
      <c r="E3419" t="inlineStr">
        <is>
          <t>SOLLEFTEÅ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55692-2024</t>
        </is>
      </c>
      <c r="B3420" s="1" t="n">
        <v>45622</v>
      </c>
      <c r="C3420" s="1" t="n">
        <v>45637</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55710-2024</t>
        </is>
      </c>
      <c r="B3421" s="1" t="n">
        <v>45622</v>
      </c>
      <c r="C3421" s="1" t="n">
        <v>45637</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55726-2024</t>
        </is>
      </c>
      <c r="B3422" s="1" t="n">
        <v>45622</v>
      </c>
      <c r="C3422" s="1" t="n">
        <v>45637</v>
      </c>
      <c r="D3422" t="inlineStr">
        <is>
          <t>VÄSTERNORRLANDS LÄN</t>
        </is>
      </c>
      <c r="E3422" t="inlineStr">
        <is>
          <t>SOLLEFTEÅ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55759-2024</t>
        </is>
      </c>
      <c r="B3423" s="1" t="n">
        <v>45623</v>
      </c>
      <c r="C3423" s="1" t="n">
        <v>45637</v>
      </c>
      <c r="D3423" t="inlineStr">
        <is>
          <t>VÄSTERNORRLANDS LÄN</t>
        </is>
      </c>
      <c r="E3423" t="inlineStr">
        <is>
          <t>SOLLEFTEÅ</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55769-2024</t>
        </is>
      </c>
      <c r="B3424" s="1" t="n">
        <v>45623</v>
      </c>
      <c r="C3424" s="1" t="n">
        <v>45637</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55792-2024</t>
        </is>
      </c>
      <c r="B3425" s="1" t="n">
        <v>45623</v>
      </c>
      <c r="C3425" s="1" t="n">
        <v>45637</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55756-2024</t>
        </is>
      </c>
      <c r="B3426" s="1" t="n">
        <v>45623</v>
      </c>
      <c r="C3426" s="1" t="n">
        <v>45637</v>
      </c>
      <c r="D3426" t="inlineStr">
        <is>
          <t>VÄSTERNORRLANDS LÄN</t>
        </is>
      </c>
      <c r="E3426" t="inlineStr">
        <is>
          <t>SOLLEFTEÅ</t>
        </is>
      </c>
      <c r="F3426" t="inlineStr">
        <is>
          <t>Holmen skog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55851-2024</t>
        </is>
      </c>
      <c r="B3427" s="1" t="n">
        <v>45623</v>
      </c>
      <c r="C3427" s="1" t="n">
        <v>45637</v>
      </c>
      <c r="D3427" t="inlineStr">
        <is>
          <t>VÄSTERNORRLANDS LÄN</t>
        </is>
      </c>
      <c r="E3427" t="inlineStr">
        <is>
          <t>SOLLEFTEÅ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55848-2024</t>
        </is>
      </c>
      <c r="B3428" s="1" t="n">
        <v>45623</v>
      </c>
      <c r="C3428" s="1" t="n">
        <v>45637</v>
      </c>
      <c r="D3428" t="inlineStr">
        <is>
          <t>VÄSTERNORRLANDS LÄN</t>
        </is>
      </c>
      <c r="E3428" t="inlineStr">
        <is>
          <t>SOLLEFTEÅ</t>
        </is>
      </c>
      <c r="F3428" t="inlineStr">
        <is>
          <t>SCA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55824-2024</t>
        </is>
      </c>
      <c r="B3429" s="1" t="n">
        <v>45623</v>
      </c>
      <c r="C3429" s="1" t="n">
        <v>45637</v>
      </c>
      <c r="D3429" t="inlineStr">
        <is>
          <t>VÄSTERNORRLANDS LÄN</t>
        </is>
      </c>
      <c r="E3429" t="inlineStr">
        <is>
          <t>SOLLEFTEÅ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55872-2024</t>
        </is>
      </c>
      <c r="B3430" s="1" t="n">
        <v>45623</v>
      </c>
      <c r="C3430" s="1" t="n">
        <v>45637</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56033-2024</t>
        </is>
      </c>
      <c r="B3431" s="1" t="n">
        <v>45624</v>
      </c>
      <c r="C3431" s="1" t="n">
        <v>45637</v>
      </c>
      <c r="D3431" t="inlineStr">
        <is>
          <t>VÄSTERNORRLANDS LÄN</t>
        </is>
      </c>
      <c r="E3431" t="inlineStr">
        <is>
          <t>SOLLEFTEÅ</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56037-2024</t>
        </is>
      </c>
      <c r="B3432" s="1" t="n">
        <v>45624</v>
      </c>
      <c r="C3432" s="1" t="n">
        <v>45637</v>
      </c>
      <c r="D3432" t="inlineStr">
        <is>
          <t>VÄSTERNORRLANDS LÄN</t>
        </is>
      </c>
      <c r="E3432" t="inlineStr">
        <is>
          <t>SOLLEFTEÅ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56206-2024</t>
        </is>
      </c>
      <c r="B3433" s="1" t="n">
        <v>45624</v>
      </c>
      <c r="C3433" s="1" t="n">
        <v>45637</v>
      </c>
      <c r="D3433" t="inlineStr">
        <is>
          <t>VÄSTERNORRLANDS LÄN</t>
        </is>
      </c>
      <c r="E3433" t="inlineStr">
        <is>
          <t>SOLLEFTEÅ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56190-2024</t>
        </is>
      </c>
      <c r="B3434" s="1" t="n">
        <v>45624</v>
      </c>
      <c r="C3434" s="1" t="n">
        <v>45637</v>
      </c>
      <c r="D3434" t="inlineStr">
        <is>
          <t>VÄSTERNORRLANDS LÄN</t>
        </is>
      </c>
      <c r="E3434" t="inlineStr">
        <is>
          <t>SOLLEFTEÅ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56207-2024</t>
        </is>
      </c>
      <c r="B3435" s="1" t="n">
        <v>45624</v>
      </c>
      <c r="C3435" s="1" t="n">
        <v>45637</v>
      </c>
      <c r="D3435" t="inlineStr">
        <is>
          <t>VÄSTERNORRLANDS LÄN</t>
        </is>
      </c>
      <c r="E3435" t="inlineStr">
        <is>
          <t>SOLLEFTEÅ</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56249-2024</t>
        </is>
      </c>
      <c r="B3436" s="1" t="n">
        <v>45624</v>
      </c>
      <c r="C3436" s="1" t="n">
        <v>45637</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56257-2024</t>
        </is>
      </c>
      <c r="B3437" s="1" t="n">
        <v>45624</v>
      </c>
      <c r="C3437" s="1" t="n">
        <v>45637</v>
      </c>
      <c r="D3437" t="inlineStr">
        <is>
          <t>VÄSTERNORRLANDS LÄN</t>
        </is>
      </c>
      <c r="E3437" t="inlineStr">
        <is>
          <t>SOLLEFTEÅ</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56265-2024</t>
        </is>
      </c>
      <c r="B3438" s="1" t="n">
        <v>45624</v>
      </c>
      <c r="C3438" s="1" t="n">
        <v>45637</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56273-2024</t>
        </is>
      </c>
      <c r="B3439" s="1" t="n">
        <v>45624</v>
      </c>
      <c r="C3439" s="1" t="n">
        <v>45637</v>
      </c>
      <c r="D3439" t="inlineStr">
        <is>
          <t>VÄSTERNORRLANDS LÄN</t>
        </is>
      </c>
      <c r="E3439" t="inlineStr">
        <is>
          <t>SOLLEFTEÅ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56204-2024</t>
        </is>
      </c>
      <c r="B3440" s="1" t="n">
        <v>45624</v>
      </c>
      <c r="C3440" s="1" t="n">
        <v>45637</v>
      </c>
      <c r="D3440" t="inlineStr">
        <is>
          <t>VÄSTERNORRLANDS LÄN</t>
        </is>
      </c>
      <c r="E3440" t="inlineStr">
        <is>
          <t>SOLLEFTEÅ</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56248-2024</t>
        </is>
      </c>
      <c r="B3441" s="1" t="n">
        <v>45624</v>
      </c>
      <c r="C3441" s="1" t="n">
        <v>45637</v>
      </c>
      <c r="D3441" t="inlineStr">
        <is>
          <t>VÄSTERNORRLANDS LÄN</t>
        </is>
      </c>
      <c r="E3441" t="inlineStr">
        <is>
          <t>SOLLEFTEÅ</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56252-2024</t>
        </is>
      </c>
      <c r="B3442" s="1" t="n">
        <v>45624</v>
      </c>
      <c r="C3442" s="1" t="n">
        <v>45637</v>
      </c>
      <c r="D3442" t="inlineStr">
        <is>
          <t>VÄSTERNORRLANDS LÄN</t>
        </is>
      </c>
      <c r="E3442" t="inlineStr">
        <is>
          <t>SOLLEFTEÅ</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56390-2024</t>
        </is>
      </c>
      <c r="B3443" s="1" t="n">
        <v>45625</v>
      </c>
      <c r="C3443" s="1" t="n">
        <v>45637</v>
      </c>
      <c r="D3443" t="inlineStr">
        <is>
          <t>VÄSTERNORRLANDS LÄN</t>
        </is>
      </c>
      <c r="E3443" t="inlineStr">
        <is>
          <t>SOLLEFTEÅ</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56387-2024</t>
        </is>
      </c>
      <c r="B3444" s="1" t="n">
        <v>45625</v>
      </c>
      <c r="C3444" s="1" t="n">
        <v>45637</v>
      </c>
      <c r="D3444" t="inlineStr">
        <is>
          <t>VÄSTERNORRLANDS LÄN</t>
        </is>
      </c>
      <c r="E3444" t="inlineStr">
        <is>
          <t>SOLLEFTEÅ</t>
        </is>
      </c>
      <c r="F3444" t="inlineStr">
        <is>
          <t>SCA</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56398-2024</t>
        </is>
      </c>
      <c r="B3445" s="1" t="n">
        <v>45625</v>
      </c>
      <c r="C3445" s="1" t="n">
        <v>45637</v>
      </c>
      <c r="D3445" t="inlineStr">
        <is>
          <t>VÄSTERNORRLANDS LÄN</t>
        </is>
      </c>
      <c r="E3445" t="inlineStr">
        <is>
          <t>SOLLEFTEÅ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56431-2024</t>
        </is>
      </c>
      <c r="B3446" s="1" t="n">
        <v>45625</v>
      </c>
      <c r="C3446" s="1" t="n">
        <v>45637</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56503-2024</t>
        </is>
      </c>
      <c r="B3447" s="1" t="n">
        <v>45625</v>
      </c>
      <c r="C3447" s="1" t="n">
        <v>45637</v>
      </c>
      <c r="D3447" t="inlineStr">
        <is>
          <t>VÄSTERNORRLANDS LÄN</t>
        </is>
      </c>
      <c r="E3447" t="inlineStr">
        <is>
          <t>SOLLEFTEÅ</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56388-2024</t>
        </is>
      </c>
      <c r="B3448" s="1" t="n">
        <v>45625</v>
      </c>
      <c r="C3448" s="1" t="n">
        <v>45637</v>
      </c>
      <c r="D3448" t="inlineStr">
        <is>
          <t>VÄSTERNORRLANDS LÄN</t>
        </is>
      </c>
      <c r="E3448" t="inlineStr">
        <is>
          <t>SOLLEFTEÅ</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56408-2024</t>
        </is>
      </c>
      <c r="B3449" s="1" t="n">
        <v>45625</v>
      </c>
      <c r="C3449" s="1" t="n">
        <v>45637</v>
      </c>
      <c r="D3449" t="inlineStr">
        <is>
          <t>VÄSTERNORRLANDS LÄN</t>
        </is>
      </c>
      <c r="E3449" t="inlineStr">
        <is>
          <t>SOLLEFTEÅ</t>
        </is>
      </c>
      <c r="F3449" t="inlineStr">
        <is>
          <t>SCA</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56433-2024</t>
        </is>
      </c>
      <c r="B3450" s="1" t="n">
        <v>45625</v>
      </c>
      <c r="C3450" s="1" t="n">
        <v>45637</v>
      </c>
      <c r="D3450" t="inlineStr">
        <is>
          <t>VÄSTERNORRLANDS LÄN</t>
        </is>
      </c>
      <c r="E3450" t="inlineStr">
        <is>
          <t>SOLLEFTEÅ</t>
        </is>
      </c>
      <c r="F3450" t="inlineStr">
        <is>
          <t>SCA</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56871-2024</t>
        </is>
      </c>
      <c r="B3451" s="1" t="n">
        <v>45628</v>
      </c>
      <c r="C3451" s="1" t="n">
        <v>45637</v>
      </c>
      <c r="D3451" t="inlineStr">
        <is>
          <t>VÄSTERNORRLANDS LÄN</t>
        </is>
      </c>
      <c r="E3451" t="inlineStr">
        <is>
          <t>SOLLEFTEÅ</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56861-2024</t>
        </is>
      </c>
      <c r="B3452" s="1" t="n">
        <v>45628</v>
      </c>
      <c r="C3452" s="1" t="n">
        <v>45637</v>
      </c>
      <c r="D3452" t="inlineStr">
        <is>
          <t>VÄSTERNORRLANDS LÄN</t>
        </is>
      </c>
      <c r="E3452" t="inlineStr">
        <is>
          <t>SOLLEFTEÅ</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57078-2024</t>
        </is>
      </c>
      <c r="B3453" s="1" t="n">
        <v>45629</v>
      </c>
      <c r="C3453" s="1" t="n">
        <v>45637</v>
      </c>
      <c r="D3453" t="inlineStr">
        <is>
          <t>VÄSTERNORRLANDS LÄN</t>
        </is>
      </c>
      <c r="E3453" t="inlineStr">
        <is>
          <t>SOLLEFTEÅ</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57094-2024</t>
        </is>
      </c>
      <c r="B3454" s="1" t="n">
        <v>45629</v>
      </c>
      <c r="C3454" s="1" t="n">
        <v>45637</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57107-2024</t>
        </is>
      </c>
      <c r="B3455" s="1" t="n">
        <v>45629</v>
      </c>
      <c r="C3455" s="1" t="n">
        <v>45637</v>
      </c>
      <c r="D3455" t="inlineStr">
        <is>
          <t>VÄSTERNORRLANDS LÄN</t>
        </is>
      </c>
      <c r="E3455" t="inlineStr">
        <is>
          <t>SOLLEFTEÅ</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57101-2024</t>
        </is>
      </c>
      <c r="B3456" s="1" t="n">
        <v>45629</v>
      </c>
      <c r="C3456" s="1" t="n">
        <v>45637</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57317-2024</t>
        </is>
      </c>
      <c r="B3457" s="1" t="n">
        <v>45629</v>
      </c>
      <c r="C3457" s="1" t="n">
        <v>45637</v>
      </c>
      <c r="D3457" t="inlineStr">
        <is>
          <t>VÄSTERNORRLANDS LÄN</t>
        </is>
      </c>
      <c r="E3457" t="inlineStr">
        <is>
          <t>SOLLEFTEÅ</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57377-2024</t>
        </is>
      </c>
      <c r="B3458" s="1" t="n">
        <v>45629</v>
      </c>
      <c r="C3458" s="1" t="n">
        <v>45637</v>
      </c>
      <c r="D3458" t="inlineStr">
        <is>
          <t>VÄSTERNORRLANDS LÄN</t>
        </is>
      </c>
      <c r="E3458" t="inlineStr">
        <is>
          <t>SOLLEFTEÅ</t>
        </is>
      </c>
      <c r="F3458" t="inlineStr">
        <is>
          <t>SCA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57492-2024</t>
        </is>
      </c>
      <c r="B3459" s="1" t="n">
        <v>45630</v>
      </c>
      <c r="C3459" s="1" t="n">
        <v>45637</v>
      </c>
      <c r="D3459" t="inlineStr">
        <is>
          <t>VÄSTERNORRLANDS LÄN</t>
        </is>
      </c>
      <c r="E3459" t="inlineStr">
        <is>
          <t>SOLLEFTEÅ</t>
        </is>
      </c>
      <c r="F3459" t="inlineStr">
        <is>
          <t>Holmen skog AB</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57639-2024</t>
        </is>
      </c>
      <c r="B3460" s="1" t="n">
        <v>45630</v>
      </c>
      <c r="C3460" s="1" t="n">
        <v>45637</v>
      </c>
      <c r="D3460" t="inlineStr">
        <is>
          <t>VÄSTERNORRLANDS LÄN</t>
        </is>
      </c>
      <c r="E3460" t="inlineStr">
        <is>
          <t>SOLLEFTEÅ</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57677-2024</t>
        </is>
      </c>
      <c r="B3461" s="1" t="n">
        <v>45630</v>
      </c>
      <c r="C3461" s="1" t="n">
        <v>45637</v>
      </c>
      <c r="D3461" t="inlineStr">
        <is>
          <t>VÄSTERNORRLANDS LÄN</t>
        </is>
      </c>
      <c r="E3461" t="inlineStr">
        <is>
          <t>SOLLEFTEÅ</t>
        </is>
      </c>
      <c r="F3461" t="inlineStr">
        <is>
          <t>SCA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57487-2024</t>
        </is>
      </c>
      <c r="B3462" s="1" t="n">
        <v>45630</v>
      </c>
      <c r="C3462" s="1" t="n">
        <v>45637</v>
      </c>
      <c r="D3462" t="inlineStr">
        <is>
          <t>VÄSTERNORRLANDS LÄN</t>
        </is>
      </c>
      <c r="E3462" t="inlineStr">
        <is>
          <t>SOLLEFTEÅ</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57800-2024</t>
        </is>
      </c>
      <c r="B3463" s="1" t="n">
        <v>45631</v>
      </c>
      <c r="C3463" s="1" t="n">
        <v>45637</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57846-2024</t>
        </is>
      </c>
      <c r="B3464" s="1" t="n">
        <v>45631</v>
      </c>
      <c r="C3464" s="1" t="n">
        <v>45637</v>
      </c>
      <c r="D3464" t="inlineStr">
        <is>
          <t>VÄSTERNORRLANDS LÄN</t>
        </is>
      </c>
      <c r="E3464" t="inlineStr">
        <is>
          <t>SOLLEFTEÅ</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57892-2024</t>
        </is>
      </c>
      <c r="B3465" s="1" t="n">
        <v>45631</v>
      </c>
      <c r="C3465" s="1" t="n">
        <v>45637</v>
      </c>
      <c r="D3465" t="inlineStr">
        <is>
          <t>VÄSTERNORRLANDS LÄN</t>
        </is>
      </c>
      <c r="E3465" t="inlineStr">
        <is>
          <t>SOLLEFTEÅ</t>
        </is>
      </c>
      <c r="F3465" t="inlineStr">
        <is>
          <t>SCA</t>
        </is>
      </c>
      <c r="G3465" t="n">
        <v>13.8</v>
      </c>
      <c r="H3465" t="n">
        <v>0</v>
      </c>
      <c r="I3465" t="n">
        <v>0</v>
      </c>
      <c r="J3465" t="n">
        <v>0</v>
      </c>
      <c r="K3465" t="n">
        <v>0</v>
      </c>
      <c r="L3465" t="n">
        <v>0</v>
      </c>
      <c r="M3465" t="n">
        <v>0</v>
      </c>
      <c r="N3465" t="n">
        <v>0</v>
      </c>
      <c r="O3465" t="n">
        <v>0</v>
      </c>
      <c r="P3465" t="n">
        <v>0</v>
      </c>
      <c r="Q3465" t="n">
        <v>0</v>
      </c>
      <c r="R3465" s="2" t="inlineStr"/>
    </row>
    <row r="3466" ht="15" customHeight="1">
      <c r="A3466" t="inlineStr">
        <is>
          <t>A 57847-2024</t>
        </is>
      </c>
      <c r="B3466" s="1" t="n">
        <v>45631</v>
      </c>
      <c r="C3466" s="1" t="n">
        <v>45637</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57922-2024</t>
        </is>
      </c>
      <c r="B3467" s="1" t="n">
        <v>45631</v>
      </c>
      <c r="C3467" s="1" t="n">
        <v>45637</v>
      </c>
      <c r="D3467" t="inlineStr">
        <is>
          <t>VÄSTERNORRLANDS LÄN</t>
        </is>
      </c>
      <c r="E3467" t="inlineStr">
        <is>
          <t>SOLLEFTEÅ</t>
        </is>
      </c>
      <c r="F3467" t="inlineStr">
        <is>
          <t>SCA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58357-2024</t>
        </is>
      </c>
      <c r="B3468" s="1" t="n">
        <v>45632</v>
      </c>
      <c r="C3468" s="1" t="n">
        <v>45637</v>
      </c>
      <c r="D3468" t="inlineStr">
        <is>
          <t>VÄSTERNORRLANDS LÄN</t>
        </is>
      </c>
      <c r="E3468" t="inlineStr">
        <is>
          <t>SOLLEFTEÅ</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58226-2024</t>
        </is>
      </c>
      <c r="B3469" s="1" t="n">
        <v>45632</v>
      </c>
      <c r="C3469" s="1" t="n">
        <v>45637</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58360-2024</t>
        </is>
      </c>
      <c r="B3470" s="1" t="n">
        <v>45632</v>
      </c>
      <c r="C3470" s="1" t="n">
        <v>45637</v>
      </c>
      <c r="D3470" t="inlineStr">
        <is>
          <t>VÄSTERNORRLANDS LÄN</t>
        </is>
      </c>
      <c r="E3470" t="inlineStr">
        <is>
          <t>SOLLEFTEÅ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58462-2024</t>
        </is>
      </c>
      <c r="B3471" s="1" t="n">
        <v>45635</v>
      </c>
      <c r="C3471" s="1" t="n">
        <v>45637</v>
      </c>
      <c r="D3471" t="inlineStr">
        <is>
          <t>VÄSTERNORRLANDS LÄN</t>
        </is>
      </c>
      <c r="E3471" t="inlineStr">
        <is>
          <t>SOLLEFTEÅ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58461-2024</t>
        </is>
      </c>
      <c r="B3472" s="1" t="n">
        <v>45635</v>
      </c>
      <c r="C3472" s="1" t="n">
        <v>45637</v>
      </c>
      <c r="D3472" t="inlineStr">
        <is>
          <t>VÄSTERNORRLANDS LÄN</t>
        </is>
      </c>
      <c r="E3472" t="inlineStr">
        <is>
          <t>SOLLEFTEÅ</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58478-2024</t>
        </is>
      </c>
      <c r="B3473" s="1" t="n">
        <v>45635</v>
      </c>
      <c r="C3473" s="1" t="n">
        <v>45637</v>
      </c>
      <c r="D3473" t="inlineStr">
        <is>
          <t>VÄSTERNORRLANDS LÄN</t>
        </is>
      </c>
      <c r="E3473" t="inlineStr">
        <is>
          <t>SOLLEFTEÅ</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58463-2024</t>
        </is>
      </c>
      <c r="B3474" s="1" t="n">
        <v>45635</v>
      </c>
      <c r="C3474" s="1" t="n">
        <v>45637</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58531-2024</t>
        </is>
      </c>
      <c r="B3475" s="1" t="n">
        <v>45635</v>
      </c>
      <c r="C3475" s="1" t="n">
        <v>45637</v>
      </c>
      <c r="D3475" t="inlineStr">
        <is>
          <t>VÄSTERNORRLANDS LÄN</t>
        </is>
      </c>
      <c r="E3475" t="inlineStr">
        <is>
          <t>SOLLEFTEÅ</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58578-2024</t>
        </is>
      </c>
      <c r="B3476" s="1" t="n">
        <v>45635</v>
      </c>
      <c r="C3476" s="1" t="n">
        <v>45637</v>
      </c>
      <c r="D3476" t="inlineStr">
        <is>
          <t>VÄSTERNORRLANDS LÄN</t>
        </is>
      </c>
      <c r="E3476" t="inlineStr">
        <is>
          <t>SOLLEFTEÅ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58588-2024</t>
        </is>
      </c>
      <c r="B3477" s="1" t="n">
        <v>45635</v>
      </c>
      <c r="C3477" s="1" t="n">
        <v>45637</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58694-2024</t>
        </is>
      </c>
      <c r="B3478" s="1" t="n">
        <v>45635</v>
      </c>
      <c r="C3478" s="1" t="n">
        <v>45637</v>
      </c>
      <c r="D3478" t="inlineStr">
        <is>
          <t>VÄSTERNORRLANDS LÄN</t>
        </is>
      </c>
      <c r="E3478" t="inlineStr">
        <is>
          <t>SOLLEFTEÅ</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58931-2024</t>
        </is>
      </c>
      <c r="B3479" s="1" t="n">
        <v>45636</v>
      </c>
      <c r="C3479" s="1" t="n">
        <v>45637</v>
      </c>
      <c r="D3479" t="inlineStr">
        <is>
          <t>VÄSTERNORRLANDS LÄN</t>
        </is>
      </c>
      <c r="E3479" t="inlineStr">
        <is>
          <t>SOLLEFTEÅ</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58841-2024</t>
        </is>
      </c>
      <c r="B3480" s="1" t="n">
        <v>45636</v>
      </c>
      <c r="C3480" s="1" t="n">
        <v>45637</v>
      </c>
      <c r="D3480" t="inlineStr">
        <is>
          <t>VÄSTERNORRLANDS LÄN</t>
        </is>
      </c>
      <c r="E3480" t="inlineStr">
        <is>
          <t>SOLLEFTEÅ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58845-2024</t>
        </is>
      </c>
      <c r="B3481" s="1" t="n">
        <v>45636</v>
      </c>
      <c r="C3481" s="1" t="n">
        <v>45637</v>
      </c>
      <c r="D3481" t="inlineStr">
        <is>
          <t>VÄSTERNORRLANDS LÄN</t>
        </is>
      </c>
      <c r="E3481" t="inlineStr">
        <is>
          <t>SOLLEFTEÅ</t>
        </is>
      </c>
      <c r="F3481" t="inlineStr">
        <is>
          <t>SCA</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58994-2024</t>
        </is>
      </c>
      <c r="B3482" s="1" t="n">
        <v>45636</v>
      </c>
      <c r="C3482" s="1" t="n">
        <v>45637</v>
      </c>
      <c r="D3482" t="inlineStr">
        <is>
          <t>VÄSTERNORRLANDS LÄN</t>
        </is>
      </c>
      <c r="E3482" t="inlineStr">
        <is>
          <t>SOLLEFTEÅ</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58979-2024</t>
        </is>
      </c>
      <c r="B3483" s="1" t="n">
        <v>45636</v>
      </c>
      <c r="C3483" s="1" t="n">
        <v>45637</v>
      </c>
      <c r="D3483" t="inlineStr">
        <is>
          <t>VÄSTERNORRLANDS LÄN</t>
        </is>
      </c>
      <c r="E3483" t="inlineStr">
        <is>
          <t>SOLLEFTEÅ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58995-2024</t>
        </is>
      </c>
      <c r="B3484" s="1" t="n">
        <v>45636</v>
      </c>
      <c r="C3484" s="1" t="n">
        <v>45637</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c r="A3485" t="inlineStr">
        <is>
          <t>A 58808-2024</t>
        </is>
      </c>
      <c r="B3485" s="1" t="n">
        <v>45636</v>
      </c>
      <c r="C3485" s="1" t="n">
        <v>45637</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2024-12-11T15:13:59Z</dcterms:created>
  <dcterms:modified xmlns:dcterms="http://purl.org/dc/terms/" xmlns:xsi="http://www.w3.org/2001/XMLSchema-instance" xsi:type="dcterms:W3CDTF">2024-12-11T15:14:02Z</dcterms:modified>
</cp:coreProperties>
</file>