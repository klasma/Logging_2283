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45899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45899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45899</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45899</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45899</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45899</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45899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45899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45899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45899</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47366-2024</t>
        </is>
      </c>
      <c r="B12" s="1" t="n">
        <v>45587</v>
      </c>
      <c r="C12" s="1" t="n">
        <v>45899</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v>
      </c>
      <c r="C13" s="1" t="n">
        <v>45899</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45899</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45899</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45899</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45899</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45899</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45899</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45899</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45899</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44491-2024</t>
        </is>
      </c>
      <c r="B22" s="1" t="n">
        <v>45574</v>
      </c>
      <c r="C22" s="1" t="n">
        <v>45899</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8658-2024</t>
        </is>
      </c>
      <c r="B23" s="1" t="n">
        <v>45356</v>
      </c>
      <c r="C23" s="1" t="n">
        <v>45899</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45899</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45899</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45899</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45899</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45899</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45899</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45899</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45899</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45899</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45899</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45899</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29918-2024</t>
        </is>
      </c>
      <c r="B35" s="1" t="n">
        <v>45487.92841435185</v>
      </c>
      <c r="C35" s="1" t="n">
        <v>45899</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1963-2025</t>
        </is>
      </c>
      <c r="B36" s="1" t="n">
        <v>45672</v>
      </c>
      <c r="C36" s="1" t="n">
        <v>45899</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25521-2025</t>
        </is>
      </c>
      <c r="B37" s="1" t="n">
        <v>45803</v>
      </c>
      <c r="C37" s="1" t="n">
        <v>45899</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39172-2022</t>
        </is>
      </c>
      <c r="B38" s="1" t="n">
        <v>44817</v>
      </c>
      <c r="C38" s="1" t="n">
        <v>45899</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51064-2024</t>
        </is>
      </c>
      <c r="B39" s="1" t="n">
        <v>45603</v>
      </c>
      <c r="C39" s="1" t="n">
        <v>45899</v>
      </c>
      <c r="D39" t="inlineStr">
        <is>
          <t>VÄSTERNORRLANDS LÄN</t>
        </is>
      </c>
      <c r="E39" t="inlineStr">
        <is>
          <t>SOLLEFTEÅ</t>
        </is>
      </c>
      <c r="F39" t="inlineStr">
        <is>
          <t>SCA</t>
        </is>
      </c>
      <c r="G39" t="n">
        <v>1.6</v>
      </c>
      <c r="H39" t="n">
        <v>4</v>
      </c>
      <c r="I39" t="n">
        <v>4</v>
      </c>
      <c r="J39" t="n">
        <v>5</v>
      </c>
      <c r="K39" t="n">
        <v>3</v>
      </c>
      <c r="L39" t="n">
        <v>0</v>
      </c>
      <c r="M39" t="n">
        <v>0</v>
      </c>
      <c r="N39" t="n">
        <v>0</v>
      </c>
      <c r="O39" t="n">
        <v>8</v>
      </c>
      <c r="P39" t="n">
        <v>3</v>
      </c>
      <c r="Q39" t="n">
        <v>13</v>
      </c>
      <c r="R39" s="2" t="inlineStr">
        <is>
          <t>Blackticka
Knärot
Rynkskinn
Garnlav
Lunglav
Rosenticka
Tretåig hackspett
Ullticka
Luddlav
Spindelblomster
Stuplav
Vedticka
Tjäder</t>
        </is>
      </c>
      <c r="S39">
        <f>HYPERLINK("https://klasma.github.io/Logging_2283/artfynd/A 51064-2024 artfynd.xlsx", "A 51064-2024")</f>
        <v/>
      </c>
      <c r="T39">
        <f>HYPERLINK("https://klasma.github.io/Logging_2283/kartor/A 51064-2024 karta.png", "A 51064-2024")</f>
        <v/>
      </c>
      <c r="U39">
        <f>HYPERLINK("https://klasma.github.io/Logging_2283/knärot/A 51064-2024 karta knärot.png", "A 51064-2024")</f>
        <v/>
      </c>
      <c r="V39">
        <f>HYPERLINK("https://klasma.github.io/Logging_2283/klagomål/A 51064-2024 FSC-klagomål.docx", "A 51064-2024")</f>
        <v/>
      </c>
      <c r="W39">
        <f>HYPERLINK("https://klasma.github.io/Logging_2283/klagomålsmail/A 51064-2024 FSC-klagomål mail.docx", "A 51064-2024")</f>
        <v/>
      </c>
      <c r="X39">
        <f>HYPERLINK("https://klasma.github.io/Logging_2283/tillsyn/A 51064-2024 tillsynsbegäran.docx", "A 51064-2024")</f>
        <v/>
      </c>
      <c r="Y39">
        <f>HYPERLINK("https://klasma.github.io/Logging_2283/tillsynsmail/A 51064-2024 tillsynsbegäran mail.docx", "A 51064-2024")</f>
        <v/>
      </c>
      <c r="Z39">
        <f>HYPERLINK("https://klasma.github.io/Logging_2283/fåglar/A 51064-2024 prioriterade fågelarter.docx", "A 51064-2024")</f>
        <v/>
      </c>
    </row>
    <row r="40" ht="15" customHeight="1">
      <c r="A40" t="inlineStr">
        <is>
          <t>A 27635-2024</t>
        </is>
      </c>
      <c r="B40" s="1" t="n">
        <v>45474</v>
      </c>
      <c r="C40" s="1" t="n">
        <v>45899</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28663-2023</t>
        </is>
      </c>
      <c r="B41" s="1" t="n">
        <v>45096</v>
      </c>
      <c r="C41" s="1" t="n">
        <v>45899</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27590-2025</t>
        </is>
      </c>
      <c r="B42" s="1" t="n">
        <v>45813</v>
      </c>
      <c r="C42" s="1" t="n">
        <v>45899</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29309-2022</t>
        </is>
      </c>
      <c r="B43" s="1" t="n">
        <v>44750</v>
      </c>
      <c r="C43" s="1" t="n">
        <v>45899</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4839-2025</t>
        </is>
      </c>
      <c r="B44" s="1" t="n">
        <v>45688</v>
      </c>
      <c r="C44" s="1" t="n">
        <v>45899</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44369-2024</t>
        </is>
      </c>
      <c r="B45" s="1" t="n">
        <v>45573</v>
      </c>
      <c r="C45" s="1" t="n">
        <v>45899</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45899</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45899</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30571-2024</t>
        </is>
      </c>
      <c r="B48" s="1" t="n">
        <v>45492</v>
      </c>
      <c r="C48" s="1" t="n">
        <v>45899</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26948-2024</t>
        </is>
      </c>
      <c r="B49" s="1" t="n">
        <v>45470</v>
      </c>
      <c r="C49" s="1" t="n">
        <v>45899</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11491-2022</t>
        </is>
      </c>
      <c r="B50" s="1" t="n">
        <v>44630</v>
      </c>
      <c r="C50" s="1" t="n">
        <v>45899</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61326-2024</t>
        </is>
      </c>
      <c r="B51" s="1" t="n">
        <v>45646</v>
      </c>
      <c r="C51" s="1" t="n">
        <v>45899</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45899</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32460-2024</t>
        </is>
      </c>
      <c r="B53" s="1" t="n">
        <v>45512</v>
      </c>
      <c r="C53" s="1" t="n">
        <v>45899</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46041-2022</t>
        </is>
      </c>
      <c r="B54" s="1" t="n">
        <v>44846</v>
      </c>
      <c r="C54" s="1" t="n">
        <v>45899</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45899</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45899</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37488-2023</t>
        </is>
      </c>
      <c r="B57" s="1" t="n">
        <v>45156</v>
      </c>
      <c r="C57" s="1" t="n">
        <v>45899</v>
      </c>
      <c r="D57" t="inlineStr">
        <is>
          <t>VÄSTERNORRLANDS LÄN</t>
        </is>
      </c>
      <c r="E57" t="inlineStr">
        <is>
          <t>SOLLEFTEÅ</t>
        </is>
      </c>
      <c r="F57" t="inlineStr">
        <is>
          <t>SCA</t>
        </is>
      </c>
      <c r="G57" t="n">
        <v>10.1</v>
      </c>
      <c r="H57" t="n">
        <v>5</v>
      </c>
      <c r="I57" t="n">
        <v>3</v>
      </c>
      <c r="J57" t="n">
        <v>4</v>
      </c>
      <c r="K57" t="n">
        <v>2</v>
      </c>
      <c r="L57" t="n">
        <v>0</v>
      </c>
      <c r="M57" t="n">
        <v>0</v>
      </c>
      <c r="N57" t="n">
        <v>0</v>
      </c>
      <c r="O57" t="n">
        <v>6</v>
      </c>
      <c r="P57" t="n">
        <v>2</v>
      </c>
      <c r="Q57" t="n">
        <v>10</v>
      </c>
      <c r="R57" s="2" t="inlineStr">
        <is>
          <t>Doftticka
Knärot
Garnlav
Lunglav
Spillkråka
Tretåig hackspett
Bårdlav
Norrlandslav
Stuplav
Revlummer</t>
        </is>
      </c>
      <c r="S57">
        <f>HYPERLINK("https://klasma.github.io/Logging_2283/artfynd/A 37488-2023 artfynd.xlsx", "A 37488-2023")</f>
        <v/>
      </c>
      <c r="T57">
        <f>HYPERLINK("https://klasma.github.io/Logging_2283/kartor/A 37488-2023 karta.png", "A 37488-2023")</f>
        <v/>
      </c>
      <c r="U57">
        <f>HYPERLINK("https://klasma.github.io/Logging_2283/knärot/A 37488-2023 karta knärot.png", "A 37488-2023")</f>
        <v/>
      </c>
      <c r="V57">
        <f>HYPERLINK("https://klasma.github.io/Logging_2283/klagomål/A 37488-2023 FSC-klagomål.docx", "A 37488-2023")</f>
        <v/>
      </c>
      <c r="W57">
        <f>HYPERLINK("https://klasma.github.io/Logging_2283/klagomålsmail/A 37488-2023 FSC-klagomål mail.docx", "A 37488-2023")</f>
        <v/>
      </c>
      <c r="X57">
        <f>HYPERLINK("https://klasma.github.io/Logging_2283/tillsyn/A 37488-2023 tillsynsbegäran.docx", "A 37488-2023")</f>
        <v/>
      </c>
      <c r="Y57">
        <f>HYPERLINK("https://klasma.github.io/Logging_2283/tillsynsmail/A 37488-2023 tillsynsbegäran mail.docx", "A 37488-2023")</f>
        <v/>
      </c>
      <c r="Z57">
        <f>HYPERLINK("https://klasma.github.io/Logging_2283/fåglar/A 37488-2023 prioriterade fågelarter.docx", "A 37488-2023")</f>
        <v/>
      </c>
    </row>
    <row r="58" ht="15" customHeight="1">
      <c r="A58" t="inlineStr">
        <is>
          <t>A 66171-2021</t>
        </is>
      </c>
      <c r="B58" s="1" t="n">
        <v>44517</v>
      </c>
      <c r="C58" s="1" t="n">
        <v>45899</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6620-2025</t>
        </is>
      </c>
      <c r="B59" s="1" t="n">
        <v>45700</v>
      </c>
      <c r="C59" s="1" t="n">
        <v>45899</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45899</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45899</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14301-2022</t>
        </is>
      </c>
      <c r="B62" s="1" t="n">
        <v>44651</v>
      </c>
      <c r="C62" s="1" t="n">
        <v>45899</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45899</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19825-2023</t>
        </is>
      </c>
      <c r="B64" s="1" t="n">
        <v>45051</v>
      </c>
      <c r="C64" s="1" t="n">
        <v>45899</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57790-2024</t>
        </is>
      </c>
      <c r="B65" s="1" t="n">
        <v>45631</v>
      </c>
      <c r="C65" s="1" t="n">
        <v>45899</v>
      </c>
      <c r="D65" t="inlineStr">
        <is>
          <t>VÄSTERNORRLANDS LÄN</t>
        </is>
      </c>
      <c r="E65" t="inlineStr">
        <is>
          <t>SOLLEFTEÅ</t>
        </is>
      </c>
      <c r="G65" t="n">
        <v>4.7</v>
      </c>
      <c r="H65" t="n">
        <v>4</v>
      </c>
      <c r="I65" t="n">
        <v>2</v>
      </c>
      <c r="J65" t="n">
        <v>6</v>
      </c>
      <c r="K65" t="n">
        <v>1</v>
      </c>
      <c r="L65" t="n">
        <v>0</v>
      </c>
      <c r="M65" t="n">
        <v>0</v>
      </c>
      <c r="N65" t="n">
        <v>0</v>
      </c>
      <c r="O65" t="n">
        <v>7</v>
      </c>
      <c r="P65" t="n">
        <v>1</v>
      </c>
      <c r="Q65" t="n">
        <v>9</v>
      </c>
      <c r="R65" s="2" t="inlineStr">
        <is>
          <t>Knärot
Garnlav
Rosenticka
Spillkråka
Talltita
Tretåig hackspett
Ullticka
Norrlandslav
Vedticka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12146-2025</t>
        </is>
      </c>
      <c r="B66" s="1" t="n">
        <v>45729</v>
      </c>
      <c r="C66" s="1" t="n">
        <v>45899</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45899</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39198-2025</t>
        </is>
      </c>
      <c r="B68" s="1" t="n">
        <v>45888</v>
      </c>
      <c r="C68" s="1" t="n">
        <v>45899</v>
      </c>
      <c r="D68" t="inlineStr">
        <is>
          <t>VÄSTERNORRLANDS LÄN</t>
        </is>
      </c>
      <c r="E68" t="inlineStr">
        <is>
          <t>SOLLEFTEÅ</t>
        </is>
      </c>
      <c r="G68" t="n">
        <v>5.6</v>
      </c>
      <c r="H68" t="n">
        <v>2</v>
      </c>
      <c r="I68" t="n">
        <v>2</v>
      </c>
      <c r="J68" t="n">
        <v>4</v>
      </c>
      <c r="K68" t="n">
        <v>3</v>
      </c>
      <c r="L68" t="n">
        <v>0</v>
      </c>
      <c r="M68" t="n">
        <v>0</v>
      </c>
      <c r="N68" t="n">
        <v>0</v>
      </c>
      <c r="O68" t="n">
        <v>7</v>
      </c>
      <c r="P68" t="n">
        <v>3</v>
      </c>
      <c r="Q68" t="n">
        <v>9</v>
      </c>
      <c r="R68" s="2" t="inlineStr">
        <is>
          <t>Doftticka
Knärot
Rynkskinn
Garnlav
Lunglav
Mörk kolflarnlav
Ullticka
Bårdlav
Stuplav</t>
        </is>
      </c>
      <c r="S68">
        <f>HYPERLINK("https://klasma.github.io/Logging_2283/artfynd/A 39198-2025 artfynd.xlsx", "A 39198-2025")</f>
        <v/>
      </c>
      <c r="T68">
        <f>HYPERLINK("https://klasma.github.io/Logging_2283/kartor/A 39198-2025 karta.png", "A 39198-2025")</f>
        <v/>
      </c>
      <c r="U68">
        <f>HYPERLINK("https://klasma.github.io/Logging_2283/knärot/A 39198-2025 karta knärot.png", "A 39198-2025")</f>
        <v/>
      </c>
      <c r="V68">
        <f>HYPERLINK("https://klasma.github.io/Logging_2283/klagomål/A 39198-2025 FSC-klagomål.docx", "A 39198-2025")</f>
        <v/>
      </c>
      <c r="W68">
        <f>HYPERLINK("https://klasma.github.io/Logging_2283/klagomålsmail/A 39198-2025 FSC-klagomål mail.docx", "A 39198-2025")</f>
        <v/>
      </c>
      <c r="X68">
        <f>HYPERLINK("https://klasma.github.io/Logging_2283/tillsyn/A 39198-2025 tillsynsbegäran.docx", "A 39198-2025")</f>
        <v/>
      </c>
      <c r="Y68">
        <f>HYPERLINK("https://klasma.github.io/Logging_2283/tillsynsmail/A 39198-2025 tillsynsbegäran mail.docx", "A 39198-2025")</f>
        <v/>
      </c>
    </row>
    <row r="69" ht="15" customHeight="1">
      <c r="A69" t="inlineStr">
        <is>
          <t>A 40274-2022</t>
        </is>
      </c>
      <c r="B69" s="1" t="n">
        <v>44820</v>
      </c>
      <c r="C69" s="1" t="n">
        <v>45899</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45899</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5310-2024</t>
        </is>
      </c>
      <c r="B71" s="1" t="n">
        <v>45331</v>
      </c>
      <c r="C71" s="1" t="n">
        <v>45899</v>
      </c>
      <c r="D71" t="inlineStr">
        <is>
          <t>VÄSTERNORRLANDS LÄN</t>
        </is>
      </c>
      <c r="E71" t="inlineStr">
        <is>
          <t>SOLLEFTEÅ</t>
        </is>
      </c>
      <c r="G71" t="n">
        <v>8.5</v>
      </c>
      <c r="H71" t="n">
        <v>2</v>
      </c>
      <c r="I71" t="n">
        <v>3</v>
      </c>
      <c r="J71" t="n">
        <v>4</v>
      </c>
      <c r="K71" t="n">
        <v>1</v>
      </c>
      <c r="L71" t="n">
        <v>0</v>
      </c>
      <c r="M71" t="n">
        <v>0</v>
      </c>
      <c r="N71" t="n">
        <v>0</v>
      </c>
      <c r="O71" t="n">
        <v>5</v>
      </c>
      <c r="P71" t="n">
        <v>1</v>
      </c>
      <c r="Q71" t="n">
        <v>8</v>
      </c>
      <c r="R71" s="2" t="inlineStr">
        <is>
          <t>Knärot
Garnlav
Kortskaftad ärgspik
Rosenticka
Talltita
Barkticka
Bronshjon
Luddlav</t>
        </is>
      </c>
      <c r="S71">
        <f>HYPERLINK("https://klasma.github.io/Logging_2283/artfynd/A 5310-2024 artfynd.xlsx", "A 5310-2024")</f>
        <v/>
      </c>
      <c r="T71">
        <f>HYPERLINK("https://klasma.github.io/Logging_2283/kartor/A 5310-2024 karta.png", "A 5310-2024")</f>
        <v/>
      </c>
      <c r="U71">
        <f>HYPERLINK("https://klasma.github.io/Logging_2283/knärot/A 5310-2024 karta knärot.png", "A 5310-2024")</f>
        <v/>
      </c>
      <c r="V71">
        <f>HYPERLINK("https://klasma.github.io/Logging_2283/klagomål/A 5310-2024 FSC-klagomål.docx", "A 5310-2024")</f>
        <v/>
      </c>
      <c r="W71">
        <f>HYPERLINK("https://klasma.github.io/Logging_2283/klagomålsmail/A 5310-2024 FSC-klagomål mail.docx", "A 5310-2024")</f>
        <v/>
      </c>
      <c r="X71">
        <f>HYPERLINK("https://klasma.github.io/Logging_2283/tillsyn/A 5310-2024 tillsynsbegäran.docx", "A 5310-2024")</f>
        <v/>
      </c>
      <c r="Y71">
        <f>HYPERLINK("https://klasma.github.io/Logging_2283/tillsynsmail/A 5310-2024 tillsynsbegäran mail.docx", "A 5310-2024")</f>
        <v/>
      </c>
      <c r="Z71">
        <f>HYPERLINK("https://klasma.github.io/Logging_2283/fåglar/A 5310-2024 prioriterade fågelarter.docx", "A 5310-2024")</f>
        <v/>
      </c>
    </row>
    <row r="72" ht="15" customHeight="1">
      <c r="A72" t="inlineStr">
        <is>
          <t>A 29620-2023</t>
        </is>
      </c>
      <c r="B72" s="1" t="n">
        <v>45106</v>
      </c>
      <c r="C72" s="1" t="n">
        <v>45899</v>
      </c>
      <c r="D72" t="inlineStr">
        <is>
          <t>VÄSTERNORRLANDS LÄN</t>
        </is>
      </c>
      <c r="E72" t="inlineStr">
        <is>
          <t>SOLLEFTEÅ</t>
        </is>
      </c>
      <c r="F72" t="inlineStr">
        <is>
          <t>SCA</t>
        </is>
      </c>
      <c r="G72" t="n">
        <v>8.300000000000001</v>
      </c>
      <c r="H72" t="n">
        <v>4</v>
      </c>
      <c r="I72" t="n">
        <v>3</v>
      </c>
      <c r="J72" t="n">
        <v>3</v>
      </c>
      <c r="K72" t="n">
        <v>0</v>
      </c>
      <c r="L72" t="n">
        <v>0</v>
      </c>
      <c r="M72" t="n">
        <v>0</v>
      </c>
      <c r="N72" t="n">
        <v>0</v>
      </c>
      <c r="O72" t="n">
        <v>3</v>
      </c>
      <c r="P72" t="n">
        <v>0</v>
      </c>
      <c r="Q72" t="n">
        <v>8</v>
      </c>
      <c r="R72" s="2" t="inlineStr">
        <is>
          <t>Granticka
Rosenticka
Ullticka
Korallrot
Skinnlav
Spindelblomster
Fläcknycklar
Revlummer</t>
        </is>
      </c>
      <c r="S72">
        <f>HYPERLINK("https://klasma.github.io/Logging_2283/artfynd/A 29620-2023 artfynd.xlsx", "A 29620-2023")</f>
        <v/>
      </c>
      <c r="T72">
        <f>HYPERLINK("https://klasma.github.io/Logging_2283/kartor/A 29620-2023 karta.png", "A 29620-2023")</f>
        <v/>
      </c>
      <c r="V72">
        <f>HYPERLINK("https://klasma.github.io/Logging_2283/klagomål/A 29620-2023 FSC-klagomål.docx", "A 29620-2023")</f>
        <v/>
      </c>
      <c r="W72">
        <f>HYPERLINK("https://klasma.github.io/Logging_2283/klagomålsmail/A 29620-2023 FSC-klagomål mail.docx", "A 29620-2023")</f>
        <v/>
      </c>
      <c r="X72">
        <f>HYPERLINK("https://klasma.github.io/Logging_2283/tillsyn/A 29620-2023 tillsynsbegäran.docx", "A 29620-2023")</f>
        <v/>
      </c>
      <c r="Y72">
        <f>HYPERLINK("https://klasma.github.io/Logging_2283/tillsynsmail/A 29620-2023 tillsynsbegäran mail.docx", "A 29620-2023")</f>
        <v/>
      </c>
    </row>
    <row r="73" ht="15" customHeight="1">
      <c r="A73" t="inlineStr">
        <is>
          <t>A 32200-2023</t>
        </is>
      </c>
      <c r="B73" s="1" t="n">
        <v>45119</v>
      </c>
      <c r="C73" s="1" t="n">
        <v>45899</v>
      </c>
      <c r="D73" t="inlineStr">
        <is>
          <t>VÄSTERNORRLANDS LÄN</t>
        </is>
      </c>
      <c r="E73" t="inlineStr">
        <is>
          <t>SOLLEFTEÅ</t>
        </is>
      </c>
      <c r="G73" t="n">
        <v>1.5</v>
      </c>
      <c r="H73" t="n">
        <v>3</v>
      </c>
      <c r="I73" t="n">
        <v>2</v>
      </c>
      <c r="J73" t="n">
        <v>5</v>
      </c>
      <c r="K73" t="n">
        <v>1</v>
      </c>
      <c r="L73" t="n">
        <v>0</v>
      </c>
      <c r="M73" t="n">
        <v>0</v>
      </c>
      <c r="N73" t="n">
        <v>0</v>
      </c>
      <c r="O73" t="n">
        <v>6</v>
      </c>
      <c r="P73" t="n">
        <v>1</v>
      </c>
      <c r="Q73" t="n">
        <v>8</v>
      </c>
      <c r="R73" s="2" t="inlineStr">
        <is>
          <t>Knärot
Garnlav
Rosenticka
Spillkråka
Tretåig hackspett
Ullticka
Grönpyrola
Vedticka</t>
        </is>
      </c>
      <c r="S73">
        <f>HYPERLINK("https://klasma.github.io/Logging_2283/artfynd/A 32200-2023 artfynd.xlsx", "A 32200-2023")</f>
        <v/>
      </c>
      <c r="T73">
        <f>HYPERLINK("https://klasma.github.io/Logging_2283/kartor/A 32200-2023 karta.png", "A 32200-2023")</f>
        <v/>
      </c>
      <c r="U73">
        <f>HYPERLINK("https://klasma.github.io/Logging_2283/knärot/A 32200-2023 karta knärot.png", "A 32200-2023")</f>
        <v/>
      </c>
      <c r="V73">
        <f>HYPERLINK("https://klasma.github.io/Logging_2283/klagomål/A 32200-2023 FSC-klagomål.docx", "A 32200-2023")</f>
        <v/>
      </c>
      <c r="W73">
        <f>HYPERLINK("https://klasma.github.io/Logging_2283/klagomålsmail/A 32200-2023 FSC-klagomål mail.docx", "A 32200-2023")</f>
        <v/>
      </c>
      <c r="X73">
        <f>HYPERLINK("https://klasma.github.io/Logging_2283/tillsyn/A 32200-2023 tillsynsbegäran.docx", "A 32200-2023")</f>
        <v/>
      </c>
      <c r="Y73">
        <f>HYPERLINK("https://klasma.github.io/Logging_2283/tillsynsmail/A 32200-2023 tillsynsbegäran mail.docx", "A 32200-2023")</f>
        <v/>
      </c>
      <c r="Z73">
        <f>HYPERLINK("https://klasma.github.io/Logging_2283/fåglar/A 32200-2023 prioriterade fågelarter.docx", "A 32200-2023")</f>
        <v/>
      </c>
    </row>
    <row r="74" ht="15" customHeight="1">
      <c r="A74" t="inlineStr">
        <is>
          <t>A 24459-2024</t>
        </is>
      </c>
      <c r="B74" s="1" t="n">
        <v>45457.9678125</v>
      </c>
      <c r="C74" s="1" t="n">
        <v>45899</v>
      </c>
      <c r="D74" t="inlineStr">
        <is>
          <t>VÄSTERNORRLANDS LÄN</t>
        </is>
      </c>
      <c r="E74" t="inlineStr">
        <is>
          <t>SOLLEFTEÅ</t>
        </is>
      </c>
      <c r="F74" t="inlineStr">
        <is>
          <t>SCA</t>
        </is>
      </c>
      <c r="G74" t="n">
        <v>6.1</v>
      </c>
      <c r="H74" t="n">
        <v>0</v>
      </c>
      <c r="I74" t="n">
        <v>2</v>
      </c>
      <c r="J74" t="n">
        <v>6</v>
      </c>
      <c r="K74" t="n">
        <v>0</v>
      </c>
      <c r="L74" t="n">
        <v>0</v>
      </c>
      <c r="M74" t="n">
        <v>0</v>
      </c>
      <c r="N74" t="n">
        <v>0</v>
      </c>
      <c r="O74" t="n">
        <v>6</v>
      </c>
      <c r="P74" t="n">
        <v>0</v>
      </c>
      <c r="Q74" t="n">
        <v>8</v>
      </c>
      <c r="R74" s="2" t="inlineStr">
        <is>
          <t>Garnlav
Granticka
Lunglav
Rosenticka
Rödbrun blekspik
Ullticka
Luddlav
Vedticka</t>
        </is>
      </c>
      <c r="S74">
        <f>HYPERLINK("https://klasma.github.io/Logging_2283/artfynd/A 24459-2024 artfynd.xlsx", "A 24459-2024")</f>
        <v/>
      </c>
      <c r="T74">
        <f>HYPERLINK("https://klasma.github.io/Logging_2283/kartor/A 24459-2024 karta.png", "A 24459-2024")</f>
        <v/>
      </c>
      <c r="V74">
        <f>HYPERLINK("https://klasma.github.io/Logging_2283/klagomål/A 24459-2024 FSC-klagomål.docx", "A 24459-2024")</f>
        <v/>
      </c>
      <c r="W74">
        <f>HYPERLINK("https://klasma.github.io/Logging_2283/klagomålsmail/A 24459-2024 FSC-klagomål mail.docx", "A 24459-2024")</f>
        <v/>
      </c>
      <c r="X74">
        <f>HYPERLINK("https://klasma.github.io/Logging_2283/tillsyn/A 24459-2024 tillsynsbegäran.docx", "A 24459-2024")</f>
        <v/>
      </c>
      <c r="Y74">
        <f>HYPERLINK("https://klasma.github.io/Logging_2283/tillsynsmail/A 24459-2024 tillsynsbegäran mail.docx", "A 24459-2024")</f>
        <v/>
      </c>
    </row>
    <row r="75" ht="15" customHeight="1">
      <c r="A75" t="inlineStr">
        <is>
          <t>A 57317-2024</t>
        </is>
      </c>
      <c r="B75" s="1" t="n">
        <v>45629</v>
      </c>
      <c r="C75" s="1" t="n">
        <v>45899</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25941-2025</t>
        </is>
      </c>
      <c r="B76" s="1" t="n">
        <v>45804.59460648148</v>
      </c>
      <c r="C76" s="1" t="n">
        <v>45899</v>
      </c>
      <c r="D76" t="inlineStr">
        <is>
          <t>VÄSTERNORRLANDS LÄN</t>
        </is>
      </c>
      <c r="E76" t="inlineStr">
        <is>
          <t>SOLLEFTEÅ</t>
        </is>
      </c>
      <c r="G76" t="n">
        <v>4.4</v>
      </c>
      <c r="H76" t="n">
        <v>1</v>
      </c>
      <c r="I76" t="n">
        <v>3</v>
      </c>
      <c r="J76" t="n">
        <v>3</v>
      </c>
      <c r="K76" t="n">
        <v>1</v>
      </c>
      <c r="L76" t="n">
        <v>1</v>
      </c>
      <c r="M76" t="n">
        <v>0</v>
      </c>
      <c r="N76" t="n">
        <v>0</v>
      </c>
      <c r="O76" t="n">
        <v>5</v>
      </c>
      <c r="P76" t="n">
        <v>2</v>
      </c>
      <c r="Q76" t="n">
        <v>8</v>
      </c>
      <c r="R76" s="2" t="inlineStr">
        <is>
          <t>Trolldruvemätare
Rynkskinn
Rosenticka
Talltita
Vedtrappmossa
Dvärghäxört
Strutbräken
Svart trolldruva</t>
        </is>
      </c>
      <c r="S76">
        <f>HYPERLINK("https://klasma.github.io/Logging_2283/artfynd/A 25941-2025 artfynd.xlsx", "A 25941-2025")</f>
        <v/>
      </c>
      <c r="T76">
        <f>HYPERLINK("https://klasma.github.io/Logging_2283/kartor/A 25941-2025 karta.png", "A 25941-2025")</f>
        <v/>
      </c>
      <c r="V76">
        <f>HYPERLINK("https://klasma.github.io/Logging_2283/klagomål/A 25941-2025 FSC-klagomål.docx", "A 25941-2025")</f>
        <v/>
      </c>
      <c r="W76">
        <f>HYPERLINK("https://klasma.github.io/Logging_2283/klagomålsmail/A 25941-2025 FSC-klagomål mail.docx", "A 25941-2025")</f>
        <v/>
      </c>
      <c r="X76">
        <f>HYPERLINK("https://klasma.github.io/Logging_2283/tillsyn/A 25941-2025 tillsynsbegäran.docx", "A 25941-2025")</f>
        <v/>
      </c>
      <c r="Y76">
        <f>HYPERLINK("https://klasma.github.io/Logging_2283/tillsynsmail/A 25941-2025 tillsynsbegäran mail.docx", "A 25941-2025")</f>
        <v/>
      </c>
      <c r="Z76">
        <f>HYPERLINK("https://klasma.github.io/Logging_2283/fåglar/A 25941-2025 prioriterade fågelarter.docx", "A 25941-2025")</f>
        <v/>
      </c>
    </row>
    <row r="77" ht="15" customHeight="1">
      <c r="A77" t="inlineStr">
        <is>
          <t>A 11540-2024</t>
        </is>
      </c>
      <c r="B77" s="1" t="n">
        <v>45372</v>
      </c>
      <c r="C77" s="1" t="n">
        <v>45899</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21345-2023</t>
        </is>
      </c>
      <c r="B78" s="1" t="n">
        <v>45062</v>
      </c>
      <c r="C78" s="1" t="n">
        <v>45899</v>
      </c>
      <c r="D78" t="inlineStr">
        <is>
          <t>VÄSTERNORRLANDS LÄN</t>
        </is>
      </c>
      <c r="E78" t="inlineStr">
        <is>
          <t>SOLLEFTEÅ</t>
        </is>
      </c>
      <c r="F78" t="inlineStr">
        <is>
          <t>SCA</t>
        </is>
      </c>
      <c r="G78" t="n">
        <v>3.3</v>
      </c>
      <c r="H78" t="n">
        <v>2</v>
      </c>
      <c r="I78" t="n">
        <v>2</v>
      </c>
      <c r="J78" t="n">
        <v>6</v>
      </c>
      <c r="K78" t="n">
        <v>0</v>
      </c>
      <c r="L78" t="n">
        <v>0</v>
      </c>
      <c r="M78" t="n">
        <v>0</v>
      </c>
      <c r="N78" t="n">
        <v>0</v>
      </c>
      <c r="O78" t="n">
        <v>6</v>
      </c>
      <c r="P78" t="n">
        <v>0</v>
      </c>
      <c r="Q78" t="n">
        <v>8</v>
      </c>
      <c r="R78" s="2" t="inlineStr">
        <is>
          <t>Gammelgransskål
Kolflarnlav
Lunglav
Mörk kolflarnlav
Talltita
Ullticka
Korallrot
Stuplav</t>
        </is>
      </c>
      <c r="S78">
        <f>HYPERLINK("https://klasma.github.io/Logging_2283/artfynd/A 21345-2023 artfynd.xlsx", "A 21345-2023")</f>
        <v/>
      </c>
      <c r="T78">
        <f>HYPERLINK("https://klasma.github.io/Logging_2283/kartor/A 21345-2023 karta.png", "A 21345-2023")</f>
        <v/>
      </c>
      <c r="V78">
        <f>HYPERLINK("https://klasma.github.io/Logging_2283/klagomål/A 21345-2023 FSC-klagomål.docx", "A 21345-2023")</f>
        <v/>
      </c>
      <c r="W78">
        <f>HYPERLINK("https://klasma.github.io/Logging_2283/klagomålsmail/A 21345-2023 FSC-klagomål mail.docx", "A 21345-2023")</f>
        <v/>
      </c>
      <c r="X78">
        <f>HYPERLINK("https://klasma.github.io/Logging_2283/tillsyn/A 21345-2023 tillsynsbegäran.docx", "A 21345-2023")</f>
        <v/>
      </c>
      <c r="Y78">
        <f>HYPERLINK("https://klasma.github.io/Logging_2283/tillsynsmail/A 21345-2023 tillsynsbegäran mail.docx", "A 21345-2023")</f>
        <v/>
      </c>
      <c r="Z78">
        <f>HYPERLINK("https://klasma.github.io/Logging_2283/fåglar/A 21345-2023 prioriterade fågelarter.docx", "A 21345-2023")</f>
        <v/>
      </c>
    </row>
    <row r="79" ht="15" customHeight="1">
      <c r="A79" t="inlineStr">
        <is>
          <t>A 31504-2025</t>
        </is>
      </c>
      <c r="B79" s="1" t="n">
        <v>45833.59438657408</v>
      </c>
      <c r="C79" s="1" t="n">
        <v>45899</v>
      </c>
      <c r="D79" t="inlineStr">
        <is>
          <t>VÄSTERNORRLANDS LÄN</t>
        </is>
      </c>
      <c r="E79" t="inlineStr">
        <is>
          <t>SOLLEFTEÅ</t>
        </is>
      </c>
      <c r="F79" t="inlineStr">
        <is>
          <t>SCA</t>
        </is>
      </c>
      <c r="G79" t="n">
        <v>4.1</v>
      </c>
      <c r="H79" t="n">
        <v>2</v>
      </c>
      <c r="I79" t="n">
        <v>1</v>
      </c>
      <c r="J79" t="n">
        <v>5</v>
      </c>
      <c r="K79" t="n">
        <v>2</v>
      </c>
      <c r="L79" t="n">
        <v>0</v>
      </c>
      <c r="M79" t="n">
        <v>0</v>
      </c>
      <c r="N79" t="n">
        <v>0</v>
      </c>
      <c r="O79" t="n">
        <v>7</v>
      </c>
      <c r="P79" t="n">
        <v>2</v>
      </c>
      <c r="Q79" t="n">
        <v>8</v>
      </c>
      <c r="R79" s="2" t="inlineStr">
        <is>
          <t>Knärot
Rynkskinn
Duvhök
Garnlav
Kortskaftad ärgspik
Rosenticka
Vedskivlav
Vedticka</t>
        </is>
      </c>
      <c r="S79">
        <f>HYPERLINK("https://klasma.github.io/Logging_2283/artfynd/A 31504-2025 artfynd.xlsx", "A 31504-2025")</f>
        <v/>
      </c>
      <c r="T79">
        <f>HYPERLINK("https://klasma.github.io/Logging_2283/kartor/A 31504-2025 karta.png", "A 31504-2025")</f>
        <v/>
      </c>
      <c r="U79">
        <f>HYPERLINK("https://klasma.github.io/Logging_2283/knärot/A 31504-2025 karta knärot.png", "A 31504-2025")</f>
        <v/>
      </c>
      <c r="V79">
        <f>HYPERLINK("https://klasma.github.io/Logging_2283/klagomål/A 31504-2025 FSC-klagomål.docx", "A 31504-2025")</f>
        <v/>
      </c>
      <c r="W79">
        <f>HYPERLINK("https://klasma.github.io/Logging_2283/klagomålsmail/A 31504-2025 FSC-klagomål mail.docx", "A 31504-2025")</f>
        <v/>
      </c>
      <c r="X79">
        <f>HYPERLINK("https://klasma.github.io/Logging_2283/tillsyn/A 31504-2025 tillsynsbegäran.docx", "A 31504-2025")</f>
        <v/>
      </c>
      <c r="Y79">
        <f>HYPERLINK("https://klasma.github.io/Logging_2283/tillsynsmail/A 31504-2025 tillsynsbegäran mail.docx", "A 31504-2025")</f>
        <v/>
      </c>
      <c r="Z79">
        <f>HYPERLINK("https://klasma.github.io/Logging_2283/fåglar/A 31504-2025 prioriterade fågelarter.docx", "A 31504-2025")</f>
        <v/>
      </c>
    </row>
    <row r="80" ht="15" customHeight="1">
      <c r="A80" t="inlineStr">
        <is>
          <t>A 4930-2025</t>
        </is>
      </c>
      <c r="B80" s="1" t="n">
        <v>45688</v>
      </c>
      <c r="C80" s="1" t="n">
        <v>45899</v>
      </c>
      <c r="D80" t="inlineStr">
        <is>
          <t>VÄSTERNORRLANDS LÄN</t>
        </is>
      </c>
      <c r="E80" t="inlineStr">
        <is>
          <t>SOLLEFTEÅ</t>
        </is>
      </c>
      <c r="F80" t="inlineStr">
        <is>
          <t>Övriga statliga verk och myndigheter</t>
        </is>
      </c>
      <c r="G80" t="n">
        <v>15.3</v>
      </c>
      <c r="H80" t="n">
        <v>4</v>
      </c>
      <c r="I80" t="n">
        <v>1</v>
      </c>
      <c r="J80" t="n">
        <v>5</v>
      </c>
      <c r="K80" t="n">
        <v>2</v>
      </c>
      <c r="L80" t="n">
        <v>0</v>
      </c>
      <c r="M80" t="n">
        <v>0</v>
      </c>
      <c r="N80" t="n">
        <v>0</v>
      </c>
      <c r="O80" t="n">
        <v>7</v>
      </c>
      <c r="P80" t="n">
        <v>2</v>
      </c>
      <c r="Q80" t="n">
        <v>8</v>
      </c>
      <c r="R80" s="2" t="inlineStr">
        <is>
          <t>Doftticka
Rynkskinn
Björktrast
Rosenticka
Spillkråka
Tretåig hackspett
Ullticka
Underviol</t>
        </is>
      </c>
      <c r="S80">
        <f>HYPERLINK("https://klasma.github.io/Logging_2283/artfynd/A 4930-2025 artfynd.xlsx", "A 4930-2025")</f>
        <v/>
      </c>
      <c r="T80">
        <f>HYPERLINK("https://klasma.github.io/Logging_2283/kartor/A 4930-2025 karta.png", "A 4930-2025")</f>
        <v/>
      </c>
      <c r="V80">
        <f>HYPERLINK("https://klasma.github.io/Logging_2283/klagomål/A 4930-2025 FSC-klagomål.docx", "A 4930-2025")</f>
        <v/>
      </c>
      <c r="W80">
        <f>HYPERLINK("https://klasma.github.io/Logging_2283/klagomålsmail/A 4930-2025 FSC-klagomål mail.docx", "A 4930-2025")</f>
        <v/>
      </c>
      <c r="X80">
        <f>HYPERLINK("https://klasma.github.io/Logging_2283/tillsyn/A 4930-2025 tillsynsbegäran.docx", "A 4930-2025")</f>
        <v/>
      </c>
      <c r="Y80">
        <f>HYPERLINK("https://klasma.github.io/Logging_2283/tillsynsmail/A 4930-2025 tillsynsbegäran mail.docx", "A 4930-2025")</f>
        <v/>
      </c>
      <c r="Z80">
        <f>HYPERLINK("https://klasma.github.io/Logging_2283/fåglar/A 4930-2025 prioriterade fågelarter.docx", "A 4930-2025")</f>
        <v/>
      </c>
    </row>
    <row r="81" ht="15" customHeight="1">
      <c r="A81" t="inlineStr">
        <is>
          <t>A 39071-2023</t>
        </is>
      </c>
      <c r="B81" s="1" t="n">
        <v>45163</v>
      </c>
      <c r="C81" s="1" t="n">
        <v>45899</v>
      </c>
      <c r="D81" t="inlineStr">
        <is>
          <t>VÄSTERNORRLANDS LÄN</t>
        </is>
      </c>
      <c r="E81" t="inlineStr">
        <is>
          <t>SOLLEFTEÅ</t>
        </is>
      </c>
      <c r="F81" t="inlineStr">
        <is>
          <t>SCA</t>
        </is>
      </c>
      <c r="G81" t="n">
        <v>16.5</v>
      </c>
      <c r="H81" t="n">
        <v>1</v>
      </c>
      <c r="I81" t="n">
        <v>1</v>
      </c>
      <c r="J81" t="n">
        <v>6</v>
      </c>
      <c r="K81" t="n">
        <v>1</v>
      </c>
      <c r="L81" t="n">
        <v>0</v>
      </c>
      <c r="M81" t="n">
        <v>0</v>
      </c>
      <c r="N81" t="n">
        <v>0</v>
      </c>
      <c r="O81" t="n">
        <v>7</v>
      </c>
      <c r="P81" t="n">
        <v>1</v>
      </c>
      <c r="Q81" t="n">
        <v>8</v>
      </c>
      <c r="R81" s="2" t="inlineStr">
        <is>
          <t>Rynkskinn
Gammelgransskål
Granticka
Leptoporus mollis
Rosenticka
Spillkråka
Ullticka
Vedticka</t>
        </is>
      </c>
      <c r="S81">
        <f>HYPERLINK("https://klasma.github.io/Logging_2283/artfynd/A 39071-2023 artfynd.xlsx", "A 39071-2023")</f>
        <v/>
      </c>
      <c r="T81">
        <f>HYPERLINK("https://klasma.github.io/Logging_2283/kartor/A 39071-2023 karta.png", "A 39071-2023")</f>
        <v/>
      </c>
      <c r="V81">
        <f>HYPERLINK("https://klasma.github.io/Logging_2283/klagomål/A 39071-2023 FSC-klagomål.docx", "A 39071-2023")</f>
        <v/>
      </c>
      <c r="W81">
        <f>HYPERLINK("https://klasma.github.io/Logging_2283/klagomålsmail/A 39071-2023 FSC-klagomål mail.docx", "A 39071-2023")</f>
        <v/>
      </c>
      <c r="X81">
        <f>HYPERLINK("https://klasma.github.io/Logging_2283/tillsyn/A 39071-2023 tillsynsbegäran.docx", "A 39071-2023")</f>
        <v/>
      </c>
      <c r="Y81">
        <f>HYPERLINK("https://klasma.github.io/Logging_2283/tillsynsmail/A 39071-2023 tillsynsbegäran mail.docx", "A 39071-2023")</f>
        <v/>
      </c>
      <c r="Z81">
        <f>HYPERLINK("https://klasma.github.io/Logging_2283/fåglar/A 39071-2023 prioriterade fågelarter.docx", "A 39071-2023")</f>
        <v/>
      </c>
    </row>
    <row r="82" ht="15" customHeight="1">
      <c r="A82" t="inlineStr">
        <is>
          <t>A 26655-2022</t>
        </is>
      </c>
      <c r="B82" s="1" t="n">
        <v>44739</v>
      </c>
      <c r="C82" s="1" t="n">
        <v>45899</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38294-2024</t>
        </is>
      </c>
      <c r="B83" s="1" t="n">
        <v>45545</v>
      </c>
      <c r="C83" s="1" t="n">
        <v>45899</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29250-2024</t>
        </is>
      </c>
      <c r="B84" s="1" t="n">
        <v>45482</v>
      </c>
      <c r="C84" s="1" t="n">
        <v>45899</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64131-2023</t>
        </is>
      </c>
      <c r="B85" s="1" t="n">
        <v>45279</v>
      </c>
      <c r="C85" s="1" t="n">
        <v>45899</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11132-2025</t>
        </is>
      </c>
      <c r="B86" s="1" t="n">
        <v>45723.64934027778</v>
      </c>
      <c r="C86" s="1" t="n">
        <v>45899</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66843-2020</t>
        </is>
      </c>
      <c r="B87" s="1" t="n">
        <v>44179</v>
      </c>
      <c r="C87" s="1" t="n">
        <v>45899</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12174-2025</t>
        </is>
      </c>
      <c r="B88" s="1" t="n">
        <v>45729</v>
      </c>
      <c r="C88" s="1" t="n">
        <v>45899</v>
      </c>
      <c r="D88" t="inlineStr">
        <is>
          <t>VÄSTERNORRLANDS LÄN</t>
        </is>
      </c>
      <c r="E88" t="inlineStr">
        <is>
          <t>SOLLEFTEÅ</t>
        </is>
      </c>
      <c r="F88" t="inlineStr">
        <is>
          <t>SCA</t>
        </is>
      </c>
      <c r="G88" t="n">
        <v>1.8</v>
      </c>
      <c r="H88" t="n">
        <v>4</v>
      </c>
      <c r="I88" t="n">
        <v>0</v>
      </c>
      <c r="J88" t="n">
        <v>5</v>
      </c>
      <c r="K88" t="n">
        <v>0</v>
      </c>
      <c r="L88" t="n">
        <v>0</v>
      </c>
      <c r="M88" t="n">
        <v>0</v>
      </c>
      <c r="N88" t="n">
        <v>0</v>
      </c>
      <c r="O88" t="n">
        <v>5</v>
      </c>
      <c r="P88" t="n">
        <v>0</v>
      </c>
      <c r="Q88" t="n">
        <v>7</v>
      </c>
      <c r="R88" s="2" t="inlineStr">
        <is>
          <t>Garnlav
Lunglav
Mörk kolflarnlav
Spillkråka
Tretåig hackspett
Tjäder
Revlummer</t>
        </is>
      </c>
      <c r="S88">
        <f>HYPERLINK("https://klasma.github.io/Logging_2283/artfynd/A 12174-2025 artfynd.xlsx", "A 12174-2025")</f>
        <v/>
      </c>
      <c r="T88">
        <f>HYPERLINK("https://klasma.github.io/Logging_2283/kartor/A 12174-2025 karta.png", "A 12174-2025")</f>
        <v/>
      </c>
      <c r="V88">
        <f>HYPERLINK("https://klasma.github.io/Logging_2283/klagomål/A 12174-2025 FSC-klagomål.docx", "A 12174-2025")</f>
        <v/>
      </c>
      <c r="W88">
        <f>HYPERLINK("https://klasma.github.io/Logging_2283/klagomålsmail/A 12174-2025 FSC-klagomål mail.docx", "A 12174-2025")</f>
        <v/>
      </c>
      <c r="X88">
        <f>HYPERLINK("https://klasma.github.io/Logging_2283/tillsyn/A 12174-2025 tillsynsbegäran.docx", "A 12174-2025")</f>
        <v/>
      </c>
      <c r="Y88">
        <f>HYPERLINK("https://klasma.github.io/Logging_2283/tillsynsmail/A 12174-2025 tillsynsbegäran mail.docx", "A 12174-2025")</f>
        <v/>
      </c>
      <c r="Z88">
        <f>HYPERLINK("https://klasma.github.io/Logging_2283/fåglar/A 12174-2025 prioriterade fågelarter.docx", "A 12174-2025")</f>
        <v/>
      </c>
    </row>
    <row r="89" ht="15" customHeight="1">
      <c r="A89" t="inlineStr">
        <is>
          <t>A 54049-2023</t>
        </is>
      </c>
      <c r="B89" s="1" t="n">
        <v>45231</v>
      </c>
      <c r="C89" s="1" t="n">
        <v>45899</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45899</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715-2023</t>
        </is>
      </c>
      <c r="B91" s="1" t="n">
        <v>44930</v>
      </c>
      <c r="C91" s="1" t="n">
        <v>45899</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22783-2025</t>
        </is>
      </c>
      <c r="B92" s="1" t="n">
        <v>45789</v>
      </c>
      <c r="C92" s="1" t="n">
        <v>45899</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47647-2022</t>
        </is>
      </c>
      <c r="B93" s="1" t="n">
        <v>44852</v>
      </c>
      <c r="C93" s="1" t="n">
        <v>45899</v>
      </c>
      <c r="D93" t="inlineStr">
        <is>
          <t>VÄSTERNORRLANDS LÄN</t>
        </is>
      </c>
      <c r="E93" t="inlineStr">
        <is>
          <t>SOLLEFTEÅ</t>
        </is>
      </c>
      <c r="G93" t="n">
        <v>5.3</v>
      </c>
      <c r="H93" t="n">
        <v>2</v>
      </c>
      <c r="I93" t="n">
        <v>0</v>
      </c>
      <c r="J93" t="n">
        <v>5</v>
      </c>
      <c r="K93" t="n">
        <v>1</v>
      </c>
      <c r="L93" t="n">
        <v>1</v>
      </c>
      <c r="M93" t="n">
        <v>0</v>
      </c>
      <c r="N93" t="n">
        <v>0</v>
      </c>
      <c r="O93" t="n">
        <v>7</v>
      </c>
      <c r="P93" t="n">
        <v>2</v>
      </c>
      <c r="Q93" t="n">
        <v>7</v>
      </c>
      <c r="R93" s="2" t="inlineStr">
        <is>
          <t>Större barkplattbagge
Rynkskinn
Garnlav
Rosenticka
Stjärntagging
Talltita
Ullticka</t>
        </is>
      </c>
      <c r="S93">
        <f>HYPERLINK("https://klasma.github.io/Logging_2283/artfynd/A 47647-2022 artfynd.xlsx", "A 47647-2022")</f>
        <v/>
      </c>
      <c r="T93">
        <f>HYPERLINK("https://klasma.github.io/Logging_2283/kartor/A 47647-2022 karta.png", "A 47647-2022")</f>
        <v/>
      </c>
      <c r="V93">
        <f>HYPERLINK("https://klasma.github.io/Logging_2283/klagomål/A 47647-2022 FSC-klagomål.docx", "A 47647-2022")</f>
        <v/>
      </c>
      <c r="W93">
        <f>HYPERLINK("https://klasma.github.io/Logging_2283/klagomålsmail/A 47647-2022 FSC-klagomål mail.docx", "A 47647-2022")</f>
        <v/>
      </c>
      <c r="X93">
        <f>HYPERLINK("https://klasma.github.io/Logging_2283/tillsyn/A 47647-2022 tillsynsbegäran.docx", "A 47647-2022")</f>
        <v/>
      </c>
      <c r="Y93">
        <f>HYPERLINK("https://klasma.github.io/Logging_2283/tillsynsmail/A 47647-2022 tillsynsbegäran mail.docx", "A 47647-2022")</f>
        <v/>
      </c>
      <c r="Z93">
        <f>HYPERLINK("https://klasma.github.io/Logging_2283/fåglar/A 47647-2022 prioriterade fågelarter.docx", "A 47647-2022")</f>
        <v/>
      </c>
    </row>
    <row r="94" ht="15" customHeight="1">
      <c r="A94" t="inlineStr">
        <is>
          <t>A 41666-2024</t>
        </is>
      </c>
      <c r="B94" s="1" t="n">
        <v>45560.65010416666</v>
      </c>
      <c r="C94" s="1" t="n">
        <v>45899</v>
      </c>
      <c r="D94" t="inlineStr">
        <is>
          <t>VÄSTERNORRLANDS LÄN</t>
        </is>
      </c>
      <c r="E94" t="inlineStr">
        <is>
          <t>SOLLEFTEÅ</t>
        </is>
      </c>
      <c r="G94" t="n">
        <v>1</v>
      </c>
      <c r="H94" t="n">
        <v>1</v>
      </c>
      <c r="I94" t="n">
        <v>1</v>
      </c>
      <c r="J94" t="n">
        <v>4</v>
      </c>
      <c r="K94" t="n">
        <v>1</v>
      </c>
      <c r="L94" t="n">
        <v>0</v>
      </c>
      <c r="M94" t="n">
        <v>0</v>
      </c>
      <c r="N94" t="n">
        <v>0</v>
      </c>
      <c r="O94" t="n">
        <v>5</v>
      </c>
      <c r="P94" t="n">
        <v>1</v>
      </c>
      <c r="Q94" t="n">
        <v>7</v>
      </c>
      <c r="R94" s="2" t="inlineStr">
        <is>
          <t>Rynkskinn
Granticka
Lunglav
Rosenticka
Vedtrappmossa
Stor aspticka
Revlummer</t>
        </is>
      </c>
      <c r="S94">
        <f>HYPERLINK("https://klasma.github.io/Logging_2283/artfynd/A 41666-2024 artfynd.xlsx", "A 41666-2024")</f>
        <v/>
      </c>
      <c r="T94">
        <f>HYPERLINK("https://klasma.github.io/Logging_2283/kartor/A 41666-2024 karta.png", "A 41666-2024")</f>
        <v/>
      </c>
      <c r="V94">
        <f>HYPERLINK("https://klasma.github.io/Logging_2283/klagomål/A 41666-2024 FSC-klagomål.docx", "A 41666-2024")</f>
        <v/>
      </c>
      <c r="W94">
        <f>HYPERLINK("https://klasma.github.io/Logging_2283/klagomålsmail/A 41666-2024 FSC-klagomål mail.docx", "A 41666-2024")</f>
        <v/>
      </c>
      <c r="X94">
        <f>HYPERLINK("https://klasma.github.io/Logging_2283/tillsyn/A 41666-2024 tillsynsbegäran.docx", "A 41666-2024")</f>
        <v/>
      </c>
      <c r="Y94">
        <f>HYPERLINK("https://klasma.github.io/Logging_2283/tillsynsmail/A 41666-2024 tillsynsbegäran mail.docx", "A 41666-2024")</f>
        <v/>
      </c>
    </row>
    <row r="95" ht="15" customHeight="1">
      <c r="A95" t="inlineStr">
        <is>
          <t>A 59045-2022</t>
        </is>
      </c>
      <c r="B95" s="1" t="n">
        <v>44903</v>
      </c>
      <c r="C95" s="1" t="n">
        <v>45899</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28997-2025</t>
        </is>
      </c>
      <c r="B96" s="1" t="n">
        <v>45821.38616898148</v>
      </c>
      <c r="C96" s="1" t="n">
        <v>45899</v>
      </c>
      <c r="D96" t="inlineStr">
        <is>
          <t>VÄSTERNORRLANDS LÄN</t>
        </is>
      </c>
      <c r="E96" t="inlineStr">
        <is>
          <t>SOLLEFTEÅ</t>
        </is>
      </c>
      <c r="F96" t="inlineStr">
        <is>
          <t>SCA</t>
        </is>
      </c>
      <c r="G96" t="n">
        <v>4.2</v>
      </c>
      <c r="H96" t="n">
        <v>0</v>
      </c>
      <c r="I96" t="n">
        <v>3</v>
      </c>
      <c r="J96" t="n">
        <v>4</v>
      </c>
      <c r="K96" t="n">
        <v>0</v>
      </c>
      <c r="L96" t="n">
        <v>0</v>
      </c>
      <c r="M96" t="n">
        <v>0</v>
      </c>
      <c r="N96" t="n">
        <v>0</v>
      </c>
      <c r="O96" t="n">
        <v>4</v>
      </c>
      <c r="P96" t="n">
        <v>0</v>
      </c>
      <c r="Q96" t="n">
        <v>7</v>
      </c>
      <c r="R96" s="2" t="inlineStr">
        <is>
          <t>Dvärgbägarlav
Garnlav
Vaddporing
Vedtrappmossa
Bollvitmossa
Norrlandslav
Skuggblåslav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24359-2025</t>
        </is>
      </c>
      <c r="B97" s="1" t="n">
        <v>45797.59490740741</v>
      </c>
      <c r="C97" s="1" t="n">
        <v>45899</v>
      </c>
      <c r="D97" t="inlineStr">
        <is>
          <t>VÄSTERNORRLANDS LÄN</t>
        </is>
      </c>
      <c r="E97" t="inlineStr">
        <is>
          <t>SOLLEFTEÅ</t>
        </is>
      </c>
      <c r="F97" t="inlineStr">
        <is>
          <t>SCA</t>
        </is>
      </c>
      <c r="G97" t="n">
        <v>4.9</v>
      </c>
      <c r="H97" t="n">
        <v>2</v>
      </c>
      <c r="I97" t="n">
        <v>0</v>
      </c>
      <c r="J97" t="n">
        <v>6</v>
      </c>
      <c r="K97" t="n">
        <v>0</v>
      </c>
      <c r="L97" t="n">
        <v>0</v>
      </c>
      <c r="M97" t="n">
        <v>0</v>
      </c>
      <c r="N97" t="n">
        <v>0</v>
      </c>
      <c r="O97" t="n">
        <v>6</v>
      </c>
      <c r="P97" t="n">
        <v>0</v>
      </c>
      <c r="Q97" t="n">
        <v>7</v>
      </c>
      <c r="R97" s="2" t="inlineStr">
        <is>
          <t>Dvärgbägarlav
Garnlav
Järpe
Rosenticka
Ullticka
Vedskivlav
Tjäder</t>
        </is>
      </c>
      <c r="S97">
        <f>HYPERLINK("https://klasma.github.io/Logging_2283/artfynd/A 24359-2025 artfynd.xlsx", "A 24359-2025")</f>
        <v/>
      </c>
      <c r="T97">
        <f>HYPERLINK("https://klasma.github.io/Logging_2283/kartor/A 24359-2025 karta.png", "A 24359-2025")</f>
        <v/>
      </c>
      <c r="V97">
        <f>HYPERLINK("https://klasma.github.io/Logging_2283/klagomål/A 24359-2025 FSC-klagomål.docx", "A 24359-2025")</f>
        <v/>
      </c>
      <c r="W97">
        <f>HYPERLINK("https://klasma.github.io/Logging_2283/klagomålsmail/A 24359-2025 FSC-klagomål mail.docx", "A 24359-2025")</f>
        <v/>
      </c>
      <c r="X97">
        <f>HYPERLINK("https://klasma.github.io/Logging_2283/tillsyn/A 24359-2025 tillsynsbegäran.docx", "A 24359-2025")</f>
        <v/>
      </c>
      <c r="Y97">
        <f>HYPERLINK("https://klasma.github.io/Logging_2283/tillsynsmail/A 24359-2025 tillsynsbegäran mail.docx", "A 24359-2025")</f>
        <v/>
      </c>
      <c r="Z97">
        <f>HYPERLINK("https://klasma.github.io/Logging_2283/fåglar/A 24359-2025 prioriterade fågelarter.docx", "A 24359-2025")</f>
        <v/>
      </c>
    </row>
    <row r="98" ht="15" customHeight="1">
      <c r="A98" t="inlineStr">
        <is>
          <t>A 38157-2025</t>
        </is>
      </c>
      <c r="B98" s="1" t="n">
        <v>45882.61505787037</v>
      </c>
      <c r="C98" s="1" t="n">
        <v>45899</v>
      </c>
      <c r="D98" t="inlineStr">
        <is>
          <t>VÄSTERNORRLANDS LÄN</t>
        </is>
      </c>
      <c r="E98" t="inlineStr">
        <is>
          <t>SOLLEFTEÅ</t>
        </is>
      </c>
      <c r="F98" t="inlineStr">
        <is>
          <t>SCA</t>
        </is>
      </c>
      <c r="G98" t="n">
        <v>14.9</v>
      </c>
      <c r="H98" t="n">
        <v>0</v>
      </c>
      <c r="I98" t="n">
        <v>0</v>
      </c>
      <c r="J98" t="n">
        <v>4</v>
      </c>
      <c r="K98" t="n">
        <v>3</v>
      </c>
      <c r="L98" t="n">
        <v>0</v>
      </c>
      <c r="M98" t="n">
        <v>0</v>
      </c>
      <c r="N98" t="n">
        <v>0</v>
      </c>
      <c r="O98" t="n">
        <v>7</v>
      </c>
      <c r="P98" t="n">
        <v>3</v>
      </c>
      <c r="Q98" t="n">
        <v>7</v>
      </c>
      <c r="R98" s="2" t="inlineStr">
        <is>
          <t>Fläckporing
Smalfotad taggsvamp
Tajgataggsvamp
Blå taggsvamp
Dvärgbägarlav
Lunglav
Vedskivlav</t>
        </is>
      </c>
      <c r="S98">
        <f>HYPERLINK("https://klasma.github.io/Logging_2283/artfynd/A 38157-2025 artfynd.xlsx", "A 38157-2025")</f>
        <v/>
      </c>
      <c r="T98">
        <f>HYPERLINK("https://klasma.github.io/Logging_2283/kartor/A 38157-2025 karta.png", "A 38157-2025")</f>
        <v/>
      </c>
      <c r="V98">
        <f>HYPERLINK("https://klasma.github.io/Logging_2283/klagomål/A 38157-2025 FSC-klagomål.docx", "A 38157-2025")</f>
        <v/>
      </c>
      <c r="W98">
        <f>HYPERLINK("https://klasma.github.io/Logging_2283/klagomålsmail/A 38157-2025 FSC-klagomål mail.docx", "A 38157-2025")</f>
        <v/>
      </c>
      <c r="X98">
        <f>HYPERLINK("https://klasma.github.io/Logging_2283/tillsyn/A 38157-2025 tillsynsbegäran.docx", "A 38157-2025")</f>
        <v/>
      </c>
      <c r="Y98">
        <f>HYPERLINK("https://klasma.github.io/Logging_2283/tillsynsmail/A 38157-2025 tillsynsbegäran mail.docx", "A 38157-2025")</f>
        <v/>
      </c>
    </row>
    <row r="99" ht="15" customHeight="1">
      <c r="A99" t="inlineStr">
        <is>
          <t>A 62992-2023</t>
        </is>
      </c>
      <c r="B99" s="1" t="n">
        <v>45272</v>
      </c>
      <c r="C99" s="1" t="n">
        <v>45899</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39197-2025</t>
        </is>
      </c>
      <c r="B100" s="1" t="n">
        <v>45888.69832175926</v>
      </c>
      <c r="C100" s="1" t="n">
        <v>45899</v>
      </c>
      <c r="D100" t="inlineStr">
        <is>
          <t>VÄSTERNORRLANDS LÄN</t>
        </is>
      </c>
      <c r="E100" t="inlineStr">
        <is>
          <t>SOLLEFTEÅ</t>
        </is>
      </c>
      <c r="G100" t="n">
        <v>1.8</v>
      </c>
      <c r="H100" t="n">
        <v>0</v>
      </c>
      <c r="I100" t="n">
        <v>3</v>
      </c>
      <c r="J100" t="n">
        <v>4</v>
      </c>
      <c r="K100" t="n">
        <v>0</v>
      </c>
      <c r="L100" t="n">
        <v>0</v>
      </c>
      <c r="M100" t="n">
        <v>0</v>
      </c>
      <c r="N100" t="n">
        <v>0</v>
      </c>
      <c r="O100" t="n">
        <v>4</v>
      </c>
      <c r="P100" t="n">
        <v>0</v>
      </c>
      <c r="Q100" t="n">
        <v>7</v>
      </c>
      <c r="R100" s="2" t="inlineStr">
        <is>
          <t>Gammelgransskål
Lunglav
Skrovellav
Ullticka
Stuplav
Trådticka
Vedticka</t>
        </is>
      </c>
      <c r="S100">
        <f>HYPERLINK("https://klasma.github.io/Logging_2283/artfynd/A 39197-2025 artfynd.xlsx", "A 39197-2025")</f>
        <v/>
      </c>
      <c r="T100">
        <f>HYPERLINK("https://klasma.github.io/Logging_2283/kartor/A 39197-2025 karta.png", "A 39197-2025")</f>
        <v/>
      </c>
      <c r="U100">
        <f>HYPERLINK("https://klasma.github.io/Logging_2283/knärot/A 39197-2025 karta knärot.png", "A 39197-2025")</f>
        <v/>
      </c>
      <c r="V100">
        <f>HYPERLINK("https://klasma.github.io/Logging_2283/klagomål/A 39197-2025 FSC-klagomål.docx", "A 39197-2025")</f>
        <v/>
      </c>
      <c r="W100">
        <f>HYPERLINK("https://klasma.github.io/Logging_2283/klagomålsmail/A 39197-2025 FSC-klagomål mail.docx", "A 39197-2025")</f>
        <v/>
      </c>
      <c r="X100">
        <f>HYPERLINK("https://klasma.github.io/Logging_2283/tillsyn/A 39197-2025 tillsynsbegäran.docx", "A 39197-2025")</f>
        <v/>
      </c>
      <c r="Y100">
        <f>HYPERLINK("https://klasma.github.io/Logging_2283/tillsynsmail/A 39197-2025 tillsynsbegäran mail.docx", "A 39197-2025")</f>
        <v/>
      </c>
    </row>
    <row r="101" ht="15" customHeight="1">
      <c r="A101" t="inlineStr">
        <is>
          <t>A 26654-2024</t>
        </is>
      </c>
      <c r="B101" s="1" t="n">
        <v>45469</v>
      </c>
      <c r="C101" s="1" t="n">
        <v>45899</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21253-2025</t>
        </is>
      </c>
      <c r="B102" s="1" t="n">
        <v>45779</v>
      </c>
      <c r="C102" s="1" t="n">
        <v>45899</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14580-2024</t>
        </is>
      </c>
      <c r="B103" s="1" t="n">
        <v>45394</v>
      </c>
      <c r="C103" s="1" t="n">
        <v>45899</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55422-2024</t>
        </is>
      </c>
      <c r="B104" s="1" t="n">
        <v>45622.38619212963</v>
      </c>
      <c r="C104" s="1" t="n">
        <v>45899</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18014-2022</t>
        </is>
      </c>
      <c r="B105" s="1" t="n">
        <v>44683</v>
      </c>
      <c r="C105" s="1" t="n">
        <v>45899</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16087-2022</t>
        </is>
      </c>
      <c r="B106" s="1" t="n">
        <v>44665</v>
      </c>
      <c r="C106" s="1" t="n">
        <v>45899</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45899</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31885-2024</t>
        </is>
      </c>
      <c r="B108" s="1" t="n">
        <v>45509.95769675926</v>
      </c>
      <c r="C108" s="1" t="n">
        <v>45899</v>
      </c>
      <c r="D108" t="inlineStr">
        <is>
          <t>VÄSTERNORRLANDS LÄN</t>
        </is>
      </c>
      <c r="E108" t="inlineStr">
        <is>
          <t>SOLLEFTEÅ</t>
        </is>
      </c>
      <c r="F108" t="inlineStr">
        <is>
          <t>SCA</t>
        </is>
      </c>
      <c r="G108" t="n">
        <v>4.1</v>
      </c>
      <c r="H108" t="n">
        <v>3</v>
      </c>
      <c r="I108" t="n">
        <v>1</v>
      </c>
      <c r="J108" t="n">
        <v>4</v>
      </c>
      <c r="K108" t="n">
        <v>1</v>
      </c>
      <c r="L108" t="n">
        <v>0</v>
      </c>
      <c r="M108" t="n">
        <v>0</v>
      </c>
      <c r="N108" t="n">
        <v>0</v>
      </c>
      <c r="O108" t="n">
        <v>5</v>
      </c>
      <c r="P108" t="n">
        <v>1</v>
      </c>
      <c r="Q108" t="n">
        <v>6</v>
      </c>
      <c r="R108" s="2" t="inlineStr">
        <is>
          <t>Knärot
Garnlav
Lunglav
Spillkråka
Talltita
Luddlav</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29871-2024</t>
        </is>
      </c>
      <c r="B109" s="1" t="n">
        <v>45485.94521990741</v>
      </c>
      <c r="C109" s="1" t="n">
        <v>45899</v>
      </c>
      <c r="D109" t="inlineStr">
        <is>
          <t>VÄSTERNORRLANDS LÄN</t>
        </is>
      </c>
      <c r="E109" t="inlineStr">
        <is>
          <t>SOLLEFTEÅ</t>
        </is>
      </c>
      <c r="F109" t="inlineStr">
        <is>
          <t>SCA</t>
        </is>
      </c>
      <c r="G109" t="n">
        <v>6</v>
      </c>
      <c r="H109" t="n">
        <v>0</v>
      </c>
      <c r="I109" t="n">
        <v>1</v>
      </c>
      <c r="J109" t="n">
        <v>5</v>
      </c>
      <c r="K109" t="n">
        <v>0</v>
      </c>
      <c r="L109" t="n">
        <v>0</v>
      </c>
      <c r="M109" t="n">
        <v>0</v>
      </c>
      <c r="N109" t="n">
        <v>0</v>
      </c>
      <c r="O109" t="n">
        <v>5</v>
      </c>
      <c r="P109" t="n">
        <v>0</v>
      </c>
      <c r="Q109" t="n">
        <v>6</v>
      </c>
      <c r="R109" s="2" t="inlineStr">
        <is>
          <t>Dvärgbägarlav
Garnlav
Lunglav
Nordtagging
Tallticka
Dropptaggsvamp</t>
        </is>
      </c>
      <c r="S109">
        <f>HYPERLINK("https://klasma.github.io/Logging_2283/artfynd/A 29871-2024 artfynd.xlsx", "A 29871-2024")</f>
        <v/>
      </c>
      <c r="T109">
        <f>HYPERLINK("https://klasma.github.io/Logging_2283/kartor/A 29871-2024 karta.png", "A 29871-2024")</f>
        <v/>
      </c>
      <c r="V109">
        <f>HYPERLINK("https://klasma.github.io/Logging_2283/klagomål/A 29871-2024 FSC-klagomål.docx", "A 29871-2024")</f>
        <v/>
      </c>
      <c r="W109">
        <f>HYPERLINK("https://klasma.github.io/Logging_2283/klagomålsmail/A 29871-2024 FSC-klagomål mail.docx", "A 29871-2024")</f>
        <v/>
      </c>
      <c r="X109">
        <f>HYPERLINK("https://klasma.github.io/Logging_2283/tillsyn/A 29871-2024 tillsynsbegäran.docx", "A 29871-2024")</f>
        <v/>
      </c>
      <c r="Y109">
        <f>HYPERLINK("https://klasma.github.io/Logging_2283/tillsynsmail/A 29871-2024 tillsynsbegäran mail.docx", "A 29871-2024")</f>
        <v/>
      </c>
    </row>
    <row r="110" ht="15" customHeight="1">
      <c r="A110" t="inlineStr">
        <is>
          <t>A 36470-2024</t>
        </is>
      </c>
      <c r="B110" s="1" t="n">
        <v>45537</v>
      </c>
      <c r="C110" s="1" t="n">
        <v>45899</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11552-2024</t>
        </is>
      </c>
      <c r="B111" s="1" t="n">
        <v>45372</v>
      </c>
      <c r="C111" s="1" t="n">
        <v>45899</v>
      </c>
      <c r="D111" t="inlineStr">
        <is>
          <t>VÄSTERNORRLANDS LÄN</t>
        </is>
      </c>
      <c r="E111" t="inlineStr">
        <is>
          <t>SOLLEFTEÅ</t>
        </is>
      </c>
      <c r="F111" t="inlineStr">
        <is>
          <t>SCA</t>
        </is>
      </c>
      <c r="G111" t="n">
        <v>2.5</v>
      </c>
      <c r="H111" t="n">
        <v>1</v>
      </c>
      <c r="I111" t="n">
        <v>0</v>
      </c>
      <c r="J111" t="n">
        <v>6</v>
      </c>
      <c r="K111" t="n">
        <v>0</v>
      </c>
      <c r="L111" t="n">
        <v>0</v>
      </c>
      <c r="M111" t="n">
        <v>0</v>
      </c>
      <c r="N111" t="n">
        <v>0</v>
      </c>
      <c r="O111" t="n">
        <v>6</v>
      </c>
      <c r="P111" t="n">
        <v>0</v>
      </c>
      <c r="Q111" t="n">
        <v>6</v>
      </c>
      <c r="R111" s="2" t="inlineStr">
        <is>
          <t>Garnlav
Lunglav
Rosenticka
Tallticka
Tretåig hackspett
Ullticka</t>
        </is>
      </c>
      <c r="S111">
        <f>HYPERLINK("https://klasma.github.io/Logging_2283/artfynd/A 11552-2024 artfynd.xlsx", "A 11552-2024")</f>
        <v/>
      </c>
      <c r="T111">
        <f>HYPERLINK("https://klasma.github.io/Logging_2283/kartor/A 11552-2024 karta.png", "A 11552-2024")</f>
        <v/>
      </c>
      <c r="V111">
        <f>HYPERLINK("https://klasma.github.io/Logging_2283/klagomål/A 11552-2024 FSC-klagomål.docx", "A 11552-2024")</f>
        <v/>
      </c>
      <c r="W111">
        <f>HYPERLINK("https://klasma.github.io/Logging_2283/klagomålsmail/A 11552-2024 FSC-klagomål mail.docx", "A 11552-2024")</f>
        <v/>
      </c>
      <c r="X111">
        <f>HYPERLINK("https://klasma.github.io/Logging_2283/tillsyn/A 11552-2024 tillsynsbegäran.docx", "A 11552-2024")</f>
        <v/>
      </c>
      <c r="Y111">
        <f>HYPERLINK("https://klasma.github.io/Logging_2283/tillsynsmail/A 11552-2024 tillsynsbegäran mail.docx", "A 11552-2024")</f>
        <v/>
      </c>
      <c r="Z111">
        <f>HYPERLINK("https://klasma.github.io/Logging_2283/fåglar/A 11552-2024 prioriterade fågelarter.docx", "A 11552-2024")</f>
        <v/>
      </c>
    </row>
    <row r="112" ht="15" customHeight="1">
      <c r="A112" t="inlineStr">
        <is>
          <t>A 14860-2023</t>
        </is>
      </c>
      <c r="B112" s="1" t="n">
        <v>45015.07157407407</v>
      </c>
      <c r="C112" s="1" t="n">
        <v>45899</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45899</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45899</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13250-2025</t>
        </is>
      </c>
      <c r="B115" s="1" t="n">
        <v>45735.49013888889</v>
      </c>
      <c r="C115" s="1" t="n">
        <v>45899</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35406-2024</t>
        </is>
      </c>
      <c r="B116" s="1" t="n">
        <v>45531.40607638889</v>
      </c>
      <c r="C116" s="1" t="n">
        <v>45899</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35632-2025</t>
        </is>
      </c>
      <c r="B117" s="1" t="n">
        <v>45859.44893518519</v>
      </c>
      <c r="C117" s="1" t="n">
        <v>45899</v>
      </c>
      <c r="D117" t="inlineStr">
        <is>
          <t>VÄSTERNORRLANDS LÄN</t>
        </is>
      </c>
      <c r="E117" t="inlineStr">
        <is>
          <t>SOLLEFTEÅ</t>
        </is>
      </c>
      <c r="F117" t="inlineStr">
        <is>
          <t>SCA</t>
        </is>
      </c>
      <c r="G117" t="n">
        <v>6.1</v>
      </c>
      <c r="H117" t="n">
        <v>2</v>
      </c>
      <c r="I117" t="n">
        <v>3</v>
      </c>
      <c r="J117" t="n">
        <v>3</v>
      </c>
      <c r="K117" t="n">
        <v>0</v>
      </c>
      <c r="L117" t="n">
        <v>0</v>
      </c>
      <c r="M117" t="n">
        <v>0</v>
      </c>
      <c r="N117" t="n">
        <v>0</v>
      </c>
      <c r="O117" t="n">
        <v>3</v>
      </c>
      <c r="P117" t="n">
        <v>0</v>
      </c>
      <c r="Q117" t="n">
        <v>6</v>
      </c>
      <c r="R117" s="2" t="inlineStr">
        <is>
          <t>Björktrast
Kolflarnlav
Vaddporing
Bollvitmossa
Plattlummer
Zontaggsvamp</t>
        </is>
      </c>
      <c r="S117">
        <f>HYPERLINK("https://klasma.github.io/Logging_2283/artfynd/A 35632-2025 artfynd.xlsx", "A 35632-2025")</f>
        <v/>
      </c>
      <c r="T117">
        <f>HYPERLINK("https://klasma.github.io/Logging_2283/kartor/A 35632-2025 karta.png", "A 35632-2025")</f>
        <v/>
      </c>
      <c r="V117">
        <f>HYPERLINK("https://klasma.github.io/Logging_2283/klagomål/A 35632-2025 FSC-klagomål.docx", "A 35632-2025")</f>
        <v/>
      </c>
      <c r="W117">
        <f>HYPERLINK("https://klasma.github.io/Logging_2283/klagomålsmail/A 35632-2025 FSC-klagomål mail.docx", "A 35632-2025")</f>
        <v/>
      </c>
      <c r="X117">
        <f>HYPERLINK("https://klasma.github.io/Logging_2283/tillsyn/A 35632-2025 tillsynsbegäran.docx", "A 35632-2025")</f>
        <v/>
      </c>
      <c r="Y117">
        <f>HYPERLINK("https://klasma.github.io/Logging_2283/tillsynsmail/A 35632-2025 tillsynsbegäran mail.docx", "A 35632-2025")</f>
        <v/>
      </c>
      <c r="Z117">
        <f>HYPERLINK("https://klasma.github.io/Logging_2283/fåglar/A 35632-2025 prioriterade fågelarter.docx", "A 35632-2025")</f>
        <v/>
      </c>
    </row>
    <row r="118" ht="15" customHeight="1">
      <c r="A118" t="inlineStr">
        <is>
          <t>A 4827-2025</t>
        </is>
      </c>
      <c r="B118" s="1" t="n">
        <v>45688</v>
      </c>
      <c r="C118" s="1" t="n">
        <v>45899</v>
      </c>
      <c r="D118" t="inlineStr">
        <is>
          <t>VÄSTERNORRLANDS LÄN</t>
        </is>
      </c>
      <c r="E118" t="inlineStr">
        <is>
          <t>SOLLEFTEÅ</t>
        </is>
      </c>
      <c r="G118" t="n">
        <v>33</v>
      </c>
      <c r="H118" t="n">
        <v>2</v>
      </c>
      <c r="I118" t="n">
        <v>0</v>
      </c>
      <c r="J118" t="n">
        <v>6</v>
      </c>
      <c r="K118" t="n">
        <v>0</v>
      </c>
      <c r="L118" t="n">
        <v>0</v>
      </c>
      <c r="M118" t="n">
        <v>0</v>
      </c>
      <c r="N118" t="n">
        <v>0</v>
      </c>
      <c r="O118" t="n">
        <v>6</v>
      </c>
      <c r="P118" t="n">
        <v>0</v>
      </c>
      <c r="Q118" t="n">
        <v>6</v>
      </c>
      <c r="R118" s="2" t="inlineStr">
        <is>
          <t>Garnlav
Granticka
Lunglav
Talltita
Tretåig hackspett
Ullticka</t>
        </is>
      </c>
      <c r="S118">
        <f>HYPERLINK("https://klasma.github.io/Logging_2283/artfynd/A 4827-2025 artfynd.xlsx", "A 4827-2025")</f>
        <v/>
      </c>
      <c r="T118">
        <f>HYPERLINK("https://klasma.github.io/Logging_2283/kartor/A 4827-2025 karta.png", "A 4827-2025")</f>
        <v/>
      </c>
      <c r="V118">
        <f>HYPERLINK("https://klasma.github.io/Logging_2283/klagomål/A 4827-2025 FSC-klagomål.docx", "A 4827-2025")</f>
        <v/>
      </c>
      <c r="W118">
        <f>HYPERLINK("https://klasma.github.io/Logging_2283/klagomålsmail/A 4827-2025 FSC-klagomål mail.docx", "A 4827-2025")</f>
        <v/>
      </c>
      <c r="X118">
        <f>HYPERLINK("https://klasma.github.io/Logging_2283/tillsyn/A 4827-2025 tillsynsbegäran.docx", "A 4827-2025")</f>
        <v/>
      </c>
      <c r="Y118">
        <f>HYPERLINK("https://klasma.github.io/Logging_2283/tillsynsmail/A 4827-2025 tillsynsbegäran mail.docx", "A 4827-2025")</f>
        <v/>
      </c>
      <c r="Z118">
        <f>HYPERLINK("https://klasma.github.io/Logging_2283/fåglar/A 4827-2025 prioriterade fågelarter.docx", "A 4827-2025")</f>
        <v/>
      </c>
    </row>
    <row r="119" ht="15" customHeight="1">
      <c r="A119" t="inlineStr">
        <is>
          <t>A 53829-2024</t>
        </is>
      </c>
      <c r="B119" s="1" t="n">
        <v>45615.6153125</v>
      </c>
      <c r="C119" s="1" t="n">
        <v>45899</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15666-2025</t>
        </is>
      </c>
      <c r="B120" s="1" t="n">
        <v>45748.4315625</v>
      </c>
      <c r="C120" s="1" t="n">
        <v>45899</v>
      </c>
      <c r="D120" t="inlineStr">
        <is>
          <t>VÄSTERNORRLANDS LÄN</t>
        </is>
      </c>
      <c r="E120" t="inlineStr">
        <is>
          <t>SOLLEFTEÅ</t>
        </is>
      </c>
      <c r="G120" t="n">
        <v>3.9</v>
      </c>
      <c r="H120" t="n">
        <v>1</v>
      </c>
      <c r="I120" t="n">
        <v>2</v>
      </c>
      <c r="J120" t="n">
        <v>3</v>
      </c>
      <c r="K120" t="n">
        <v>1</v>
      </c>
      <c r="L120" t="n">
        <v>0</v>
      </c>
      <c r="M120" t="n">
        <v>0</v>
      </c>
      <c r="N120" t="n">
        <v>0</v>
      </c>
      <c r="O120" t="n">
        <v>4</v>
      </c>
      <c r="P120" t="n">
        <v>1</v>
      </c>
      <c r="Q120" t="n">
        <v>6</v>
      </c>
      <c r="R120" s="2" t="inlineStr">
        <is>
          <t>Knärot
Garnlav
Rosenticka
Vedskivlav
Bårdlav
Norrlandslav</t>
        </is>
      </c>
      <c r="S120">
        <f>HYPERLINK("https://klasma.github.io/Logging_2283/artfynd/A 15666-2025 artfynd.xlsx", "A 15666-2025")</f>
        <v/>
      </c>
      <c r="T120">
        <f>HYPERLINK("https://klasma.github.io/Logging_2283/kartor/A 15666-2025 karta.png", "A 15666-2025")</f>
        <v/>
      </c>
      <c r="U120">
        <f>HYPERLINK("https://klasma.github.io/Logging_2283/knärot/A 15666-2025 karta knärot.png", "A 15666-2025")</f>
        <v/>
      </c>
      <c r="V120">
        <f>HYPERLINK("https://klasma.github.io/Logging_2283/klagomål/A 15666-2025 FSC-klagomål.docx", "A 15666-2025")</f>
        <v/>
      </c>
      <c r="W120">
        <f>HYPERLINK("https://klasma.github.io/Logging_2283/klagomålsmail/A 15666-2025 FSC-klagomål mail.docx", "A 15666-2025")</f>
        <v/>
      </c>
      <c r="X120">
        <f>HYPERLINK("https://klasma.github.io/Logging_2283/tillsyn/A 15666-2025 tillsynsbegäran.docx", "A 15666-2025")</f>
        <v/>
      </c>
      <c r="Y120">
        <f>HYPERLINK("https://klasma.github.io/Logging_2283/tillsynsmail/A 15666-2025 tillsynsbegäran mail.docx", "A 15666-2025")</f>
        <v/>
      </c>
    </row>
    <row r="121" ht="15" customHeight="1">
      <c r="A121" t="inlineStr">
        <is>
          <t>A 40420-2023</t>
        </is>
      </c>
      <c r="B121" s="1" t="n">
        <v>45169</v>
      </c>
      <c r="C121" s="1" t="n">
        <v>45899</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33321-2025</t>
        </is>
      </c>
      <c r="B122" s="1" t="n">
        <v>45841.34490740741</v>
      </c>
      <c r="C122" s="1" t="n">
        <v>45899</v>
      </c>
      <c r="D122" t="inlineStr">
        <is>
          <t>VÄSTERNORRLANDS LÄN</t>
        </is>
      </c>
      <c r="E122" t="inlineStr">
        <is>
          <t>SOLLEFTEÅ</t>
        </is>
      </c>
      <c r="F122" t="inlineStr">
        <is>
          <t>SCA</t>
        </is>
      </c>
      <c r="G122" t="n">
        <v>3</v>
      </c>
      <c r="H122" t="n">
        <v>3</v>
      </c>
      <c r="I122" t="n">
        <v>2</v>
      </c>
      <c r="J122" t="n">
        <v>0</v>
      </c>
      <c r="K122" t="n">
        <v>3</v>
      </c>
      <c r="L122" t="n">
        <v>0</v>
      </c>
      <c r="M122" t="n">
        <v>0</v>
      </c>
      <c r="N122" t="n">
        <v>0</v>
      </c>
      <c r="O122" t="n">
        <v>3</v>
      </c>
      <c r="P122" t="n">
        <v>3</v>
      </c>
      <c r="Q122" t="n">
        <v>6</v>
      </c>
      <c r="R122" s="2" t="inlineStr">
        <is>
          <t>Gräddporing
Knärot
Laxporing
Grönpyrola
Plattlummer
Revlummer</t>
        </is>
      </c>
      <c r="S122">
        <f>HYPERLINK("https://klasma.github.io/Logging_2283/artfynd/A 33321-2025 artfynd.xlsx", "A 33321-2025")</f>
        <v/>
      </c>
      <c r="T122">
        <f>HYPERLINK("https://klasma.github.io/Logging_2283/kartor/A 33321-2025 karta.png", "A 33321-2025")</f>
        <v/>
      </c>
      <c r="U122">
        <f>HYPERLINK("https://klasma.github.io/Logging_2283/knärot/A 33321-2025 karta knärot.png", "A 33321-2025")</f>
        <v/>
      </c>
      <c r="V122">
        <f>HYPERLINK("https://klasma.github.io/Logging_2283/klagomål/A 33321-2025 FSC-klagomål.docx", "A 33321-2025")</f>
        <v/>
      </c>
      <c r="W122">
        <f>HYPERLINK("https://klasma.github.io/Logging_2283/klagomålsmail/A 33321-2025 FSC-klagomål mail.docx", "A 33321-2025")</f>
        <v/>
      </c>
      <c r="X122">
        <f>HYPERLINK("https://klasma.github.io/Logging_2283/tillsyn/A 33321-2025 tillsynsbegäran.docx", "A 33321-2025")</f>
        <v/>
      </c>
      <c r="Y122">
        <f>HYPERLINK("https://klasma.github.io/Logging_2283/tillsynsmail/A 33321-2025 tillsynsbegäran mail.docx", "A 33321-2025")</f>
        <v/>
      </c>
    </row>
    <row r="123" ht="15" customHeight="1">
      <c r="A123" t="inlineStr">
        <is>
          <t>A 21987-2025</t>
        </is>
      </c>
      <c r="B123" s="1" t="n">
        <v>45784.65710648148</v>
      </c>
      <c r="C123" s="1" t="n">
        <v>45899</v>
      </c>
      <c r="D123" t="inlineStr">
        <is>
          <t>VÄSTERNORRLANDS LÄN</t>
        </is>
      </c>
      <c r="E123" t="inlineStr">
        <is>
          <t>SOLLEFTEÅ</t>
        </is>
      </c>
      <c r="G123" t="n">
        <v>2.5</v>
      </c>
      <c r="H123" t="n">
        <v>1</v>
      </c>
      <c r="I123" t="n">
        <v>2</v>
      </c>
      <c r="J123" t="n">
        <v>2</v>
      </c>
      <c r="K123" t="n">
        <v>1</v>
      </c>
      <c r="L123" t="n">
        <v>0</v>
      </c>
      <c r="M123" t="n">
        <v>0</v>
      </c>
      <c r="N123" t="n">
        <v>0</v>
      </c>
      <c r="O123" t="n">
        <v>3</v>
      </c>
      <c r="P123" t="n">
        <v>1</v>
      </c>
      <c r="Q123" t="n">
        <v>6</v>
      </c>
      <c r="R123" s="2" t="inlineStr">
        <is>
          <t>Rynkskinn
Garnlav
Ullticka
Norrlandslav
Stuplav
Lavskrika</t>
        </is>
      </c>
      <c r="S123">
        <f>HYPERLINK("https://klasma.github.io/Logging_2283/artfynd/A 21987-2025 artfynd.xlsx", "A 21987-2025")</f>
        <v/>
      </c>
      <c r="T123">
        <f>HYPERLINK("https://klasma.github.io/Logging_2283/kartor/A 21987-2025 karta.png", "A 21987-2025")</f>
        <v/>
      </c>
      <c r="V123">
        <f>HYPERLINK("https://klasma.github.io/Logging_2283/klagomål/A 21987-2025 FSC-klagomål.docx", "A 21987-2025")</f>
        <v/>
      </c>
      <c r="W123">
        <f>HYPERLINK("https://klasma.github.io/Logging_2283/klagomålsmail/A 21987-2025 FSC-klagomål mail.docx", "A 21987-2025")</f>
        <v/>
      </c>
      <c r="X123">
        <f>HYPERLINK("https://klasma.github.io/Logging_2283/tillsyn/A 21987-2025 tillsynsbegäran.docx", "A 21987-2025")</f>
        <v/>
      </c>
      <c r="Y123">
        <f>HYPERLINK("https://klasma.github.io/Logging_2283/tillsynsmail/A 21987-2025 tillsynsbegäran mail.docx", "A 21987-2025")</f>
        <v/>
      </c>
      <c r="Z123">
        <f>HYPERLINK("https://klasma.github.io/Logging_2283/fåglar/A 21987-2025 prioriterade fågelarter.docx", "A 21987-2025")</f>
        <v/>
      </c>
    </row>
    <row r="124" ht="15" customHeight="1">
      <c r="A124" t="inlineStr">
        <is>
          <t>A 24887-2022</t>
        </is>
      </c>
      <c r="B124" s="1" t="n">
        <v>44728</v>
      </c>
      <c r="C124" s="1" t="n">
        <v>45899</v>
      </c>
      <c r="D124" t="inlineStr">
        <is>
          <t>VÄSTERNORRLANDS LÄN</t>
        </is>
      </c>
      <c r="E124" t="inlineStr">
        <is>
          <t>SOLLEFTEÅ</t>
        </is>
      </c>
      <c r="G124" t="n">
        <v>11.4</v>
      </c>
      <c r="H124" t="n">
        <v>2</v>
      </c>
      <c r="I124" t="n">
        <v>0</v>
      </c>
      <c r="J124" t="n">
        <v>5</v>
      </c>
      <c r="K124" t="n">
        <v>1</v>
      </c>
      <c r="L124" t="n">
        <v>0</v>
      </c>
      <c r="M124" t="n">
        <v>0</v>
      </c>
      <c r="N124" t="n">
        <v>0</v>
      </c>
      <c r="O124" t="n">
        <v>6</v>
      </c>
      <c r="P124" t="n">
        <v>1</v>
      </c>
      <c r="Q124" t="n">
        <v>6</v>
      </c>
      <c r="R124" s="2" t="inlineStr">
        <is>
          <t>Knärot
Garnlav
Gränsticka
Järpe
Rosenticka
Ullticka</t>
        </is>
      </c>
      <c r="S124">
        <f>HYPERLINK("https://klasma.github.io/Logging_2283/artfynd/A 24887-2022 artfynd.xlsx", "A 24887-2022")</f>
        <v/>
      </c>
      <c r="T124">
        <f>HYPERLINK("https://klasma.github.io/Logging_2283/kartor/A 24887-2022 karta.png", "A 24887-2022")</f>
        <v/>
      </c>
      <c r="U124">
        <f>HYPERLINK("https://klasma.github.io/Logging_2283/knärot/A 24887-2022 karta knärot.png", "A 24887-2022")</f>
        <v/>
      </c>
      <c r="V124">
        <f>HYPERLINK("https://klasma.github.io/Logging_2283/klagomål/A 24887-2022 FSC-klagomål.docx", "A 24887-2022")</f>
        <v/>
      </c>
      <c r="W124">
        <f>HYPERLINK("https://klasma.github.io/Logging_2283/klagomålsmail/A 24887-2022 FSC-klagomål mail.docx", "A 24887-2022")</f>
        <v/>
      </c>
      <c r="X124">
        <f>HYPERLINK("https://klasma.github.io/Logging_2283/tillsyn/A 24887-2022 tillsynsbegäran.docx", "A 24887-2022")</f>
        <v/>
      </c>
      <c r="Y124">
        <f>HYPERLINK("https://klasma.github.io/Logging_2283/tillsynsmail/A 24887-2022 tillsynsbegäran mail.docx", "A 24887-2022")</f>
        <v/>
      </c>
      <c r="Z124">
        <f>HYPERLINK("https://klasma.github.io/Logging_2283/fåglar/A 24887-2022 prioriterade fågelarter.docx", "A 24887-2022")</f>
        <v/>
      </c>
    </row>
    <row r="125" ht="15" customHeight="1">
      <c r="A125" t="inlineStr">
        <is>
          <t>A 61323-2024</t>
        </is>
      </c>
      <c r="B125" s="1" t="n">
        <v>45646</v>
      </c>
      <c r="C125" s="1" t="n">
        <v>45899</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3056-2025</t>
        </is>
      </c>
      <c r="B126" s="1" t="n">
        <v>45678.61554398148</v>
      </c>
      <c r="C126" s="1" t="n">
        <v>45899</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61541-2024</t>
        </is>
      </c>
      <c r="B127" s="1" t="n">
        <v>45646</v>
      </c>
      <c r="C127" s="1" t="n">
        <v>45899</v>
      </c>
      <c r="D127" t="inlineStr">
        <is>
          <t>VÄSTERNORRLANDS LÄN</t>
        </is>
      </c>
      <c r="E127" t="inlineStr">
        <is>
          <t>SOLLEFTEÅ</t>
        </is>
      </c>
      <c r="F127" t="inlineStr">
        <is>
          <t>SCA</t>
        </is>
      </c>
      <c r="G127" t="n">
        <v>6.8</v>
      </c>
      <c r="H127" t="n">
        <v>1</v>
      </c>
      <c r="I127" t="n">
        <v>0</v>
      </c>
      <c r="J127" t="n">
        <v>6</v>
      </c>
      <c r="K127" t="n">
        <v>0</v>
      </c>
      <c r="L127" t="n">
        <v>0</v>
      </c>
      <c r="M127" t="n">
        <v>0</v>
      </c>
      <c r="N127" t="n">
        <v>0</v>
      </c>
      <c r="O127" t="n">
        <v>6</v>
      </c>
      <c r="P127" t="n">
        <v>0</v>
      </c>
      <c r="Q127" t="n">
        <v>6</v>
      </c>
      <c r="R127" s="2" t="inlineStr">
        <is>
          <t>Gammelgransskål
Garnlav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20949-2022</t>
        </is>
      </c>
      <c r="B128" s="1" t="n">
        <v>44701.93967592593</v>
      </c>
      <c r="C128" s="1" t="n">
        <v>45899</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11490-2022</t>
        </is>
      </c>
      <c r="B129" s="1" t="n">
        <v>44630.93877314815</v>
      </c>
      <c r="C129" s="1" t="n">
        <v>45899</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Lunglav
Spillkråka
Tretåig hackspett
Ullticka</t>
        </is>
      </c>
      <c r="S129">
        <f>HYPERLINK("https://klasma.github.io/Logging_2283/artfynd/A 11490-2022 artfynd.xlsx", "A 11490-2022")</f>
        <v/>
      </c>
      <c r="T129">
        <f>HYPERLINK("https://klasma.github.io/Logging_2283/kartor/A 11490-2022 karta.png", "A 11490-2022")</f>
        <v/>
      </c>
      <c r="V129">
        <f>HYPERLINK("https://klasma.github.io/Logging_2283/klagomål/A 11490-2022 FSC-klagomål.docx", "A 11490-2022")</f>
        <v/>
      </c>
      <c r="W129">
        <f>HYPERLINK("https://klasma.github.io/Logging_2283/klagomålsmail/A 11490-2022 FSC-klagomål mail.docx", "A 11490-2022")</f>
        <v/>
      </c>
      <c r="X129">
        <f>HYPERLINK("https://klasma.github.io/Logging_2283/tillsyn/A 11490-2022 tillsynsbegäran.docx", "A 11490-2022")</f>
        <v/>
      </c>
      <c r="Y129">
        <f>HYPERLINK("https://klasma.github.io/Logging_2283/tillsynsmail/A 11490-2022 tillsynsbegäran mail.docx", "A 11490-2022")</f>
        <v/>
      </c>
      <c r="Z129">
        <f>HYPERLINK("https://klasma.github.io/Logging_2283/fåglar/A 11490-2022 prioriterade fågelarter.docx", "A 11490-2022")</f>
        <v/>
      </c>
    </row>
    <row r="130" ht="15" customHeight="1">
      <c r="A130" t="inlineStr">
        <is>
          <t>A 41169-2022</t>
        </is>
      </c>
      <c r="B130" s="1" t="n">
        <v>44825</v>
      </c>
      <c r="C130" s="1" t="n">
        <v>45899</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59662-2023</t>
        </is>
      </c>
      <c r="B131" s="1" t="n">
        <v>45254.96438657407</v>
      </c>
      <c r="C131" s="1" t="n">
        <v>45899</v>
      </c>
      <c r="D131" t="inlineStr">
        <is>
          <t>VÄSTERNORRLANDS LÄN</t>
        </is>
      </c>
      <c r="E131" t="inlineStr">
        <is>
          <t>SOLLEFTEÅ</t>
        </is>
      </c>
      <c r="F131" t="inlineStr">
        <is>
          <t>SCA</t>
        </is>
      </c>
      <c r="G131" t="n">
        <v>4.8</v>
      </c>
      <c r="H131" t="n">
        <v>1</v>
      </c>
      <c r="I131" t="n">
        <v>0</v>
      </c>
      <c r="J131" t="n">
        <v>4</v>
      </c>
      <c r="K131" t="n">
        <v>1</v>
      </c>
      <c r="L131" t="n">
        <v>0</v>
      </c>
      <c r="M131" t="n">
        <v>0</v>
      </c>
      <c r="N131" t="n">
        <v>0</v>
      </c>
      <c r="O131" t="n">
        <v>5</v>
      </c>
      <c r="P131" t="n">
        <v>1</v>
      </c>
      <c r="Q131" t="n">
        <v>5</v>
      </c>
      <c r="R131" s="2" t="inlineStr">
        <is>
          <t>Knärot
Dvärgbägarlav
Kolflarnlav
Koralltaggsvamp
Tallticka</t>
        </is>
      </c>
      <c r="S131">
        <f>HYPERLINK("https://klasma.github.io/Logging_2283/artfynd/A 59662-2023 artfynd.xlsx", "A 59662-2023")</f>
        <v/>
      </c>
      <c r="T131">
        <f>HYPERLINK("https://klasma.github.io/Logging_2283/kartor/A 59662-2023 karta.png", "A 59662-2023")</f>
        <v/>
      </c>
      <c r="U131">
        <f>HYPERLINK("https://klasma.github.io/Logging_2283/knärot/A 59662-2023 karta knärot.png", "A 59662-2023")</f>
        <v/>
      </c>
      <c r="V131">
        <f>HYPERLINK("https://klasma.github.io/Logging_2283/klagomål/A 59662-2023 FSC-klagomål.docx", "A 59662-2023")</f>
        <v/>
      </c>
      <c r="W131">
        <f>HYPERLINK("https://klasma.github.io/Logging_2283/klagomålsmail/A 59662-2023 FSC-klagomål mail.docx", "A 59662-2023")</f>
        <v/>
      </c>
      <c r="X131">
        <f>HYPERLINK("https://klasma.github.io/Logging_2283/tillsyn/A 59662-2023 tillsynsbegäran.docx", "A 59662-2023")</f>
        <v/>
      </c>
      <c r="Y131">
        <f>HYPERLINK("https://klasma.github.io/Logging_2283/tillsynsmail/A 59662-2023 tillsynsbegäran mail.docx", "A 59662-2023")</f>
        <v/>
      </c>
    </row>
    <row r="132" ht="15" customHeight="1">
      <c r="A132" t="inlineStr">
        <is>
          <t>A 30235-2022</t>
        </is>
      </c>
      <c r="B132" s="1" t="n">
        <v>44757</v>
      </c>
      <c r="C132" s="1" t="n">
        <v>45899</v>
      </c>
      <c r="D132" t="inlineStr">
        <is>
          <t>VÄSTERNORRLANDS LÄN</t>
        </is>
      </c>
      <c r="E132" t="inlineStr">
        <is>
          <t>SOLLEFTEÅ</t>
        </is>
      </c>
      <c r="F132" t="inlineStr">
        <is>
          <t>SCA</t>
        </is>
      </c>
      <c r="G132" t="n">
        <v>4.7</v>
      </c>
      <c r="H132" t="n">
        <v>3</v>
      </c>
      <c r="I132" t="n">
        <v>0</v>
      </c>
      <c r="J132" t="n">
        <v>3</v>
      </c>
      <c r="K132" t="n">
        <v>2</v>
      </c>
      <c r="L132" t="n">
        <v>0</v>
      </c>
      <c r="M132" t="n">
        <v>0</v>
      </c>
      <c r="N132" t="n">
        <v>0</v>
      </c>
      <c r="O132" t="n">
        <v>5</v>
      </c>
      <c r="P132" t="n">
        <v>2</v>
      </c>
      <c r="Q132" t="n">
        <v>5</v>
      </c>
      <c r="R132" s="2" t="inlineStr">
        <is>
          <t>Doftticka
Knärot
Lunglav
Skrovellav
Tretåig hackspett</t>
        </is>
      </c>
      <c r="S132">
        <f>HYPERLINK("https://klasma.github.io/Logging_2283/artfynd/A 30235-2022 artfynd.xlsx", "A 30235-2022")</f>
        <v/>
      </c>
      <c r="T132">
        <f>HYPERLINK("https://klasma.github.io/Logging_2283/kartor/A 30235-2022 karta.png", "A 30235-2022")</f>
        <v/>
      </c>
      <c r="U132">
        <f>HYPERLINK("https://klasma.github.io/Logging_2283/knärot/A 30235-2022 karta knärot.png", "A 30235-2022")</f>
        <v/>
      </c>
      <c r="V132">
        <f>HYPERLINK("https://klasma.github.io/Logging_2283/klagomål/A 30235-2022 FSC-klagomål.docx", "A 30235-2022")</f>
        <v/>
      </c>
      <c r="W132">
        <f>HYPERLINK("https://klasma.github.io/Logging_2283/klagomålsmail/A 30235-2022 FSC-klagomål mail.docx", "A 30235-2022")</f>
        <v/>
      </c>
      <c r="X132">
        <f>HYPERLINK("https://klasma.github.io/Logging_2283/tillsyn/A 30235-2022 tillsynsbegäran.docx", "A 30235-2022")</f>
        <v/>
      </c>
      <c r="Y132">
        <f>HYPERLINK("https://klasma.github.io/Logging_2283/tillsynsmail/A 30235-2022 tillsynsbegäran mail.docx", "A 30235-2022")</f>
        <v/>
      </c>
      <c r="Z132">
        <f>HYPERLINK("https://klasma.github.io/Logging_2283/fåglar/A 30235-2022 prioriterade fågelarter.docx", "A 30235-2022")</f>
        <v/>
      </c>
    </row>
    <row r="133" ht="15" customHeight="1">
      <c r="A133" t="inlineStr">
        <is>
          <t>A 21002-2025</t>
        </is>
      </c>
      <c r="B133" s="1" t="n">
        <v>45777.48998842593</v>
      </c>
      <c r="C133" s="1" t="n">
        <v>45899</v>
      </c>
      <c r="D133" t="inlineStr">
        <is>
          <t>VÄSTERNORRLANDS LÄN</t>
        </is>
      </c>
      <c r="E133" t="inlineStr">
        <is>
          <t>SOLLEFTEÅ</t>
        </is>
      </c>
      <c r="F133" t="inlineStr">
        <is>
          <t>SCA</t>
        </is>
      </c>
      <c r="G133" t="n">
        <v>3.1</v>
      </c>
      <c r="H133" t="n">
        <v>1</v>
      </c>
      <c r="I133" t="n">
        <v>2</v>
      </c>
      <c r="J133" t="n">
        <v>3</v>
      </c>
      <c r="K133" t="n">
        <v>0</v>
      </c>
      <c r="L133" t="n">
        <v>0</v>
      </c>
      <c r="M133" t="n">
        <v>0</v>
      </c>
      <c r="N133" t="n">
        <v>0</v>
      </c>
      <c r="O133" t="n">
        <v>3</v>
      </c>
      <c r="P133" t="n">
        <v>0</v>
      </c>
      <c r="Q133" t="n">
        <v>5</v>
      </c>
      <c r="R133" s="2" t="inlineStr">
        <is>
          <t>Granticka
Tretåig hackspett
Ullticka
Norrlandslav
Vedticka</t>
        </is>
      </c>
      <c r="S133">
        <f>HYPERLINK("https://klasma.github.io/Logging_2283/artfynd/A 21002-2025 artfynd.xlsx", "A 21002-2025")</f>
        <v/>
      </c>
      <c r="T133">
        <f>HYPERLINK("https://klasma.github.io/Logging_2283/kartor/A 21002-2025 karta.png", "A 21002-2025")</f>
        <v/>
      </c>
      <c r="V133">
        <f>HYPERLINK("https://klasma.github.io/Logging_2283/klagomål/A 21002-2025 FSC-klagomål.docx", "A 21002-2025")</f>
        <v/>
      </c>
      <c r="W133">
        <f>HYPERLINK("https://klasma.github.io/Logging_2283/klagomålsmail/A 21002-2025 FSC-klagomål mail.docx", "A 21002-2025")</f>
        <v/>
      </c>
      <c r="X133">
        <f>HYPERLINK("https://klasma.github.io/Logging_2283/tillsyn/A 21002-2025 tillsynsbegäran.docx", "A 21002-2025")</f>
        <v/>
      </c>
      <c r="Y133">
        <f>HYPERLINK("https://klasma.github.io/Logging_2283/tillsynsmail/A 21002-2025 tillsynsbegäran mail.docx", "A 21002-2025")</f>
        <v/>
      </c>
      <c r="Z133">
        <f>HYPERLINK("https://klasma.github.io/Logging_2283/fåglar/A 21002-2025 prioriterade fågelarter.docx", "A 21002-2025")</f>
        <v/>
      </c>
    </row>
    <row r="134" ht="15" customHeight="1">
      <c r="A134" t="inlineStr">
        <is>
          <t>A 22797-2025</t>
        </is>
      </c>
      <c r="B134" s="1" t="n">
        <v>45789</v>
      </c>
      <c r="C134" s="1" t="n">
        <v>45899</v>
      </c>
      <c r="D134" t="inlineStr">
        <is>
          <t>VÄSTERNORRLANDS LÄN</t>
        </is>
      </c>
      <c r="E134" t="inlineStr">
        <is>
          <t>SOLLEFTEÅ</t>
        </is>
      </c>
      <c r="G134" t="n">
        <v>0.9</v>
      </c>
      <c r="H134" t="n">
        <v>2</v>
      </c>
      <c r="I134" t="n">
        <v>0</v>
      </c>
      <c r="J134" t="n">
        <v>5</v>
      </c>
      <c r="K134" t="n">
        <v>0</v>
      </c>
      <c r="L134" t="n">
        <v>0</v>
      </c>
      <c r="M134" t="n">
        <v>0</v>
      </c>
      <c r="N134" t="n">
        <v>0</v>
      </c>
      <c r="O134" t="n">
        <v>5</v>
      </c>
      <c r="P134" t="n">
        <v>0</v>
      </c>
      <c r="Q134" t="n">
        <v>5</v>
      </c>
      <c r="R134" s="2" t="inlineStr">
        <is>
          <t>Blanksvart spiklav
Talltita
Tretåig hackspett
Vedskivlav
Vedtrappmossa</t>
        </is>
      </c>
      <c r="S134">
        <f>HYPERLINK("https://klasma.github.io/Logging_2283/artfynd/A 22797-2025 artfynd.xlsx", "A 22797-2025")</f>
        <v/>
      </c>
      <c r="T134">
        <f>HYPERLINK("https://klasma.github.io/Logging_2283/kartor/A 22797-2025 karta.png", "A 22797-2025")</f>
        <v/>
      </c>
      <c r="V134">
        <f>HYPERLINK("https://klasma.github.io/Logging_2283/klagomål/A 22797-2025 FSC-klagomål.docx", "A 22797-2025")</f>
        <v/>
      </c>
      <c r="W134">
        <f>HYPERLINK("https://klasma.github.io/Logging_2283/klagomålsmail/A 22797-2025 FSC-klagomål mail.docx", "A 22797-2025")</f>
        <v/>
      </c>
      <c r="X134">
        <f>HYPERLINK("https://klasma.github.io/Logging_2283/tillsyn/A 22797-2025 tillsynsbegäran.docx", "A 22797-2025")</f>
        <v/>
      </c>
      <c r="Y134">
        <f>HYPERLINK("https://klasma.github.io/Logging_2283/tillsynsmail/A 22797-2025 tillsynsbegäran mail.docx", "A 22797-2025")</f>
        <v/>
      </c>
      <c r="Z134">
        <f>HYPERLINK("https://klasma.github.io/Logging_2283/fåglar/A 22797-2025 prioriterade fågelarter.docx", "A 22797-2025")</f>
        <v/>
      </c>
    </row>
    <row r="135" ht="15" customHeight="1">
      <c r="A135" t="inlineStr">
        <is>
          <t>A 32217-2023</t>
        </is>
      </c>
      <c r="B135" s="1" t="n">
        <v>45119</v>
      </c>
      <c r="C135" s="1" t="n">
        <v>45899</v>
      </c>
      <c r="D135" t="inlineStr">
        <is>
          <t>VÄSTERNORRLANDS LÄN</t>
        </is>
      </c>
      <c r="E135" t="inlineStr">
        <is>
          <t>SOLLEFTEÅ</t>
        </is>
      </c>
      <c r="F135" t="inlineStr">
        <is>
          <t>SCA</t>
        </is>
      </c>
      <c r="G135" t="n">
        <v>1.8</v>
      </c>
      <c r="H135" t="n">
        <v>1</v>
      </c>
      <c r="I135" t="n">
        <v>0</v>
      </c>
      <c r="J135" t="n">
        <v>5</v>
      </c>
      <c r="K135" t="n">
        <v>0</v>
      </c>
      <c r="L135" t="n">
        <v>0</v>
      </c>
      <c r="M135" t="n">
        <v>0</v>
      </c>
      <c r="N135" t="n">
        <v>0</v>
      </c>
      <c r="O135" t="n">
        <v>5</v>
      </c>
      <c r="P135" t="n">
        <v>0</v>
      </c>
      <c r="Q135" t="n">
        <v>5</v>
      </c>
      <c r="R135" s="2" t="inlineStr">
        <is>
          <t>Garnlav
Lunglav
Rosenticka
Skogshare
Tretåig hackspett</t>
        </is>
      </c>
      <c r="S135">
        <f>HYPERLINK("https://klasma.github.io/Logging_2283/artfynd/A 32217-2023 artfynd.xlsx", "A 32217-2023")</f>
        <v/>
      </c>
      <c r="T135">
        <f>HYPERLINK("https://klasma.github.io/Logging_2283/kartor/A 32217-2023 karta.png", "A 32217-2023")</f>
        <v/>
      </c>
      <c r="V135">
        <f>HYPERLINK("https://klasma.github.io/Logging_2283/klagomål/A 32217-2023 FSC-klagomål.docx", "A 32217-2023")</f>
        <v/>
      </c>
      <c r="W135">
        <f>HYPERLINK("https://klasma.github.io/Logging_2283/klagomålsmail/A 32217-2023 FSC-klagomål mail.docx", "A 32217-2023")</f>
        <v/>
      </c>
      <c r="X135">
        <f>HYPERLINK("https://klasma.github.io/Logging_2283/tillsyn/A 32217-2023 tillsynsbegäran.docx", "A 32217-2023")</f>
        <v/>
      </c>
      <c r="Y135">
        <f>HYPERLINK("https://klasma.github.io/Logging_2283/tillsynsmail/A 32217-2023 tillsynsbegäran mail.docx", "A 32217-2023")</f>
        <v/>
      </c>
      <c r="Z135">
        <f>HYPERLINK("https://klasma.github.io/Logging_2283/fåglar/A 32217-2023 prioriterade fågelarter.docx", "A 32217-2023")</f>
        <v/>
      </c>
    </row>
    <row r="136" ht="15" customHeight="1">
      <c r="A136" t="inlineStr">
        <is>
          <t>A 48562-2024</t>
        </is>
      </c>
      <c r="B136" s="1" t="n">
        <v>45593.38597222222</v>
      </c>
      <c r="C136" s="1" t="n">
        <v>45899</v>
      </c>
      <c r="D136" t="inlineStr">
        <is>
          <t>VÄSTERNORRLANDS LÄN</t>
        </is>
      </c>
      <c r="E136" t="inlineStr">
        <is>
          <t>SOLLEFTEÅ</t>
        </is>
      </c>
      <c r="F136" t="inlineStr">
        <is>
          <t>SCA</t>
        </is>
      </c>
      <c r="G136" t="n">
        <v>5.3</v>
      </c>
      <c r="H136" t="n">
        <v>1</v>
      </c>
      <c r="I136" t="n">
        <v>1</v>
      </c>
      <c r="J136" t="n">
        <v>4</v>
      </c>
      <c r="K136" t="n">
        <v>0</v>
      </c>
      <c r="L136" t="n">
        <v>0</v>
      </c>
      <c r="M136" t="n">
        <v>0</v>
      </c>
      <c r="N136" t="n">
        <v>0</v>
      </c>
      <c r="O136" t="n">
        <v>4</v>
      </c>
      <c r="P136" t="n">
        <v>0</v>
      </c>
      <c r="Q136" t="n">
        <v>5</v>
      </c>
      <c r="R136" s="2" t="inlineStr">
        <is>
          <t>Gammelgransskål
Garnlav
Lunglav
Vitgrynig nållav
Lappranunkel</t>
        </is>
      </c>
      <c r="S136">
        <f>HYPERLINK("https://klasma.github.io/Logging_2283/artfynd/A 48562-2024 artfynd.xlsx", "A 48562-2024")</f>
        <v/>
      </c>
      <c r="T136">
        <f>HYPERLINK("https://klasma.github.io/Logging_2283/kartor/A 48562-2024 karta.png", "A 48562-2024")</f>
        <v/>
      </c>
      <c r="V136">
        <f>HYPERLINK("https://klasma.github.io/Logging_2283/klagomål/A 48562-2024 FSC-klagomål.docx", "A 48562-2024")</f>
        <v/>
      </c>
      <c r="W136">
        <f>HYPERLINK("https://klasma.github.io/Logging_2283/klagomålsmail/A 48562-2024 FSC-klagomål mail.docx", "A 48562-2024")</f>
        <v/>
      </c>
      <c r="X136">
        <f>HYPERLINK("https://klasma.github.io/Logging_2283/tillsyn/A 48562-2024 tillsynsbegäran.docx", "A 48562-2024")</f>
        <v/>
      </c>
      <c r="Y136">
        <f>HYPERLINK("https://klasma.github.io/Logging_2283/tillsynsmail/A 48562-2024 tillsynsbegäran mail.docx", "A 48562-2024")</f>
        <v/>
      </c>
    </row>
    <row r="137" ht="15" customHeight="1">
      <c r="A137" t="inlineStr">
        <is>
          <t>A 46629-2022</t>
        </is>
      </c>
      <c r="B137" s="1" t="n">
        <v>44848</v>
      </c>
      <c r="C137" s="1" t="n">
        <v>45899</v>
      </c>
      <c r="D137" t="inlineStr">
        <is>
          <t>VÄSTERNORRLANDS LÄN</t>
        </is>
      </c>
      <c r="E137" t="inlineStr">
        <is>
          <t>SOLLEFTEÅ</t>
        </is>
      </c>
      <c r="F137" t="inlineStr">
        <is>
          <t>SCA</t>
        </is>
      </c>
      <c r="G137" t="n">
        <v>4.5</v>
      </c>
      <c r="H137" t="n">
        <v>2</v>
      </c>
      <c r="I137" t="n">
        <v>0</v>
      </c>
      <c r="J137" t="n">
        <v>4</v>
      </c>
      <c r="K137" t="n">
        <v>1</v>
      </c>
      <c r="L137" t="n">
        <v>0</v>
      </c>
      <c r="M137" t="n">
        <v>0</v>
      </c>
      <c r="N137" t="n">
        <v>0</v>
      </c>
      <c r="O137" t="n">
        <v>5</v>
      </c>
      <c r="P137" t="n">
        <v>1</v>
      </c>
      <c r="Q137" t="n">
        <v>5</v>
      </c>
      <c r="R137" s="2" t="inlineStr">
        <is>
          <t>Knärot
Garnlav
Lunglav
Skogshare
Tretåig hackspett</t>
        </is>
      </c>
      <c r="S137">
        <f>HYPERLINK("https://klasma.github.io/Logging_2283/artfynd/A 46629-2022 artfynd.xlsx", "A 46629-2022")</f>
        <v/>
      </c>
      <c r="T137">
        <f>HYPERLINK("https://klasma.github.io/Logging_2283/kartor/A 46629-2022 karta.png", "A 46629-2022")</f>
        <v/>
      </c>
      <c r="U137">
        <f>HYPERLINK("https://klasma.github.io/Logging_2283/knärot/A 46629-2022 karta knärot.png", "A 46629-2022")</f>
        <v/>
      </c>
      <c r="V137">
        <f>HYPERLINK("https://klasma.github.io/Logging_2283/klagomål/A 46629-2022 FSC-klagomål.docx", "A 46629-2022")</f>
        <v/>
      </c>
      <c r="W137">
        <f>HYPERLINK("https://klasma.github.io/Logging_2283/klagomålsmail/A 46629-2022 FSC-klagomål mail.docx", "A 46629-2022")</f>
        <v/>
      </c>
      <c r="X137">
        <f>HYPERLINK("https://klasma.github.io/Logging_2283/tillsyn/A 46629-2022 tillsynsbegäran.docx", "A 46629-2022")</f>
        <v/>
      </c>
      <c r="Y137">
        <f>HYPERLINK("https://klasma.github.io/Logging_2283/tillsynsmail/A 46629-2022 tillsynsbegäran mail.docx", "A 46629-2022")</f>
        <v/>
      </c>
      <c r="Z137">
        <f>HYPERLINK("https://klasma.github.io/Logging_2283/fåglar/A 46629-2022 prioriterade fågelarter.docx", "A 46629-2022")</f>
        <v/>
      </c>
    </row>
    <row r="138" ht="15" customHeight="1">
      <c r="A138" t="inlineStr">
        <is>
          <t>A 19081-2024</t>
        </is>
      </c>
      <c r="B138" s="1" t="n">
        <v>45428</v>
      </c>
      <c r="C138" s="1" t="n">
        <v>45899</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23319-2025</t>
        </is>
      </c>
      <c r="B139" s="1" t="n">
        <v>45791.61511574074</v>
      </c>
      <c r="C139" s="1" t="n">
        <v>45899</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2438-2025</t>
        </is>
      </c>
      <c r="B140" s="1" t="n">
        <v>45674.41815972222</v>
      </c>
      <c r="C140" s="1" t="n">
        <v>45899</v>
      </c>
      <c r="D140" t="inlineStr">
        <is>
          <t>VÄSTERNORRLANDS LÄN</t>
        </is>
      </c>
      <c r="E140" t="inlineStr">
        <is>
          <t>SOLLEFTEÅ</t>
        </is>
      </c>
      <c r="G140" t="n">
        <v>6.4</v>
      </c>
      <c r="H140" t="n">
        <v>3</v>
      </c>
      <c r="I140" t="n">
        <v>0</v>
      </c>
      <c r="J140" t="n">
        <v>4</v>
      </c>
      <c r="K140" t="n">
        <v>1</v>
      </c>
      <c r="L140" t="n">
        <v>0</v>
      </c>
      <c r="M140" t="n">
        <v>0</v>
      </c>
      <c r="N140" t="n">
        <v>0</v>
      </c>
      <c r="O140" t="n">
        <v>5</v>
      </c>
      <c r="P140" t="n">
        <v>1</v>
      </c>
      <c r="Q140" t="n">
        <v>5</v>
      </c>
      <c r="R140" s="2" t="inlineStr">
        <is>
          <t>Knärot
Garnlav
Kolflarnlav
Talltita
Tretåig hackspett</t>
        </is>
      </c>
      <c r="S140">
        <f>HYPERLINK("https://klasma.github.io/Logging_2283/artfynd/A 2438-2025 artfynd.xlsx", "A 2438-2025")</f>
        <v/>
      </c>
      <c r="T140">
        <f>HYPERLINK("https://klasma.github.io/Logging_2283/kartor/A 2438-2025 karta.png", "A 2438-2025")</f>
        <v/>
      </c>
      <c r="U140">
        <f>HYPERLINK("https://klasma.github.io/Logging_2283/knärot/A 2438-2025 karta knärot.png", "A 2438-2025")</f>
        <v/>
      </c>
      <c r="V140">
        <f>HYPERLINK("https://klasma.github.io/Logging_2283/klagomål/A 2438-2025 FSC-klagomål.docx", "A 2438-2025")</f>
        <v/>
      </c>
      <c r="W140">
        <f>HYPERLINK("https://klasma.github.io/Logging_2283/klagomålsmail/A 2438-2025 FSC-klagomål mail.docx", "A 2438-2025")</f>
        <v/>
      </c>
      <c r="X140">
        <f>HYPERLINK("https://klasma.github.io/Logging_2283/tillsyn/A 2438-2025 tillsynsbegäran.docx", "A 2438-2025")</f>
        <v/>
      </c>
      <c r="Y140">
        <f>HYPERLINK("https://klasma.github.io/Logging_2283/tillsynsmail/A 2438-2025 tillsynsbegäran mail.docx", "A 2438-2025")</f>
        <v/>
      </c>
      <c r="Z140">
        <f>HYPERLINK("https://klasma.github.io/Logging_2283/fåglar/A 2438-2025 prioriterade fågelarter.docx", "A 2438-2025")</f>
        <v/>
      </c>
    </row>
    <row r="141" ht="15" customHeight="1">
      <c r="A141" t="inlineStr">
        <is>
          <t>A 57076-2020</t>
        </is>
      </c>
      <c r="B141" s="1" t="n">
        <v>44138</v>
      </c>
      <c r="C141" s="1" t="n">
        <v>45899</v>
      </c>
      <c r="D141" t="inlineStr">
        <is>
          <t>VÄSTERNORRLANDS LÄN</t>
        </is>
      </c>
      <c r="E141" t="inlineStr">
        <is>
          <t>SOLLEFTEÅ</t>
        </is>
      </c>
      <c r="G141" t="n">
        <v>3.8</v>
      </c>
      <c r="H141" t="n">
        <v>3</v>
      </c>
      <c r="I141" t="n">
        <v>1</v>
      </c>
      <c r="J141" t="n">
        <v>3</v>
      </c>
      <c r="K141" t="n">
        <v>0</v>
      </c>
      <c r="L141" t="n">
        <v>0</v>
      </c>
      <c r="M141" t="n">
        <v>0</v>
      </c>
      <c r="N141" t="n">
        <v>0</v>
      </c>
      <c r="O141" t="n">
        <v>3</v>
      </c>
      <c r="P141" t="n">
        <v>0</v>
      </c>
      <c r="Q141" t="n">
        <v>5</v>
      </c>
      <c r="R141" s="2" t="inlineStr">
        <is>
          <t>Kråka
Nipsippa
Rosenticka
Strutbräken
Revlummer</t>
        </is>
      </c>
      <c r="S141">
        <f>HYPERLINK("https://klasma.github.io/Logging_2283/artfynd/A 57076-2020 artfynd.xlsx", "A 57076-2020")</f>
        <v/>
      </c>
      <c r="T141">
        <f>HYPERLINK("https://klasma.github.io/Logging_2283/kartor/A 57076-2020 karta.png", "A 57076-2020")</f>
        <v/>
      </c>
      <c r="V141">
        <f>HYPERLINK("https://klasma.github.io/Logging_2283/klagomål/A 57076-2020 FSC-klagomål.docx", "A 57076-2020")</f>
        <v/>
      </c>
      <c r="W141">
        <f>HYPERLINK("https://klasma.github.io/Logging_2283/klagomålsmail/A 57076-2020 FSC-klagomål mail.docx", "A 57076-2020")</f>
        <v/>
      </c>
      <c r="X141">
        <f>HYPERLINK("https://klasma.github.io/Logging_2283/tillsyn/A 57076-2020 tillsynsbegäran.docx", "A 57076-2020")</f>
        <v/>
      </c>
      <c r="Y141">
        <f>HYPERLINK("https://klasma.github.io/Logging_2283/tillsynsmail/A 57076-2020 tillsynsbegäran mail.docx", "A 57076-2020")</f>
        <v/>
      </c>
      <c r="Z141">
        <f>HYPERLINK("https://klasma.github.io/Logging_2283/fåglar/A 57076-2020 prioriterade fågelarter.docx", "A 57076-2020")</f>
        <v/>
      </c>
    </row>
    <row r="142" ht="15" customHeight="1">
      <c r="A142" t="inlineStr">
        <is>
          <t>A 16314-2025</t>
        </is>
      </c>
      <c r="B142" s="1" t="n">
        <v>45751.34763888889</v>
      </c>
      <c r="C142" s="1" t="n">
        <v>45899</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44372-2024</t>
        </is>
      </c>
      <c r="B143" s="1" t="n">
        <v>45573</v>
      </c>
      <c r="C143" s="1" t="n">
        <v>45899</v>
      </c>
      <c r="D143" t="inlineStr">
        <is>
          <t>VÄSTERNORRLANDS LÄN</t>
        </is>
      </c>
      <c r="E143" t="inlineStr">
        <is>
          <t>SOLLEFTEÅ</t>
        </is>
      </c>
      <c r="F143" t="inlineStr">
        <is>
          <t>SCA</t>
        </is>
      </c>
      <c r="G143" t="n">
        <v>3.3</v>
      </c>
      <c r="H143" t="n">
        <v>1</v>
      </c>
      <c r="I143" t="n">
        <v>1</v>
      </c>
      <c r="J143" t="n">
        <v>4</v>
      </c>
      <c r="K143" t="n">
        <v>0</v>
      </c>
      <c r="L143" t="n">
        <v>0</v>
      </c>
      <c r="M143" t="n">
        <v>0</v>
      </c>
      <c r="N143" t="n">
        <v>0</v>
      </c>
      <c r="O143" t="n">
        <v>4</v>
      </c>
      <c r="P143" t="n">
        <v>0</v>
      </c>
      <c r="Q143" t="n">
        <v>5</v>
      </c>
      <c r="R143" s="2" t="inlineStr">
        <is>
          <t>Gammelgransskål
Garnlav
Rosenticka
Tretåig hackspett
Bollvitmossa</t>
        </is>
      </c>
      <c r="S143">
        <f>HYPERLINK("https://klasma.github.io/Logging_2283/artfynd/A 44372-2024 artfynd.xlsx", "A 44372-2024")</f>
        <v/>
      </c>
      <c r="T143">
        <f>HYPERLINK("https://klasma.github.io/Logging_2283/kartor/A 44372-2024 karta.png", "A 44372-2024")</f>
        <v/>
      </c>
      <c r="V143">
        <f>HYPERLINK("https://klasma.github.io/Logging_2283/klagomål/A 44372-2024 FSC-klagomål.docx", "A 44372-2024")</f>
        <v/>
      </c>
      <c r="W143">
        <f>HYPERLINK("https://klasma.github.io/Logging_2283/klagomålsmail/A 44372-2024 FSC-klagomål mail.docx", "A 44372-2024")</f>
        <v/>
      </c>
      <c r="X143">
        <f>HYPERLINK("https://klasma.github.io/Logging_2283/tillsyn/A 44372-2024 tillsynsbegäran.docx", "A 44372-2024")</f>
        <v/>
      </c>
      <c r="Y143">
        <f>HYPERLINK("https://klasma.github.io/Logging_2283/tillsynsmail/A 44372-2024 tillsynsbegäran mail.docx", "A 44372-2024")</f>
        <v/>
      </c>
      <c r="Z143">
        <f>HYPERLINK("https://klasma.github.io/Logging_2283/fåglar/A 44372-2024 prioriterade fågelarter.docx", "A 44372-2024")</f>
        <v/>
      </c>
    </row>
    <row r="144" ht="15" customHeight="1">
      <c r="A144" t="inlineStr">
        <is>
          <t>A 33519-2024</t>
        </is>
      </c>
      <c r="B144" s="1" t="n">
        <v>45519</v>
      </c>
      <c r="C144" s="1" t="n">
        <v>45899</v>
      </c>
      <c r="D144" t="inlineStr">
        <is>
          <t>VÄSTERNORRLANDS LÄN</t>
        </is>
      </c>
      <c r="E144" t="inlineStr">
        <is>
          <t>SOLLEFTEÅ</t>
        </is>
      </c>
      <c r="G144" t="n">
        <v>3.6</v>
      </c>
      <c r="H144" t="n">
        <v>0</v>
      </c>
      <c r="I144" t="n">
        <v>1</v>
      </c>
      <c r="J144" t="n">
        <v>4</v>
      </c>
      <c r="K144" t="n">
        <v>0</v>
      </c>
      <c r="L144" t="n">
        <v>0</v>
      </c>
      <c r="M144" t="n">
        <v>0</v>
      </c>
      <c r="N144" t="n">
        <v>0</v>
      </c>
      <c r="O144" t="n">
        <v>4</v>
      </c>
      <c r="P144" t="n">
        <v>0</v>
      </c>
      <c r="Q144" t="n">
        <v>5</v>
      </c>
      <c r="R144" s="2" t="inlineStr">
        <is>
          <t>Garnlav
Kolflarnlav
Skrovlig taggsvamp
Vaddporing
Dropptaggsvamp</t>
        </is>
      </c>
      <c r="S144">
        <f>HYPERLINK("https://klasma.github.io/Logging_2283/artfynd/A 33519-2024 artfynd.xlsx", "A 33519-2024")</f>
        <v/>
      </c>
      <c r="T144">
        <f>HYPERLINK("https://klasma.github.io/Logging_2283/kartor/A 33519-2024 karta.png", "A 33519-2024")</f>
        <v/>
      </c>
      <c r="U144">
        <f>HYPERLINK("https://klasma.github.io/Logging_2283/knärot/A 33519-2024 karta knärot.png", "A 33519-2024")</f>
        <v/>
      </c>
      <c r="V144">
        <f>HYPERLINK("https://klasma.github.io/Logging_2283/klagomål/A 33519-2024 FSC-klagomål.docx", "A 33519-2024")</f>
        <v/>
      </c>
      <c r="W144">
        <f>HYPERLINK("https://klasma.github.io/Logging_2283/klagomålsmail/A 33519-2024 FSC-klagomål mail.docx", "A 33519-2024")</f>
        <v/>
      </c>
      <c r="X144">
        <f>HYPERLINK("https://klasma.github.io/Logging_2283/tillsyn/A 33519-2024 tillsynsbegäran.docx", "A 33519-2024")</f>
        <v/>
      </c>
      <c r="Y144">
        <f>HYPERLINK("https://klasma.github.io/Logging_2283/tillsynsmail/A 33519-2024 tillsynsbegäran mail.docx", "A 33519-2024")</f>
        <v/>
      </c>
    </row>
    <row r="145" ht="15" customHeight="1">
      <c r="A145" t="inlineStr">
        <is>
          <t>A 4005-2025</t>
        </is>
      </c>
      <c r="B145" s="1" t="n">
        <v>45684.57365740741</v>
      </c>
      <c r="C145" s="1" t="n">
        <v>45899</v>
      </c>
      <c r="D145" t="inlineStr">
        <is>
          <t>VÄSTERNORRLANDS LÄN</t>
        </is>
      </c>
      <c r="E145" t="inlineStr">
        <is>
          <t>SOLLEFTEÅ</t>
        </is>
      </c>
      <c r="F145" t="inlineStr">
        <is>
          <t>SCA</t>
        </is>
      </c>
      <c r="G145" t="n">
        <v>7.5</v>
      </c>
      <c r="H145" t="n">
        <v>2</v>
      </c>
      <c r="I145" t="n">
        <v>0</v>
      </c>
      <c r="J145" t="n">
        <v>5</v>
      </c>
      <c r="K145" t="n">
        <v>0</v>
      </c>
      <c r="L145" t="n">
        <v>0</v>
      </c>
      <c r="M145" t="n">
        <v>0</v>
      </c>
      <c r="N145" t="n">
        <v>0</v>
      </c>
      <c r="O145" t="n">
        <v>5</v>
      </c>
      <c r="P145" t="n">
        <v>0</v>
      </c>
      <c r="Q145" t="n">
        <v>5</v>
      </c>
      <c r="R145" s="2" t="inlineStr">
        <is>
          <t>Gammelgransskål
Garnlav
Granticka
Spillkråka
Tretåig hackspett</t>
        </is>
      </c>
      <c r="S145">
        <f>HYPERLINK("https://klasma.github.io/Logging_2283/artfynd/A 4005-2025 artfynd.xlsx", "A 4005-2025")</f>
        <v/>
      </c>
      <c r="T145">
        <f>HYPERLINK("https://klasma.github.io/Logging_2283/kartor/A 4005-2025 karta.png", "A 4005-2025")</f>
        <v/>
      </c>
      <c r="V145">
        <f>HYPERLINK("https://klasma.github.io/Logging_2283/klagomål/A 4005-2025 FSC-klagomål.docx", "A 4005-2025")</f>
        <v/>
      </c>
      <c r="W145">
        <f>HYPERLINK("https://klasma.github.io/Logging_2283/klagomålsmail/A 4005-2025 FSC-klagomål mail.docx", "A 4005-2025")</f>
        <v/>
      </c>
      <c r="X145">
        <f>HYPERLINK("https://klasma.github.io/Logging_2283/tillsyn/A 4005-2025 tillsynsbegäran.docx", "A 4005-2025")</f>
        <v/>
      </c>
      <c r="Y145">
        <f>HYPERLINK("https://klasma.github.io/Logging_2283/tillsynsmail/A 4005-2025 tillsynsbegäran mail.docx", "A 4005-2025")</f>
        <v/>
      </c>
      <c r="Z145">
        <f>HYPERLINK("https://klasma.github.io/Logging_2283/fåglar/A 4005-2025 prioriterade fågelarter.docx", "A 4005-2025")</f>
        <v/>
      </c>
    </row>
    <row r="146" ht="15" customHeight="1">
      <c r="A146" t="inlineStr">
        <is>
          <t>A 22517-2025</t>
        </is>
      </c>
      <c r="B146" s="1" t="n">
        <v>45786.67818287037</v>
      </c>
      <c r="C146" s="1" t="n">
        <v>45899</v>
      </c>
      <c r="D146" t="inlineStr">
        <is>
          <t>VÄSTERNORRLANDS LÄN</t>
        </is>
      </c>
      <c r="E146" t="inlineStr">
        <is>
          <t>SOLLEFTEÅ</t>
        </is>
      </c>
      <c r="F146" t="inlineStr">
        <is>
          <t>SCA</t>
        </is>
      </c>
      <c r="G146" t="n">
        <v>3.7</v>
      </c>
      <c r="H146" t="n">
        <v>1</v>
      </c>
      <c r="I146" t="n">
        <v>1</v>
      </c>
      <c r="J146" t="n">
        <v>4</v>
      </c>
      <c r="K146" t="n">
        <v>0</v>
      </c>
      <c r="L146" t="n">
        <v>0</v>
      </c>
      <c r="M146" t="n">
        <v>0</v>
      </c>
      <c r="N146" t="n">
        <v>0</v>
      </c>
      <c r="O146" t="n">
        <v>4</v>
      </c>
      <c r="P146" t="n">
        <v>0</v>
      </c>
      <c r="Q146" t="n">
        <v>5</v>
      </c>
      <c r="R146" s="2" t="inlineStr">
        <is>
          <t>Garnlav
Kolflarnlav
Tretåig hackspett
Vedskivlav
Dropptaggsvamp</t>
        </is>
      </c>
      <c r="S146">
        <f>HYPERLINK("https://klasma.github.io/Logging_2283/artfynd/A 22517-2025 artfynd.xlsx", "A 22517-2025")</f>
        <v/>
      </c>
      <c r="T146">
        <f>HYPERLINK("https://klasma.github.io/Logging_2283/kartor/A 22517-2025 karta.png", "A 22517-2025")</f>
        <v/>
      </c>
      <c r="V146">
        <f>HYPERLINK("https://klasma.github.io/Logging_2283/klagomål/A 22517-2025 FSC-klagomål.docx", "A 22517-2025")</f>
        <v/>
      </c>
      <c r="W146">
        <f>HYPERLINK("https://klasma.github.io/Logging_2283/klagomålsmail/A 22517-2025 FSC-klagomål mail.docx", "A 22517-2025")</f>
        <v/>
      </c>
      <c r="X146">
        <f>HYPERLINK("https://klasma.github.io/Logging_2283/tillsyn/A 22517-2025 tillsynsbegäran.docx", "A 22517-2025")</f>
        <v/>
      </c>
      <c r="Y146">
        <f>HYPERLINK("https://klasma.github.io/Logging_2283/tillsynsmail/A 22517-2025 tillsynsbegäran mail.docx", "A 22517-2025")</f>
        <v/>
      </c>
      <c r="Z146">
        <f>HYPERLINK("https://klasma.github.io/Logging_2283/fåglar/A 22517-2025 prioriterade fågelarter.docx", "A 22517-2025")</f>
        <v/>
      </c>
    </row>
    <row r="147" ht="15" customHeight="1">
      <c r="A147" t="inlineStr">
        <is>
          <t>A 19200-2025</t>
        </is>
      </c>
      <c r="B147" s="1" t="n">
        <v>45769.42778935185</v>
      </c>
      <c r="C147" s="1" t="n">
        <v>45899</v>
      </c>
      <c r="D147" t="inlineStr">
        <is>
          <t>VÄSTERNORRLANDS LÄN</t>
        </is>
      </c>
      <c r="E147" t="inlineStr">
        <is>
          <t>SOLLEFTEÅ</t>
        </is>
      </c>
      <c r="F147" t="inlineStr">
        <is>
          <t>SCA</t>
        </is>
      </c>
      <c r="G147" t="n">
        <v>1.9</v>
      </c>
      <c r="H147" t="n">
        <v>2</v>
      </c>
      <c r="I147" t="n">
        <v>0</v>
      </c>
      <c r="J147" t="n">
        <v>4</v>
      </c>
      <c r="K147" t="n">
        <v>0</v>
      </c>
      <c r="L147" t="n">
        <v>0</v>
      </c>
      <c r="M147" t="n">
        <v>0</v>
      </c>
      <c r="N147" t="n">
        <v>0</v>
      </c>
      <c r="O147" t="n">
        <v>4</v>
      </c>
      <c r="P147" t="n">
        <v>0</v>
      </c>
      <c r="Q147" t="n">
        <v>5</v>
      </c>
      <c r="R147" s="2" t="inlineStr">
        <is>
          <t>Järpe
Rosenticka
Ullticka
Vedskivlav
Orre</t>
        </is>
      </c>
      <c r="S147">
        <f>HYPERLINK("https://klasma.github.io/Logging_2283/artfynd/A 19200-2025 artfynd.xlsx", "A 19200-2025")</f>
        <v/>
      </c>
      <c r="T147">
        <f>HYPERLINK("https://klasma.github.io/Logging_2283/kartor/A 19200-2025 karta.png", "A 19200-2025")</f>
        <v/>
      </c>
      <c r="V147">
        <f>HYPERLINK("https://klasma.github.io/Logging_2283/klagomål/A 19200-2025 FSC-klagomål.docx", "A 19200-2025")</f>
        <v/>
      </c>
      <c r="W147">
        <f>HYPERLINK("https://klasma.github.io/Logging_2283/klagomålsmail/A 19200-2025 FSC-klagomål mail.docx", "A 19200-2025")</f>
        <v/>
      </c>
      <c r="X147">
        <f>HYPERLINK("https://klasma.github.io/Logging_2283/tillsyn/A 19200-2025 tillsynsbegäran.docx", "A 19200-2025")</f>
        <v/>
      </c>
      <c r="Y147">
        <f>HYPERLINK("https://klasma.github.io/Logging_2283/tillsynsmail/A 19200-2025 tillsynsbegäran mail.docx", "A 19200-2025")</f>
        <v/>
      </c>
      <c r="Z147">
        <f>HYPERLINK("https://klasma.github.io/Logging_2283/fåglar/A 19200-2025 prioriterade fågelarter.docx", "A 19200-2025")</f>
        <v/>
      </c>
    </row>
    <row r="148" ht="15" customHeight="1">
      <c r="A148" t="inlineStr">
        <is>
          <t>A 4552-2022</t>
        </is>
      </c>
      <c r="B148" s="1" t="n">
        <v>44590</v>
      </c>
      <c r="C148" s="1" t="n">
        <v>45899</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11547-2025</t>
        </is>
      </c>
      <c r="B149" s="1" t="n">
        <v>45727.34447916667</v>
      </c>
      <c r="C149" s="1" t="n">
        <v>45899</v>
      </c>
      <c r="D149" t="inlineStr">
        <is>
          <t>VÄSTERNORRLANDS LÄN</t>
        </is>
      </c>
      <c r="E149" t="inlineStr">
        <is>
          <t>SOLLEFTEÅ</t>
        </is>
      </c>
      <c r="F149" t="inlineStr">
        <is>
          <t>SCA</t>
        </is>
      </c>
      <c r="G149" t="n">
        <v>2.9</v>
      </c>
      <c r="H149" t="n">
        <v>2</v>
      </c>
      <c r="I149" t="n">
        <v>0</v>
      </c>
      <c r="J149" t="n">
        <v>5</v>
      </c>
      <c r="K149" t="n">
        <v>0</v>
      </c>
      <c r="L149" t="n">
        <v>0</v>
      </c>
      <c r="M149" t="n">
        <v>0</v>
      </c>
      <c r="N149" t="n">
        <v>0</v>
      </c>
      <c r="O149" t="n">
        <v>5</v>
      </c>
      <c r="P149" t="n">
        <v>0</v>
      </c>
      <c r="Q149" t="n">
        <v>5</v>
      </c>
      <c r="R149" s="2" t="inlineStr">
        <is>
          <t>Garnlav
Järpe
Lunglav
Tretåig hackspett
Ullticka</t>
        </is>
      </c>
      <c r="S149">
        <f>HYPERLINK("https://klasma.github.io/Logging_2283/artfynd/A 11547-2025 artfynd.xlsx", "A 11547-2025")</f>
        <v/>
      </c>
      <c r="T149">
        <f>HYPERLINK("https://klasma.github.io/Logging_2283/kartor/A 11547-2025 karta.png", "A 11547-2025")</f>
        <v/>
      </c>
      <c r="V149">
        <f>HYPERLINK("https://klasma.github.io/Logging_2283/klagomål/A 11547-2025 FSC-klagomål.docx", "A 11547-2025")</f>
        <v/>
      </c>
      <c r="W149">
        <f>HYPERLINK("https://klasma.github.io/Logging_2283/klagomålsmail/A 11547-2025 FSC-klagomål mail.docx", "A 11547-2025")</f>
        <v/>
      </c>
      <c r="X149">
        <f>HYPERLINK("https://klasma.github.io/Logging_2283/tillsyn/A 11547-2025 tillsynsbegäran.docx", "A 11547-2025")</f>
        <v/>
      </c>
      <c r="Y149">
        <f>HYPERLINK("https://klasma.github.io/Logging_2283/tillsynsmail/A 11547-2025 tillsynsbegäran mail.docx", "A 11547-2025")</f>
        <v/>
      </c>
      <c r="Z149">
        <f>HYPERLINK("https://klasma.github.io/Logging_2283/fåglar/A 11547-2025 prioriterade fågelarter.docx", "A 11547-2025")</f>
        <v/>
      </c>
    </row>
    <row r="150" ht="15" customHeight="1">
      <c r="A150" t="inlineStr">
        <is>
          <t>A 29249-2024</t>
        </is>
      </c>
      <c r="B150" s="1" t="n">
        <v>45482</v>
      </c>
      <c r="C150" s="1" t="n">
        <v>45899</v>
      </c>
      <c r="D150" t="inlineStr">
        <is>
          <t>VÄSTERNORRLANDS LÄN</t>
        </is>
      </c>
      <c r="E150" t="inlineStr">
        <is>
          <t>SOLLEFTEÅ</t>
        </is>
      </c>
      <c r="F150" t="inlineStr">
        <is>
          <t>SCA</t>
        </is>
      </c>
      <c r="G150" t="n">
        <v>7.3</v>
      </c>
      <c r="H150" t="n">
        <v>3</v>
      </c>
      <c r="I150" t="n">
        <v>1</v>
      </c>
      <c r="J150" t="n">
        <v>3</v>
      </c>
      <c r="K150" t="n">
        <v>1</v>
      </c>
      <c r="L150" t="n">
        <v>0</v>
      </c>
      <c r="M150" t="n">
        <v>0</v>
      </c>
      <c r="N150" t="n">
        <v>0</v>
      </c>
      <c r="O150" t="n">
        <v>4</v>
      </c>
      <c r="P150" t="n">
        <v>1</v>
      </c>
      <c r="Q150" t="n">
        <v>5</v>
      </c>
      <c r="R150" s="2" t="inlineStr">
        <is>
          <t>Knärot
Harticka
Talltita
Tretåig hackspett
Stuplav</t>
        </is>
      </c>
      <c r="S150">
        <f>HYPERLINK("https://klasma.github.io/Logging_2283/artfynd/A 29249-2024 artfynd.xlsx", "A 29249-2024")</f>
        <v/>
      </c>
      <c r="T150">
        <f>HYPERLINK("https://klasma.github.io/Logging_2283/kartor/A 29249-2024 karta.png", "A 29249-2024")</f>
        <v/>
      </c>
      <c r="U150">
        <f>HYPERLINK("https://klasma.github.io/Logging_2283/knärot/A 29249-2024 karta knärot.png", "A 29249-2024")</f>
        <v/>
      </c>
      <c r="V150">
        <f>HYPERLINK("https://klasma.github.io/Logging_2283/klagomål/A 29249-2024 FSC-klagomål.docx", "A 29249-2024")</f>
        <v/>
      </c>
      <c r="W150">
        <f>HYPERLINK("https://klasma.github.io/Logging_2283/klagomålsmail/A 29249-2024 FSC-klagomål mail.docx", "A 29249-2024")</f>
        <v/>
      </c>
      <c r="X150">
        <f>HYPERLINK("https://klasma.github.io/Logging_2283/tillsyn/A 29249-2024 tillsynsbegäran.docx", "A 29249-2024")</f>
        <v/>
      </c>
      <c r="Y150">
        <f>HYPERLINK("https://klasma.github.io/Logging_2283/tillsynsmail/A 29249-2024 tillsynsbegäran mail.docx", "A 29249-2024")</f>
        <v/>
      </c>
      <c r="Z150">
        <f>HYPERLINK("https://klasma.github.io/Logging_2283/fåglar/A 29249-2024 prioriterade fågelarter.docx", "A 29249-2024")</f>
        <v/>
      </c>
    </row>
    <row r="151" ht="15" customHeight="1">
      <c r="A151" t="inlineStr">
        <is>
          <t>A 32216-2023</t>
        </is>
      </c>
      <c r="B151" s="1" t="n">
        <v>45119</v>
      </c>
      <c r="C151" s="1" t="n">
        <v>45899</v>
      </c>
      <c r="D151" t="inlineStr">
        <is>
          <t>VÄSTERNORRLANDS LÄN</t>
        </is>
      </c>
      <c r="E151" t="inlineStr">
        <is>
          <t>SOLLEFTEÅ</t>
        </is>
      </c>
      <c r="F151" t="inlineStr">
        <is>
          <t>SCA</t>
        </is>
      </c>
      <c r="G151" t="n">
        <v>2.2</v>
      </c>
      <c r="H151" t="n">
        <v>1</v>
      </c>
      <c r="I151" t="n">
        <v>0</v>
      </c>
      <c r="J151" t="n">
        <v>4</v>
      </c>
      <c r="K151" t="n">
        <v>1</v>
      </c>
      <c r="L151" t="n">
        <v>0</v>
      </c>
      <c r="M151" t="n">
        <v>0</v>
      </c>
      <c r="N151" t="n">
        <v>0</v>
      </c>
      <c r="O151" t="n">
        <v>5</v>
      </c>
      <c r="P151" t="n">
        <v>1</v>
      </c>
      <c r="Q151" t="n">
        <v>5</v>
      </c>
      <c r="R151" s="2" t="inlineStr">
        <is>
          <t>Rynkskinn
Lunglav
Rosenticka
Tretåig hackspett
Ullticka</t>
        </is>
      </c>
      <c r="S151">
        <f>HYPERLINK("https://klasma.github.io/Logging_2283/artfynd/A 32216-2023 artfynd.xlsx", "A 32216-2023")</f>
        <v/>
      </c>
      <c r="T151">
        <f>HYPERLINK("https://klasma.github.io/Logging_2283/kartor/A 32216-2023 karta.png", "A 32216-2023")</f>
        <v/>
      </c>
      <c r="V151">
        <f>HYPERLINK("https://klasma.github.io/Logging_2283/klagomål/A 32216-2023 FSC-klagomål.docx", "A 32216-2023")</f>
        <v/>
      </c>
      <c r="W151">
        <f>HYPERLINK("https://klasma.github.io/Logging_2283/klagomålsmail/A 32216-2023 FSC-klagomål mail.docx", "A 32216-2023")</f>
        <v/>
      </c>
      <c r="X151">
        <f>HYPERLINK("https://klasma.github.io/Logging_2283/tillsyn/A 32216-2023 tillsynsbegäran.docx", "A 32216-2023")</f>
        <v/>
      </c>
      <c r="Y151">
        <f>HYPERLINK("https://klasma.github.io/Logging_2283/tillsynsmail/A 32216-2023 tillsynsbegäran mail.docx", "A 32216-2023")</f>
        <v/>
      </c>
      <c r="Z151">
        <f>HYPERLINK("https://klasma.github.io/Logging_2283/fåglar/A 32216-2023 prioriterade fågelarter.docx", "A 32216-2023")</f>
        <v/>
      </c>
    </row>
    <row r="152" ht="15" customHeight="1">
      <c r="A152" t="inlineStr">
        <is>
          <t>A 27910-2024</t>
        </is>
      </c>
      <c r="B152" s="1" t="n">
        <v>45475</v>
      </c>
      <c r="C152" s="1" t="n">
        <v>45899</v>
      </c>
      <c r="D152" t="inlineStr">
        <is>
          <t>VÄSTERNORRLANDS LÄN</t>
        </is>
      </c>
      <c r="E152" t="inlineStr">
        <is>
          <t>SOLLEFTEÅ</t>
        </is>
      </c>
      <c r="F152" t="inlineStr">
        <is>
          <t>SCA</t>
        </is>
      </c>
      <c r="G152" t="n">
        <v>3.2</v>
      </c>
      <c r="H152" t="n">
        <v>0</v>
      </c>
      <c r="I152" t="n">
        <v>1</v>
      </c>
      <c r="J152" t="n">
        <v>3</v>
      </c>
      <c r="K152" t="n">
        <v>1</v>
      </c>
      <c r="L152" t="n">
        <v>0</v>
      </c>
      <c r="M152" t="n">
        <v>0</v>
      </c>
      <c r="N152" t="n">
        <v>0</v>
      </c>
      <c r="O152" t="n">
        <v>4</v>
      </c>
      <c r="P152" t="n">
        <v>1</v>
      </c>
      <c r="Q152" t="n">
        <v>5</v>
      </c>
      <c r="R152" s="2" t="inlineStr">
        <is>
          <t>Rynkskinn
Gammelgransskål
Rosenticka
Ullticka
Vedticka</t>
        </is>
      </c>
      <c r="S152">
        <f>HYPERLINK("https://klasma.github.io/Logging_2283/artfynd/A 27910-2024 artfynd.xlsx", "A 27910-2024")</f>
        <v/>
      </c>
      <c r="T152">
        <f>HYPERLINK("https://klasma.github.io/Logging_2283/kartor/A 27910-2024 karta.png", "A 27910-2024")</f>
        <v/>
      </c>
      <c r="V152">
        <f>HYPERLINK("https://klasma.github.io/Logging_2283/klagomål/A 27910-2024 FSC-klagomål.docx", "A 27910-2024")</f>
        <v/>
      </c>
      <c r="W152">
        <f>HYPERLINK("https://klasma.github.io/Logging_2283/klagomålsmail/A 27910-2024 FSC-klagomål mail.docx", "A 27910-2024")</f>
        <v/>
      </c>
      <c r="X152">
        <f>HYPERLINK("https://klasma.github.io/Logging_2283/tillsyn/A 27910-2024 tillsynsbegäran.docx", "A 27910-2024")</f>
        <v/>
      </c>
      <c r="Y152">
        <f>HYPERLINK("https://klasma.github.io/Logging_2283/tillsynsmail/A 27910-2024 tillsynsbegäran mail.docx", "A 27910-2024")</f>
        <v/>
      </c>
    </row>
    <row r="153" ht="15" customHeight="1">
      <c r="A153" t="inlineStr">
        <is>
          <t>A 27675-2023</t>
        </is>
      </c>
      <c r="B153" s="1" t="n">
        <v>45097</v>
      </c>
      <c r="C153" s="1" t="n">
        <v>45899</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22125-2024</t>
        </is>
      </c>
      <c r="B154" s="1" t="n">
        <v>45443</v>
      </c>
      <c r="C154" s="1" t="n">
        <v>45899</v>
      </c>
      <c r="D154" t="inlineStr">
        <is>
          <t>VÄSTERNORRLANDS LÄN</t>
        </is>
      </c>
      <c r="E154" t="inlineStr">
        <is>
          <t>SOLLEFTEÅ</t>
        </is>
      </c>
      <c r="F154" t="inlineStr">
        <is>
          <t>SCA</t>
        </is>
      </c>
      <c r="G154" t="n">
        <v>1.8</v>
      </c>
      <c r="H154" t="n">
        <v>2</v>
      </c>
      <c r="I154" t="n">
        <v>0</v>
      </c>
      <c r="J154" t="n">
        <v>4</v>
      </c>
      <c r="K154" t="n">
        <v>1</v>
      </c>
      <c r="L154" t="n">
        <v>0</v>
      </c>
      <c r="M154" t="n">
        <v>0</v>
      </c>
      <c r="N154" t="n">
        <v>0</v>
      </c>
      <c r="O154" t="n">
        <v>5</v>
      </c>
      <c r="P154" t="n">
        <v>1</v>
      </c>
      <c r="Q154" t="n">
        <v>5</v>
      </c>
      <c r="R154" s="2" t="inlineStr">
        <is>
          <t>Knärot
Garnlav
Kolflarnlav
Lunglav
Tretåig hackspett</t>
        </is>
      </c>
      <c r="S154">
        <f>HYPERLINK("https://klasma.github.io/Logging_2283/artfynd/A 22125-2024 artfynd.xlsx", "A 22125-2024")</f>
        <v/>
      </c>
      <c r="T154">
        <f>HYPERLINK("https://klasma.github.io/Logging_2283/kartor/A 22125-2024 karta.png", "A 22125-2024")</f>
        <v/>
      </c>
      <c r="U154">
        <f>HYPERLINK("https://klasma.github.io/Logging_2283/knärot/A 22125-2024 karta knärot.png", "A 22125-2024")</f>
        <v/>
      </c>
      <c r="V154">
        <f>HYPERLINK("https://klasma.github.io/Logging_2283/klagomål/A 22125-2024 FSC-klagomål.docx", "A 22125-2024")</f>
        <v/>
      </c>
      <c r="W154">
        <f>HYPERLINK("https://klasma.github.io/Logging_2283/klagomålsmail/A 22125-2024 FSC-klagomål mail.docx", "A 22125-2024")</f>
        <v/>
      </c>
      <c r="X154">
        <f>HYPERLINK("https://klasma.github.io/Logging_2283/tillsyn/A 22125-2024 tillsynsbegäran.docx", "A 22125-2024")</f>
        <v/>
      </c>
      <c r="Y154">
        <f>HYPERLINK("https://klasma.github.io/Logging_2283/tillsynsmail/A 22125-2024 tillsynsbegäran mail.docx", "A 22125-2024")</f>
        <v/>
      </c>
      <c r="Z154">
        <f>HYPERLINK("https://klasma.github.io/Logging_2283/fåglar/A 22125-2024 prioriterade fågelarter.docx", "A 22125-2024")</f>
        <v/>
      </c>
    </row>
    <row r="155" ht="15" customHeight="1">
      <c r="A155" t="inlineStr">
        <is>
          <t>A 50418-2024</t>
        </is>
      </c>
      <c r="B155" s="1" t="n">
        <v>45601.38575231482</v>
      </c>
      <c r="C155" s="1" t="n">
        <v>45899</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3795-2022</t>
        </is>
      </c>
      <c r="B156" s="1" t="n">
        <v>44586</v>
      </c>
      <c r="C156" s="1" t="n">
        <v>45899</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45899</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45899</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45899</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53130-2022</t>
        </is>
      </c>
      <c r="B160" s="1" t="n">
        <v>44873</v>
      </c>
      <c r="C160" s="1" t="n">
        <v>45899</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20933-2025</t>
        </is>
      </c>
      <c r="B161" s="1" t="n">
        <v>45777.42752314815</v>
      </c>
      <c r="C161" s="1" t="n">
        <v>45899</v>
      </c>
      <c r="D161" t="inlineStr">
        <is>
          <t>VÄSTERNORRLANDS LÄN</t>
        </is>
      </c>
      <c r="E161" t="inlineStr">
        <is>
          <t>SOLLEFTEÅ</t>
        </is>
      </c>
      <c r="F161" t="inlineStr">
        <is>
          <t>SCA</t>
        </is>
      </c>
      <c r="G161" t="n">
        <v>5.9</v>
      </c>
      <c r="H161" t="n">
        <v>0</v>
      </c>
      <c r="I161" t="n">
        <v>1</v>
      </c>
      <c r="J161" t="n">
        <v>3</v>
      </c>
      <c r="K161" t="n">
        <v>0</v>
      </c>
      <c r="L161" t="n">
        <v>0</v>
      </c>
      <c r="M161" t="n">
        <v>0</v>
      </c>
      <c r="N161" t="n">
        <v>0</v>
      </c>
      <c r="O161" t="n">
        <v>3</v>
      </c>
      <c r="P161" t="n">
        <v>0</v>
      </c>
      <c r="Q161" t="n">
        <v>4</v>
      </c>
      <c r="R161" s="2" t="inlineStr">
        <is>
          <t>Orange taggsvamp
Skrovlig taggsvamp
Vitgrynig nållav
Dropptaggsvamp</t>
        </is>
      </c>
      <c r="S161">
        <f>HYPERLINK("https://klasma.github.io/Logging_2283/artfynd/A 20933-2025 artfynd.xlsx", "A 20933-2025")</f>
        <v/>
      </c>
      <c r="T161">
        <f>HYPERLINK("https://klasma.github.io/Logging_2283/kartor/A 20933-2025 karta.png", "A 20933-2025")</f>
        <v/>
      </c>
      <c r="V161">
        <f>HYPERLINK("https://klasma.github.io/Logging_2283/klagomål/A 20933-2025 FSC-klagomål.docx", "A 20933-2025")</f>
        <v/>
      </c>
      <c r="W161">
        <f>HYPERLINK("https://klasma.github.io/Logging_2283/klagomålsmail/A 20933-2025 FSC-klagomål mail.docx", "A 20933-2025")</f>
        <v/>
      </c>
      <c r="X161">
        <f>HYPERLINK("https://klasma.github.io/Logging_2283/tillsyn/A 20933-2025 tillsynsbegäran.docx", "A 20933-2025")</f>
        <v/>
      </c>
      <c r="Y161">
        <f>HYPERLINK("https://klasma.github.io/Logging_2283/tillsynsmail/A 20933-2025 tillsynsbegäran mail.docx", "A 20933-2025")</f>
        <v/>
      </c>
    </row>
    <row r="162" ht="15" customHeight="1">
      <c r="A162" t="inlineStr">
        <is>
          <t>A 13342-2024</t>
        </is>
      </c>
      <c r="B162" s="1" t="n">
        <v>45386</v>
      </c>
      <c r="C162" s="1" t="n">
        <v>45899</v>
      </c>
      <c r="D162" t="inlineStr">
        <is>
          <t>VÄSTERNORRLANDS LÄN</t>
        </is>
      </c>
      <c r="E162" t="inlineStr">
        <is>
          <t>SOLLEFTEÅ</t>
        </is>
      </c>
      <c r="F162" t="inlineStr">
        <is>
          <t>SCA</t>
        </is>
      </c>
      <c r="G162" t="n">
        <v>4.4</v>
      </c>
      <c r="H162" t="n">
        <v>0</v>
      </c>
      <c r="I162" t="n">
        <v>1</v>
      </c>
      <c r="J162" t="n">
        <v>3</v>
      </c>
      <c r="K162" t="n">
        <v>0</v>
      </c>
      <c r="L162" t="n">
        <v>0</v>
      </c>
      <c r="M162" t="n">
        <v>0</v>
      </c>
      <c r="N162" t="n">
        <v>0</v>
      </c>
      <c r="O162" t="n">
        <v>3</v>
      </c>
      <c r="P162" t="n">
        <v>0</v>
      </c>
      <c r="Q162" t="n">
        <v>4</v>
      </c>
      <c r="R162" s="2" t="inlineStr">
        <is>
          <t>Lunglav
Skrovellav
Ullticka
Stuplav</t>
        </is>
      </c>
      <c r="S162">
        <f>HYPERLINK("https://klasma.github.io/Logging_2283/artfynd/A 13342-2024 artfynd.xlsx", "A 13342-2024")</f>
        <v/>
      </c>
      <c r="T162">
        <f>HYPERLINK("https://klasma.github.io/Logging_2283/kartor/A 13342-2024 karta.png", "A 13342-2024")</f>
        <v/>
      </c>
      <c r="V162">
        <f>HYPERLINK("https://klasma.github.io/Logging_2283/klagomål/A 13342-2024 FSC-klagomål.docx", "A 13342-2024")</f>
        <v/>
      </c>
      <c r="W162">
        <f>HYPERLINK("https://klasma.github.io/Logging_2283/klagomålsmail/A 13342-2024 FSC-klagomål mail.docx", "A 13342-2024")</f>
        <v/>
      </c>
      <c r="X162">
        <f>HYPERLINK("https://klasma.github.io/Logging_2283/tillsyn/A 13342-2024 tillsynsbegäran.docx", "A 13342-2024")</f>
        <v/>
      </c>
      <c r="Y162">
        <f>HYPERLINK("https://klasma.github.io/Logging_2283/tillsynsmail/A 13342-2024 tillsynsbegäran mail.docx", "A 13342-2024")</f>
        <v/>
      </c>
    </row>
    <row r="163" ht="15" customHeight="1">
      <c r="A163" t="inlineStr">
        <is>
          <t>A 26467-2024</t>
        </is>
      </c>
      <c r="B163" s="1" t="n">
        <v>45469</v>
      </c>
      <c r="C163" s="1" t="n">
        <v>45899</v>
      </c>
      <c r="D163" t="inlineStr">
        <is>
          <t>VÄSTERNORRLANDS LÄN</t>
        </is>
      </c>
      <c r="E163" t="inlineStr">
        <is>
          <t>SOLLEFTEÅ</t>
        </is>
      </c>
      <c r="G163" t="n">
        <v>1.1</v>
      </c>
      <c r="H163" t="n">
        <v>2</v>
      </c>
      <c r="I163" t="n">
        <v>1</v>
      </c>
      <c r="J163" t="n">
        <v>1</v>
      </c>
      <c r="K163" t="n">
        <v>0</v>
      </c>
      <c r="L163" t="n">
        <v>0</v>
      </c>
      <c r="M163" t="n">
        <v>0</v>
      </c>
      <c r="N163" t="n">
        <v>0</v>
      </c>
      <c r="O163" t="n">
        <v>1</v>
      </c>
      <c r="P163" t="n">
        <v>0</v>
      </c>
      <c r="Q163" t="n">
        <v>4</v>
      </c>
      <c r="R163" s="2" t="inlineStr">
        <is>
          <t>Rosenticka
Springkorn
Skogsrör
Revlummer</t>
        </is>
      </c>
      <c r="S163">
        <f>HYPERLINK("https://klasma.github.io/Logging_2283/artfynd/A 26467-2024 artfynd.xlsx", "A 26467-2024")</f>
        <v/>
      </c>
      <c r="T163">
        <f>HYPERLINK("https://klasma.github.io/Logging_2283/kartor/A 26467-2024 karta.png", "A 26467-2024")</f>
        <v/>
      </c>
      <c r="V163">
        <f>HYPERLINK("https://klasma.github.io/Logging_2283/klagomål/A 26467-2024 FSC-klagomål.docx", "A 26467-2024")</f>
        <v/>
      </c>
      <c r="W163">
        <f>HYPERLINK("https://klasma.github.io/Logging_2283/klagomålsmail/A 26467-2024 FSC-klagomål mail.docx", "A 26467-2024")</f>
        <v/>
      </c>
      <c r="X163">
        <f>HYPERLINK("https://klasma.github.io/Logging_2283/tillsyn/A 26467-2024 tillsynsbegäran.docx", "A 26467-2024")</f>
        <v/>
      </c>
      <c r="Y163">
        <f>HYPERLINK("https://klasma.github.io/Logging_2283/tillsynsmail/A 26467-2024 tillsynsbegäran mail.docx", "A 26467-2024")</f>
        <v/>
      </c>
    </row>
    <row r="164" ht="15" customHeight="1">
      <c r="A164" t="inlineStr">
        <is>
          <t>A 9819-2024</t>
        </is>
      </c>
      <c r="B164" s="1" t="n">
        <v>45363</v>
      </c>
      <c r="C164" s="1" t="n">
        <v>45899</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32218-2023</t>
        </is>
      </c>
      <c r="B165" s="1" t="n">
        <v>45119</v>
      </c>
      <c r="C165" s="1" t="n">
        <v>45899</v>
      </c>
      <c r="D165" t="inlineStr">
        <is>
          <t>VÄSTERNORRLANDS LÄN</t>
        </is>
      </c>
      <c r="E165" t="inlineStr">
        <is>
          <t>SOLLEFTEÅ</t>
        </is>
      </c>
      <c r="F165" t="inlineStr">
        <is>
          <t>SCA</t>
        </is>
      </c>
      <c r="G165" t="n">
        <v>2.1</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32218-2023 artfynd.xlsx", "A 32218-2023")</f>
        <v/>
      </c>
      <c r="T165">
        <f>HYPERLINK("https://klasma.github.io/Logging_2283/kartor/A 32218-2023 karta.png", "A 32218-2023")</f>
        <v/>
      </c>
      <c r="V165">
        <f>HYPERLINK("https://klasma.github.io/Logging_2283/klagomål/A 32218-2023 FSC-klagomål.docx", "A 32218-2023")</f>
        <v/>
      </c>
      <c r="W165">
        <f>HYPERLINK("https://klasma.github.io/Logging_2283/klagomålsmail/A 32218-2023 FSC-klagomål mail.docx", "A 32218-2023")</f>
        <v/>
      </c>
      <c r="X165">
        <f>HYPERLINK("https://klasma.github.io/Logging_2283/tillsyn/A 32218-2023 tillsynsbegäran.docx", "A 32218-2023")</f>
        <v/>
      </c>
      <c r="Y165">
        <f>HYPERLINK("https://klasma.github.io/Logging_2283/tillsynsmail/A 32218-2023 tillsynsbegäran mail.docx", "A 32218-2023")</f>
        <v/>
      </c>
      <c r="Z165">
        <f>HYPERLINK("https://klasma.github.io/Logging_2283/fåglar/A 32218-2023 prioriterade fågelarter.docx", "A 32218-2023")</f>
        <v/>
      </c>
    </row>
    <row r="166" ht="15" customHeight="1">
      <c r="A166" t="inlineStr">
        <is>
          <t>A 2409-2023</t>
        </is>
      </c>
      <c r="B166" s="1" t="n">
        <v>44942</v>
      </c>
      <c r="C166" s="1" t="n">
        <v>45899</v>
      </c>
      <c r="D166" t="inlineStr">
        <is>
          <t>VÄSTERNORRLANDS LÄN</t>
        </is>
      </c>
      <c r="E166" t="inlineStr">
        <is>
          <t>SOLLEFTEÅ</t>
        </is>
      </c>
      <c r="F166" t="inlineStr">
        <is>
          <t>SCA</t>
        </is>
      </c>
      <c r="G166" t="n">
        <v>2</v>
      </c>
      <c r="H166" t="n">
        <v>0</v>
      </c>
      <c r="I166" t="n">
        <v>1</v>
      </c>
      <c r="J166" t="n">
        <v>3</v>
      </c>
      <c r="K166" t="n">
        <v>0</v>
      </c>
      <c r="L166" t="n">
        <v>0</v>
      </c>
      <c r="M166" t="n">
        <v>0</v>
      </c>
      <c r="N166" t="n">
        <v>0</v>
      </c>
      <c r="O166" t="n">
        <v>3</v>
      </c>
      <c r="P166" t="n">
        <v>0</v>
      </c>
      <c r="Q166" t="n">
        <v>4</v>
      </c>
      <c r="R166" s="2" t="inlineStr">
        <is>
          <t>Rosenticka
Tallticka
Ullticka
Dropptaggsvamp</t>
        </is>
      </c>
      <c r="S166">
        <f>HYPERLINK("https://klasma.github.io/Logging_2283/artfynd/A 2409-2023 artfynd.xlsx", "A 2409-2023")</f>
        <v/>
      </c>
      <c r="T166">
        <f>HYPERLINK("https://klasma.github.io/Logging_2283/kartor/A 2409-2023 karta.png", "A 2409-2023")</f>
        <v/>
      </c>
      <c r="V166">
        <f>HYPERLINK("https://klasma.github.io/Logging_2283/klagomål/A 2409-2023 FSC-klagomål.docx", "A 2409-2023")</f>
        <v/>
      </c>
      <c r="W166">
        <f>HYPERLINK("https://klasma.github.io/Logging_2283/klagomålsmail/A 2409-2023 FSC-klagomål mail.docx", "A 2409-2023")</f>
        <v/>
      </c>
      <c r="X166">
        <f>HYPERLINK("https://klasma.github.io/Logging_2283/tillsyn/A 2409-2023 tillsynsbegäran.docx", "A 2409-2023")</f>
        <v/>
      </c>
      <c r="Y166">
        <f>HYPERLINK("https://klasma.github.io/Logging_2283/tillsynsmail/A 2409-2023 tillsynsbegäran mail.docx", "A 2409-2023")</f>
        <v/>
      </c>
    </row>
    <row r="167" ht="15" customHeight="1">
      <c r="A167" t="inlineStr">
        <is>
          <t>A 2349-2025</t>
        </is>
      </c>
      <c r="B167" s="1" t="n">
        <v>45673.67807870371</v>
      </c>
      <c r="C167" s="1" t="n">
        <v>45899</v>
      </c>
      <c r="D167" t="inlineStr">
        <is>
          <t>VÄSTERNORRLANDS LÄN</t>
        </is>
      </c>
      <c r="E167" t="inlineStr">
        <is>
          <t>SOLLEFTEÅ</t>
        </is>
      </c>
      <c r="F167" t="inlineStr">
        <is>
          <t>SCA</t>
        </is>
      </c>
      <c r="G167" t="n">
        <v>3.5</v>
      </c>
      <c r="H167" t="n">
        <v>2</v>
      </c>
      <c r="I167" t="n">
        <v>0</v>
      </c>
      <c r="J167" t="n">
        <v>3</v>
      </c>
      <c r="K167" t="n">
        <v>0</v>
      </c>
      <c r="L167" t="n">
        <v>0</v>
      </c>
      <c r="M167" t="n">
        <v>0</v>
      </c>
      <c r="N167" t="n">
        <v>0</v>
      </c>
      <c r="O167" t="n">
        <v>3</v>
      </c>
      <c r="P167" t="n">
        <v>0</v>
      </c>
      <c r="Q167" t="n">
        <v>4</v>
      </c>
      <c r="R167" s="2" t="inlineStr">
        <is>
          <t>Garnlav
Spillkråka
Ullticka
Tjäder</t>
        </is>
      </c>
      <c r="S167">
        <f>HYPERLINK("https://klasma.github.io/Logging_2283/artfynd/A 2349-2025 artfynd.xlsx", "A 2349-2025")</f>
        <v/>
      </c>
      <c r="T167">
        <f>HYPERLINK("https://klasma.github.io/Logging_2283/kartor/A 2349-2025 karta.png", "A 2349-2025")</f>
        <v/>
      </c>
      <c r="V167">
        <f>HYPERLINK("https://klasma.github.io/Logging_2283/klagomål/A 2349-2025 FSC-klagomål.docx", "A 2349-2025")</f>
        <v/>
      </c>
      <c r="W167">
        <f>HYPERLINK("https://klasma.github.io/Logging_2283/klagomålsmail/A 2349-2025 FSC-klagomål mail.docx", "A 2349-2025")</f>
        <v/>
      </c>
      <c r="X167">
        <f>HYPERLINK("https://klasma.github.io/Logging_2283/tillsyn/A 2349-2025 tillsynsbegäran.docx", "A 2349-2025")</f>
        <v/>
      </c>
      <c r="Y167">
        <f>HYPERLINK("https://klasma.github.io/Logging_2283/tillsynsmail/A 2349-2025 tillsynsbegäran mail.docx", "A 2349-2025")</f>
        <v/>
      </c>
      <c r="Z167">
        <f>HYPERLINK("https://klasma.github.io/Logging_2283/fåglar/A 2349-2025 prioriterade fågelarter.docx", "A 2349-2025")</f>
        <v/>
      </c>
    </row>
    <row r="168" ht="15" customHeight="1">
      <c r="A168" t="inlineStr">
        <is>
          <t>A 25954-2025</t>
        </is>
      </c>
      <c r="B168" s="1" t="n">
        <v>45804.60334490741</v>
      </c>
      <c r="C168" s="1" t="n">
        <v>45899</v>
      </c>
      <c r="D168" t="inlineStr">
        <is>
          <t>VÄSTERNORRLANDS LÄN</t>
        </is>
      </c>
      <c r="E168" t="inlineStr">
        <is>
          <t>SOLLEFTEÅ</t>
        </is>
      </c>
      <c r="G168" t="n">
        <v>3.2</v>
      </c>
      <c r="H168" t="n">
        <v>1</v>
      </c>
      <c r="I168" t="n">
        <v>3</v>
      </c>
      <c r="J168" t="n">
        <v>0</v>
      </c>
      <c r="K168" t="n">
        <v>0</v>
      </c>
      <c r="L168" t="n">
        <v>0</v>
      </c>
      <c r="M168" t="n">
        <v>0</v>
      </c>
      <c r="N168" t="n">
        <v>0</v>
      </c>
      <c r="O168" t="n">
        <v>0</v>
      </c>
      <c r="P168" t="n">
        <v>0</v>
      </c>
      <c r="Q168" t="n">
        <v>4</v>
      </c>
      <c r="R168" s="2" t="inlineStr">
        <is>
          <t>Dvärghäxört
Springkorn
Svart trolldruva
Revlummer</t>
        </is>
      </c>
      <c r="S168">
        <f>HYPERLINK("https://klasma.github.io/Logging_2283/artfynd/A 25954-2025 artfynd.xlsx", "A 25954-2025")</f>
        <v/>
      </c>
      <c r="T168">
        <f>HYPERLINK("https://klasma.github.io/Logging_2283/kartor/A 25954-2025 karta.png", "A 25954-2025")</f>
        <v/>
      </c>
      <c r="V168">
        <f>HYPERLINK("https://klasma.github.io/Logging_2283/klagomål/A 25954-2025 FSC-klagomål.docx", "A 25954-2025")</f>
        <v/>
      </c>
      <c r="W168">
        <f>HYPERLINK("https://klasma.github.io/Logging_2283/klagomålsmail/A 25954-2025 FSC-klagomål mail.docx", "A 25954-2025")</f>
        <v/>
      </c>
      <c r="X168">
        <f>HYPERLINK("https://klasma.github.io/Logging_2283/tillsyn/A 25954-2025 tillsynsbegäran.docx", "A 25954-2025")</f>
        <v/>
      </c>
      <c r="Y168">
        <f>HYPERLINK("https://klasma.github.io/Logging_2283/tillsynsmail/A 25954-2025 tillsynsbegäran mail.docx", "A 25954-2025")</f>
        <v/>
      </c>
    </row>
    <row r="169" ht="15" customHeight="1">
      <c r="A169" t="inlineStr">
        <is>
          <t>A 62638-2022</t>
        </is>
      </c>
      <c r="B169" s="1" t="n">
        <v>44925</v>
      </c>
      <c r="C169" s="1" t="n">
        <v>45899</v>
      </c>
      <c r="D169" t="inlineStr">
        <is>
          <t>VÄSTERNORRLANDS LÄN</t>
        </is>
      </c>
      <c r="E169" t="inlineStr">
        <is>
          <t>SOLLEFTEÅ</t>
        </is>
      </c>
      <c r="F169" t="inlineStr">
        <is>
          <t>Holmen skog AB</t>
        </is>
      </c>
      <c r="G169" t="n">
        <v>4</v>
      </c>
      <c r="H169" t="n">
        <v>1</v>
      </c>
      <c r="I169" t="n">
        <v>1</v>
      </c>
      <c r="J169" t="n">
        <v>2</v>
      </c>
      <c r="K169" t="n">
        <v>1</v>
      </c>
      <c r="L169" t="n">
        <v>0</v>
      </c>
      <c r="M169" t="n">
        <v>0</v>
      </c>
      <c r="N169" t="n">
        <v>0</v>
      </c>
      <c r="O169" t="n">
        <v>3</v>
      </c>
      <c r="P169" t="n">
        <v>1</v>
      </c>
      <c r="Q169" t="n">
        <v>4</v>
      </c>
      <c r="R169" s="2" t="inlineStr">
        <is>
          <t>Knärot
Koralltaggsvamp
Lunglav
Skinnlav</t>
        </is>
      </c>
      <c r="S169">
        <f>HYPERLINK("https://klasma.github.io/Logging_2283/artfynd/A 62638-2022 artfynd.xlsx", "A 62638-2022")</f>
        <v/>
      </c>
      <c r="T169">
        <f>HYPERLINK("https://klasma.github.io/Logging_2283/kartor/A 62638-2022 karta.png", "A 62638-2022")</f>
        <v/>
      </c>
      <c r="U169">
        <f>HYPERLINK("https://klasma.github.io/Logging_2283/knärot/A 62638-2022 karta knärot.png", "A 62638-2022")</f>
        <v/>
      </c>
      <c r="V169">
        <f>HYPERLINK("https://klasma.github.io/Logging_2283/klagomål/A 62638-2022 FSC-klagomål.docx", "A 62638-2022")</f>
        <v/>
      </c>
      <c r="W169">
        <f>HYPERLINK("https://klasma.github.io/Logging_2283/klagomålsmail/A 62638-2022 FSC-klagomål mail.docx", "A 62638-2022")</f>
        <v/>
      </c>
      <c r="X169">
        <f>HYPERLINK("https://klasma.github.io/Logging_2283/tillsyn/A 62638-2022 tillsynsbegäran.docx", "A 62638-2022")</f>
        <v/>
      </c>
      <c r="Y169">
        <f>HYPERLINK("https://klasma.github.io/Logging_2283/tillsynsmail/A 62638-2022 tillsynsbegäran mail.docx", "A 62638-2022")</f>
        <v/>
      </c>
    </row>
    <row r="170" ht="15" customHeight="1">
      <c r="A170" t="inlineStr">
        <is>
          <t>A 29561-2025</t>
        </is>
      </c>
      <c r="B170" s="1" t="n">
        <v>45825.36510416667</v>
      </c>
      <c r="C170" s="1" t="n">
        <v>45899</v>
      </c>
      <c r="D170" t="inlineStr">
        <is>
          <t>VÄSTERNORRLANDS LÄN</t>
        </is>
      </c>
      <c r="E170" t="inlineStr">
        <is>
          <t>SOLLEFTEÅ</t>
        </is>
      </c>
      <c r="F170" t="inlineStr">
        <is>
          <t>SCA</t>
        </is>
      </c>
      <c r="G170" t="n">
        <v>11.9</v>
      </c>
      <c r="H170" t="n">
        <v>0</v>
      </c>
      <c r="I170" t="n">
        <v>1</v>
      </c>
      <c r="J170" t="n">
        <v>3</v>
      </c>
      <c r="K170" t="n">
        <v>0</v>
      </c>
      <c r="L170" t="n">
        <v>0</v>
      </c>
      <c r="M170" t="n">
        <v>0</v>
      </c>
      <c r="N170" t="n">
        <v>0</v>
      </c>
      <c r="O170" t="n">
        <v>3</v>
      </c>
      <c r="P170" t="n">
        <v>0</v>
      </c>
      <c r="Q170" t="n">
        <v>4</v>
      </c>
      <c r="R170" s="2" t="inlineStr">
        <is>
          <t>Garnlav
Kolflarnlav
Vedskivlav
Stuplav</t>
        </is>
      </c>
      <c r="S170">
        <f>HYPERLINK("https://klasma.github.io/Logging_2283/artfynd/A 29561-2025 artfynd.xlsx", "A 29561-2025")</f>
        <v/>
      </c>
      <c r="T170">
        <f>HYPERLINK("https://klasma.github.io/Logging_2283/kartor/A 29561-2025 karta.png", "A 29561-2025")</f>
        <v/>
      </c>
      <c r="V170">
        <f>HYPERLINK("https://klasma.github.io/Logging_2283/klagomål/A 29561-2025 FSC-klagomål.docx", "A 29561-2025")</f>
        <v/>
      </c>
      <c r="W170">
        <f>HYPERLINK("https://klasma.github.io/Logging_2283/klagomålsmail/A 29561-2025 FSC-klagomål mail.docx", "A 29561-2025")</f>
        <v/>
      </c>
      <c r="X170">
        <f>HYPERLINK("https://klasma.github.io/Logging_2283/tillsyn/A 29561-2025 tillsynsbegäran.docx", "A 29561-2025")</f>
        <v/>
      </c>
      <c r="Y170">
        <f>HYPERLINK("https://klasma.github.io/Logging_2283/tillsynsmail/A 29561-2025 tillsynsbegäran mail.docx", "A 29561-2025")</f>
        <v/>
      </c>
    </row>
    <row r="171" ht="15" customHeight="1">
      <c r="A171" t="inlineStr">
        <is>
          <t>A 20572-2025</t>
        </is>
      </c>
      <c r="B171" s="1" t="n">
        <v>45775.67054398148</v>
      </c>
      <c r="C171" s="1" t="n">
        <v>45899</v>
      </c>
      <c r="D171" t="inlineStr">
        <is>
          <t>VÄSTERNORRLANDS LÄN</t>
        </is>
      </c>
      <c r="E171" t="inlineStr">
        <is>
          <t>SOLLEFTEÅ</t>
        </is>
      </c>
      <c r="G171" t="n">
        <v>1.6</v>
      </c>
      <c r="H171" t="n">
        <v>4</v>
      </c>
      <c r="I171" t="n">
        <v>0</v>
      </c>
      <c r="J171" t="n">
        <v>2</v>
      </c>
      <c r="K171" t="n">
        <v>0</v>
      </c>
      <c r="L171" t="n">
        <v>0</v>
      </c>
      <c r="M171" t="n">
        <v>0</v>
      </c>
      <c r="N171" t="n">
        <v>0</v>
      </c>
      <c r="O171" t="n">
        <v>2</v>
      </c>
      <c r="P171" t="n">
        <v>0</v>
      </c>
      <c r="Q171" t="n">
        <v>4</v>
      </c>
      <c r="R171" s="2" t="inlineStr">
        <is>
          <t>Blå kärrhök
Spillkråka
Göktyta
Sångsvan</t>
        </is>
      </c>
      <c r="S171">
        <f>HYPERLINK("https://klasma.github.io/Logging_2283/artfynd/A 20572-2025 artfynd.xlsx", "A 20572-2025")</f>
        <v/>
      </c>
      <c r="T171">
        <f>HYPERLINK("https://klasma.github.io/Logging_2283/kartor/A 20572-2025 karta.png", "A 20572-2025")</f>
        <v/>
      </c>
      <c r="V171">
        <f>HYPERLINK("https://klasma.github.io/Logging_2283/klagomål/A 20572-2025 FSC-klagomål.docx", "A 20572-2025")</f>
        <v/>
      </c>
      <c r="W171">
        <f>HYPERLINK("https://klasma.github.io/Logging_2283/klagomålsmail/A 20572-2025 FSC-klagomål mail.docx", "A 20572-2025")</f>
        <v/>
      </c>
      <c r="X171">
        <f>HYPERLINK("https://klasma.github.io/Logging_2283/tillsyn/A 20572-2025 tillsynsbegäran.docx", "A 20572-2025")</f>
        <v/>
      </c>
      <c r="Y171">
        <f>HYPERLINK("https://klasma.github.io/Logging_2283/tillsynsmail/A 20572-2025 tillsynsbegäran mail.docx", "A 20572-2025")</f>
        <v/>
      </c>
      <c r="Z171">
        <f>HYPERLINK("https://klasma.github.io/Logging_2283/fåglar/A 20572-2025 prioriterade fågelarter.docx", "A 20572-2025")</f>
        <v/>
      </c>
    </row>
    <row r="172" ht="15" customHeight="1">
      <c r="A172" t="inlineStr">
        <is>
          <t>A 36943-2025</t>
        </is>
      </c>
      <c r="B172" s="1" t="n">
        <v>45874.59422453704</v>
      </c>
      <c r="C172" s="1" t="n">
        <v>45899</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31560-2024</t>
        </is>
      </c>
      <c r="B173" s="1" t="n">
        <v>45505</v>
      </c>
      <c r="C173" s="1" t="n">
        <v>45899</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59381-2024</t>
        </is>
      </c>
      <c r="B174" s="1" t="n">
        <v>45638</v>
      </c>
      <c r="C174" s="1" t="n">
        <v>45899</v>
      </c>
      <c r="D174" t="inlineStr">
        <is>
          <t>VÄSTERNORRLANDS LÄN</t>
        </is>
      </c>
      <c r="E174" t="inlineStr">
        <is>
          <t>SOLLEFTEÅ</t>
        </is>
      </c>
      <c r="G174" t="n">
        <v>5.4</v>
      </c>
      <c r="H174" t="n">
        <v>2</v>
      </c>
      <c r="I174" t="n">
        <v>0</v>
      </c>
      <c r="J174" t="n">
        <v>3</v>
      </c>
      <c r="K174" t="n">
        <v>0</v>
      </c>
      <c r="L174" t="n">
        <v>0</v>
      </c>
      <c r="M174" t="n">
        <v>0</v>
      </c>
      <c r="N174" t="n">
        <v>0</v>
      </c>
      <c r="O174" t="n">
        <v>3</v>
      </c>
      <c r="P174" t="n">
        <v>0</v>
      </c>
      <c r="Q174" t="n">
        <v>4</v>
      </c>
      <c r="R174" s="2" t="inlineStr">
        <is>
          <t>Rosenticka
Talltita
Ullticka
Fläcknycklar</t>
        </is>
      </c>
      <c r="S174">
        <f>HYPERLINK("https://klasma.github.io/Logging_2283/artfynd/A 59381-2024 artfynd.xlsx", "A 59381-2024")</f>
        <v/>
      </c>
      <c r="T174">
        <f>HYPERLINK("https://klasma.github.io/Logging_2283/kartor/A 59381-2024 karta.png", "A 59381-2024")</f>
        <v/>
      </c>
      <c r="U174">
        <f>HYPERLINK("https://klasma.github.io/Logging_2283/knärot/A 59381-2024 karta knärot.png", "A 59381-2024")</f>
        <v/>
      </c>
      <c r="V174">
        <f>HYPERLINK("https://klasma.github.io/Logging_2283/klagomål/A 59381-2024 FSC-klagomål.docx", "A 59381-2024")</f>
        <v/>
      </c>
      <c r="W174">
        <f>HYPERLINK("https://klasma.github.io/Logging_2283/klagomålsmail/A 59381-2024 FSC-klagomål mail.docx", "A 59381-2024")</f>
        <v/>
      </c>
      <c r="X174">
        <f>HYPERLINK("https://klasma.github.io/Logging_2283/tillsyn/A 59381-2024 tillsynsbegäran.docx", "A 59381-2024")</f>
        <v/>
      </c>
      <c r="Y174">
        <f>HYPERLINK("https://klasma.github.io/Logging_2283/tillsynsmail/A 59381-2024 tillsynsbegäran mail.docx", "A 59381-2024")</f>
        <v/>
      </c>
      <c r="Z174">
        <f>HYPERLINK("https://klasma.github.io/Logging_2283/fåglar/A 59381-2024 prioriterade fågelarter.docx", "A 59381-2024")</f>
        <v/>
      </c>
    </row>
    <row r="175" ht="15" customHeight="1">
      <c r="A175" t="inlineStr">
        <is>
          <t>A 62364-2023</t>
        </is>
      </c>
      <c r="B175" s="1" t="n">
        <v>45267.95166666667</v>
      </c>
      <c r="C175" s="1" t="n">
        <v>45899</v>
      </c>
      <c r="D175" t="inlineStr">
        <is>
          <t>VÄSTERNORRLANDS LÄN</t>
        </is>
      </c>
      <c r="E175" t="inlineStr">
        <is>
          <t>SOLLEFTEÅ</t>
        </is>
      </c>
      <c r="F175" t="inlineStr">
        <is>
          <t>SCA</t>
        </is>
      </c>
      <c r="G175" t="n">
        <v>22.1</v>
      </c>
      <c r="H175" t="n">
        <v>1</v>
      </c>
      <c r="I175" t="n">
        <v>0</v>
      </c>
      <c r="J175" t="n">
        <v>3</v>
      </c>
      <c r="K175" t="n">
        <v>0</v>
      </c>
      <c r="L175" t="n">
        <v>0</v>
      </c>
      <c r="M175" t="n">
        <v>0</v>
      </c>
      <c r="N175" t="n">
        <v>0</v>
      </c>
      <c r="O175" t="n">
        <v>3</v>
      </c>
      <c r="P175" t="n">
        <v>0</v>
      </c>
      <c r="Q175" t="n">
        <v>4</v>
      </c>
      <c r="R175" s="2" t="inlineStr">
        <is>
          <t>Granticka
Harticka
Skogshare
Tjäder</t>
        </is>
      </c>
      <c r="S175">
        <f>HYPERLINK("https://klasma.github.io/Logging_2283/artfynd/A 62364-2023 artfynd.xlsx", "A 62364-2023")</f>
        <v/>
      </c>
      <c r="T175">
        <f>HYPERLINK("https://klasma.github.io/Logging_2283/kartor/A 62364-2023 karta.png", "A 62364-2023")</f>
        <v/>
      </c>
      <c r="V175">
        <f>HYPERLINK("https://klasma.github.io/Logging_2283/klagomål/A 62364-2023 FSC-klagomål.docx", "A 62364-2023")</f>
        <v/>
      </c>
      <c r="W175">
        <f>HYPERLINK("https://klasma.github.io/Logging_2283/klagomålsmail/A 62364-2023 FSC-klagomål mail.docx", "A 62364-2023")</f>
        <v/>
      </c>
      <c r="X175">
        <f>HYPERLINK("https://klasma.github.io/Logging_2283/tillsyn/A 62364-2023 tillsynsbegäran.docx", "A 62364-2023")</f>
        <v/>
      </c>
      <c r="Y175">
        <f>HYPERLINK("https://klasma.github.io/Logging_2283/tillsynsmail/A 62364-2023 tillsynsbegäran mail.docx", "A 62364-2023")</f>
        <v/>
      </c>
      <c r="Z175">
        <f>HYPERLINK("https://klasma.github.io/Logging_2283/fåglar/A 62364-2023 prioriterade fågelarter.docx", "A 62364-2023")</f>
        <v/>
      </c>
    </row>
    <row r="176" ht="15" customHeight="1">
      <c r="A176" t="inlineStr">
        <is>
          <t>A 62632-2022</t>
        </is>
      </c>
      <c r="B176" s="1" t="n">
        <v>44925</v>
      </c>
      <c r="C176" s="1" t="n">
        <v>45899</v>
      </c>
      <c r="D176" t="inlineStr">
        <is>
          <t>VÄSTERNORRLANDS LÄN</t>
        </is>
      </c>
      <c r="E176" t="inlineStr">
        <is>
          <t>SOLLEFTEÅ</t>
        </is>
      </c>
      <c r="F176" t="inlineStr">
        <is>
          <t>Holmen skog AB</t>
        </is>
      </c>
      <c r="G176" t="n">
        <v>4.4</v>
      </c>
      <c r="H176" t="n">
        <v>1</v>
      </c>
      <c r="I176" t="n">
        <v>1</v>
      </c>
      <c r="J176" t="n">
        <v>2</v>
      </c>
      <c r="K176" t="n">
        <v>1</v>
      </c>
      <c r="L176" t="n">
        <v>0</v>
      </c>
      <c r="M176" t="n">
        <v>0</v>
      </c>
      <c r="N176" t="n">
        <v>0</v>
      </c>
      <c r="O176" t="n">
        <v>3</v>
      </c>
      <c r="P176" t="n">
        <v>1</v>
      </c>
      <c r="Q176" t="n">
        <v>4</v>
      </c>
      <c r="R176" s="2" t="inlineStr">
        <is>
          <t>Bitter taggsvamp
Blå taggsvamp
Orange taggsvamp
Plattlummer</t>
        </is>
      </c>
      <c r="S176">
        <f>HYPERLINK("https://klasma.github.io/Logging_2283/artfynd/A 62632-2022 artfynd.xlsx", "A 62632-2022")</f>
        <v/>
      </c>
      <c r="T176">
        <f>HYPERLINK("https://klasma.github.io/Logging_2283/kartor/A 62632-2022 karta.png", "A 62632-2022")</f>
        <v/>
      </c>
      <c r="V176">
        <f>HYPERLINK("https://klasma.github.io/Logging_2283/klagomål/A 62632-2022 FSC-klagomål.docx", "A 62632-2022")</f>
        <v/>
      </c>
      <c r="W176">
        <f>HYPERLINK("https://klasma.github.io/Logging_2283/klagomålsmail/A 62632-2022 FSC-klagomål mail.docx", "A 62632-2022")</f>
        <v/>
      </c>
      <c r="X176">
        <f>HYPERLINK("https://klasma.github.io/Logging_2283/tillsyn/A 62632-2022 tillsynsbegäran.docx", "A 62632-2022")</f>
        <v/>
      </c>
      <c r="Y176">
        <f>HYPERLINK("https://klasma.github.io/Logging_2283/tillsynsmail/A 62632-2022 tillsynsbegäran mail.docx", "A 62632-2022")</f>
        <v/>
      </c>
    </row>
    <row r="177" ht="15" customHeight="1">
      <c r="A177" t="inlineStr">
        <is>
          <t>A 54093-2024</t>
        </is>
      </c>
      <c r="B177" s="1" t="n">
        <v>45616.51100694444</v>
      </c>
      <c r="C177" s="1" t="n">
        <v>45899</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40740-2025</t>
        </is>
      </c>
      <c r="B178" s="1" t="n">
        <v>45897.36840277778</v>
      </c>
      <c r="C178" s="1" t="n">
        <v>45899</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5018-2025</t>
        </is>
      </c>
      <c r="B179" s="1" t="n">
        <v>45691</v>
      </c>
      <c r="C179" s="1" t="n">
        <v>45899</v>
      </c>
      <c r="D179" t="inlineStr">
        <is>
          <t>VÄSTERNORRLANDS LÄN</t>
        </is>
      </c>
      <c r="E179" t="inlineStr">
        <is>
          <t>SOLLEFTEÅ</t>
        </is>
      </c>
      <c r="G179" t="n">
        <v>11.5</v>
      </c>
      <c r="H179" t="n">
        <v>1</v>
      </c>
      <c r="I179" t="n">
        <v>0</v>
      </c>
      <c r="J179" t="n">
        <v>3</v>
      </c>
      <c r="K179" t="n">
        <v>0</v>
      </c>
      <c r="L179" t="n">
        <v>0</v>
      </c>
      <c r="M179" t="n">
        <v>0</v>
      </c>
      <c r="N179" t="n">
        <v>0</v>
      </c>
      <c r="O179" t="n">
        <v>3</v>
      </c>
      <c r="P179" t="n">
        <v>0</v>
      </c>
      <c r="Q179" t="n">
        <v>4</v>
      </c>
      <c r="R179" s="2" t="inlineStr">
        <is>
          <t>Garnlav
Granticka
Rosenticka
Tjäder</t>
        </is>
      </c>
      <c r="S179">
        <f>HYPERLINK("https://klasma.github.io/Logging_2283/artfynd/A 5018-2025 artfynd.xlsx", "A 5018-2025")</f>
        <v/>
      </c>
      <c r="T179">
        <f>HYPERLINK("https://klasma.github.io/Logging_2283/kartor/A 5018-2025 karta.png", "A 5018-2025")</f>
        <v/>
      </c>
      <c r="V179">
        <f>HYPERLINK("https://klasma.github.io/Logging_2283/klagomål/A 5018-2025 FSC-klagomål.docx", "A 5018-2025")</f>
        <v/>
      </c>
      <c r="W179">
        <f>HYPERLINK("https://klasma.github.io/Logging_2283/klagomålsmail/A 5018-2025 FSC-klagomål mail.docx", "A 5018-2025")</f>
        <v/>
      </c>
      <c r="X179">
        <f>HYPERLINK("https://klasma.github.io/Logging_2283/tillsyn/A 5018-2025 tillsynsbegäran.docx", "A 5018-2025")</f>
        <v/>
      </c>
      <c r="Y179">
        <f>HYPERLINK("https://klasma.github.io/Logging_2283/tillsynsmail/A 5018-2025 tillsynsbegäran mail.docx", "A 5018-2025")</f>
        <v/>
      </c>
      <c r="Z179">
        <f>HYPERLINK("https://klasma.github.io/Logging_2283/fåglar/A 5018-2025 prioriterade fågelarter.docx", "A 5018-2025")</f>
        <v/>
      </c>
    </row>
    <row r="180" ht="15" customHeight="1">
      <c r="A180" t="inlineStr">
        <is>
          <t>A 50839-2023</t>
        </is>
      </c>
      <c r="B180" s="1" t="n">
        <v>45217</v>
      </c>
      <c r="C180" s="1" t="n">
        <v>45899</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53898-2024</t>
        </is>
      </c>
      <c r="B181" s="1" t="n">
        <v>45615.69824074074</v>
      </c>
      <c r="C181" s="1" t="n">
        <v>45899</v>
      </c>
      <c r="D181" t="inlineStr">
        <is>
          <t>VÄSTERNORRLANDS LÄN</t>
        </is>
      </c>
      <c r="E181" t="inlineStr">
        <is>
          <t>SOLLEFTEÅ</t>
        </is>
      </c>
      <c r="F181" t="inlineStr">
        <is>
          <t>SCA</t>
        </is>
      </c>
      <c r="G181" t="n">
        <v>2</v>
      </c>
      <c r="H181" t="n">
        <v>0</v>
      </c>
      <c r="I181" t="n">
        <v>2</v>
      </c>
      <c r="J181" t="n">
        <v>2</v>
      </c>
      <c r="K181" t="n">
        <v>0</v>
      </c>
      <c r="L181" t="n">
        <v>0</v>
      </c>
      <c r="M181" t="n">
        <v>0</v>
      </c>
      <c r="N181" t="n">
        <v>0</v>
      </c>
      <c r="O181" t="n">
        <v>2</v>
      </c>
      <c r="P181" t="n">
        <v>0</v>
      </c>
      <c r="Q181" t="n">
        <v>4</v>
      </c>
      <c r="R181" s="2" t="inlineStr">
        <is>
          <t>Garnlav
Lunglav
Norrlandslav
Stuplav</t>
        </is>
      </c>
      <c r="S181">
        <f>HYPERLINK("https://klasma.github.io/Logging_2283/artfynd/A 53898-2024 artfynd.xlsx", "A 53898-2024")</f>
        <v/>
      </c>
      <c r="T181">
        <f>HYPERLINK("https://klasma.github.io/Logging_2283/kartor/A 53898-2024 karta.png", "A 53898-2024")</f>
        <v/>
      </c>
      <c r="V181">
        <f>HYPERLINK("https://klasma.github.io/Logging_2283/klagomål/A 53898-2024 FSC-klagomål.docx", "A 53898-2024")</f>
        <v/>
      </c>
      <c r="W181">
        <f>HYPERLINK("https://klasma.github.io/Logging_2283/klagomålsmail/A 53898-2024 FSC-klagomål mail.docx", "A 53898-2024")</f>
        <v/>
      </c>
      <c r="X181">
        <f>HYPERLINK("https://klasma.github.io/Logging_2283/tillsyn/A 53898-2024 tillsynsbegäran.docx", "A 53898-2024")</f>
        <v/>
      </c>
      <c r="Y181">
        <f>HYPERLINK("https://klasma.github.io/Logging_2283/tillsynsmail/A 53898-2024 tillsynsbegäran mail.docx", "A 53898-2024")</f>
        <v/>
      </c>
    </row>
    <row r="182" ht="15" customHeight="1">
      <c r="A182" t="inlineStr">
        <is>
          <t>A 56248-2023</t>
        </is>
      </c>
      <c r="B182" s="1" t="n">
        <v>45240</v>
      </c>
      <c r="C182" s="1" t="n">
        <v>45899</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8885-2024</t>
        </is>
      </c>
      <c r="B183" s="1" t="n">
        <v>45357</v>
      </c>
      <c r="C183" s="1" t="n">
        <v>45899</v>
      </c>
      <c r="D183" t="inlineStr">
        <is>
          <t>VÄSTERNORRLANDS LÄN</t>
        </is>
      </c>
      <c r="E183" t="inlineStr">
        <is>
          <t>SOLLEFTEÅ</t>
        </is>
      </c>
      <c r="F183" t="inlineStr">
        <is>
          <t>SCA</t>
        </is>
      </c>
      <c r="G183" t="n">
        <v>4.5</v>
      </c>
      <c r="H183" t="n">
        <v>1</v>
      </c>
      <c r="I183" t="n">
        <v>1</v>
      </c>
      <c r="J183" t="n">
        <v>3</v>
      </c>
      <c r="K183" t="n">
        <v>0</v>
      </c>
      <c r="L183" t="n">
        <v>0</v>
      </c>
      <c r="M183" t="n">
        <v>0</v>
      </c>
      <c r="N183" t="n">
        <v>0</v>
      </c>
      <c r="O183" t="n">
        <v>3</v>
      </c>
      <c r="P183" t="n">
        <v>0</v>
      </c>
      <c r="Q183" t="n">
        <v>4</v>
      </c>
      <c r="R183" s="2" t="inlineStr">
        <is>
          <t>Gammelgransskål
Granticka
Tretåig hackspett
Vedticka</t>
        </is>
      </c>
      <c r="S183">
        <f>HYPERLINK("https://klasma.github.io/Logging_2283/artfynd/A 8885-2024 artfynd.xlsx", "A 8885-2024")</f>
        <v/>
      </c>
      <c r="T183">
        <f>HYPERLINK("https://klasma.github.io/Logging_2283/kartor/A 8885-2024 karta.png", "A 8885-2024")</f>
        <v/>
      </c>
      <c r="V183">
        <f>HYPERLINK("https://klasma.github.io/Logging_2283/klagomål/A 8885-2024 FSC-klagomål.docx", "A 8885-2024")</f>
        <v/>
      </c>
      <c r="W183">
        <f>HYPERLINK("https://klasma.github.io/Logging_2283/klagomålsmail/A 8885-2024 FSC-klagomål mail.docx", "A 8885-2024")</f>
        <v/>
      </c>
      <c r="X183">
        <f>HYPERLINK("https://klasma.github.io/Logging_2283/tillsyn/A 8885-2024 tillsynsbegäran.docx", "A 8885-2024")</f>
        <v/>
      </c>
      <c r="Y183">
        <f>HYPERLINK("https://klasma.github.io/Logging_2283/tillsynsmail/A 8885-2024 tillsynsbegäran mail.docx", "A 8885-2024")</f>
        <v/>
      </c>
      <c r="Z183">
        <f>HYPERLINK("https://klasma.github.io/Logging_2283/fåglar/A 8885-2024 prioriterade fågelarter.docx", "A 8885-2024")</f>
        <v/>
      </c>
    </row>
    <row r="184" ht="15" customHeight="1">
      <c r="A184" t="inlineStr">
        <is>
          <t>A 47527-2024</t>
        </is>
      </c>
      <c r="B184" s="1" t="n">
        <v>45587.63574074074</v>
      </c>
      <c r="C184" s="1" t="n">
        <v>45899</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37270-2023</t>
        </is>
      </c>
      <c r="B185" s="1" t="n">
        <v>45155</v>
      </c>
      <c r="C185" s="1" t="n">
        <v>45899</v>
      </c>
      <c r="D185" t="inlineStr">
        <is>
          <t>VÄSTERNORRLANDS LÄN</t>
        </is>
      </c>
      <c r="E185" t="inlineStr">
        <is>
          <t>SOLLEFTEÅ</t>
        </is>
      </c>
      <c r="F185" t="inlineStr">
        <is>
          <t>SCA</t>
        </is>
      </c>
      <c r="G185" t="n">
        <v>2.3</v>
      </c>
      <c r="H185" t="n">
        <v>1</v>
      </c>
      <c r="I185" t="n">
        <v>1</v>
      </c>
      <c r="J185" t="n">
        <v>3</v>
      </c>
      <c r="K185" t="n">
        <v>0</v>
      </c>
      <c r="L185" t="n">
        <v>0</v>
      </c>
      <c r="M185" t="n">
        <v>0</v>
      </c>
      <c r="N185" t="n">
        <v>0</v>
      </c>
      <c r="O185" t="n">
        <v>3</v>
      </c>
      <c r="P185" t="n">
        <v>0</v>
      </c>
      <c r="Q185" t="n">
        <v>4</v>
      </c>
      <c r="R185" s="2" t="inlineStr">
        <is>
          <t>Orange taggsvamp
Tallticka
Tretåig hackspett
Dropptaggsvamp</t>
        </is>
      </c>
      <c r="S185">
        <f>HYPERLINK("https://klasma.github.io/Logging_2283/artfynd/A 37270-2023 artfynd.xlsx", "A 37270-2023")</f>
        <v/>
      </c>
      <c r="T185">
        <f>HYPERLINK("https://klasma.github.io/Logging_2283/kartor/A 37270-2023 karta.png", "A 37270-2023")</f>
        <v/>
      </c>
      <c r="V185">
        <f>HYPERLINK("https://klasma.github.io/Logging_2283/klagomål/A 37270-2023 FSC-klagomål.docx", "A 37270-2023")</f>
        <v/>
      </c>
      <c r="W185">
        <f>HYPERLINK("https://klasma.github.io/Logging_2283/klagomålsmail/A 37270-2023 FSC-klagomål mail.docx", "A 37270-2023")</f>
        <v/>
      </c>
      <c r="X185">
        <f>HYPERLINK("https://klasma.github.io/Logging_2283/tillsyn/A 37270-2023 tillsynsbegäran.docx", "A 37270-2023")</f>
        <v/>
      </c>
      <c r="Y185">
        <f>HYPERLINK("https://klasma.github.io/Logging_2283/tillsynsmail/A 37270-2023 tillsynsbegäran mail.docx", "A 37270-2023")</f>
        <v/>
      </c>
      <c r="Z185">
        <f>HYPERLINK("https://klasma.github.io/Logging_2283/fåglar/A 37270-2023 prioriterade fågelarter.docx", "A 37270-2023")</f>
        <v/>
      </c>
    </row>
    <row r="186" ht="15" customHeight="1">
      <c r="A186" t="inlineStr">
        <is>
          <t>A 51192-2024</t>
        </is>
      </c>
      <c r="B186" s="1" t="n">
        <v>45603.61493055556</v>
      </c>
      <c r="C186" s="1" t="n">
        <v>45899</v>
      </c>
      <c r="D186" t="inlineStr">
        <is>
          <t>VÄSTERNORRLANDS LÄN</t>
        </is>
      </c>
      <c r="E186" t="inlineStr">
        <is>
          <t>SOLLEFTEÅ</t>
        </is>
      </c>
      <c r="F186" t="inlineStr">
        <is>
          <t>SCA</t>
        </is>
      </c>
      <c r="G186" t="n">
        <v>3.9</v>
      </c>
      <c r="H186" t="n">
        <v>1</v>
      </c>
      <c r="I186" t="n">
        <v>0</v>
      </c>
      <c r="J186" t="n">
        <v>3</v>
      </c>
      <c r="K186" t="n">
        <v>1</v>
      </c>
      <c r="L186" t="n">
        <v>0</v>
      </c>
      <c r="M186" t="n">
        <v>0</v>
      </c>
      <c r="N186" t="n">
        <v>0</v>
      </c>
      <c r="O186" t="n">
        <v>4</v>
      </c>
      <c r="P186" t="n">
        <v>1</v>
      </c>
      <c r="Q186" t="n">
        <v>4</v>
      </c>
      <c r="R186" s="2" t="inlineStr">
        <is>
          <t>Rynkskinn
Garnlav
Lunglav
Talltita</t>
        </is>
      </c>
      <c r="S186">
        <f>HYPERLINK("https://klasma.github.io/Logging_2283/artfynd/A 51192-2024 artfynd.xlsx", "A 51192-2024")</f>
        <v/>
      </c>
      <c r="T186">
        <f>HYPERLINK("https://klasma.github.io/Logging_2283/kartor/A 51192-2024 karta.png", "A 51192-2024")</f>
        <v/>
      </c>
      <c r="V186">
        <f>HYPERLINK("https://klasma.github.io/Logging_2283/klagomål/A 51192-2024 FSC-klagomål.docx", "A 51192-2024")</f>
        <v/>
      </c>
      <c r="W186">
        <f>HYPERLINK("https://klasma.github.io/Logging_2283/klagomålsmail/A 51192-2024 FSC-klagomål mail.docx", "A 51192-2024")</f>
        <v/>
      </c>
      <c r="X186">
        <f>HYPERLINK("https://klasma.github.io/Logging_2283/tillsyn/A 51192-2024 tillsynsbegäran.docx", "A 51192-2024")</f>
        <v/>
      </c>
      <c r="Y186">
        <f>HYPERLINK("https://klasma.github.io/Logging_2283/tillsynsmail/A 51192-2024 tillsynsbegäran mail.docx", "A 51192-2024")</f>
        <v/>
      </c>
      <c r="Z186">
        <f>HYPERLINK("https://klasma.github.io/Logging_2283/fåglar/A 51192-2024 prioriterade fågelarter.docx", "A 51192-2024")</f>
        <v/>
      </c>
    </row>
    <row r="187" ht="15" customHeight="1">
      <c r="A187" t="inlineStr">
        <is>
          <t>A 57081-2024</t>
        </is>
      </c>
      <c r="B187" s="1" t="n">
        <v>45629</v>
      </c>
      <c r="C187" s="1" t="n">
        <v>45899</v>
      </c>
      <c r="D187" t="inlineStr">
        <is>
          <t>VÄSTERNORRLANDS LÄN</t>
        </is>
      </c>
      <c r="E187" t="inlineStr">
        <is>
          <t>SOLLEFTEÅ</t>
        </is>
      </c>
      <c r="F187" t="inlineStr">
        <is>
          <t>SCA</t>
        </is>
      </c>
      <c r="G187" t="n">
        <v>0.7</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57081-2024 artfynd.xlsx", "A 57081-2024")</f>
        <v/>
      </c>
      <c r="T187">
        <f>HYPERLINK("https://klasma.github.io/Logging_2283/kartor/A 57081-2024 karta.png", "A 57081-2024")</f>
        <v/>
      </c>
      <c r="V187">
        <f>HYPERLINK("https://klasma.github.io/Logging_2283/klagomål/A 57081-2024 FSC-klagomål.docx", "A 57081-2024")</f>
        <v/>
      </c>
      <c r="W187">
        <f>HYPERLINK("https://klasma.github.io/Logging_2283/klagomålsmail/A 57081-2024 FSC-klagomål mail.docx", "A 57081-2024")</f>
        <v/>
      </c>
      <c r="X187">
        <f>HYPERLINK("https://klasma.github.io/Logging_2283/tillsyn/A 57081-2024 tillsynsbegäran.docx", "A 57081-2024")</f>
        <v/>
      </c>
      <c r="Y187">
        <f>HYPERLINK("https://klasma.github.io/Logging_2283/tillsynsmail/A 57081-2024 tillsynsbegäran mail.docx", "A 57081-2024")</f>
        <v/>
      </c>
      <c r="Z187">
        <f>HYPERLINK("https://klasma.github.io/Logging_2283/fåglar/A 57081-2024 prioriterade fågelarter.docx", "A 57081-2024")</f>
        <v/>
      </c>
    </row>
    <row r="188" ht="15" customHeight="1">
      <c r="A188" t="inlineStr">
        <is>
          <t>A 44599-2021</t>
        </is>
      </c>
      <c r="B188" s="1" t="n">
        <v>44435.94106481481</v>
      </c>
      <c r="C188" s="1" t="n">
        <v>45899</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15098-2021</t>
        </is>
      </c>
      <c r="B189" s="1" t="n">
        <v>44281</v>
      </c>
      <c r="C189" s="1" t="n">
        <v>45899</v>
      </c>
      <c r="D189" t="inlineStr">
        <is>
          <t>VÄSTERNORRLANDS LÄN</t>
        </is>
      </c>
      <c r="E189" t="inlineStr">
        <is>
          <t>SOLLEFTEÅ</t>
        </is>
      </c>
      <c r="F189" t="inlineStr">
        <is>
          <t>SCA</t>
        </is>
      </c>
      <c r="G189" t="n">
        <v>4</v>
      </c>
      <c r="H189" t="n">
        <v>1</v>
      </c>
      <c r="I189" t="n">
        <v>0</v>
      </c>
      <c r="J189" t="n">
        <v>2</v>
      </c>
      <c r="K189" t="n">
        <v>0</v>
      </c>
      <c r="L189" t="n">
        <v>0</v>
      </c>
      <c r="M189" t="n">
        <v>0</v>
      </c>
      <c r="N189" t="n">
        <v>0</v>
      </c>
      <c r="O189" t="n">
        <v>2</v>
      </c>
      <c r="P189" t="n">
        <v>0</v>
      </c>
      <c r="Q189" t="n">
        <v>3</v>
      </c>
      <c r="R189" s="2" t="inlineStr">
        <is>
          <t>Garnlav
Lunglav
Lavskrika</t>
        </is>
      </c>
      <c r="S189">
        <f>HYPERLINK("https://klasma.github.io/Logging_2283/artfynd/A 15098-2021 artfynd.xlsx", "A 15098-2021")</f>
        <v/>
      </c>
      <c r="T189">
        <f>HYPERLINK("https://klasma.github.io/Logging_2283/kartor/A 15098-2021 karta.png", "A 15098-2021")</f>
        <v/>
      </c>
      <c r="V189">
        <f>HYPERLINK("https://klasma.github.io/Logging_2283/klagomål/A 15098-2021 FSC-klagomål.docx", "A 15098-2021")</f>
        <v/>
      </c>
      <c r="W189">
        <f>HYPERLINK("https://klasma.github.io/Logging_2283/klagomålsmail/A 15098-2021 FSC-klagomål mail.docx", "A 15098-2021")</f>
        <v/>
      </c>
      <c r="X189">
        <f>HYPERLINK("https://klasma.github.io/Logging_2283/tillsyn/A 15098-2021 tillsynsbegäran.docx", "A 15098-2021")</f>
        <v/>
      </c>
      <c r="Y189">
        <f>HYPERLINK("https://klasma.github.io/Logging_2283/tillsynsmail/A 15098-2021 tillsynsbegäran mail.docx", "A 15098-2021")</f>
        <v/>
      </c>
      <c r="Z189">
        <f>HYPERLINK("https://klasma.github.io/Logging_2283/fåglar/A 15098-2021 prioriterade fågelarter.docx", "A 15098-2021")</f>
        <v/>
      </c>
    </row>
    <row r="190" ht="15" customHeight="1">
      <c r="A190" t="inlineStr">
        <is>
          <t>A 31354-2021</t>
        </is>
      </c>
      <c r="B190" s="1" t="n">
        <v>44368.93938657407</v>
      </c>
      <c r="C190" s="1" t="n">
        <v>45899</v>
      </c>
      <c r="D190" t="inlineStr">
        <is>
          <t>VÄSTERNORRLANDS LÄN</t>
        </is>
      </c>
      <c r="E190" t="inlineStr">
        <is>
          <t>SOLLEFTEÅ</t>
        </is>
      </c>
      <c r="F190" t="inlineStr">
        <is>
          <t>SCA</t>
        </is>
      </c>
      <c r="G190" t="n">
        <v>1.5</v>
      </c>
      <c r="H190" t="n">
        <v>1</v>
      </c>
      <c r="I190" t="n">
        <v>1</v>
      </c>
      <c r="J190" t="n">
        <v>1</v>
      </c>
      <c r="K190" t="n">
        <v>1</v>
      </c>
      <c r="L190" t="n">
        <v>0</v>
      </c>
      <c r="M190" t="n">
        <v>0</v>
      </c>
      <c r="N190" t="n">
        <v>0</v>
      </c>
      <c r="O190" t="n">
        <v>2</v>
      </c>
      <c r="P190" t="n">
        <v>1</v>
      </c>
      <c r="Q190" t="n">
        <v>3</v>
      </c>
      <c r="R190" s="2" t="inlineStr">
        <is>
          <t>Knärot
Garnlav
Norrlandslav</t>
        </is>
      </c>
      <c r="S190">
        <f>HYPERLINK("https://klasma.github.io/Logging_2283/artfynd/A 31354-2021 artfynd.xlsx", "A 31354-2021")</f>
        <v/>
      </c>
      <c r="T190">
        <f>HYPERLINK("https://klasma.github.io/Logging_2283/kartor/A 31354-2021 karta.png", "A 31354-2021")</f>
        <v/>
      </c>
      <c r="U190">
        <f>HYPERLINK("https://klasma.github.io/Logging_2283/knärot/A 31354-2021 karta knärot.png", "A 31354-2021")</f>
        <v/>
      </c>
      <c r="V190">
        <f>HYPERLINK("https://klasma.github.io/Logging_2283/klagomål/A 31354-2021 FSC-klagomål.docx", "A 31354-2021")</f>
        <v/>
      </c>
      <c r="W190">
        <f>HYPERLINK("https://klasma.github.io/Logging_2283/klagomålsmail/A 31354-2021 FSC-klagomål mail.docx", "A 31354-2021")</f>
        <v/>
      </c>
      <c r="X190">
        <f>HYPERLINK("https://klasma.github.io/Logging_2283/tillsyn/A 31354-2021 tillsynsbegäran.docx", "A 31354-2021")</f>
        <v/>
      </c>
      <c r="Y190">
        <f>HYPERLINK("https://klasma.github.io/Logging_2283/tillsynsmail/A 31354-2021 tillsynsbegäran mail.docx", "A 31354-2021")</f>
        <v/>
      </c>
    </row>
    <row r="191" ht="15" customHeight="1">
      <c r="A191" t="inlineStr">
        <is>
          <t>A 42301-2022</t>
        </is>
      </c>
      <c r="B191" s="1" t="n">
        <v>44830.95461805556</v>
      </c>
      <c r="C191" s="1" t="n">
        <v>45899</v>
      </c>
      <c r="D191" t="inlineStr">
        <is>
          <t>VÄSTERNORRLANDS LÄN</t>
        </is>
      </c>
      <c r="E191" t="inlineStr">
        <is>
          <t>SOLLEFTEÅ</t>
        </is>
      </c>
      <c r="F191" t="inlineStr">
        <is>
          <t>SCA</t>
        </is>
      </c>
      <c r="G191" t="n">
        <v>0.8</v>
      </c>
      <c r="H191" t="n">
        <v>1</v>
      </c>
      <c r="I191" t="n">
        <v>0</v>
      </c>
      <c r="J191" t="n">
        <v>3</v>
      </c>
      <c r="K191" t="n">
        <v>0</v>
      </c>
      <c r="L191" t="n">
        <v>0</v>
      </c>
      <c r="M191" t="n">
        <v>0</v>
      </c>
      <c r="N191" t="n">
        <v>0</v>
      </c>
      <c r="O191" t="n">
        <v>3</v>
      </c>
      <c r="P191" t="n">
        <v>0</v>
      </c>
      <c r="Q191" t="n">
        <v>3</v>
      </c>
      <c r="R191" s="2" t="inlineStr">
        <is>
          <t>Gammelgransskål
Harticka
Tretåig hackspett</t>
        </is>
      </c>
      <c r="S191">
        <f>HYPERLINK("https://klasma.github.io/Logging_2283/artfynd/A 42301-2022 artfynd.xlsx", "A 42301-2022")</f>
        <v/>
      </c>
      <c r="T191">
        <f>HYPERLINK("https://klasma.github.io/Logging_2283/kartor/A 42301-2022 karta.png", "A 42301-2022")</f>
        <v/>
      </c>
      <c r="V191">
        <f>HYPERLINK("https://klasma.github.io/Logging_2283/klagomål/A 42301-2022 FSC-klagomål.docx", "A 42301-2022")</f>
        <v/>
      </c>
      <c r="W191">
        <f>HYPERLINK("https://klasma.github.io/Logging_2283/klagomålsmail/A 42301-2022 FSC-klagomål mail.docx", "A 42301-2022")</f>
        <v/>
      </c>
      <c r="X191">
        <f>HYPERLINK("https://klasma.github.io/Logging_2283/tillsyn/A 42301-2022 tillsynsbegäran.docx", "A 42301-2022")</f>
        <v/>
      </c>
      <c r="Y191">
        <f>HYPERLINK("https://klasma.github.io/Logging_2283/tillsynsmail/A 42301-2022 tillsynsbegäran mail.docx", "A 42301-2022")</f>
        <v/>
      </c>
      <c r="Z191">
        <f>HYPERLINK("https://klasma.github.io/Logging_2283/fåglar/A 42301-2022 prioriterade fågelarter.docx", "A 42301-2022")</f>
        <v/>
      </c>
    </row>
    <row r="192" ht="15" customHeight="1">
      <c r="A192" t="inlineStr">
        <is>
          <t>A 26374-2023</t>
        </is>
      </c>
      <c r="B192" s="1" t="n">
        <v>45091.94403935185</v>
      </c>
      <c r="C192" s="1" t="n">
        <v>45899</v>
      </c>
      <c r="D192" t="inlineStr">
        <is>
          <t>VÄSTERNORRLANDS LÄN</t>
        </is>
      </c>
      <c r="E192" t="inlineStr">
        <is>
          <t>SOLLEFTEÅ</t>
        </is>
      </c>
      <c r="F192" t="inlineStr">
        <is>
          <t>SCA</t>
        </is>
      </c>
      <c r="G192" t="n">
        <v>0.9</v>
      </c>
      <c r="H192" t="n">
        <v>0</v>
      </c>
      <c r="I192" t="n">
        <v>0</v>
      </c>
      <c r="J192" t="n">
        <v>2</v>
      </c>
      <c r="K192" t="n">
        <v>1</v>
      </c>
      <c r="L192" t="n">
        <v>0</v>
      </c>
      <c r="M192" t="n">
        <v>0</v>
      </c>
      <c r="N192" t="n">
        <v>0</v>
      </c>
      <c r="O192" t="n">
        <v>3</v>
      </c>
      <c r="P192" t="n">
        <v>1</v>
      </c>
      <c r="Q192" t="n">
        <v>3</v>
      </c>
      <c r="R192" s="2" t="inlineStr">
        <is>
          <t>Blackticka
Granticka
Ullticka</t>
        </is>
      </c>
      <c r="S192">
        <f>HYPERLINK("https://klasma.github.io/Logging_2283/artfynd/A 26374-2023 artfynd.xlsx", "A 26374-2023")</f>
        <v/>
      </c>
      <c r="T192">
        <f>HYPERLINK("https://klasma.github.io/Logging_2283/kartor/A 26374-2023 karta.png", "A 26374-2023")</f>
        <v/>
      </c>
      <c r="V192">
        <f>HYPERLINK("https://klasma.github.io/Logging_2283/klagomål/A 26374-2023 FSC-klagomål.docx", "A 26374-2023")</f>
        <v/>
      </c>
      <c r="W192">
        <f>HYPERLINK("https://klasma.github.io/Logging_2283/klagomålsmail/A 26374-2023 FSC-klagomål mail.docx", "A 26374-2023")</f>
        <v/>
      </c>
      <c r="X192">
        <f>HYPERLINK("https://klasma.github.io/Logging_2283/tillsyn/A 26374-2023 tillsynsbegäran.docx", "A 26374-2023")</f>
        <v/>
      </c>
      <c r="Y192">
        <f>HYPERLINK("https://klasma.github.io/Logging_2283/tillsynsmail/A 26374-2023 tillsynsbegäran mail.docx", "A 26374-2023")</f>
        <v/>
      </c>
    </row>
    <row r="193" ht="15" customHeight="1">
      <c r="A193" t="inlineStr">
        <is>
          <t>A 22183-2025</t>
        </is>
      </c>
      <c r="B193" s="1" t="n">
        <v>45785.61677083333</v>
      </c>
      <c r="C193" s="1" t="n">
        <v>45899</v>
      </c>
      <c r="D193" t="inlineStr">
        <is>
          <t>VÄSTERNORRLANDS LÄN</t>
        </is>
      </c>
      <c r="E193" t="inlineStr">
        <is>
          <t>SOLLEFTEÅ</t>
        </is>
      </c>
      <c r="F193" t="inlineStr">
        <is>
          <t>SCA</t>
        </is>
      </c>
      <c r="G193" t="n">
        <v>0.3</v>
      </c>
      <c r="H193" t="n">
        <v>0</v>
      </c>
      <c r="I193" t="n">
        <v>1</v>
      </c>
      <c r="J193" t="n">
        <v>2</v>
      </c>
      <c r="K193" t="n">
        <v>0</v>
      </c>
      <c r="L193" t="n">
        <v>0</v>
      </c>
      <c r="M193" t="n">
        <v>0</v>
      </c>
      <c r="N193" t="n">
        <v>0</v>
      </c>
      <c r="O193" t="n">
        <v>2</v>
      </c>
      <c r="P193" t="n">
        <v>0</v>
      </c>
      <c r="Q193" t="n">
        <v>3</v>
      </c>
      <c r="R193" s="2" t="inlineStr">
        <is>
          <t>Garnlav
Rosenticka
Trådticka</t>
        </is>
      </c>
      <c r="S193">
        <f>HYPERLINK("https://klasma.github.io/Logging_2283/artfynd/A 22183-2025 artfynd.xlsx", "A 22183-2025")</f>
        <v/>
      </c>
      <c r="T193">
        <f>HYPERLINK("https://klasma.github.io/Logging_2283/kartor/A 22183-2025 karta.png", "A 22183-2025")</f>
        <v/>
      </c>
      <c r="V193">
        <f>HYPERLINK("https://klasma.github.io/Logging_2283/klagomål/A 22183-2025 FSC-klagomål.docx", "A 22183-2025")</f>
        <v/>
      </c>
      <c r="W193">
        <f>HYPERLINK("https://klasma.github.io/Logging_2283/klagomålsmail/A 22183-2025 FSC-klagomål mail.docx", "A 22183-2025")</f>
        <v/>
      </c>
      <c r="X193">
        <f>HYPERLINK("https://klasma.github.io/Logging_2283/tillsyn/A 22183-2025 tillsynsbegäran.docx", "A 22183-2025")</f>
        <v/>
      </c>
      <c r="Y193">
        <f>HYPERLINK("https://klasma.github.io/Logging_2283/tillsynsmail/A 22183-2025 tillsynsbegäran mail.docx", "A 22183-2025")</f>
        <v/>
      </c>
    </row>
    <row r="194" ht="15" customHeight="1">
      <c r="A194" t="inlineStr">
        <is>
          <t>A 20781-2023</t>
        </is>
      </c>
      <c r="B194" s="1" t="n">
        <v>45058</v>
      </c>
      <c r="C194" s="1" t="n">
        <v>45899</v>
      </c>
      <c r="D194" t="inlineStr">
        <is>
          <t>VÄSTERNORRLANDS LÄN</t>
        </is>
      </c>
      <c r="E194" t="inlineStr">
        <is>
          <t>SOLLEFTEÅ</t>
        </is>
      </c>
      <c r="F194" t="inlineStr">
        <is>
          <t>Kyrkan</t>
        </is>
      </c>
      <c r="G194" t="n">
        <v>11.1</v>
      </c>
      <c r="H194" t="n">
        <v>1</v>
      </c>
      <c r="I194" t="n">
        <v>0</v>
      </c>
      <c r="J194" t="n">
        <v>2</v>
      </c>
      <c r="K194" t="n">
        <v>1</v>
      </c>
      <c r="L194" t="n">
        <v>0</v>
      </c>
      <c r="M194" t="n">
        <v>0</v>
      </c>
      <c r="N194" t="n">
        <v>0</v>
      </c>
      <c r="O194" t="n">
        <v>3</v>
      </c>
      <c r="P194" t="n">
        <v>1</v>
      </c>
      <c r="Q194" t="n">
        <v>3</v>
      </c>
      <c r="R194" s="2" t="inlineStr">
        <is>
          <t>Knärot
Garnlav
Ullticka</t>
        </is>
      </c>
      <c r="S194">
        <f>HYPERLINK("https://klasma.github.io/Logging_2283/artfynd/A 20781-2023 artfynd.xlsx", "A 20781-2023")</f>
        <v/>
      </c>
      <c r="T194">
        <f>HYPERLINK("https://klasma.github.io/Logging_2283/kartor/A 20781-2023 karta.png", "A 20781-2023")</f>
        <v/>
      </c>
      <c r="U194">
        <f>HYPERLINK("https://klasma.github.io/Logging_2283/knärot/A 20781-2023 karta knärot.png", "A 20781-2023")</f>
        <v/>
      </c>
      <c r="V194">
        <f>HYPERLINK("https://klasma.github.io/Logging_2283/klagomål/A 20781-2023 FSC-klagomål.docx", "A 20781-2023")</f>
        <v/>
      </c>
      <c r="W194">
        <f>HYPERLINK("https://klasma.github.io/Logging_2283/klagomålsmail/A 20781-2023 FSC-klagomål mail.docx", "A 20781-2023")</f>
        <v/>
      </c>
      <c r="X194">
        <f>HYPERLINK("https://klasma.github.io/Logging_2283/tillsyn/A 20781-2023 tillsynsbegäran.docx", "A 20781-2023")</f>
        <v/>
      </c>
      <c r="Y194">
        <f>HYPERLINK("https://klasma.github.io/Logging_2283/tillsynsmail/A 20781-2023 tillsynsbegäran mail.docx", "A 20781-2023")</f>
        <v/>
      </c>
    </row>
    <row r="195" ht="15" customHeight="1">
      <c r="A195" t="inlineStr">
        <is>
          <t>A 61481-2021</t>
        </is>
      </c>
      <c r="B195" s="1" t="n">
        <v>44500</v>
      </c>
      <c r="C195" s="1" t="n">
        <v>45899</v>
      </c>
      <c r="D195" t="inlineStr">
        <is>
          <t>VÄSTERNORRLANDS LÄN</t>
        </is>
      </c>
      <c r="E195" t="inlineStr">
        <is>
          <t>SOLLEFTEÅ</t>
        </is>
      </c>
      <c r="F195" t="inlineStr">
        <is>
          <t>SCA</t>
        </is>
      </c>
      <c r="G195" t="n">
        <v>6.8</v>
      </c>
      <c r="H195" t="n">
        <v>0</v>
      </c>
      <c r="I195" t="n">
        <v>1</v>
      </c>
      <c r="J195" t="n">
        <v>2</v>
      </c>
      <c r="K195" t="n">
        <v>0</v>
      </c>
      <c r="L195" t="n">
        <v>0</v>
      </c>
      <c r="M195" t="n">
        <v>0</v>
      </c>
      <c r="N195" t="n">
        <v>0</v>
      </c>
      <c r="O195" t="n">
        <v>2</v>
      </c>
      <c r="P195" t="n">
        <v>0</v>
      </c>
      <c r="Q195" t="n">
        <v>3</v>
      </c>
      <c r="R195" s="2" t="inlineStr">
        <is>
          <t>Lunglav
Skrovellav
Kambräken</t>
        </is>
      </c>
      <c r="S195">
        <f>HYPERLINK("https://klasma.github.io/Logging_2283/artfynd/A 61481-2021 artfynd.xlsx", "A 61481-2021")</f>
        <v/>
      </c>
      <c r="T195">
        <f>HYPERLINK("https://klasma.github.io/Logging_2283/kartor/A 61481-2021 karta.png", "A 61481-2021")</f>
        <v/>
      </c>
      <c r="V195">
        <f>HYPERLINK("https://klasma.github.io/Logging_2283/klagomål/A 61481-2021 FSC-klagomål.docx", "A 61481-2021")</f>
        <v/>
      </c>
      <c r="W195">
        <f>HYPERLINK("https://klasma.github.io/Logging_2283/klagomålsmail/A 61481-2021 FSC-klagomål mail.docx", "A 61481-2021")</f>
        <v/>
      </c>
      <c r="X195">
        <f>HYPERLINK("https://klasma.github.io/Logging_2283/tillsyn/A 61481-2021 tillsynsbegäran.docx", "A 61481-2021")</f>
        <v/>
      </c>
      <c r="Y195">
        <f>HYPERLINK("https://klasma.github.io/Logging_2283/tillsynsmail/A 61481-2021 tillsynsbegäran mail.docx", "A 61481-2021")</f>
        <v/>
      </c>
    </row>
    <row r="196" ht="15" customHeight="1">
      <c r="A196" t="inlineStr">
        <is>
          <t>A 59046-2022</t>
        </is>
      </c>
      <c r="B196" s="1" t="n">
        <v>44903</v>
      </c>
      <c r="C196" s="1" t="n">
        <v>45899</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53682-2024</t>
        </is>
      </c>
      <c r="B197" s="1" t="n">
        <v>45615</v>
      </c>
      <c r="C197" s="1" t="n">
        <v>45899</v>
      </c>
      <c r="D197" t="inlineStr">
        <is>
          <t>VÄSTERNORRLANDS LÄN</t>
        </is>
      </c>
      <c r="E197" t="inlineStr">
        <is>
          <t>SOLLEFTEÅ</t>
        </is>
      </c>
      <c r="F197" t="inlineStr">
        <is>
          <t>SCA</t>
        </is>
      </c>
      <c r="G197" t="n">
        <v>9.5</v>
      </c>
      <c r="H197" t="n">
        <v>0</v>
      </c>
      <c r="I197" t="n">
        <v>0</v>
      </c>
      <c r="J197" t="n">
        <v>2</v>
      </c>
      <c r="K197" t="n">
        <v>1</v>
      </c>
      <c r="L197" t="n">
        <v>0</v>
      </c>
      <c r="M197" t="n">
        <v>0</v>
      </c>
      <c r="N197" t="n">
        <v>0</v>
      </c>
      <c r="O197" t="n">
        <v>3</v>
      </c>
      <c r="P197" t="n">
        <v>1</v>
      </c>
      <c r="Q197" t="n">
        <v>3</v>
      </c>
      <c r="R197" s="2" t="inlineStr">
        <is>
          <t>Tallgråticka
Blå taggsvamp
Skrovlig taggsvamp</t>
        </is>
      </c>
      <c r="S197">
        <f>HYPERLINK("https://klasma.github.io/Logging_2283/artfynd/A 53682-2024 artfynd.xlsx", "A 53682-2024")</f>
        <v/>
      </c>
      <c r="T197">
        <f>HYPERLINK("https://klasma.github.io/Logging_2283/kartor/A 53682-2024 karta.png", "A 53682-2024")</f>
        <v/>
      </c>
      <c r="V197">
        <f>HYPERLINK("https://klasma.github.io/Logging_2283/klagomål/A 53682-2024 FSC-klagomål.docx", "A 53682-2024")</f>
        <v/>
      </c>
      <c r="W197">
        <f>HYPERLINK("https://klasma.github.io/Logging_2283/klagomålsmail/A 53682-2024 FSC-klagomål mail.docx", "A 53682-2024")</f>
        <v/>
      </c>
      <c r="X197">
        <f>HYPERLINK("https://klasma.github.io/Logging_2283/tillsyn/A 53682-2024 tillsynsbegäran.docx", "A 53682-2024")</f>
        <v/>
      </c>
      <c r="Y197">
        <f>HYPERLINK("https://klasma.github.io/Logging_2283/tillsynsmail/A 53682-2024 tillsynsbegäran mail.docx", "A 53682-2024")</f>
        <v/>
      </c>
    </row>
    <row r="198" ht="15" customHeight="1">
      <c r="A198" t="inlineStr">
        <is>
          <t>A 48017-2024</t>
        </is>
      </c>
      <c r="B198" s="1" t="n">
        <v>45589.46935185185</v>
      </c>
      <c r="C198" s="1" t="n">
        <v>45899</v>
      </c>
      <c r="D198" t="inlineStr">
        <is>
          <t>VÄSTERNORRLANDS LÄN</t>
        </is>
      </c>
      <c r="E198" t="inlineStr">
        <is>
          <t>SOLLEFTEÅ</t>
        </is>
      </c>
      <c r="F198" t="inlineStr">
        <is>
          <t>SCA</t>
        </is>
      </c>
      <c r="G198" t="n">
        <v>1.4</v>
      </c>
      <c r="H198" t="n">
        <v>0</v>
      </c>
      <c r="I198" t="n">
        <v>1</v>
      </c>
      <c r="J198" t="n">
        <v>2</v>
      </c>
      <c r="K198" t="n">
        <v>0</v>
      </c>
      <c r="L198" t="n">
        <v>0</v>
      </c>
      <c r="M198" t="n">
        <v>0</v>
      </c>
      <c r="N198" t="n">
        <v>0</v>
      </c>
      <c r="O198" t="n">
        <v>2</v>
      </c>
      <c r="P198" t="n">
        <v>0</v>
      </c>
      <c r="Q198" t="n">
        <v>3</v>
      </c>
      <c r="R198" s="2" t="inlineStr">
        <is>
          <t>Garnlav
Kolflarnlav
Dropptaggsvamp</t>
        </is>
      </c>
      <c r="S198">
        <f>HYPERLINK("https://klasma.github.io/Logging_2283/artfynd/A 48017-2024 artfynd.xlsx", "A 48017-2024")</f>
        <v/>
      </c>
      <c r="T198">
        <f>HYPERLINK("https://klasma.github.io/Logging_2283/kartor/A 48017-2024 karta.png", "A 48017-2024")</f>
        <v/>
      </c>
      <c r="V198">
        <f>HYPERLINK("https://klasma.github.io/Logging_2283/klagomål/A 48017-2024 FSC-klagomål.docx", "A 48017-2024")</f>
        <v/>
      </c>
      <c r="W198">
        <f>HYPERLINK("https://klasma.github.io/Logging_2283/klagomålsmail/A 48017-2024 FSC-klagomål mail.docx", "A 48017-2024")</f>
        <v/>
      </c>
      <c r="X198">
        <f>HYPERLINK("https://klasma.github.io/Logging_2283/tillsyn/A 48017-2024 tillsynsbegäran.docx", "A 48017-2024")</f>
        <v/>
      </c>
      <c r="Y198">
        <f>HYPERLINK("https://klasma.github.io/Logging_2283/tillsynsmail/A 48017-2024 tillsynsbegäran mail.docx", "A 48017-2024")</f>
        <v/>
      </c>
    </row>
    <row r="199" ht="15" customHeight="1">
      <c r="A199" t="inlineStr">
        <is>
          <t>A 51212-2022</t>
        </is>
      </c>
      <c r="B199" s="1" t="n">
        <v>44868.62265046296</v>
      </c>
      <c r="C199" s="1" t="n">
        <v>45899</v>
      </c>
      <c r="D199" t="inlineStr">
        <is>
          <t>VÄSTERNORRLANDS LÄN</t>
        </is>
      </c>
      <c r="E199" t="inlineStr">
        <is>
          <t>SOLLEFTEÅ</t>
        </is>
      </c>
      <c r="F199" t="inlineStr">
        <is>
          <t>Holmen skog AB</t>
        </is>
      </c>
      <c r="G199" t="n">
        <v>18.3</v>
      </c>
      <c r="H199" t="n">
        <v>1</v>
      </c>
      <c r="I199" t="n">
        <v>1</v>
      </c>
      <c r="J199" t="n">
        <v>1</v>
      </c>
      <c r="K199" t="n">
        <v>1</v>
      </c>
      <c r="L199" t="n">
        <v>0</v>
      </c>
      <c r="M199" t="n">
        <v>0</v>
      </c>
      <c r="N199" t="n">
        <v>0</v>
      </c>
      <c r="O199" t="n">
        <v>2</v>
      </c>
      <c r="P199" t="n">
        <v>1</v>
      </c>
      <c r="Q199" t="n">
        <v>3</v>
      </c>
      <c r="R199" s="2" t="inlineStr">
        <is>
          <t>Doftticka
Lunglav
Stuplav</t>
        </is>
      </c>
      <c r="S199">
        <f>HYPERLINK("https://klasma.github.io/Logging_2283/artfynd/A 51212-2022 artfynd.xlsx", "A 51212-2022")</f>
        <v/>
      </c>
      <c r="T199">
        <f>HYPERLINK("https://klasma.github.io/Logging_2283/kartor/A 51212-2022 karta.png", "A 51212-2022")</f>
        <v/>
      </c>
      <c r="V199">
        <f>HYPERLINK("https://klasma.github.io/Logging_2283/klagomål/A 51212-2022 FSC-klagomål.docx", "A 51212-2022")</f>
        <v/>
      </c>
      <c r="W199">
        <f>HYPERLINK("https://klasma.github.io/Logging_2283/klagomålsmail/A 51212-2022 FSC-klagomål mail.docx", "A 51212-2022")</f>
        <v/>
      </c>
      <c r="X199">
        <f>HYPERLINK("https://klasma.github.io/Logging_2283/tillsyn/A 51212-2022 tillsynsbegäran.docx", "A 51212-2022")</f>
        <v/>
      </c>
      <c r="Y199">
        <f>HYPERLINK("https://klasma.github.io/Logging_2283/tillsynsmail/A 51212-2022 tillsynsbegäran mail.docx", "A 51212-2022")</f>
        <v/>
      </c>
    </row>
    <row r="200" ht="15" customHeight="1">
      <c r="A200" t="inlineStr">
        <is>
          <t>A 25707-2025</t>
        </is>
      </c>
      <c r="B200" s="1" t="n">
        <v>45803.67806712963</v>
      </c>
      <c r="C200" s="1" t="n">
        <v>45899</v>
      </c>
      <c r="D200" t="inlineStr">
        <is>
          <t>VÄSTERNORRLANDS LÄN</t>
        </is>
      </c>
      <c r="E200" t="inlineStr">
        <is>
          <t>SOLLEFTEÅ</t>
        </is>
      </c>
      <c r="F200" t="inlineStr">
        <is>
          <t>SCA</t>
        </is>
      </c>
      <c r="G200" t="n">
        <v>2.6</v>
      </c>
      <c r="H200" t="n">
        <v>1</v>
      </c>
      <c r="I200" t="n">
        <v>1</v>
      </c>
      <c r="J200" t="n">
        <v>2</v>
      </c>
      <c r="K200" t="n">
        <v>0</v>
      </c>
      <c r="L200" t="n">
        <v>0</v>
      </c>
      <c r="M200" t="n">
        <v>0</v>
      </c>
      <c r="N200" t="n">
        <v>0</v>
      </c>
      <c r="O200" t="n">
        <v>2</v>
      </c>
      <c r="P200" t="n">
        <v>0</v>
      </c>
      <c r="Q200" t="n">
        <v>3</v>
      </c>
      <c r="R200" s="2" t="inlineStr">
        <is>
          <t>Kolflarnlav
Talltita
Norrlandslav</t>
        </is>
      </c>
      <c r="S200">
        <f>HYPERLINK("https://klasma.github.io/Logging_2283/artfynd/A 25707-2025 artfynd.xlsx", "A 25707-2025")</f>
        <v/>
      </c>
      <c r="T200">
        <f>HYPERLINK("https://klasma.github.io/Logging_2283/kartor/A 25707-2025 karta.png", "A 25707-2025")</f>
        <v/>
      </c>
      <c r="V200">
        <f>HYPERLINK("https://klasma.github.io/Logging_2283/klagomål/A 25707-2025 FSC-klagomål.docx", "A 25707-2025")</f>
        <v/>
      </c>
      <c r="W200">
        <f>HYPERLINK("https://klasma.github.io/Logging_2283/klagomålsmail/A 25707-2025 FSC-klagomål mail.docx", "A 25707-2025")</f>
        <v/>
      </c>
      <c r="X200">
        <f>HYPERLINK("https://klasma.github.io/Logging_2283/tillsyn/A 25707-2025 tillsynsbegäran.docx", "A 25707-2025")</f>
        <v/>
      </c>
      <c r="Y200">
        <f>HYPERLINK("https://klasma.github.io/Logging_2283/tillsynsmail/A 25707-2025 tillsynsbegäran mail.docx", "A 25707-2025")</f>
        <v/>
      </c>
      <c r="Z200">
        <f>HYPERLINK("https://klasma.github.io/Logging_2283/fåglar/A 25707-2025 prioriterade fågelarter.docx", "A 25707-2025")</f>
        <v/>
      </c>
    </row>
    <row r="201" ht="15" customHeight="1">
      <c r="A201" t="inlineStr">
        <is>
          <t>A 38096-2024</t>
        </is>
      </c>
      <c r="B201" s="1" t="n">
        <v>45545.345</v>
      </c>
      <c r="C201" s="1" t="n">
        <v>45899</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25919-2025</t>
        </is>
      </c>
      <c r="B202" s="1" t="n">
        <v>45804.56901620371</v>
      </c>
      <c r="C202" s="1" t="n">
        <v>45899</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23939-2024</t>
        </is>
      </c>
      <c r="B203" s="1" t="n">
        <v>45455.96303240741</v>
      </c>
      <c r="C203" s="1" t="n">
        <v>45899</v>
      </c>
      <c r="D203" t="inlineStr">
        <is>
          <t>VÄSTERNORRLANDS LÄN</t>
        </is>
      </c>
      <c r="E203" t="inlineStr">
        <is>
          <t>SOLLEFTEÅ</t>
        </is>
      </c>
      <c r="F203" t="inlineStr">
        <is>
          <t>SCA</t>
        </is>
      </c>
      <c r="G203" t="n">
        <v>3</v>
      </c>
      <c r="H203" t="n">
        <v>1</v>
      </c>
      <c r="I203" t="n">
        <v>1</v>
      </c>
      <c r="J203" t="n">
        <v>2</v>
      </c>
      <c r="K203" t="n">
        <v>0</v>
      </c>
      <c r="L203" t="n">
        <v>0</v>
      </c>
      <c r="M203" t="n">
        <v>0</v>
      </c>
      <c r="N203" t="n">
        <v>0</v>
      </c>
      <c r="O203" t="n">
        <v>2</v>
      </c>
      <c r="P203" t="n">
        <v>0</v>
      </c>
      <c r="Q203" t="n">
        <v>3</v>
      </c>
      <c r="R203" s="2" t="inlineStr">
        <is>
          <t>Lunglav
Talltita
Stuplav</t>
        </is>
      </c>
      <c r="S203">
        <f>HYPERLINK("https://klasma.github.io/Logging_2283/artfynd/A 23939-2024 artfynd.xlsx", "A 23939-2024")</f>
        <v/>
      </c>
      <c r="T203">
        <f>HYPERLINK("https://klasma.github.io/Logging_2283/kartor/A 23939-2024 karta.png", "A 23939-2024")</f>
        <v/>
      </c>
      <c r="V203">
        <f>HYPERLINK("https://klasma.github.io/Logging_2283/klagomål/A 23939-2024 FSC-klagomål.docx", "A 23939-2024")</f>
        <v/>
      </c>
      <c r="W203">
        <f>HYPERLINK("https://klasma.github.io/Logging_2283/klagomålsmail/A 23939-2024 FSC-klagomål mail.docx", "A 23939-2024")</f>
        <v/>
      </c>
      <c r="X203">
        <f>HYPERLINK("https://klasma.github.io/Logging_2283/tillsyn/A 23939-2024 tillsynsbegäran.docx", "A 23939-2024")</f>
        <v/>
      </c>
      <c r="Y203">
        <f>HYPERLINK("https://klasma.github.io/Logging_2283/tillsynsmail/A 23939-2024 tillsynsbegäran mail.docx", "A 23939-2024")</f>
        <v/>
      </c>
      <c r="Z203">
        <f>HYPERLINK("https://klasma.github.io/Logging_2283/fåglar/A 23939-2024 prioriterade fågelarter.docx", "A 23939-2024")</f>
        <v/>
      </c>
    </row>
    <row r="204" ht="15" customHeight="1">
      <c r="A204" t="inlineStr">
        <is>
          <t>A 32256-2024</t>
        </is>
      </c>
      <c r="B204" s="1" t="n">
        <v>45511</v>
      </c>
      <c r="C204" s="1" t="n">
        <v>45899</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5121-2025</t>
        </is>
      </c>
      <c r="B205" s="1" t="n">
        <v>45691</v>
      </c>
      <c r="C205" s="1" t="n">
        <v>45899</v>
      </c>
      <c r="D205" t="inlineStr">
        <is>
          <t>VÄSTERNORRLANDS LÄN</t>
        </is>
      </c>
      <c r="E205" t="inlineStr">
        <is>
          <t>SOLLEFTEÅ</t>
        </is>
      </c>
      <c r="G205" t="n">
        <v>3.4</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HYPERLINK("https://klasma.github.io/Logging_2283/artfynd/A 5121-2025 artfynd.xlsx", "A 5121-2025")</f>
        <v/>
      </c>
      <c r="T205">
        <f>HYPERLINK("https://klasma.github.io/Logging_2283/kartor/A 5121-2025 karta.png", "A 5121-2025")</f>
        <v/>
      </c>
      <c r="V205">
        <f>HYPERLINK("https://klasma.github.io/Logging_2283/klagomål/A 5121-2025 FSC-klagomål.docx", "A 5121-2025")</f>
        <v/>
      </c>
      <c r="W205">
        <f>HYPERLINK("https://klasma.github.io/Logging_2283/klagomålsmail/A 5121-2025 FSC-klagomål mail.docx", "A 5121-2025")</f>
        <v/>
      </c>
      <c r="X205">
        <f>HYPERLINK("https://klasma.github.io/Logging_2283/tillsyn/A 5121-2025 tillsynsbegäran.docx", "A 5121-2025")</f>
        <v/>
      </c>
      <c r="Y205">
        <f>HYPERLINK("https://klasma.github.io/Logging_2283/tillsynsmail/A 5121-2025 tillsynsbegäran mail.docx", "A 5121-2025")</f>
        <v/>
      </c>
      <c r="Z205">
        <f>HYPERLINK("https://klasma.github.io/Logging_2283/fåglar/A 5121-2025 prioriterade fågelarter.docx", "A 5121-2025")</f>
        <v/>
      </c>
    </row>
    <row r="206" ht="15" customHeight="1">
      <c r="A206" t="inlineStr">
        <is>
          <t>A 50838-2023</t>
        </is>
      </c>
      <c r="B206" s="1" t="n">
        <v>45217</v>
      </c>
      <c r="C206" s="1" t="n">
        <v>45899</v>
      </c>
      <c r="D206" t="inlineStr">
        <is>
          <t>VÄSTERNORRLANDS LÄN</t>
        </is>
      </c>
      <c r="E206" t="inlineStr">
        <is>
          <t>SOLLEFTEÅ</t>
        </is>
      </c>
      <c r="F206" t="inlineStr">
        <is>
          <t>SCA</t>
        </is>
      </c>
      <c r="G206" t="n">
        <v>2.1</v>
      </c>
      <c r="H206" t="n">
        <v>2</v>
      </c>
      <c r="I206" t="n">
        <v>0</v>
      </c>
      <c r="J206" t="n">
        <v>1</v>
      </c>
      <c r="K206" t="n">
        <v>2</v>
      </c>
      <c r="L206" t="n">
        <v>0</v>
      </c>
      <c r="M206" t="n">
        <v>0</v>
      </c>
      <c r="N206" t="n">
        <v>0</v>
      </c>
      <c r="O206" t="n">
        <v>3</v>
      </c>
      <c r="P206" t="n">
        <v>2</v>
      </c>
      <c r="Q206" t="n">
        <v>3</v>
      </c>
      <c r="R206" s="2" t="inlineStr">
        <is>
          <t>Doftticka
Knärot
Lunglav</t>
        </is>
      </c>
      <c r="S206">
        <f>HYPERLINK("https://klasma.github.io/Logging_2283/artfynd/A 50838-2023 artfynd.xlsx", "A 50838-2023")</f>
        <v/>
      </c>
      <c r="T206">
        <f>HYPERLINK("https://klasma.github.io/Logging_2283/kartor/A 50838-2023 karta.png", "A 50838-2023")</f>
        <v/>
      </c>
      <c r="U206">
        <f>HYPERLINK("https://klasma.github.io/Logging_2283/knärot/A 50838-2023 karta knärot.png", "A 50838-2023")</f>
        <v/>
      </c>
      <c r="V206">
        <f>HYPERLINK("https://klasma.github.io/Logging_2283/klagomål/A 50838-2023 FSC-klagomål.docx", "A 50838-2023")</f>
        <v/>
      </c>
      <c r="W206">
        <f>HYPERLINK("https://klasma.github.io/Logging_2283/klagomålsmail/A 50838-2023 FSC-klagomål mail.docx", "A 50838-2023")</f>
        <v/>
      </c>
      <c r="X206">
        <f>HYPERLINK("https://klasma.github.io/Logging_2283/tillsyn/A 50838-2023 tillsynsbegäran.docx", "A 50838-2023")</f>
        <v/>
      </c>
      <c r="Y206">
        <f>HYPERLINK("https://klasma.github.io/Logging_2283/tillsynsmail/A 50838-2023 tillsynsbegäran mail.docx", "A 50838-2023")</f>
        <v/>
      </c>
    </row>
    <row r="207" ht="15" customHeight="1">
      <c r="A207" t="inlineStr">
        <is>
          <t>A 53852-2024</t>
        </is>
      </c>
      <c r="B207" s="1" t="n">
        <v>45615.63590277778</v>
      </c>
      <c r="C207" s="1" t="n">
        <v>45899</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24551-2025</t>
        </is>
      </c>
      <c r="B208" s="1" t="n">
        <v>45798.44850694444</v>
      </c>
      <c r="C208" s="1" t="n">
        <v>45899</v>
      </c>
      <c r="D208" t="inlineStr">
        <is>
          <t>VÄSTERNORRLANDS LÄN</t>
        </is>
      </c>
      <c r="E208" t="inlineStr">
        <is>
          <t>SOLLEFTEÅ</t>
        </is>
      </c>
      <c r="F208" t="inlineStr">
        <is>
          <t>SCA</t>
        </is>
      </c>
      <c r="G208" t="n">
        <v>2.2</v>
      </c>
      <c r="H208" t="n">
        <v>1</v>
      </c>
      <c r="I208" t="n">
        <v>0</v>
      </c>
      <c r="J208" t="n">
        <v>2</v>
      </c>
      <c r="K208" t="n">
        <v>0</v>
      </c>
      <c r="L208" t="n">
        <v>0</v>
      </c>
      <c r="M208" t="n">
        <v>0</v>
      </c>
      <c r="N208" t="n">
        <v>0</v>
      </c>
      <c r="O208" t="n">
        <v>2</v>
      </c>
      <c r="P208" t="n">
        <v>0</v>
      </c>
      <c r="Q208" t="n">
        <v>3</v>
      </c>
      <c r="R208" s="2" t="inlineStr">
        <is>
          <t>Dvärgbägarlav
Vedskivlav
Tjäder</t>
        </is>
      </c>
      <c r="S208">
        <f>HYPERLINK("https://klasma.github.io/Logging_2283/artfynd/A 24551-2025 artfynd.xlsx", "A 24551-2025")</f>
        <v/>
      </c>
      <c r="T208">
        <f>HYPERLINK("https://klasma.github.io/Logging_2283/kartor/A 24551-2025 karta.png", "A 24551-2025")</f>
        <v/>
      </c>
      <c r="V208">
        <f>HYPERLINK("https://klasma.github.io/Logging_2283/klagomål/A 24551-2025 FSC-klagomål.docx", "A 24551-2025")</f>
        <v/>
      </c>
      <c r="W208">
        <f>HYPERLINK("https://klasma.github.io/Logging_2283/klagomålsmail/A 24551-2025 FSC-klagomål mail.docx", "A 24551-2025")</f>
        <v/>
      </c>
      <c r="X208">
        <f>HYPERLINK("https://klasma.github.io/Logging_2283/tillsyn/A 24551-2025 tillsynsbegäran.docx", "A 24551-2025")</f>
        <v/>
      </c>
      <c r="Y208">
        <f>HYPERLINK("https://klasma.github.io/Logging_2283/tillsynsmail/A 24551-2025 tillsynsbegäran mail.docx", "A 24551-2025")</f>
        <v/>
      </c>
      <c r="Z208">
        <f>HYPERLINK("https://klasma.github.io/Logging_2283/fåglar/A 24551-2025 prioriterade fågelarter.docx", "A 24551-2025")</f>
        <v/>
      </c>
    </row>
    <row r="209" ht="15" customHeight="1">
      <c r="A209" t="inlineStr">
        <is>
          <t>A 32070-2025</t>
        </is>
      </c>
      <c r="B209" s="1" t="n">
        <v>45835.44885416667</v>
      </c>
      <c r="C209" s="1" t="n">
        <v>45899</v>
      </c>
      <c r="D209" t="inlineStr">
        <is>
          <t>VÄSTERNORRLANDS LÄN</t>
        </is>
      </c>
      <c r="E209" t="inlineStr">
        <is>
          <t>SOLLEFTEÅ</t>
        </is>
      </c>
      <c r="F209" t="inlineStr">
        <is>
          <t>SCA</t>
        </is>
      </c>
      <c r="G209" t="n">
        <v>6.4</v>
      </c>
      <c r="H209" t="n">
        <v>0</v>
      </c>
      <c r="I209" t="n">
        <v>1</v>
      </c>
      <c r="J209" t="n">
        <v>1</v>
      </c>
      <c r="K209" t="n">
        <v>1</v>
      </c>
      <c r="L209" t="n">
        <v>0</v>
      </c>
      <c r="M209" t="n">
        <v>0</v>
      </c>
      <c r="N209" t="n">
        <v>0</v>
      </c>
      <c r="O209" t="n">
        <v>2</v>
      </c>
      <c r="P209" t="n">
        <v>1</v>
      </c>
      <c r="Q209" t="n">
        <v>3</v>
      </c>
      <c r="R209" s="2" t="inlineStr">
        <is>
          <t>Rynkskinn
Garnlav
Vedticka</t>
        </is>
      </c>
      <c r="S209">
        <f>HYPERLINK("https://klasma.github.io/Logging_2283/artfynd/A 32070-2025 artfynd.xlsx", "A 32070-2025")</f>
        <v/>
      </c>
      <c r="T209">
        <f>HYPERLINK("https://klasma.github.io/Logging_2283/kartor/A 32070-2025 karta.png", "A 32070-2025")</f>
        <v/>
      </c>
      <c r="V209">
        <f>HYPERLINK("https://klasma.github.io/Logging_2283/klagomål/A 32070-2025 FSC-klagomål.docx", "A 32070-2025")</f>
        <v/>
      </c>
      <c r="W209">
        <f>HYPERLINK("https://klasma.github.io/Logging_2283/klagomålsmail/A 32070-2025 FSC-klagomål mail.docx", "A 32070-2025")</f>
        <v/>
      </c>
      <c r="X209">
        <f>HYPERLINK("https://klasma.github.io/Logging_2283/tillsyn/A 32070-2025 tillsynsbegäran.docx", "A 32070-2025")</f>
        <v/>
      </c>
      <c r="Y209">
        <f>HYPERLINK("https://klasma.github.io/Logging_2283/tillsynsmail/A 32070-2025 tillsynsbegäran mail.docx", "A 32070-2025")</f>
        <v/>
      </c>
    </row>
    <row r="210" ht="15" customHeight="1">
      <c r="A210" t="inlineStr">
        <is>
          <t>A 21097-2024</t>
        </is>
      </c>
      <c r="B210" s="1" t="n">
        <v>45439</v>
      </c>
      <c r="C210" s="1" t="n">
        <v>45899</v>
      </c>
      <c r="D210" t="inlineStr">
        <is>
          <t>VÄSTERNORRLANDS LÄN</t>
        </is>
      </c>
      <c r="E210" t="inlineStr">
        <is>
          <t>SOLLEFTEÅ</t>
        </is>
      </c>
      <c r="F210" t="inlineStr">
        <is>
          <t>SCA</t>
        </is>
      </c>
      <c r="G210" t="n">
        <v>7.7</v>
      </c>
      <c r="H210" t="n">
        <v>1</v>
      </c>
      <c r="I210" t="n">
        <v>1</v>
      </c>
      <c r="J210" t="n">
        <v>2</v>
      </c>
      <c r="K210" t="n">
        <v>0</v>
      </c>
      <c r="L210" t="n">
        <v>0</v>
      </c>
      <c r="M210" t="n">
        <v>0</v>
      </c>
      <c r="N210" t="n">
        <v>0</v>
      </c>
      <c r="O210" t="n">
        <v>2</v>
      </c>
      <c r="P210" t="n">
        <v>0</v>
      </c>
      <c r="Q210" t="n">
        <v>3</v>
      </c>
      <c r="R210" s="2" t="inlineStr">
        <is>
          <t>Lunglav
Ullticka
Lappranunkel</t>
        </is>
      </c>
      <c r="S210">
        <f>HYPERLINK("https://klasma.github.io/Logging_2283/artfynd/A 21097-2024 artfynd.xlsx", "A 21097-2024")</f>
        <v/>
      </c>
      <c r="T210">
        <f>HYPERLINK("https://klasma.github.io/Logging_2283/kartor/A 21097-2024 karta.png", "A 21097-2024")</f>
        <v/>
      </c>
      <c r="V210">
        <f>HYPERLINK("https://klasma.github.io/Logging_2283/klagomål/A 21097-2024 FSC-klagomål.docx", "A 21097-2024")</f>
        <v/>
      </c>
      <c r="W210">
        <f>HYPERLINK("https://klasma.github.io/Logging_2283/klagomålsmail/A 21097-2024 FSC-klagomål mail.docx", "A 21097-2024")</f>
        <v/>
      </c>
      <c r="X210">
        <f>HYPERLINK("https://klasma.github.io/Logging_2283/tillsyn/A 21097-2024 tillsynsbegäran.docx", "A 21097-2024")</f>
        <v/>
      </c>
      <c r="Y210">
        <f>HYPERLINK("https://klasma.github.io/Logging_2283/tillsynsmail/A 21097-2024 tillsynsbegäran mail.docx", "A 21097-2024")</f>
        <v/>
      </c>
    </row>
    <row r="211" ht="15" customHeight="1">
      <c r="A211" t="inlineStr">
        <is>
          <t>A 38270-2025</t>
        </is>
      </c>
      <c r="B211" s="1" t="n">
        <v>45883.40696759259</v>
      </c>
      <c r="C211" s="1" t="n">
        <v>45899</v>
      </c>
      <c r="D211" t="inlineStr">
        <is>
          <t>VÄSTERNORRLANDS LÄN</t>
        </is>
      </c>
      <c r="E211" t="inlineStr">
        <is>
          <t>SOLLEFTEÅ</t>
        </is>
      </c>
      <c r="F211" t="inlineStr">
        <is>
          <t>SCA</t>
        </is>
      </c>
      <c r="G211" t="n">
        <v>16</v>
      </c>
      <c r="H211" t="n">
        <v>0</v>
      </c>
      <c r="I211" t="n">
        <v>0</v>
      </c>
      <c r="J211" t="n">
        <v>3</v>
      </c>
      <c r="K211" t="n">
        <v>0</v>
      </c>
      <c r="L211" t="n">
        <v>0</v>
      </c>
      <c r="M211" t="n">
        <v>0</v>
      </c>
      <c r="N211" t="n">
        <v>0</v>
      </c>
      <c r="O211" t="n">
        <v>3</v>
      </c>
      <c r="P211" t="n">
        <v>0</v>
      </c>
      <c r="Q211" t="n">
        <v>3</v>
      </c>
      <c r="R211" s="2" t="inlineStr">
        <is>
          <t>Blågrå svartspik
Reliktbock
Vedflamlav</t>
        </is>
      </c>
      <c r="S211">
        <f>HYPERLINK("https://klasma.github.io/Logging_2283/artfynd/A 38270-2025 artfynd.xlsx", "A 38270-2025")</f>
        <v/>
      </c>
      <c r="T211">
        <f>HYPERLINK("https://klasma.github.io/Logging_2283/kartor/A 38270-2025 karta.png", "A 38270-2025")</f>
        <v/>
      </c>
      <c r="V211">
        <f>HYPERLINK("https://klasma.github.io/Logging_2283/klagomål/A 38270-2025 FSC-klagomål.docx", "A 38270-2025")</f>
        <v/>
      </c>
      <c r="W211">
        <f>HYPERLINK("https://klasma.github.io/Logging_2283/klagomålsmail/A 38270-2025 FSC-klagomål mail.docx", "A 38270-2025")</f>
        <v/>
      </c>
      <c r="X211">
        <f>HYPERLINK("https://klasma.github.io/Logging_2283/tillsyn/A 38270-2025 tillsynsbegäran.docx", "A 38270-2025")</f>
        <v/>
      </c>
      <c r="Y211">
        <f>HYPERLINK("https://klasma.github.io/Logging_2283/tillsynsmail/A 38270-2025 tillsynsbegäran mail.docx", "A 38270-2025")</f>
        <v/>
      </c>
    </row>
    <row r="212" ht="15" customHeight="1">
      <c r="A212" t="inlineStr">
        <is>
          <t>A 24757-2024</t>
        </is>
      </c>
      <c r="B212" s="1" t="n">
        <v>45460.67375</v>
      </c>
      <c r="C212" s="1" t="n">
        <v>45899</v>
      </c>
      <c r="D212" t="inlineStr">
        <is>
          <t>VÄSTERNORRLANDS LÄN</t>
        </is>
      </c>
      <c r="E212" t="inlineStr">
        <is>
          <t>SOLLEFTEÅ</t>
        </is>
      </c>
      <c r="G212" t="n">
        <v>1.4</v>
      </c>
      <c r="H212" t="n">
        <v>1</v>
      </c>
      <c r="I212" t="n">
        <v>0</v>
      </c>
      <c r="J212" t="n">
        <v>2</v>
      </c>
      <c r="K212" t="n">
        <v>0</v>
      </c>
      <c r="L212" t="n">
        <v>0</v>
      </c>
      <c r="M212" t="n">
        <v>0</v>
      </c>
      <c r="N212" t="n">
        <v>0</v>
      </c>
      <c r="O212" t="n">
        <v>2</v>
      </c>
      <c r="P212" t="n">
        <v>0</v>
      </c>
      <c r="Q212" t="n">
        <v>3</v>
      </c>
      <c r="R212" s="2" t="inlineStr">
        <is>
          <t>Harticka
Lunglav
Revlummer</t>
        </is>
      </c>
      <c r="S212">
        <f>HYPERLINK("https://klasma.github.io/Logging_2283/artfynd/A 24757-2024 artfynd.xlsx", "A 24757-2024")</f>
        <v/>
      </c>
      <c r="T212">
        <f>HYPERLINK("https://klasma.github.io/Logging_2283/kartor/A 24757-2024 karta.png", "A 24757-2024")</f>
        <v/>
      </c>
      <c r="V212">
        <f>HYPERLINK("https://klasma.github.io/Logging_2283/klagomål/A 24757-2024 FSC-klagomål.docx", "A 24757-2024")</f>
        <v/>
      </c>
      <c r="W212">
        <f>HYPERLINK("https://klasma.github.io/Logging_2283/klagomålsmail/A 24757-2024 FSC-klagomål mail.docx", "A 24757-2024")</f>
        <v/>
      </c>
      <c r="X212">
        <f>HYPERLINK("https://klasma.github.io/Logging_2283/tillsyn/A 24757-2024 tillsynsbegäran.docx", "A 24757-2024")</f>
        <v/>
      </c>
      <c r="Y212">
        <f>HYPERLINK("https://klasma.github.io/Logging_2283/tillsynsmail/A 24757-2024 tillsynsbegäran mail.docx", "A 24757-2024")</f>
        <v/>
      </c>
    </row>
    <row r="213" ht="15" customHeight="1">
      <c r="A213" t="inlineStr">
        <is>
          <t>A 8077-2025</t>
        </is>
      </c>
      <c r="B213" s="1" t="n">
        <v>45707.65659722222</v>
      </c>
      <c r="C213" s="1" t="n">
        <v>45899</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18012-2022</t>
        </is>
      </c>
      <c r="B214" s="1" t="n">
        <v>44683</v>
      </c>
      <c r="C214" s="1" t="n">
        <v>45899</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54624-2024</t>
        </is>
      </c>
      <c r="B215" s="1" t="n">
        <v>45617</v>
      </c>
      <c r="C215" s="1" t="n">
        <v>45899</v>
      </c>
      <c r="D215" t="inlineStr">
        <is>
          <t>VÄSTERNORRLANDS LÄN</t>
        </is>
      </c>
      <c r="E215" t="inlineStr">
        <is>
          <t>SOLLEFTEÅ</t>
        </is>
      </c>
      <c r="G215" t="n">
        <v>11.5</v>
      </c>
      <c r="H215" t="n">
        <v>0</v>
      </c>
      <c r="I215" t="n">
        <v>2</v>
      </c>
      <c r="J215" t="n">
        <v>1</v>
      </c>
      <c r="K215" t="n">
        <v>0</v>
      </c>
      <c r="L215" t="n">
        <v>0</v>
      </c>
      <c r="M215" t="n">
        <v>0</v>
      </c>
      <c r="N215" t="n">
        <v>0</v>
      </c>
      <c r="O215" t="n">
        <v>1</v>
      </c>
      <c r="P215" t="n">
        <v>0</v>
      </c>
      <c r="Q215" t="n">
        <v>3</v>
      </c>
      <c r="R215" s="2" t="inlineStr">
        <is>
          <t>Ullticka
Stuplav
Vedticka</t>
        </is>
      </c>
      <c r="S215">
        <f>HYPERLINK("https://klasma.github.io/Logging_2283/artfynd/A 54624-2024 artfynd.xlsx", "A 54624-2024")</f>
        <v/>
      </c>
      <c r="T215">
        <f>HYPERLINK("https://klasma.github.io/Logging_2283/kartor/A 54624-2024 karta.png", "A 54624-2024")</f>
        <v/>
      </c>
      <c r="V215">
        <f>HYPERLINK("https://klasma.github.io/Logging_2283/klagomål/A 54624-2024 FSC-klagomål.docx", "A 54624-2024")</f>
        <v/>
      </c>
      <c r="W215">
        <f>HYPERLINK("https://klasma.github.io/Logging_2283/klagomålsmail/A 54624-2024 FSC-klagomål mail.docx", "A 54624-2024")</f>
        <v/>
      </c>
      <c r="X215">
        <f>HYPERLINK("https://klasma.github.io/Logging_2283/tillsyn/A 54624-2024 tillsynsbegäran.docx", "A 54624-2024")</f>
        <v/>
      </c>
      <c r="Y215">
        <f>HYPERLINK("https://klasma.github.io/Logging_2283/tillsynsmail/A 54624-2024 tillsynsbegäran mail.docx", "A 54624-2024")</f>
        <v/>
      </c>
    </row>
    <row r="216" ht="15" customHeight="1">
      <c r="A216" t="inlineStr">
        <is>
          <t>A 6235-2023</t>
        </is>
      </c>
      <c r="B216" s="1" t="n">
        <v>44964</v>
      </c>
      <c r="C216" s="1" t="n">
        <v>45899</v>
      </c>
      <c r="D216" t="inlineStr">
        <is>
          <t>VÄSTERNORRLANDS LÄN</t>
        </is>
      </c>
      <c r="E216" t="inlineStr">
        <is>
          <t>SOLLEFTEÅ</t>
        </is>
      </c>
      <c r="F216" t="inlineStr">
        <is>
          <t>SCA</t>
        </is>
      </c>
      <c r="G216" t="n">
        <v>0.6</v>
      </c>
      <c r="H216" t="n">
        <v>2</v>
      </c>
      <c r="I216" t="n">
        <v>0</v>
      </c>
      <c r="J216" t="n">
        <v>2</v>
      </c>
      <c r="K216" t="n">
        <v>0</v>
      </c>
      <c r="L216" t="n">
        <v>0</v>
      </c>
      <c r="M216" t="n">
        <v>0</v>
      </c>
      <c r="N216" t="n">
        <v>0</v>
      </c>
      <c r="O216" t="n">
        <v>2</v>
      </c>
      <c r="P216" t="n">
        <v>0</v>
      </c>
      <c r="Q216" t="n">
        <v>3</v>
      </c>
      <c r="R216" s="2" t="inlineStr">
        <is>
          <t>Harticka
Tretåig hackspett
Tjäder</t>
        </is>
      </c>
      <c r="S216">
        <f>HYPERLINK("https://klasma.github.io/Logging_2283/artfynd/A 6235-2023 artfynd.xlsx", "A 6235-2023")</f>
        <v/>
      </c>
      <c r="T216">
        <f>HYPERLINK("https://klasma.github.io/Logging_2283/kartor/A 6235-2023 karta.png", "A 6235-2023")</f>
        <v/>
      </c>
      <c r="V216">
        <f>HYPERLINK("https://klasma.github.io/Logging_2283/klagomål/A 6235-2023 FSC-klagomål.docx", "A 6235-2023")</f>
        <v/>
      </c>
      <c r="W216">
        <f>HYPERLINK("https://klasma.github.io/Logging_2283/klagomålsmail/A 6235-2023 FSC-klagomål mail.docx", "A 6235-2023")</f>
        <v/>
      </c>
      <c r="X216">
        <f>HYPERLINK("https://klasma.github.io/Logging_2283/tillsyn/A 6235-2023 tillsynsbegäran.docx", "A 6235-2023")</f>
        <v/>
      </c>
      <c r="Y216">
        <f>HYPERLINK("https://klasma.github.io/Logging_2283/tillsynsmail/A 6235-2023 tillsynsbegäran mail.docx", "A 6235-2023")</f>
        <v/>
      </c>
      <c r="Z216">
        <f>HYPERLINK("https://klasma.github.io/Logging_2283/fåglar/A 6235-2023 prioriterade fågelarter.docx", "A 6235-2023")</f>
        <v/>
      </c>
    </row>
    <row r="217" ht="15" customHeight="1">
      <c r="A217" t="inlineStr">
        <is>
          <t>A 45007-2023</t>
        </is>
      </c>
      <c r="B217" s="1" t="n">
        <v>45190</v>
      </c>
      <c r="C217" s="1" t="n">
        <v>45899</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13877-2025</t>
        </is>
      </c>
      <c r="B218" s="1" t="n">
        <v>45737.59407407408</v>
      </c>
      <c r="C218" s="1" t="n">
        <v>45899</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40866-2023</t>
        </is>
      </c>
      <c r="B219" s="1" t="n">
        <v>45173</v>
      </c>
      <c r="C219" s="1" t="n">
        <v>45899</v>
      </c>
      <c r="D219" t="inlineStr">
        <is>
          <t>VÄSTERNORRLANDS LÄN</t>
        </is>
      </c>
      <c r="E219" t="inlineStr">
        <is>
          <t>SOLLEFTEÅ</t>
        </is>
      </c>
      <c r="G219" t="n">
        <v>1.7</v>
      </c>
      <c r="H219" t="n">
        <v>2</v>
      </c>
      <c r="I219" t="n">
        <v>1</v>
      </c>
      <c r="J219" t="n">
        <v>1</v>
      </c>
      <c r="K219" t="n">
        <v>0</v>
      </c>
      <c r="L219" t="n">
        <v>0</v>
      </c>
      <c r="M219" t="n">
        <v>0</v>
      </c>
      <c r="N219" t="n">
        <v>0</v>
      </c>
      <c r="O219" t="n">
        <v>1</v>
      </c>
      <c r="P219" t="n">
        <v>0</v>
      </c>
      <c r="Q219" t="n">
        <v>3</v>
      </c>
      <c r="R219" s="2" t="inlineStr">
        <is>
          <t>Spillkråka
Tibast
Skogsödla</t>
        </is>
      </c>
      <c r="S219">
        <f>HYPERLINK("https://klasma.github.io/Logging_2283/artfynd/A 40866-2023 artfynd.xlsx", "A 40866-2023")</f>
        <v/>
      </c>
      <c r="T219">
        <f>HYPERLINK("https://klasma.github.io/Logging_2283/kartor/A 40866-2023 karta.png", "A 40866-2023")</f>
        <v/>
      </c>
      <c r="V219">
        <f>HYPERLINK("https://klasma.github.io/Logging_2283/klagomål/A 40866-2023 FSC-klagomål.docx", "A 40866-2023")</f>
        <v/>
      </c>
      <c r="W219">
        <f>HYPERLINK("https://klasma.github.io/Logging_2283/klagomålsmail/A 40866-2023 FSC-klagomål mail.docx", "A 40866-2023")</f>
        <v/>
      </c>
      <c r="X219">
        <f>HYPERLINK("https://klasma.github.io/Logging_2283/tillsyn/A 40866-2023 tillsynsbegäran.docx", "A 40866-2023")</f>
        <v/>
      </c>
      <c r="Y219">
        <f>HYPERLINK("https://klasma.github.io/Logging_2283/tillsynsmail/A 40866-2023 tillsynsbegäran mail.docx", "A 40866-2023")</f>
        <v/>
      </c>
      <c r="Z219">
        <f>HYPERLINK("https://klasma.github.io/Logging_2283/fåglar/A 40866-2023 prioriterade fågelarter.docx", "A 40866-2023")</f>
        <v/>
      </c>
    </row>
    <row r="220" ht="15" customHeight="1">
      <c r="A220" t="inlineStr">
        <is>
          <t>A 13059-2022</t>
        </is>
      </c>
      <c r="B220" s="1" t="n">
        <v>44643</v>
      </c>
      <c r="C220" s="1" t="n">
        <v>45899</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45899</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45899</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45899</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45899</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45899</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45899</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45899</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45899</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45899</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45899</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48489-2023</t>
        </is>
      </c>
      <c r="B231" s="1" t="n">
        <v>45206</v>
      </c>
      <c r="C231" s="1" t="n">
        <v>45899</v>
      </c>
      <c r="D231" t="inlineStr">
        <is>
          <t>VÄSTERNORRLANDS LÄN</t>
        </is>
      </c>
      <c r="E231" t="inlineStr">
        <is>
          <t>SOLLEFTEÅ</t>
        </is>
      </c>
      <c r="F231" t="inlineStr">
        <is>
          <t>SCA</t>
        </is>
      </c>
      <c r="G231" t="n">
        <v>51.8</v>
      </c>
      <c r="H231" t="n">
        <v>2</v>
      </c>
      <c r="I231" t="n">
        <v>0</v>
      </c>
      <c r="J231" t="n">
        <v>2</v>
      </c>
      <c r="K231" t="n">
        <v>0</v>
      </c>
      <c r="L231" t="n">
        <v>0</v>
      </c>
      <c r="M231" t="n">
        <v>0</v>
      </c>
      <c r="N231" t="n">
        <v>0</v>
      </c>
      <c r="O231" t="n">
        <v>2</v>
      </c>
      <c r="P231" t="n">
        <v>0</v>
      </c>
      <c r="Q231" t="n">
        <v>2</v>
      </c>
      <c r="R231" s="2" t="inlineStr">
        <is>
          <t>Spillkråka
Talltita</t>
        </is>
      </c>
      <c r="S231">
        <f>HYPERLINK("https://klasma.github.io/Logging_2283/artfynd/A 48489-2023 artfynd.xlsx", "A 48489-2023")</f>
        <v/>
      </c>
      <c r="T231">
        <f>HYPERLINK("https://klasma.github.io/Logging_2283/kartor/A 48489-2023 karta.png", "A 48489-2023")</f>
        <v/>
      </c>
      <c r="V231">
        <f>HYPERLINK("https://klasma.github.io/Logging_2283/klagomål/A 48489-2023 FSC-klagomål.docx", "A 48489-2023")</f>
        <v/>
      </c>
      <c r="W231">
        <f>HYPERLINK("https://klasma.github.io/Logging_2283/klagomålsmail/A 48489-2023 FSC-klagomål mail.docx", "A 48489-2023")</f>
        <v/>
      </c>
      <c r="X231">
        <f>HYPERLINK("https://klasma.github.io/Logging_2283/tillsyn/A 48489-2023 tillsynsbegäran.docx", "A 48489-2023")</f>
        <v/>
      </c>
      <c r="Y231">
        <f>HYPERLINK("https://klasma.github.io/Logging_2283/tillsynsmail/A 48489-2023 tillsynsbegäran mail.docx", "A 48489-2023")</f>
        <v/>
      </c>
      <c r="Z231">
        <f>HYPERLINK("https://klasma.github.io/Logging_2283/fåglar/A 48489-2023 prioriterade fågelarter.docx", "A 48489-2023")</f>
        <v/>
      </c>
    </row>
    <row r="232" ht="15" customHeight="1">
      <c r="A232" t="inlineStr">
        <is>
          <t>A 16718-2025</t>
        </is>
      </c>
      <c r="B232" s="1" t="n">
        <v>45754.48990740741</v>
      </c>
      <c r="C232" s="1" t="n">
        <v>45899</v>
      </c>
      <c r="D232" t="inlineStr">
        <is>
          <t>VÄSTERNORRLANDS LÄN</t>
        </is>
      </c>
      <c r="E232" t="inlineStr">
        <is>
          <t>SOLLEFTEÅ</t>
        </is>
      </c>
      <c r="G232" t="n">
        <v>3.9</v>
      </c>
      <c r="H232" t="n">
        <v>1</v>
      </c>
      <c r="I232" t="n">
        <v>0</v>
      </c>
      <c r="J232" t="n">
        <v>1</v>
      </c>
      <c r="K232" t="n">
        <v>0</v>
      </c>
      <c r="L232" t="n">
        <v>0</v>
      </c>
      <c r="M232" t="n">
        <v>0</v>
      </c>
      <c r="N232" t="n">
        <v>0</v>
      </c>
      <c r="O232" t="n">
        <v>1</v>
      </c>
      <c r="P232" t="n">
        <v>0</v>
      </c>
      <c r="Q232" t="n">
        <v>2</v>
      </c>
      <c r="R232" s="2" t="inlineStr">
        <is>
          <t>Garnlav
Lavskrika</t>
        </is>
      </c>
      <c r="S232">
        <f>HYPERLINK("https://klasma.github.io/Logging_2283/artfynd/A 16718-2025 artfynd.xlsx", "A 16718-2025")</f>
        <v/>
      </c>
      <c r="T232">
        <f>HYPERLINK("https://klasma.github.io/Logging_2283/kartor/A 16718-2025 karta.png", "A 16718-2025")</f>
        <v/>
      </c>
      <c r="V232">
        <f>HYPERLINK("https://klasma.github.io/Logging_2283/klagomål/A 16718-2025 FSC-klagomål.docx", "A 16718-2025")</f>
        <v/>
      </c>
      <c r="W232">
        <f>HYPERLINK("https://klasma.github.io/Logging_2283/klagomålsmail/A 16718-2025 FSC-klagomål mail.docx", "A 16718-2025")</f>
        <v/>
      </c>
      <c r="X232">
        <f>HYPERLINK("https://klasma.github.io/Logging_2283/tillsyn/A 16718-2025 tillsynsbegäran.docx", "A 16718-2025")</f>
        <v/>
      </c>
      <c r="Y232">
        <f>HYPERLINK("https://klasma.github.io/Logging_2283/tillsynsmail/A 16718-2025 tillsynsbegäran mail.docx", "A 16718-2025")</f>
        <v/>
      </c>
      <c r="Z232">
        <f>HYPERLINK("https://klasma.github.io/Logging_2283/fåglar/A 16718-2025 prioriterade fågelarter.docx", "A 16718-2025")</f>
        <v/>
      </c>
    </row>
    <row r="233" ht="15" customHeight="1">
      <c r="A233" t="inlineStr">
        <is>
          <t>A 21485-2025</t>
        </is>
      </c>
      <c r="B233" s="1" t="n">
        <v>45782.59512731482</v>
      </c>
      <c r="C233" s="1" t="n">
        <v>45899</v>
      </c>
      <c r="D233" t="inlineStr">
        <is>
          <t>VÄSTERNORRLANDS LÄN</t>
        </is>
      </c>
      <c r="E233" t="inlineStr">
        <is>
          <t>SOLLEFTEÅ</t>
        </is>
      </c>
      <c r="F233" t="inlineStr">
        <is>
          <t>SCA</t>
        </is>
      </c>
      <c r="G233" t="n">
        <v>5.4</v>
      </c>
      <c r="H233" t="n">
        <v>0</v>
      </c>
      <c r="I233" t="n">
        <v>1</v>
      </c>
      <c r="J233" t="n">
        <v>1</v>
      </c>
      <c r="K233" t="n">
        <v>0</v>
      </c>
      <c r="L233" t="n">
        <v>0</v>
      </c>
      <c r="M233" t="n">
        <v>0</v>
      </c>
      <c r="N233" t="n">
        <v>0</v>
      </c>
      <c r="O233" t="n">
        <v>1</v>
      </c>
      <c r="P233" t="n">
        <v>0</v>
      </c>
      <c r="Q233" t="n">
        <v>2</v>
      </c>
      <c r="R233" s="2" t="inlineStr">
        <is>
          <t>Garnlav
Vågbandad barkbock</t>
        </is>
      </c>
      <c r="S233">
        <f>HYPERLINK("https://klasma.github.io/Logging_2283/artfynd/A 21485-2025 artfynd.xlsx", "A 21485-2025")</f>
        <v/>
      </c>
      <c r="T233">
        <f>HYPERLINK("https://klasma.github.io/Logging_2283/kartor/A 21485-2025 karta.png", "A 21485-2025")</f>
        <v/>
      </c>
      <c r="V233">
        <f>HYPERLINK("https://klasma.github.io/Logging_2283/klagomål/A 21485-2025 FSC-klagomål.docx", "A 21485-2025")</f>
        <v/>
      </c>
      <c r="W233">
        <f>HYPERLINK("https://klasma.github.io/Logging_2283/klagomålsmail/A 21485-2025 FSC-klagomål mail.docx", "A 21485-2025")</f>
        <v/>
      </c>
      <c r="X233">
        <f>HYPERLINK("https://klasma.github.io/Logging_2283/tillsyn/A 21485-2025 tillsynsbegäran.docx", "A 21485-2025")</f>
        <v/>
      </c>
      <c r="Y233">
        <f>HYPERLINK("https://klasma.github.io/Logging_2283/tillsynsmail/A 21485-2025 tillsynsbegäran mail.docx", "A 21485-2025")</f>
        <v/>
      </c>
    </row>
    <row r="234" ht="15" customHeight="1">
      <c r="A234" t="inlineStr">
        <is>
          <t>A 21742-2025</t>
        </is>
      </c>
      <c r="B234" s="1" t="n">
        <v>45783.59428240741</v>
      </c>
      <c r="C234" s="1" t="n">
        <v>45899</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34812-2024</t>
        </is>
      </c>
      <c r="B235" s="1" t="n">
        <v>45526</v>
      </c>
      <c r="C235" s="1" t="n">
        <v>45899</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22220-2025</t>
        </is>
      </c>
      <c r="B236" s="1" t="n">
        <v>45785.65862268519</v>
      </c>
      <c r="C236" s="1" t="n">
        <v>45899</v>
      </c>
      <c r="D236" t="inlineStr">
        <is>
          <t>VÄSTERNORRLANDS LÄN</t>
        </is>
      </c>
      <c r="E236" t="inlineStr">
        <is>
          <t>SOLLEFTEÅ</t>
        </is>
      </c>
      <c r="F236" t="inlineStr">
        <is>
          <t>SCA</t>
        </is>
      </c>
      <c r="G236" t="n">
        <v>4.6</v>
      </c>
      <c r="H236" t="n">
        <v>0</v>
      </c>
      <c r="I236" t="n">
        <v>1</v>
      </c>
      <c r="J236" t="n">
        <v>1</v>
      </c>
      <c r="K236" t="n">
        <v>0</v>
      </c>
      <c r="L236" t="n">
        <v>0</v>
      </c>
      <c r="M236" t="n">
        <v>0</v>
      </c>
      <c r="N236" t="n">
        <v>0</v>
      </c>
      <c r="O236" t="n">
        <v>1</v>
      </c>
      <c r="P236" t="n">
        <v>0</v>
      </c>
      <c r="Q236" t="n">
        <v>2</v>
      </c>
      <c r="R236" s="2" t="inlineStr">
        <is>
          <t>Lunglav
Stor aspticka</t>
        </is>
      </c>
      <c r="S236">
        <f>HYPERLINK("https://klasma.github.io/Logging_2283/artfynd/A 22220-2025 artfynd.xlsx", "A 22220-2025")</f>
        <v/>
      </c>
      <c r="T236">
        <f>HYPERLINK("https://klasma.github.io/Logging_2283/kartor/A 22220-2025 karta.png", "A 22220-2025")</f>
        <v/>
      </c>
      <c r="V236">
        <f>HYPERLINK("https://klasma.github.io/Logging_2283/klagomål/A 22220-2025 FSC-klagomål.docx", "A 22220-2025")</f>
        <v/>
      </c>
      <c r="W236">
        <f>HYPERLINK("https://klasma.github.io/Logging_2283/klagomålsmail/A 22220-2025 FSC-klagomål mail.docx", "A 22220-2025")</f>
        <v/>
      </c>
      <c r="X236">
        <f>HYPERLINK("https://klasma.github.io/Logging_2283/tillsyn/A 22220-2025 tillsynsbegäran.docx", "A 22220-2025")</f>
        <v/>
      </c>
      <c r="Y236">
        <f>HYPERLINK("https://klasma.github.io/Logging_2283/tillsynsmail/A 22220-2025 tillsynsbegäran mail.docx", "A 22220-2025")</f>
        <v/>
      </c>
    </row>
    <row r="237" ht="15" customHeight="1">
      <c r="A237" t="inlineStr">
        <is>
          <t>A 22808-2025</t>
        </is>
      </c>
      <c r="B237" s="1" t="n">
        <v>45789</v>
      </c>
      <c r="C237" s="1" t="n">
        <v>45899</v>
      </c>
      <c r="D237" t="inlineStr">
        <is>
          <t>VÄSTERNORRLANDS LÄN</t>
        </is>
      </c>
      <c r="E237" t="inlineStr">
        <is>
          <t>SOLLEFTEÅ</t>
        </is>
      </c>
      <c r="G237" t="n">
        <v>0.7</v>
      </c>
      <c r="H237" t="n">
        <v>0</v>
      </c>
      <c r="I237" t="n">
        <v>1</v>
      </c>
      <c r="J237" t="n">
        <v>1</v>
      </c>
      <c r="K237" t="n">
        <v>0</v>
      </c>
      <c r="L237" t="n">
        <v>0</v>
      </c>
      <c r="M237" t="n">
        <v>0</v>
      </c>
      <c r="N237" t="n">
        <v>0</v>
      </c>
      <c r="O237" t="n">
        <v>1</v>
      </c>
      <c r="P237" t="n">
        <v>0</v>
      </c>
      <c r="Q237" t="n">
        <v>2</v>
      </c>
      <c r="R237" s="2" t="inlineStr">
        <is>
          <t>Lunglav
Bårdlav</t>
        </is>
      </c>
      <c r="S237">
        <f>HYPERLINK("https://klasma.github.io/Logging_2283/artfynd/A 22808-2025 artfynd.xlsx", "A 22808-2025")</f>
        <v/>
      </c>
      <c r="T237">
        <f>HYPERLINK("https://klasma.github.io/Logging_2283/kartor/A 22808-2025 karta.png", "A 22808-2025")</f>
        <v/>
      </c>
      <c r="V237">
        <f>HYPERLINK("https://klasma.github.io/Logging_2283/klagomål/A 22808-2025 FSC-klagomål.docx", "A 22808-2025")</f>
        <v/>
      </c>
      <c r="W237">
        <f>HYPERLINK("https://klasma.github.io/Logging_2283/klagomålsmail/A 22808-2025 FSC-klagomål mail.docx", "A 22808-2025")</f>
        <v/>
      </c>
      <c r="X237">
        <f>HYPERLINK("https://klasma.github.io/Logging_2283/tillsyn/A 22808-2025 tillsynsbegäran.docx", "A 22808-2025")</f>
        <v/>
      </c>
      <c r="Y237">
        <f>HYPERLINK("https://klasma.github.io/Logging_2283/tillsynsmail/A 22808-2025 tillsynsbegäran mail.docx", "A 22808-2025")</f>
        <v/>
      </c>
    </row>
    <row r="238" ht="15" customHeight="1">
      <c r="A238" t="inlineStr">
        <is>
          <t>A 45083-2022</t>
        </is>
      </c>
      <c r="B238" s="1" t="n">
        <v>44841</v>
      </c>
      <c r="C238" s="1" t="n">
        <v>45899</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13743-2025</t>
        </is>
      </c>
      <c r="B239" s="1" t="n">
        <v>45737.40663194445</v>
      </c>
      <c r="C239" s="1" t="n">
        <v>45899</v>
      </c>
      <c r="D239" t="inlineStr">
        <is>
          <t>VÄSTERNORRLANDS LÄN</t>
        </is>
      </c>
      <c r="E239" t="inlineStr">
        <is>
          <t>SOLLEFTEÅ</t>
        </is>
      </c>
      <c r="F239" t="inlineStr">
        <is>
          <t>SCA</t>
        </is>
      </c>
      <c r="G239" t="n">
        <v>2.1</v>
      </c>
      <c r="H239" t="n">
        <v>2</v>
      </c>
      <c r="I239" t="n">
        <v>0</v>
      </c>
      <c r="J239" t="n">
        <v>0</v>
      </c>
      <c r="K239" t="n">
        <v>0</v>
      </c>
      <c r="L239" t="n">
        <v>0</v>
      </c>
      <c r="M239" t="n">
        <v>0</v>
      </c>
      <c r="N239" t="n">
        <v>0</v>
      </c>
      <c r="O239" t="n">
        <v>0</v>
      </c>
      <c r="P239" t="n">
        <v>0</v>
      </c>
      <c r="Q239" t="n">
        <v>2</v>
      </c>
      <c r="R239" s="2" t="inlineStr">
        <is>
          <t>Vanlig groda
Revlummer</t>
        </is>
      </c>
      <c r="S239">
        <f>HYPERLINK("https://klasma.github.io/Logging_2283/artfynd/A 13743-2025 artfynd.xlsx", "A 13743-2025")</f>
        <v/>
      </c>
      <c r="T239">
        <f>HYPERLINK("https://klasma.github.io/Logging_2283/kartor/A 13743-2025 karta.png", "A 13743-2025")</f>
        <v/>
      </c>
      <c r="V239">
        <f>HYPERLINK("https://klasma.github.io/Logging_2283/klagomål/A 13743-2025 FSC-klagomål.docx", "A 13743-2025")</f>
        <v/>
      </c>
      <c r="W239">
        <f>HYPERLINK("https://klasma.github.io/Logging_2283/klagomålsmail/A 13743-2025 FSC-klagomål mail.docx", "A 13743-2025")</f>
        <v/>
      </c>
      <c r="X239">
        <f>HYPERLINK("https://klasma.github.io/Logging_2283/tillsyn/A 13743-2025 tillsynsbegäran.docx", "A 13743-2025")</f>
        <v/>
      </c>
      <c r="Y239">
        <f>HYPERLINK("https://klasma.github.io/Logging_2283/tillsynsmail/A 13743-2025 tillsynsbegäran mail.docx", "A 13743-2025")</f>
        <v/>
      </c>
    </row>
    <row r="240" ht="15" customHeight="1">
      <c r="A240" t="inlineStr">
        <is>
          <t>A 22518-2025</t>
        </is>
      </c>
      <c r="B240" s="1" t="n">
        <v>45786.67831018518</v>
      </c>
      <c r="C240" s="1" t="n">
        <v>45899</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36912-2024</t>
        </is>
      </c>
      <c r="B241" s="1" t="n">
        <v>45538.63604166666</v>
      </c>
      <c r="C241" s="1" t="n">
        <v>45899</v>
      </c>
      <c r="D241" t="inlineStr">
        <is>
          <t>VÄSTERNORRLANDS LÄN</t>
        </is>
      </c>
      <c r="E241" t="inlineStr">
        <is>
          <t>SOLLEFTEÅ</t>
        </is>
      </c>
      <c r="F241" t="inlineStr">
        <is>
          <t>SCA</t>
        </is>
      </c>
      <c r="G241" t="n">
        <v>2</v>
      </c>
      <c r="H241" t="n">
        <v>1</v>
      </c>
      <c r="I241" t="n">
        <v>0</v>
      </c>
      <c r="J241" t="n">
        <v>2</v>
      </c>
      <c r="K241" t="n">
        <v>0</v>
      </c>
      <c r="L241" t="n">
        <v>0</v>
      </c>
      <c r="M241" t="n">
        <v>0</v>
      </c>
      <c r="N241" t="n">
        <v>0</v>
      </c>
      <c r="O241" t="n">
        <v>2</v>
      </c>
      <c r="P241" t="n">
        <v>0</v>
      </c>
      <c r="Q241" t="n">
        <v>2</v>
      </c>
      <c r="R241" s="2" t="inlineStr">
        <is>
          <t>Talltita
Ullticka</t>
        </is>
      </c>
      <c r="S241">
        <f>HYPERLINK("https://klasma.github.io/Logging_2283/artfynd/A 36912-2024 artfynd.xlsx", "A 36912-2024")</f>
        <v/>
      </c>
      <c r="T241">
        <f>HYPERLINK("https://klasma.github.io/Logging_2283/kartor/A 36912-2024 karta.png", "A 36912-2024")</f>
        <v/>
      </c>
      <c r="V241">
        <f>HYPERLINK("https://klasma.github.io/Logging_2283/klagomål/A 36912-2024 FSC-klagomål.docx", "A 36912-2024")</f>
        <v/>
      </c>
      <c r="W241">
        <f>HYPERLINK("https://klasma.github.io/Logging_2283/klagomålsmail/A 36912-2024 FSC-klagomål mail.docx", "A 36912-2024")</f>
        <v/>
      </c>
      <c r="X241">
        <f>HYPERLINK("https://klasma.github.io/Logging_2283/tillsyn/A 36912-2024 tillsynsbegäran.docx", "A 36912-2024")</f>
        <v/>
      </c>
      <c r="Y241">
        <f>HYPERLINK("https://klasma.github.io/Logging_2283/tillsynsmail/A 36912-2024 tillsynsbegäran mail.docx", "A 36912-2024")</f>
        <v/>
      </c>
      <c r="Z241">
        <f>HYPERLINK("https://klasma.github.io/Logging_2283/fåglar/A 36912-2024 prioriterade fågelarter.docx", "A 36912-2024")</f>
        <v/>
      </c>
    </row>
    <row r="242" ht="15" customHeight="1">
      <c r="A242" t="inlineStr">
        <is>
          <t>A 25522-2025</t>
        </is>
      </c>
      <c r="B242" s="1" t="n">
        <v>45803.38619212963</v>
      </c>
      <c r="C242" s="1" t="n">
        <v>45899</v>
      </c>
      <c r="D242" t="inlineStr">
        <is>
          <t>VÄSTERNORRLANDS LÄN</t>
        </is>
      </c>
      <c r="E242" t="inlineStr">
        <is>
          <t>SOLLEFTEÅ</t>
        </is>
      </c>
      <c r="F242" t="inlineStr">
        <is>
          <t>SCA</t>
        </is>
      </c>
      <c r="G242" t="n">
        <v>0.8</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25522-2025 artfynd.xlsx", "A 25522-2025")</f>
        <v/>
      </c>
      <c r="T242">
        <f>HYPERLINK("https://klasma.github.io/Logging_2283/kartor/A 25522-2025 karta.png", "A 25522-2025")</f>
        <v/>
      </c>
      <c r="V242">
        <f>HYPERLINK("https://klasma.github.io/Logging_2283/klagomål/A 25522-2025 FSC-klagomål.docx", "A 25522-2025")</f>
        <v/>
      </c>
      <c r="W242">
        <f>HYPERLINK("https://klasma.github.io/Logging_2283/klagomålsmail/A 25522-2025 FSC-klagomål mail.docx", "A 25522-2025")</f>
        <v/>
      </c>
      <c r="X242">
        <f>HYPERLINK("https://klasma.github.io/Logging_2283/tillsyn/A 25522-2025 tillsynsbegäran.docx", "A 25522-2025")</f>
        <v/>
      </c>
      <c r="Y242">
        <f>HYPERLINK("https://klasma.github.io/Logging_2283/tillsynsmail/A 25522-2025 tillsynsbegäran mail.docx", "A 25522-2025")</f>
        <v/>
      </c>
    </row>
    <row r="243" ht="15" customHeight="1">
      <c r="A243" t="inlineStr">
        <is>
          <t>A 45016-2023</t>
        </is>
      </c>
      <c r="B243" s="1" t="n">
        <v>45190.96188657408</v>
      </c>
      <c r="C243" s="1" t="n">
        <v>45899</v>
      </c>
      <c r="D243" t="inlineStr">
        <is>
          <t>VÄSTERNORRLANDS LÄN</t>
        </is>
      </c>
      <c r="E243" t="inlineStr">
        <is>
          <t>SOLLEFTEÅ</t>
        </is>
      </c>
      <c r="F243" t="inlineStr">
        <is>
          <t>SCA</t>
        </is>
      </c>
      <c r="G243" t="n">
        <v>1.5</v>
      </c>
      <c r="H243" t="n">
        <v>0</v>
      </c>
      <c r="I243" t="n">
        <v>0</v>
      </c>
      <c r="J243" t="n">
        <v>2</v>
      </c>
      <c r="K243" t="n">
        <v>0</v>
      </c>
      <c r="L243" t="n">
        <v>0</v>
      </c>
      <c r="M243" t="n">
        <v>0</v>
      </c>
      <c r="N243" t="n">
        <v>0</v>
      </c>
      <c r="O243" t="n">
        <v>2</v>
      </c>
      <c r="P243" t="n">
        <v>0</v>
      </c>
      <c r="Q243" t="n">
        <v>2</v>
      </c>
      <c r="R243" s="2" t="inlineStr">
        <is>
          <t>Garnlav
Lunglav</t>
        </is>
      </c>
      <c r="S243">
        <f>HYPERLINK("https://klasma.github.io/Logging_2283/artfynd/A 45016-2023 artfynd.xlsx", "A 45016-2023")</f>
        <v/>
      </c>
      <c r="T243">
        <f>HYPERLINK("https://klasma.github.io/Logging_2283/kartor/A 45016-2023 karta.png", "A 45016-2023")</f>
        <v/>
      </c>
      <c r="V243">
        <f>HYPERLINK("https://klasma.github.io/Logging_2283/klagomål/A 45016-2023 FSC-klagomål.docx", "A 45016-2023")</f>
        <v/>
      </c>
      <c r="W243">
        <f>HYPERLINK("https://klasma.github.io/Logging_2283/klagomålsmail/A 45016-2023 FSC-klagomål mail.docx", "A 45016-2023")</f>
        <v/>
      </c>
      <c r="X243">
        <f>HYPERLINK("https://klasma.github.io/Logging_2283/tillsyn/A 45016-2023 tillsynsbegäran.docx", "A 45016-2023")</f>
        <v/>
      </c>
      <c r="Y243">
        <f>HYPERLINK("https://klasma.github.io/Logging_2283/tillsynsmail/A 45016-2023 tillsynsbegäran mail.docx", "A 45016-2023")</f>
        <v/>
      </c>
    </row>
    <row r="244" ht="15" customHeight="1">
      <c r="A244" t="inlineStr">
        <is>
          <t>A 23318-2025</t>
        </is>
      </c>
      <c r="B244" s="1" t="n">
        <v>45791.61496527777</v>
      </c>
      <c r="C244" s="1" t="n">
        <v>45899</v>
      </c>
      <c r="D244" t="inlineStr">
        <is>
          <t>VÄSTERNORRLANDS LÄN</t>
        </is>
      </c>
      <c r="E244" t="inlineStr">
        <is>
          <t>SOLLEFTEÅ</t>
        </is>
      </c>
      <c r="F244" t="inlineStr">
        <is>
          <t>SCA</t>
        </is>
      </c>
      <c r="G244" t="n">
        <v>11.1</v>
      </c>
      <c r="H244" t="n">
        <v>0</v>
      </c>
      <c r="I244" t="n">
        <v>0</v>
      </c>
      <c r="J244" t="n">
        <v>2</v>
      </c>
      <c r="K244" t="n">
        <v>0</v>
      </c>
      <c r="L244" t="n">
        <v>0</v>
      </c>
      <c r="M244" t="n">
        <v>0</v>
      </c>
      <c r="N244" t="n">
        <v>0</v>
      </c>
      <c r="O244" t="n">
        <v>2</v>
      </c>
      <c r="P244" t="n">
        <v>0</v>
      </c>
      <c r="Q244" t="n">
        <v>2</v>
      </c>
      <c r="R244" s="2" t="inlineStr">
        <is>
          <t>Olisthaerus substriatus
Rosenticka</t>
        </is>
      </c>
      <c r="S244">
        <f>HYPERLINK("https://klasma.github.io/Logging_2283/artfynd/A 23318-2025 artfynd.xlsx", "A 23318-2025")</f>
        <v/>
      </c>
      <c r="T244">
        <f>HYPERLINK("https://klasma.github.io/Logging_2283/kartor/A 23318-2025 karta.png", "A 23318-2025")</f>
        <v/>
      </c>
      <c r="V244">
        <f>HYPERLINK("https://klasma.github.io/Logging_2283/klagomål/A 23318-2025 FSC-klagomål.docx", "A 23318-2025")</f>
        <v/>
      </c>
      <c r="W244">
        <f>HYPERLINK("https://klasma.github.io/Logging_2283/klagomålsmail/A 23318-2025 FSC-klagomål mail.docx", "A 23318-2025")</f>
        <v/>
      </c>
      <c r="X244">
        <f>HYPERLINK("https://klasma.github.io/Logging_2283/tillsyn/A 23318-2025 tillsynsbegäran.docx", "A 23318-2025")</f>
        <v/>
      </c>
      <c r="Y244">
        <f>HYPERLINK("https://klasma.github.io/Logging_2283/tillsynsmail/A 23318-2025 tillsynsbegäran mail.docx", "A 23318-2025")</f>
        <v/>
      </c>
    </row>
    <row r="245" ht="15" customHeight="1">
      <c r="A245" t="inlineStr">
        <is>
          <t>A 34814-2024</t>
        </is>
      </c>
      <c r="B245" s="1" t="n">
        <v>45526.70703703703</v>
      </c>
      <c r="C245" s="1" t="n">
        <v>45899</v>
      </c>
      <c r="D245" t="inlineStr">
        <is>
          <t>VÄSTERNORRLANDS LÄN</t>
        </is>
      </c>
      <c r="E245" t="inlineStr">
        <is>
          <t>SOLLEFTEÅ</t>
        </is>
      </c>
      <c r="F245" t="inlineStr">
        <is>
          <t>SCA</t>
        </is>
      </c>
      <c r="G245" t="n">
        <v>6.9</v>
      </c>
      <c r="H245" t="n">
        <v>0</v>
      </c>
      <c r="I245" t="n">
        <v>0</v>
      </c>
      <c r="J245" t="n">
        <v>2</v>
      </c>
      <c r="K245" t="n">
        <v>0</v>
      </c>
      <c r="L245" t="n">
        <v>0</v>
      </c>
      <c r="M245" t="n">
        <v>0</v>
      </c>
      <c r="N245" t="n">
        <v>0</v>
      </c>
      <c r="O245" t="n">
        <v>2</v>
      </c>
      <c r="P245" t="n">
        <v>0</v>
      </c>
      <c r="Q245" t="n">
        <v>2</v>
      </c>
      <c r="R245" s="2" t="inlineStr">
        <is>
          <t>Kolflarnlav
Lunglav</t>
        </is>
      </c>
      <c r="S245">
        <f>HYPERLINK("https://klasma.github.io/Logging_2283/artfynd/A 34814-2024 artfynd.xlsx", "A 34814-2024")</f>
        <v/>
      </c>
      <c r="T245">
        <f>HYPERLINK("https://klasma.github.io/Logging_2283/kartor/A 34814-2024 karta.png", "A 34814-2024")</f>
        <v/>
      </c>
      <c r="V245">
        <f>HYPERLINK("https://klasma.github.io/Logging_2283/klagomål/A 34814-2024 FSC-klagomål.docx", "A 34814-2024")</f>
        <v/>
      </c>
      <c r="W245">
        <f>HYPERLINK("https://klasma.github.io/Logging_2283/klagomålsmail/A 34814-2024 FSC-klagomål mail.docx", "A 34814-2024")</f>
        <v/>
      </c>
      <c r="X245">
        <f>HYPERLINK("https://klasma.github.io/Logging_2283/tillsyn/A 34814-2024 tillsynsbegäran.docx", "A 34814-2024")</f>
        <v/>
      </c>
      <c r="Y245">
        <f>HYPERLINK("https://klasma.github.io/Logging_2283/tillsynsmail/A 34814-2024 tillsynsbegäran mail.docx", "A 34814-2024")</f>
        <v/>
      </c>
    </row>
    <row r="246" ht="15" customHeight="1">
      <c r="A246" t="inlineStr">
        <is>
          <t>A 36563-2025</t>
        </is>
      </c>
      <c r="B246" s="1" t="n">
        <v>45870.37332175926</v>
      </c>
      <c r="C246" s="1" t="n">
        <v>45899</v>
      </c>
      <c r="D246" t="inlineStr">
        <is>
          <t>VÄSTERNORRLANDS LÄN</t>
        </is>
      </c>
      <c r="E246" t="inlineStr">
        <is>
          <t>SOLLEFTEÅ</t>
        </is>
      </c>
      <c r="G246" t="n">
        <v>5.9</v>
      </c>
      <c r="H246" t="n">
        <v>1</v>
      </c>
      <c r="I246" t="n">
        <v>0</v>
      </c>
      <c r="J246" t="n">
        <v>0</v>
      </c>
      <c r="K246" t="n">
        <v>0</v>
      </c>
      <c r="L246" t="n">
        <v>1</v>
      </c>
      <c r="M246" t="n">
        <v>0</v>
      </c>
      <c r="N246" t="n">
        <v>0</v>
      </c>
      <c r="O246" t="n">
        <v>1</v>
      </c>
      <c r="P246" t="n">
        <v>1</v>
      </c>
      <c r="Q246" t="n">
        <v>2</v>
      </c>
      <c r="R246" s="2" t="inlineStr">
        <is>
          <t>Fältgentiana
Fläcknycklar</t>
        </is>
      </c>
      <c r="S246">
        <f>HYPERLINK("https://klasma.github.io/Logging_2283/artfynd/A 36563-2025 artfynd.xlsx", "A 36563-2025")</f>
        <v/>
      </c>
      <c r="T246">
        <f>HYPERLINK("https://klasma.github.io/Logging_2283/kartor/A 36563-2025 karta.png", "A 36563-2025")</f>
        <v/>
      </c>
      <c r="V246">
        <f>HYPERLINK("https://klasma.github.io/Logging_2283/klagomål/A 36563-2025 FSC-klagomål.docx", "A 36563-2025")</f>
        <v/>
      </c>
      <c r="W246">
        <f>HYPERLINK("https://klasma.github.io/Logging_2283/klagomålsmail/A 36563-2025 FSC-klagomål mail.docx", "A 36563-2025")</f>
        <v/>
      </c>
      <c r="X246">
        <f>HYPERLINK("https://klasma.github.io/Logging_2283/tillsyn/A 36563-2025 tillsynsbegäran.docx", "A 36563-2025")</f>
        <v/>
      </c>
      <c r="Y246">
        <f>HYPERLINK("https://klasma.github.io/Logging_2283/tillsynsmail/A 36563-2025 tillsynsbegäran mail.docx", "A 36563-2025")</f>
        <v/>
      </c>
    </row>
    <row r="247" ht="15" customHeight="1">
      <c r="A247" t="inlineStr">
        <is>
          <t>A 54153-2021</t>
        </is>
      </c>
      <c r="B247" s="1" t="n">
        <v>44469</v>
      </c>
      <c r="C247" s="1" t="n">
        <v>45899</v>
      </c>
      <c r="D247" t="inlineStr">
        <is>
          <t>VÄSTERNORRLANDS LÄN</t>
        </is>
      </c>
      <c r="E247" t="inlineStr">
        <is>
          <t>SOLLEFTEÅ</t>
        </is>
      </c>
      <c r="G247" t="n">
        <v>1.4</v>
      </c>
      <c r="H247" t="n">
        <v>0</v>
      </c>
      <c r="I247" t="n">
        <v>0</v>
      </c>
      <c r="J247" t="n">
        <v>2</v>
      </c>
      <c r="K247" t="n">
        <v>0</v>
      </c>
      <c r="L247" t="n">
        <v>0</v>
      </c>
      <c r="M247" t="n">
        <v>0</v>
      </c>
      <c r="N247" t="n">
        <v>0</v>
      </c>
      <c r="O247" t="n">
        <v>2</v>
      </c>
      <c r="P247" t="n">
        <v>0</v>
      </c>
      <c r="Q247" t="n">
        <v>2</v>
      </c>
      <c r="R247" s="2" t="inlineStr">
        <is>
          <t>Garnlav
Rosenticka</t>
        </is>
      </c>
      <c r="S247">
        <f>HYPERLINK("https://klasma.github.io/Logging_2283/artfynd/A 54153-2021 artfynd.xlsx", "A 54153-2021")</f>
        <v/>
      </c>
      <c r="T247">
        <f>HYPERLINK("https://klasma.github.io/Logging_2283/kartor/A 54153-2021 karta.png", "A 54153-2021")</f>
        <v/>
      </c>
      <c r="V247">
        <f>HYPERLINK("https://klasma.github.io/Logging_2283/klagomål/A 54153-2021 FSC-klagomål.docx", "A 54153-2021")</f>
        <v/>
      </c>
      <c r="W247">
        <f>HYPERLINK("https://klasma.github.io/Logging_2283/klagomålsmail/A 54153-2021 FSC-klagomål mail.docx", "A 54153-2021")</f>
        <v/>
      </c>
      <c r="X247">
        <f>HYPERLINK("https://klasma.github.io/Logging_2283/tillsyn/A 54153-2021 tillsynsbegäran.docx", "A 54153-2021")</f>
        <v/>
      </c>
      <c r="Y247">
        <f>HYPERLINK("https://klasma.github.io/Logging_2283/tillsynsmail/A 54153-2021 tillsynsbegäran mail.docx", "A 54153-2021")</f>
        <v/>
      </c>
    </row>
    <row r="248" ht="15" customHeight="1">
      <c r="A248" t="inlineStr">
        <is>
          <t>A 30972-2025</t>
        </is>
      </c>
      <c r="B248" s="1" t="n">
        <v>45832.4615625</v>
      </c>
      <c r="C248" s="1" t="n">
        <v>45899</v>
      </c>
      <c r="D248" t="inlineStr">
        <is>
          <t>VÄSTERNORRLANDS LÄN</t>
        </is>
      </c>
      <c r="E248" t="inlineStr">
        <is>
          <t>SOLLEFTEÅ</t>
        </is>
      </c>
      <c r="G248" t="n">
        <v>0.6</v>
      </c>
      <c r="H248" t="n">
        <v>0</v>
      </c>
      <c r="I248" t="n">
        <v>0</v>
      </c>
      <c r="J248" t="n">
        <v>2</v>
      </c>
      <c r="K248" t="n">
        <v>0</v>
      </c>
      <c r="L248" t="n">
        <v>0</v>
      </c>
      <c r="M248" t="n">
        <v>0</v>
      </c>
      <c r="N248" t="n">
        <v>0</v>
      </c>
      <c r="O248" t="n">
        <v>2</v>
      </c>
      <c r="P248" t="n">
        <v>0</v>
      </c>
      <c r="Q248" t="n">
        <v>2</v>
      </c>
      <c r="R248" s="2" t="inlineStr">
        <is>
          <t>Rosenticka
Ullticka</t>
        </is>
      </c>
      <c r="S248">
        <f>HYPERLINK("https://klasma.github.io/Logging_2283/artfynd/A 30972-2025 artfynd.xlsx", "A 30972-2025")</f>
        <v/>
      </c>
      <c r="T248">
        <f>HYPERLINK("https://klasma.github.io/Logging_2283/kartor/A 30972-2025 karta.png", "A 30972-2025")</f>
        <v/>
      </c>
      <c r="V248">
        <f>HYPERLINK("https://klasma.github.io/Logging_2283/klagomål/A 30972-2025 FSC-klagomål.docx", "A 30972-2025")</f>
        <v/>
      </c>
      <c r="W248">
        <f>HYPERLINK("https://klasma.github.io/Logging_2283/klagomålsmail/A 30972-2025 FSC-klagomål mail.docx", "A 30972-2025")</f>
        <v/>
      </c>
      <c r="X248">
        <f>HYPERLINK("https://klasma.github.io/Logging_2283/tillsyn/A 30972-2025 tillsynsbegäran.docx", "A 30972-2025")</f>
        <v/>
      </c>
      <c r="Y248">
        <f>HYPERLINK("https://klasma.github.io/Logging_2283/tillsynsmail/A 30972-2025 tillsynsbegäran mail.docx", "A 30972-2025")</f>
        <v/>
      </c>
    </row>
    <row r="249" ht="15" customHeight="1">
      <c r="A249" t="inlineStr">
        <is>
          <t>A 31503-2025</t>
        </is>
      </c>
      <c r="B249" s="1" t="n">
        <v>45833.59417824074</v>
      </c>
      <c r="C249" s="1" t="n">
        <v>45899</v>
      </c>
      <c r="D249" t="inlineStr">
        <is>
          <t>VÄSTERNORRLANDS LÄN</t>
        </is>
      </c>
      <c r="E249" t="inlineStr">
        <is>
          <t>SOLLEFTEÅ</t>
        </is>
      </c>
      <c r="F249" t="inlineStr">
        <is>
          <t>SCA</t>
        </is>
      </c>
      <c r="G249" t="n">
        <v>22.8</v>
      </c>
      <c r="H249" t="n">
        <v>2</v>
      </c>
      <c r="I249" t="n">
        <v>1</v>
      </c>
      <c r="J249" t="n">
        <v>0</v>
      </c>
      <c r="K249" t="n">
        <v>1</v>
      </c>
      <c r="L249" t="n">
        <v>0</v>
      </c>
      <c r="M249" t="n">
        <v>0</v>
      </c>
      <c r="N249" t="n">
        <v>0</v>
      </c>
      <c r="O249" t="n">
        <v>1</v>
      </c>
      <c r="P249" t="n">
        <v>1</v>
      </c>
      <c r="Q249" t="n">
        <v>2</v>
      </c>
      <c r="R249" s="2" t="inlineStr">
        <is>
          <t>Knärot
Plattlummer</t>
        </is>
      </c>
      <c r="S249">
        <f>HYPERLINK("https://klasma.github.io/Logging_2283/artfynd/A 31503-2025 artfynd.xlsx", "A 31503-2025")</f>
        <v/>
      </c>
      <c r="T249">
        <f>HYPERLINK("https://klasma.github.io/Logging_2283/kartor/A 31503-2025 karta.png", "A 31503-2025")</f>
        <v/>
      </c>
      <c r="U249">
        <f>HYPERLINK("https://klasma.github.io/Logging_2283/knärot/A 31503-2025 karta knärot.png", "A 31503-2025")</f>
        <v/>
      </c>
      <c r="V249">
        <f>HYPERLINK("https://klasma.github.io/Logging_2283/klagomål/A 31503-2025 FSC-klagomål.docx", "A 31503-2025")</f>
        <v/>
      </c>
      <c r="W249">
        <f>HYPERLINK("https://klasma.github.io/Logging_2283/klagomålsmail/A 31503-2025 FSC-klagomål mail.docx", "A 31503-2025")</f>
        <v/>
      </c>
      <c r="X249">
        <f>HYPERLINK("https://klasma.github.io/Logging_2283/tillsyn/A 31503-2025 tillsynsbegäran.docx", "A 31503-2025")</f>
        <v/>
      </c>
      <c r="Y249">
        <f>HYPERLINK("https://klasma.github.io/Logging_2283/tillsynsmail/A 31503-2025 tillsynsbegäran mail.docx", "A 31503-2025")</f>
        <v/>
      </c>
    </row>
    <row r="250" ht="15" customHeight="1">
      <c r="A250" t="inlineStr">
        <is>
          <t>A 11578-2025</t>
        </is>
      </c>
      <c r="B250" s="1" t="n">
        <v>45727.38609953703</v>
      </c>
      <c r="C250" s="1" t="n">
        <v>45899</v>
      </c>
      <c r="D250" t="inlineStr">
        <is>
          <t>VÄSTERNORRLANDS LÄN</t>
        </is>
      </c>
      <c r="E250" t="inlineStr">
        <is>
          <t>SOLLEFTEÅ</t>
        </is>
      </c>
      <c r="F250" t="inlineStr">
        <is>
          <t>SCA</t>
        </is>
      </c>
      <c r="G250" t="n">
        <v>1</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HYPERLINK("https://klasma.github.io/Logging_2283/artfynd/A 11578-2025 artfynd.xlsx", "A 11578-2025")</f>
        <v/>
      </c>
      <c r="T250">
        <f>HYPERLINK("https://klasma.github.io/Logging_2283/kartor/A 11578-2025 karta.png", "A 11578-2025")</f>
        <v/>
      </c>
      <c r="U250">
        <f>HYPERLINK("https://klasma.github.io/Logging_2283/knärot/A 11578-2025 karta knärot.png", "A 11578-2025")</f>
        <v/>
      </c>
      <c r="V250">
        <f>HYPERLINK("https://klasma.github.io/Logging_2283/klagomål/A 11578-2025 FSC-klagomål.docx", "A 11578-2025")</f>
        <v/>
      </c>
      <c r="W250">
        <f>HYPERLINK("https://klasma.github.io/Logging_2283/klagomålsmail/A 11578-2025 FSC-klagomål mail.docx", "A 11578-2025")</f>
        <v/>
      </c>
      <c r="X250">
        <f>HYPERLINK("https://klasma.github.io/Logging_2283/tillsyn/A 11578-2025 tillsynsbegäran.docx", "A 11578-2025")</f>
        <v/>
      </c>
      <c r="Y250">
        <f>HYPERLINK("https://klasma.github.io/Logging_2283/tillsynsmail/A 11578-2025 tillsynsbegäran mail.docx", "A 11578-2025")</f>
        <v/>
      </c>
      <c r="Z250">
        <f>HYPERLINK("https://klasma.github.io/Logging_2283/fåglar/A 11578-2025 prioriterade fågelarter.docx", "A 11578-2025")</f>
        <v/>
      </c>
    </row>
    <row r="251" ht="15" customHeight="1">
      <c r="A251" t="inlineStr">
        <is>
          <t>A 17377-2021</t>
        </is>
      </c>
      <c r="B251" s="1" t="n">
        <v>44298</v>
      </c>
      <c r="C251" s="1" t="n">
        <v>45899</v>
      </c>
      <c r="D251" t="inlineStr">
        <is>
          <t>VÄSTERNORRLANDS LÄN</t>
        </is>
      </c>
      <c r="E251" t="inlineStr">
        <is>
          <t>SOLLEFTEÅ</t>
        </is>
      </c>
      <c r="G251" t="n">
        <v>5.1</v>
      </c>
      <c r="H251" t="n">
        <v>1</v>
      </c>
      <c r="I251" t="n">
        <v>0</v>
      </c>
      <c r="J251" t="n">
        <v>2</v>
      </c>
      <c r="K251" t="n">
        <v>0</v>
      </c>
      <c r="L251" t="n">
        <v>0</v>
      </c>
      <c r="M251" t="n">
        <v>0</v>
      </c>
      <c r="N251" t="n">
        <v>0</v>
      </c>
      <c r="O251" t="n">
        <v>2</v>
      </c>
      <c r="P251" t="n">
        <v>0</v>
      </c>
      <c r="Q251" t="n">
        <v>2</v>
      </c>
      <c r="R251" s="2" t="inlineStr">
        <is>
          <t>Tretåig hackspett
Ullticka</t>
        </is>
      </c>
      <c r="S251">
        <f>HYPERLINK("https://klasma.github.io/Logging_2283/artfynd/A 17377-2021 artfynd.xlsx", "A 17377-2021")</f>
        <v/>
      </c>
      <c r="T251">
        <f>HYPERLINK("https://klasma.github.io/Logging_2283/kartor/A 17377-2021 karta.png", "A 17377-2021")</f>
        <v/>
      </c>
      <c r="V251">
        <f>HYPERLINK("https://klasma.github.io/Logging_2283/klagomål/A 17377-2021 FSC-klagomål.docx", "A 17377-2021")</f>
        <v/>
      </c>
      <c r="W251">
        <f>HYPERLINK("https://klasma.github.io/Logging_2283/klagomålsmail/A 17377-2021 FSC-klagomål mail.docx", "A 17377-2021")</f>
        <v/>
      </c>
      <c r="X251">
        <f>HYPERLINK("https://klasma.github.io/Logging_2283/tillsyn/A 17377-2021 tillsynsbegäran.docx", "A 17377-2021")</f>
        <v/>
      </c>
      <c r="Y251">
        <f>HYPERLINK("https://klasma.github.io/Logging_2283/tillsynsmail/A 17377-2021 tillsynsbegäran mail.docx", "A 17377-2021")</f>
        <v/>
      </c>
      <c r="Z251">
        <f>HYPERLINK("https://klasma.github.io/Logging_2283/fåglar/A 17377-2021 prioriterade fågelarter.docx", "A 17377-2021")</f>
        <v/>
      </c>
    </row>
    <row r="252" ht="15" customHeight="1">
      <c r="A252" t="inlineStr">
        <is>
          <t>A 32738-2025</t>
        </is>
      </c>
      <c r="B252" s="1" t="n">
        <v>45839.41827546297</v>
      </c>
      <c r="C252" s="1" t="n">
        <v>45899</v>
      </c>
      <c r="D252" t="inlineStr">
        <is>
          <t>VÄSTERNORRLANDS LÄN</t>
        </is>
      </c>
      <c r="E252" t="inlineStr">
        <is>
          <t>SOLLEFTEÅ</t>
        </is>
      </c>
      <c r="G252" t="n">
        <v>3.1</v>
      </c>
      <c r="H252" t="n">
        <v>2</v>
      </c>
      <c r="I252" t="n">
        <v>0</v>
      </c>
      <c r="J252" t="n">
        <v>1</v>
      </c>
      <c r="K252" t="n">
        <v>0</v>
      </c>
      <c r="L252" t="n">
        <v>0</v>
      </c>
      <c r="M252" t="n">
        <v>0</v>
      </c>
      <c r="N252" t="n">
        <v>0</v>
      </c>
      <c r="O252" t="n">
        <v>1</v>
      </c>
      <c r="P252" t="n">
        <v>0</v>
      </c>
      <c r="Q252" t="n">
        <v>2</v>
      </c>
      <c r="R252" s="2" t="inlineStr">
        <is>
          <t>Spillkråka
Tjäder</t>
        </is>
      </c>
      <c r="S252">
        <f>HYPERLINK("https://klasma.github.io/Logging_2283/artfynd/A 32738-2025 artfynd.xlsx", "A 32738-2025")</f>
        <v/>
      </c>
      <c r="T252">
        <f>HYPERLINK("https://klasma.github.io/Logging_2283/kartor/A 32738-2025 karta.png", "A 32738-2025")</f>
        <v/>
      </c>
      <c r="V252">
        <f>HYPERLINK("https://klasma.github.io/Logging_2283/klagomål/A 32738-2025 FSC-klagomål.docx", "A 32738-2025")</f>
        <v/>
      </c>
      <c r="W252">
        <f>HYPERLINK("https://klasma.github.io/Logging_2283/klagomålsmail/A 32738-2025 FSC-klagomål mail.docx", "A 32738-2025")</f>
        <v/>
      </c>
      <c r="X252">
        <f>HYPERLINK("https://klasma.github.io/Logging_2283/tillsyn/A 32738-2025 tillsynsbegäran.docx", "A 32738-2025")</f>
        <v/>
      </c>
      <c r="Y252">
        <f>HYPERLINK("https://klasma.github.io/Logging_2283/tillsynsmail/A 32738-2025 tillsynsbegäran mail.docx", "A 32738-2025")</f>
        <v/>
      </c>
      <c r="Z252">
        <f>HYPERLINK("https://klasma.github.io/Logging_2283/fåglar/A 32738-2025 prioriterade fågelarter.docx", "A 32738-2025")</f>
        <v/>
      </c>
    </row>
    <row r="253" ht="15" customHeight="1">
      <c r="A253" t="inlineStr">
        <is>
          <t>A 54486-2024</t>
        </is>
      </c>
      <c r="B253" s="1" t="n">
        <v>45617</v>
      </c>
      <c r="C253" s="1" t="n">
        <v>45899</v>
      </c>
      <c r="D253" t="inlineStr">
        <is>
          <t>VÄSTERNORRLANDS LÄN</t>
        </is>
      </c>
      <c r="E253" t="inlineStr">
        <is>
          <t>SOLLEFTEÅ</t>
        </is>
      </c>
      <c r="G253" t="n">
        <v>18.3</v>
      </c>
      <c r="H253" t="n">
        <v>2</v>
      </c>
      <c r="I253" t="n">
        <v>1</v>
      </c>
      <c r="J253" t="n">
        <v>0</v>
      </c>
      <c r="K253" t="n">
        <v>0</v>
      </c>
      <c r="L253" t="n">
        <v>0</v>
      </c>
      <c r="M253" t="n">
        <v>0</v>
      </c>
      <c r="N253" t="n">
        <v>0</v>
      </c>
      <c r="O253" t="n">
        <v>0</v>
      </c>
      <c r="P253" t="n">
        <v>0</v>
      </c>
      <c r="Q253" t="n">
        <v>2</v>
      </c>
      <c r="R253" s="2" t="inlineStr">
        <is>
          <t>Tvåblad
Ängsnycklar</t>
        </is>
      </c>
      <c r="S253">
        <f>HYPERLINK("https://klasma.github.io/Logging_2283/artfynd/A 54486-2024 artfynd.xlsx", "A 54486-2024")</f>
        <v/>
      </c>
      <c r="T253">
        <f>HYPERLINK("https://klasma.github.io/Logging_2283/kartor/A 54486-2024 karta.png", "A 54486-2024")</f>
        <v/>
      </c>
      <c r="V253">
        <f>HYPERLINK("https://klasma.github.io/Logging_2283/klagomål/A 54486-2024 FSC-klagomål.docx", "A 54486-2024")</f>
        <v/>
      </c>
      <c r="W253">
        <f>HYPERLINK("https://klasma.github.io/Logging_2283/klagomålsmail/A 54486-2024 FSC-klagomål mail.docx", "A 54486-2024")</f>
        <v/>
      </c>
      <c r="X253">
        <f>HYPERLINK("https://klasma.github.io/Logging_2283/tillsyn/A 54486-2024 tillsynsbegäran.docx", "A 54486-2024")</f>
        <v/>
      </c>
      <c r="Y253">
        <f>HYPERLINK("https://klasma.github.io/Logging_2283/tillsynsmail/A 54486-2024 tillsynsbegäran mail.docx", "A 54486-2024")</f>
        <v/>
      </c>
    </row>
    <row r="254" ht="15" customHeight="1">
      <c r="A254" t="inlineStr">
        <is>
          <t>A 2347-2025</t>
        </is>
      </c>
      <c r="B254" s="1" t="n">
        <v>45673.67782407408</v>
      </c>
      <c r="C254" s="1" t="n">
        <v>45899</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39095-2025</t>
        </is>
      </c>
      <c r="B255" s="1" t="n">
        <v>45888.49751157407</v>
      </c>
      <c r="C255" s="1" t="n">
        <v>45899</v>
      </c>
      <c r="D255" t="inlineStr">
        <is>
          <t>VÄSTERNORRLANDS LÄN</t>
        </is>
      </c>
      <c r="E255" t="inlineStr">
        <is>
          <t>SOLLEFTEÅ</t>
        </is>
      </c>
      <c r="F255" t="inlineStr">
        <is>
          <t>Holmen skog AB</t>
        </is>
      </c>
      <c r="G255" t="n">
        <v>1.3</v>
      </c>
      <c r="H255" t="n">
        <v>2</v>
      </c>
      <c r="I255" t="n">
        <v>0</v>
      </c>
      <c r="J255" t="n">
        <v>1</v>
      </c>
      <c r="K255" t="n">
        <v>0</v>
      </c>
      <c r="L255" t="n">
        <v>0</v>
      </c>
      <c r="M255" t="n">
        <v>0</v>
      </c>
      <c r="N255" t="n">
        <v>0</v>
      </c>
      <c r="O255" t="n">
        <v>1</v>
      </c>
      <c r="P255" t="n">
        <v>0</v>
      </c>
      <c r="Q255" t="n">
        <v>2</v>
      </c>
      <c r="R255" s="2" t="inlineStr">
        <is>
          <t>Talltita
Tjäder</t>
        </is>
      </c>
      <c r="S255">
        <f>HYPERLINK("https://klasma.github.io/Logging_2283/artfynd/A 39095-2025 artfynd.xlsx", "A 39095-2025")</f>
        <v/>
      </c>
      <c r="T255">
        <f>HYPERLINK("https://klasma.github.io/Logging_2283/kartor/A 39095-2025 karta.png", "A 39095-2025")</f>
        <v/>
      </c>
      <c r="V255">
        <f>HYPERLINK("https://klasma.github.io/Logging_2283/klagomål/A 39095-2025 FSC-klagomål.docx", "A 39095-2025")</f>
        <v/>
      </c>
      <c r="W255">
        <f>HYPERLINK("https://klasma.github.io/Logging_2283/klagomålsmail/A 39095-2025 FSC-klagomål mail.docx", "A 39095-2025")</f>
        <v/>
      </c>
      <c r="X255">
        <f>HYPERLINK("https://klasma.github.io/Logging_2283/tillsyn/A 39095-2025 tillsynsbegäran.docx", "A 39095-2025")</f>
        <v/>
      </c>
      <c r="Y255">
        <f>HYPERLINK("https://klasma.github.io/Logging_2283/tillsynsmail/A 39095-2025 tillsynsbegäran mail.docx", "A 39095-2025")</f>
        <v/>
      </c>
      <c r="Z255">
        <f>HYPERLINK("https://klasma.github.io/Logging_2283/fåglar/A 39095-2025 prioriterade fågelarter.docx", "A 39095-2025")</f>
        <v/>
      </c>
    </row>
    <row r="256" ht="15" customHeight="1">
      <c r="A256" t="inlineStr">
        <is>
          <t>A 12269-2025</t>
        </is>
      </c>
      <c r="B256" s="1" t="n">
        <v>45729.63542824074</v>
      </c>
      <c r="C256" s="1" t="n">
        <v>45899</v>
      </c>
      <c r="D256" t="inlineStr">
        <is>
          <t>VÄSTERNORRLANDS LÄN</t>
        </is>
      </c>
      <c r="E256" t="inlineStr">
        <is>
          <t>SOLLEFTEÅ</t>
        </is>
      </c>
      <c r="G256" t="n">
        <v>10.9</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12269-2025 artfynd.xlsx", "A 12269-2025")</f>
        <v/>
      </c>
      <c r="T256">
        <f>HYPERLINK("https://klasma.github.io/Logging_2283/kartor/A 12269-2025 karta.png", "A 12269-2025")</f>
        <v/>
      </c>
      <c r="V256">
        <f>HYPERLINK("https://klasma.github.io/Logging_2283/klagomål/A 12269-2025 FSC-klagomål.docx", "A 12269-2025")</f>
        <v/>
      </c>
      <c r="W256">
        <f>HYPERLINK("https://klasma.github.io/Logging_2283/klagomålsmail/A 12269-2025 FSC-klagomål mail.docx", "A 12269-2025")</f>
        <v/>
      </c>
      <c r="X256">
        <f>HYPERLINK("https://klasma.github.io/Logging_2283/tillsyn/A 12269-2025 tillsynsbegäran.docx", "A 12269-2025")</f>
        <v/>
      </c>
      <c r="Y256">
        <f>HYPERLINK("https://klasma.github.io/Logging_2283/tillsynsmail/A 12269-2025 tillsynsbegäran mail.docx", "A 12269-2025")</f>
        <v/>
      </c>
    </row>
    <row r="257" ht="15" customHeight="1">
      <c r="A257" t="inlineStr">
        <is>
          <t>A 58880-2024</t>
        </is>
      </c>
      <c r="B257" s="1" t="n">
        <v>45636.44836805556</v>
      </c>
      <c r="C257" s="1" t="n">
        <v>45899</v>
      </c>
      <c r="D257" t="inlineStr">
        <is>
          <t>VÄSTERNORRLANDS LÄN</t>
        </is>
      </c>
      <c r="E257" t="inlineStr">
        <is>
          <t>SOLLEFTEÅ</t>
        </is>
      </c>
      <c r="F257" t="inlineStr">
        <is>
          <t>SCA</t>
        </is>
      </c>
      <c r="G257" t="n">
        <v>2</v>
      </c>
      <c r="H257" t="n">
        <v>0</v>
      </c>
      <c r="I257" t="n">
        <v>0</v>
      </c>
      <c r="J257" t="n">
        <v>2</v>
      </c>
      <c r="K257" t="n">
        <v>0</v>
      </c>
      <c r="L257" t="n">
        <v>0</v>
      </c>
      <c r="M257" t="n">
        <v>0</v>
      </c>
      <c r="N257" t="n">
        <v>0</v>
      </c>
      <c r="O257" t="n">
        <v>2</v>
      </c>
      <c r="P257" t="n">
        <v>0</v>
      </c>
      <c r="Q257" t="n">
        <v>2</v>
      </c>
      <c r="R257" s="2" t="inlineStr">
        <is>
          <t>Gammelgransskål
Garnlav</t>
        </is>
      </c>
      <c r="S257">
        <f>HYPERLINK("https://klasma.github.io/Logging_2283/artfynd/A 58880-2024 artfynd.xlsx", "A 58880-2024")</f>
        <v/>
      </c>
      <c r="T257">
        <f>HYPERLINK("https://klasma.github.io/Logging_2283/kartor/A 58880-2024 karta.png", "A 58880-2024")</f>
        <v/>
      </c>
      <c r="V257">
        <f>HYPERLINK("https://klasma.github.io/Logging_2283/klagomål/A 58880-2024 FSC-klagomål.docx", "A 58880-2024")</f>
        <v/>
      </c>
      <c r="W257">
        <f>HYPERLINK("https://klasma.github.io/Logging_2283/klagomålsmail/A 58880-2024 FSC-klagomål mail.docx", "A 58880-2024")</f>
        <v/>
      </c>
      <c r="X257">
        <f>HYPERLINK("https://klasma.github.io/Logging_2283/tillsyn/A 58880-2024 tillsynsbegäran.docx", "A 58880-2024")</f>
        <v/>
      </c>
      <c r="Y257">
        <f>HYPERLINK("https://klasma.github.io/Logging_2283/tillsynsmail/A 58880-2024 tillsynsbegäran mail.docx", "A 58880-2024")</f>
        <v/>
      </c>
    </row>
    <row r="258" ht="15" customHeight="1">
      <c r="A258" t="inlineStr">
        <is>
          <t>A 50751-2024</t>
        </is>
      </c>
      <c r="B258" s="1" t="n">
        <v>45602</v>
      </c>
      <c r="C258" s="1" t="n">
        <v>45899</v>
      </c>
      <c r="D258" t="inlineStr">
        <is>
          <t>VÄSTERNORRLANDS LÄN</t>
        </is>
      </c>
      <c r="E258" t="inlineStr">
        <is>
          <t>SOLLEFTEÅ</t>
        </is>
      </c>
      <c r="G258" t="n">
        <v>4.4</v>
      </c>
      <c r="H258" t="n">
        <v>0</v>
      </c>
      <c r="I258" t="n">
        <v>1</v>
      </c>
      <c r="J258" t="n">
        <v>1</v>
      </c>
      <c r="K258" t="n">
        <v>0</v>
      </c>
      <c r="L258" t="n">
        <v>0</v>
      </c>
      <c r="M258" t="n">
        <v>0</v>
      </c>
      <c r="N258" t="n">
        <v>0</v>
      </c>
      <c r="O258" t="n">
        <v>1</v>
      </c>
      <c r="P258" t="n">
        <v>0</v>
      </c>
      <c r="Q258" t="n">
        <v>2</v>
      </c>
      <c r="R258" s="2" t="inlineStr">
        <is>
          <t>Garnlav
Norrlandslav</t>
        </is>
      </c>
      <c r="S258">
        <f>HYPERLINK("https://klasma.github.io/Logging_2283/artfynd/A 50751-2024 artfynd.xlsx", "A 50751-2024")</f>
        <v/>
      </c>
      <c r="T258">
        <f>HYPERLINK("https://klasma.github.io/Logging_2283/kartor/A 50751-2024 karta.png", "A 50751-2024")</f>
        <v/>
      </c>
      <c r="V258">
        <f>HYPERLINK("https://klasma.github.io/Logging_2283/klagomål/A 50751-2024 FSC-klagomål.docx", "A 50751-2024")</f>
        <v/>
      </c>
      <c r="W258">
        <f>HYPERLINK("https://klasma.github.io/Logging_2283/klagomålsmail/A 50751-2024 FSC-klagomål mail.docx", "A 50751-2024")</f>
        <v/>
      </c>
      <c r="X258">
        <f>HYPERLINK("https://klasma.github.io/Logging_2283/tillsyn/A 50751-2024 tillsynsbegäran.docx", "A 50751-2024")</f>
        <v/>
      </c>
      <c r="Y258">
        <f>HYPERLINK("https://klasma.github.io/Logging_2283/tillsynsmail/A 50751-2024 tillsynsbegäran mail.docx", "A 50751-2024")</f>
        <v/>
      </c>
    </row>
    <row r="259" ht="15" customHeight="1">
      <c r="A259" t="inlineStr">
        <is>
          <t>A 7108-2024</t>
        </is>
      </c>
      <c r="B259" s="1" t="n">
        <v>45343</v>
      </c>
      <c r="C259" s="1" t="n">
        <v>45899</v>
      </c>
      <c r="D259" t="inlineStr">
        <is>
          <t>VÄSTERNORRLANDS LÄN</t>
        </is>
      </c>
      <c r="E259" t="inlineStr">
        <is>
          <t>SOLLEFTEÅ</t>
        </is>
      </c>
      <c r="F259" t="inlineStr">
        <is>
          <t>SCA</t>
        </is>
      </c>
      <c r="G259" t="n">
        <v>3.8</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7108-2024 artfynd.xlsx", "A 7108-2024")</f>
        <v/>
      </c>
      <c r="T259">
        <f>HYPERLINK("https://klasma.github.io/Logging_2283/kartor/A 7108-2024 karta.png", "A 7108-2024")</f>
        <v/>
      </c>
      <c r="V259">
        <f>HYPERLINK("https://klasma.github.io/Logging_2283/klagomål/A 7108-2024 FSC-klagomål.docx", "A 7108-2024")</f>
        <v/>
      </c>
      <c r="W259">
        <f>HYPERLINK("https://klasma.github.io/Logging_2283/klagomålsmail/A 7108-2024 FSC-klagomål mail.docx", "A 7108-2024")</f>
        <v/>
      </c>
      <c r="X259">
        <f>HYPERLINK("https://klasma.github.io/Logging_2283/tillsyn/A 7108-2024 tillsynsbegäran.docx", "A 7108-2024")</f>
        <v/>
      </c>
      <c r="Y259">
        <f>HYPERLINK("https://klasma.github.io/Logging_2283/tillsynsmail/A 7108-2024 tillsynsbegäran mail.docx", "A 7108-2024")</f>
        <v/>
      </c>
    </row>
    <row r="260" ht="15" customHeight="1">
      <c r="A260" t="inlineStr">
        <is>
          <t>A 7837-2025</t>
        </is>
      </c>
      <c r="B260" s="1" t="n">
        <v>45706</v>
      </c>
      <c r="C260" s="1" t="n">
        <v>45899</v>
      </c>
      <c r="D260" t="inlineStr">
        <is>
          <t>VÄSTERNORRLANDS LÄN</t>
        </is>
      </c>
      <c r="E260" t="inlineStr">
        <is>
          <t>SOLLEFTEÅ</t>
        </is>
      </c>
      <c r="F260" t="inlineStr">
        <is>
          <t>SCA</t>
        </is>
      </c>
      <c r="G260" t="n">
        <v>2</v>
      </c>
      <c r="H260" t="n">
        <v>0</v>
      </c>
      <c r="I260" t="n">
        <v>1</v>
      </c>
      <c r="J260" t="n">
        <v>1</v>
      </c>
      <c r="K260" t="n">
        <v>0</v>
      </c>
      <c r="L260" t="n">
        <v>0</v>
      </c>
      <c r="M260" t="n">
        <v>0</v>
      </c>
      <c r="N260" t="n">
        <v>0</v>
      </c>
      <c r="O260" t="n">
        <v>1</v>
      </c>
      <c r="P260" t="n">
        <v>0</v>
      </c>
      <c r="Q260" t="n">
        <v>2</v>
      </c>
      <c r="R260" s="2" t="inlineStr">
        <is>
          <t>Gammelgransskål
Norrlandslav</t>
        </is>
      </c>
      <c r="S260">
        <f>HYPERLINK("https://klasma.github.io/Logging_2283/artfynd/A 7837-2025 artfynd.xlsx", "A 7837-2025")</f>
        <v/>
      </c>
      <c r="T260">
        <f>HYPERLINK("https://klasma.github.io/Logging_2283/kartor/A 7837-2025 karta.png", "A 7837-2025")</f>
        <v/>
      </c>
      <c r="V260">
        <f>HYPERLINK("https://klasma.github.io/Logging_2283/klagomål/A 7837-2025 FSC-klagomål.docx", "A 7837-2025")</f>
        <v/>
      </c>
      <c r="W260">
        <f>HYPERLINK("https://klasma.github.io/Logging_2283/klagomålsmail/A 7837-2025 FSC-klagomål mail.docx", "A 7837-2025")</f>
        <v/>
      </c>
      <c r="X260">
        <f>HYPERLINK("https://klasma.github.io/Logging_2283/tillsyn/A 7837-2025 tillsynsbegäran.docx", "A 7837-2025")</f>
        <v/>
      </c>
      <c r="Y260">
        <f>HYPERLINK("https://klasma.github.io/Logging_2283/tillsynsmail/A 7837-2025 tillsynsbegäran mail.docx", "A 7837-2025")</f>
        <v/>
      </c>
    </row>
    <row r="261" ht="15" customHeight="1">
      <c r="A261" t="inlineStr">
        <is>
          <t>A 29264-2024</t>
        </is>
      </c>
      <c r="B261" s="1" t="n">
        <v>45482</v>
      </c>
      <c r="C261" s="1" t="n">
        <v>45899</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46630-2022</t>
        </is>
      </c>
      <c r="B262" s="1" t="n">
        <v>44848</v>
      </c>
      <c r="C262" s="1" t="n">
        <v>45899</v>
      </c>
      <c r="D262" t="inlineStr">
        <is>
          <t>VÄSTERNORRLANDS LÄN</t>
        </is>
      </c>
      <c r="E262" t="inlineStr">
        <is>
          <t>SOLLEFTEÅ</t>
        </is>
      </c>
      <c r="F262" t="inlineStr">
        <is>
          <t>SCA</t>
        </is>
      </c>
      <c r="G262" t="n">
        <v>3.1</v>
      </c>
      <c r="H262" t="n">
        <v>2</v>
      </c>
      <c r="I262" t="n">
        <v>0</v>
      </c>
      <c r="J262" t="n">
        <v>1</v>
      </c>
      <c r="K262" t="n">
        <v>1</v>
      </c>
      <c r="L262" t="n">
        <v>0</v>
      </c>
      <c r="M262" t="n">
        <v>0</v>
      </c>
      <c r="N262" t="n">
        <v>0</v>
      </c>
      <c r="O262" t="n">
        <v>2</v>
      </c>
      <c r="P262" t="n">
        <v>1</v>
      </c>
      <c r="Q262" t="n">
        <v>2</v>
      </c>
      <c r="R262" s="2" t="inlineStr">
        <is>
          <t>Knärot
Tretåig hackspett</t>
        </is>
      </c>
      <c r="S262">
        <f>HYPERLINK("https://klasma.github.io/Logging_2283/artfynd/A 46630-2022 artfynd.xlsx", "A 46630-2022")</f>
        <v/>
      </c>
      <c r="T262">
        <f>HYPERLINK("https://klasma.github.io/Logging_2283/kartor/A 46630-2022 karta.png", "A 46630-2022")</f>
        <v/>
      </c>
      <c r="U262">
        <f>HYPERLINK("https://klasma.github.io/Logging_2283/knärot/A 46630-2022 karta knärot.png", "A 46630-2022")</f>
        <v/>
      </c>
      <c r="V262">
        <f>HYPERLINK("https://klasma.github.io/Logging_2283/klagomål/A 46630-2022 FSC-klagomål.docx", "A 46630-2022")</f>
        <v/>
      </c>
      <c r="W262">
        <f>HYPERLINK("https://klasma.github.io/Logging_2283/klagomålsmail/A 46630-2022 FSC-klagomål mail.docx", "A 46630-2022")</f>
        <v/>
      </c>
      <c r="X262">
        <f>HYPERLINK("https://klasma.github.io/Logging_2283/tillsyn/A 46630-2022 tillsynsbegäran.docx", "A 46630-2022")</f>
        <v/>
      </c>
      <c r="Y262">
        <f>HYPERLINK("https://klasma.github.io/Logging_2283/tillsynsmail/A 46630-2022 tillsynsbegäran mail.docx", "A 46630-2022")</f>
        <v/>
      </c>
      <c r="Z262">
        <f>HYPERLINK("https://klasma.github.io/Logging_2283/fåglar/A 46630-2022 prioriterade fågelarter.docx", "A 46630-2022")</f>
        <v/>
      </c>
    </row>
    <row r="263" ht="15" customHeight="1">
      <c r="A263" t="inlineStr">
        <is>
          <t>A 35587-2023</t>
        </is>
      </c>
      <c r="B263" s="1" t="n">
        <v>45147</v>
      </c>
      <c r="C263" s="1" t="n">
        <v>45899</v>
      </c>
      <c r="D263" t="inlineStr">
        <is>
          <t>VÄSTERNORRLANDS LÄN</t>
        </is>
      </c>
      <c r="E263" t="inlineStr">
        <is>
          <t>SOLLEFTEÅ</t>
        </is>
      </c>
      <c r="F263" t="inlineStr">
        <is>
          <t>Holmen skog AB</t>
        </is>
      </c>
      <c r="G263" t="n">
        <v>5.1</v>
      </c>
      <c r="H263" t="n">
        <v>0</v>
      </c>
      <c r="I263" t="n">
        <v>1</v>
      </c>
      <c r="J263" t="n">
        <v>0</v>
      </c>
      <c r="K263" t="n">
        <v>1</v>
      </c>
      <c r="L263" t="n">
        <v>0</v>
      </c>
      <c r="M263" t="n">
        <v>0</v>
      </c>
      <c r="N263" t="n">
        <v>0</v>
      </c>
      <c r="O263" t="n">
        <v>1</v>
      </c>
      <c r="P263" t="n">
        <v>1</v>
      </c>
      <c r="Q263" t="n">
        <v>2</v>
      </c>
      <c r="R263" s="2" t="inlineStr">
        <is>
          <t>Fläckporing
Dropptaggsvamp</t>
        </is>
      </c>
      <c r="S263">
        <f>HYPERLINK("https://klasma.github.io/Logging_2283/artfynd/A 35587-2023 artfynd.xlsx", "A 35587-2023")</f>
        <v/>
      </c>
      <c r="T263">
        <f>HYPERLINK("https://klasma.github.io/Logging_2283/kartor/A 35587-2023 karta.png", "A 35587-2023")</f>
        <v/>
      </c>
      <c r="V263">
        <f>HYPERLINK("https://klasma.github.io/Logging_2283/klagomål/A 35587-2023 FSC-klagomål.docx", "A 35587-2023")</f>
        <v/>
      </c>
      <c r="W263">
        <f>HYPERLINK("https://klasma.github.io/Logging_2283/klagomålsmail/A 35587-2023 FSC-klagomål mail.docx", "A 35587-2023")</f>
        <v/>
      </c>
      <c r="X263">
        <f>HYPERLINK("https://klasma.github.io/Logging_2283/tillsyn/A 35587-2023 tillsynsbegäran.docx", "A 35587-2023")</f>
        <v/>
      </c>
      <c r="Y263">
        <f>HYPERLINK("https://klasma.github.io/Logging_2283/tillsynsmail/A 35587-2023 tillsynsbegäran mail.docx", "A 35587-2023")</f>
        <v/>
      </c>
    </row>
    <row r="264" ht="15" customHeight="1">
      <c r="A264" t="inlineStr">
        <is>
          <t>A 38017-2024</t>
        </is>
      </c>
      <c r="B264" s="1" t="n">
        <v>45544</v>
      </c>
      <c r="C264" s="1" t="n">
        <v>45899</v>
      </c>
      <c r="D264" t="inlineStr">
        <is>
          <t>VÄSTERNORRLANDS LÄN</t>
        </is>
      </c>
      <c r="E264" t="inlineStr">
        <is>
          <t>SOLLEFTEÅ</t>
        </is>
      </c>
      <c r="F264" t="inlineStr">
        <is>
          <t>SCA</t>
        </is>
      </c>
      <c r="G264" t="n">
        <v>1.9</v>
      </c>
      <c r="H264" t="n">
        <v>0</v>
      </c>
      <c r="I264" t="n">
        <v>1</v>
      </c>
      <c r="J264" t="n">
        <v>1</v>
      </c>
      <c r="K264" t="n">
        <v>0</v>
      </c>
      <c r="L264" t="n">
        <v>0</v>
      </c>
      <c r="M264" t="n">
        <v>0</v>
      </c>
      <c r="N264" t="n">
        <v>0</v>
      </c>
      <c r="O264" t="n">
        <v>1</v>
      </c>
      <c r="P264" t="n">
        <v>0</v>
      </c>
      <c r="Q264" t="n">
        <v>2</v>
      </c>
      <c r="R264" s="2" t="inlineStr">
        <is>
          <t>Garnlav
Bårdlav</t>
        </is>
      </c>
      <c r="S264">
        <f>HYPERLINK("https://klasma.github.io/Logging_2283/artfynd/A 38017-2024 artfynd.xlsx", "A 38017-2024")</f>
        <v/>
      </c>
      <c r="T264">
        <f>HYPERLINK("https://klasma.github.io/Logging_2283/kartor/A 38017-2024 karta.png", "A 38017-2024")</f>
        <v/>
      </c>
      <c r="V264">
        <f>HYPERLINK("https://klasma.github.io/Logging_2283/klagomål/A 38017-2024 FSC-klagomål.docx", "A 38017-2024")</f>
        <v/>
      </c>
      <c r="W264">
        <f>HYPERLINK("https://klasma.github.io/Logging_2283/klagomålsmail/A 38017-2024 FSC-klagomål mail.docx", "A 38017-2024")</f>
        <v/>
      </c>
      <c r="X264">
        <f>HYPERLINK("https://klasma.github.io/Logging_2283/tillsyn/A 38017-2024 tillsynsbegäran.docx", "A 38017-2024")</f>
        <v/>
      </c>
      <c r="Y264">
        <f>HYPERLINK("https://klasma.github.io/Logging_2283/tillsynsmail/A 38017-2024 tillsynsbegäran mail.docx", "A 38017-2024")</f>
        <v/>
      </c>
    </row>
    <row r="265" ht="15" customHeight="1">
      <c r="A265" t="inlineStr">
        <is>
          <t>A 20329-2025</t>
        </is>
      </c>
      <c r="B265" s="1" t="n">
        <v>45775</v>
      </c>
      <c r="C265" s="1" t="n">
        <v>45899</v>
      </c>
      <c r="D265" t="inlineStr">
        <is>
          <t>VÄSTERNORRLANDS LÄN</t>
        </is>
      </c>
      <c r="E265" t="inlineStr">
        <is>
          <t>SOLLEFTEÅ</t>
        </is>
      </c>
      <c r="G265" t="n">
        <v>9.5</v>
      </c>
      <c r="H265" t="n">
        <v>2</v>
      </c>
      <c r="I265" t="n">
        <v>1</v>
      </c>
      <c r="J265" t="n">
        <v>0</v>
      </c>
      <c r="K265" t="n">
        <v>0</v>
      </c>
      <c r="L265" t="n">
        <v>0</v>
      </c>
      <c r="M265" t="n">
        <v>0</v>
      </c>
      <c r="N265" t="n">
        <v>0</v>
      </c>
      <c r="O265" t="n">
        <v>0</v>
      </c>
      <c r="P265" t="n">
        <v>0</v>
      </c>
      <c r="Q265" t="n">
        <v>2</v>
      </c>
      <c r="R265" s="2" t="inlineStr">
        <is>
          <t>Tvåblad
Fläcknycklar</t>
        </is>
      </c>
      <c r="S265">
        <f>HYPERLINK("https://klasma.github.io/Logging_2283/artfynd/A 20329-2025 artfynd.xlsx", "A 20329-2025")</f>
        <v/>
      </c>
      <c r="T265">
        <f>HYPERLINK("https://klasma.github.io/Logging_2283/kartor/A 20329-2025 karta.png", "A 20329-2025")</f>
        <v/>
      </c>
      <c r="V265">
        <f>HYPERLINK("https://klasma.github.io/Logging_2283/klagomål/A 20329-2025 FSC-klagomål.docx", "A 20329-2025")</f>
        <v/>
      </c>
      <c r="W265">
        <f>HYPERLINK("https://klasma.github.io/Logging_2283/klagomålsmail/A 20329-2025 FSC-klagomål mail.docx", "A 20329-2025")</f>
        <v/>
      </c>
      <c r="X265">
        <f>HYPERLINK("https://klasma.github.io/Logging_2283/tillsyn/A 20329-2025 tillsynsbegäran.docx", "A 20329-2025")</f>
        <v/>
      </c>
      <c r="Y265">
        <f>HYPERLINK("https://klasma.github.io/Logging_2283/tillsynsmail/A 20329-2025 tillsynsbegäran mail.docx", "A 20329-2025")</f>
        <v/>
      </c>
    </row>
    <row r="266" ht="15" customHeight="1">
      <c r="A266" t="inlineStr">
        <is>
          <t>A 31491-2024</t>
        </is>
      </c>
      <c r="B266" s="1" t="n">
        <v>45505</v>
      </c>
      <c r="C266" s="1" t="n">
        <v>45899</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53949-2023</t>
        </is>
      </c>
      <c r="B267" s="1" t="n">
        <v>45224</v>
      </c>
      <c r="C267" s="1" t="n">
        <v>45899</v>
      </c>
      <c r="D267" t="inlineStr">
        <is>
          <t>VÄSTERNORRLANDS LÄN</t>
        </is>
      </c>
      <c r="E267" t="inlineStr">
        <is>
          <t>SOLLEFTEÅ</t>
        </is>
      </c>
      <c r="G267" t="n">
        <v>4</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53949-2023 artfynd.xlsx", "A 53949-2023")</f>
        <v/>
      </c>
      <c r="T267">
        <f>HYPERLINK("https://klasma.github.io/Logging_2283/kartor/A 53949-2023 karta.png", "A 53949-2023")</f>
        <v/>
      </c>
      <c r="V267">
        <f>HYPERLINK("https://klasma.github.io/Logging_2283/klagomål/A 53949-2023 FSC-klagomål.docx", "A 53949-2023")</f>
        <v/>
      </c>
      <c r="W267">
        <f>HYPERLINK("https://klasma.github.io/Logging_2283/klagomålsmail/A 53949-2023 FSC-klagomål mail.docx", "A 53949-2023")</f>
        <v/>
      </c>
      <c r="X267">
        <f>HYPERLINK("https://klasma.github.io/Logging_2283/tillsyn/A 53949-2023 tillsynsbegäran.docx", "A 53949-2023")</f>
        <v/>
      </c>
      <c r="Y267">
        <f>HYPERLINK("https://klasma.github.io/Logging_2283/tillsynsmail/A 53949-2023 tillsynsbegäran mail.docx", "A 53949-2023")</f>
        <v/>
      </c>
    </row>
    <row r="268" ht="15" customHeight="1">
      <c r="A268" t="inlineStr">
        <is>
          <t>A 27983-2021</t>
        </is>
      </c>
      <c r="B268" s="1" t="n">
        <v>44354</v>
      </c>
      <c r="C268" s="1" t="n">
        <v>45899</v>
      </c>
      <c r="D268" t="inlineStr">
        <is>
          <t>VÄSTERNORRLANDS LÄN</t>
        </is>
      </c>
      <c r="E268" t="inlineStr">
        <is>
          <t>SOLLEFTEÅ</t>
        </is>
      </c>
      <c r="F268" t="inlineStr">
        <is>
          <t>SCA</t>
        </is>
      </c>
      <c r="G268" t="n">
        <v>5.4</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27983-2021 artfynd.xlsx", "A 27983-2021")</f>
        <v/>
      </c>
      <c r="T268">
        <f>HYPERLINK("https://klasma.github.io/Logging_2283/kartor/A 27983-2021 karta.png", "A 27983-2021")</f>
        <v/>
      </c>
      <c r="V268">
        <f>HYPERLINK("https://klasma.github.io/Logging_2283/klagomål/A 27983-2021 FSC-klagomål.docx", "A 27983-2021")</f>
        <v/>
      </c>
      <c r="W268">
        <f>HYPERLINK("https://klasma.github.io/Logging_2283/klagomålsmail/A 27983-2021 FSC-klagomål mail.docx", "A 27983-2021")</f>
        <v/>
      </c>
      <c r="X268">
        <f>HYPERLINK("https://klasma.github.io/Logging_2283/tillsyn/A 27983-2021 tillsynsbegäran.docx", "A 27983-2021")</f>
        <v/>
      </c>
      <c r="Y268">
        <f>HYPERLINK("https://klasma.github.io/Logging_2283/tillsynsmail/A 27983-2021 tillsynsbegäran mail.docx", "A 27983-2021")</f>
        <v/>
      </c>
    </row>
    <row r="269" ht="15" customHeight="1">
      <c r="A269" t="inlineStr">
        <is>
          <t>A 20347-2025</t>
        </is>
      </c>
      <c r="B269" s="1" t="n">
        <v>45775</v>
      </c>
      <c r="C269" s="1" t="n">
        <v>45899</v>
      </c>
      <c r="D269" t="inlineStr">
        <is>
          <t>VÄSTERNORRLANDS LÄN</t>
        </is>
      </c>
      <c r="E269" t="inlineStr">
        <is>
          <t>SOLLEFTEÅ</t>
        </is>
      </c>
      <c r="G269" t="n">
        <v>8.699999999999999</v>
      </c>
      <c r="H269" t="n">
        <v>1</v>
      </c>
      <c r="I269" t="n">
        <v>1</v>
      </c>
      <c r="J269" t="n">
        <v>0</v>
      </c>
      <c r="K269" t="n">
        <v>0</v>
      </c>
      <c r="L269" t="n">
        <v>0</v>
      </c>
      <c r="M269" t="n">
        <v>0</v>
      </c>
      <c r="N269" t="n">
        <v>0</v>
      </c>
      <c r="O269" t="n">
        <v>0</v>
      </c>
      <c r="P269" t="n">
        <v>0</v>
      </c>
      <c r="Q269" t="n">
        <v>2</v>
      </c>
      <c r="R269" s="2" t="inlineStr">
        <is>
          <t>Gräsull
Fläcknycklar</t>
        </is>
      </c>
      <c r="S269">
        <f>HYPERLINK("https://klasma.github.io/Logging_2283/artfynd/A 20347-2025 artfynd.xlsx", "A 20347-2025")</f>
        <v/>
      </c>
      <c r="T269">
        <f>HYPERLINK("https://klasma.github.io/Logging_2283/kartor/A 20347-2025 karta.png", "A 20347-2025")</f>
        <v/>
      </c>
      <c r="V269">
        <f>HYPERLINK("https://klasma.github.io/Logging_2283/klagomål/A 20347-2025 FSC-klagomål.docx", "A 20347-2025")</f>
        <v/>
      </c>
      <c r="W269">
        <f>HYPERLINK("https://klasma.github.io/Logging_2283/klagomålsmail/A 20347-2025 FSC-klagomål mail.docx", "A 20347-2025")</f>
        <v/>
      </c>
      <c r="X269">
        <f>HYPERLINK("https://klasma.github.io/Logging_2283/tillsyn/A 20347-2025 tillsynsbegäran.docx", "A 20347-2025")</f>
        <v/>
      </c>
      <c r="Y269">
        <f>HYPERLINK("https://klasma.github.io/Logging_2283/tillsynsmail/A 20347-2025 tillsynsbegäran mail.docx", "A 20347-2025")</f>
        <v/>
      </c>
    </row>
    <row r="270" ht="15" customHeight="1">
      <c r="A270" t="inlineStr">
        <is>
          <t>A 6698-2024</t>
        </is>
      </c>
      <c r="B270" s="1" t="n">
        <v>45341</v>
      </c>
      <c r="C270" s="1" t="n">
        <v>45899</v>
      </c>
      <c r="D270" t="inlineStr">
        <is>
          <t>VÄSTERNORRLANDS LÄN</t>
        </is>
      </c>
      <c r="E270" t="inlineStr">
        <is>
          <t>SOLLEFTEÅ</t>
        </is>
      </c>
      <c r="F270" t="inlineStr">
        <is>
          <t>SCA</t>
        </is>
      </c>
      <c r="G270" t="n">
        <v>3</v>
      </c>
      <c r="H270" t="n">
        <v>0</v>
      </c>
      <c r="I270" t="n">
        <v>0</v>
      </c>
      <c r="J270" t="n">
        <v>2</v>
      </c>
      <c r="K270" t="n">
        <v>0</v>
      </c>
      <c r="L270" t="n">
        <v>0</v>
      </c>
      <c r="M270" t="n">
        <v>0</v>
      </c>
      <c r="N270" t="n">
        <v>0</v>
      </c>
      <c r="O270" t="n">
        <v>2</v>
      </c>
      <c r="P270" t="n">
        <v>0</v>
      </c>
      <c r="Q270" t="n">
        <v>2</v>
      </c>
      <c r="R270" s="2" t="inlineStr">
        <is>
          <t>Granticka
Harticka</t>
        </is>
      </c>
      <c r="S270">
        <f>HYPERLINK("https://klasma.github.io/Logging_2283/artfynd/A 6698-2024 artfynd.xlsx", "A 6698-2024")</f>
        <v/>
      </c>
      <c r="T270">
        <f>HYPERLINK("https://klasma.github.io/Logging_2283/kartor/A 6698-2024 karta.png", "A 6698-2024")</f>
        <v/>
      </c>
      <c r="V270">
        <f>HYPERLINK("https://klasma.github.io/Logging_2283/klagomål/A 6698-2024 FSC-klagomål.docx", "A 6698-2024")</f>
        <v/>
      </c>
      <c r="W270">
        <f>HYPERLINK("https://klasma.github.io/Logging_2283/klagomålsmail/A 6698-2024 FSC-klagomål mail.docx", "A 6698-2024")</f>
        <v/>
      </c>
      <c r="X270">
        <f>HYPERLINK("https://klasma.github.io/Logging_2283/tillsyn/A 6698-2024 tillsynsbegäran.docx", "A 6698-2024")</f>
        <v/>
      </c>
      <c r="Y270">
        <f>HYPERLINK("https://klasma.github.io/Logging_2283/tillsynsmail/A 6698-2024 tillsynsbegäran mail.docx", "A 6698-2024")</f>
        <v/>
      </c>
    </row>
    <row r="271" ht="15" customHeight="1">
      <c r="A271" t="inlineStr">
        <is>
          <t>A 59020-2024</t>
        </is>
      </c>
      <c r="B271" s="1" t="n">
        <v>45636.67765046296</v>
      </c>
      <c r="C271" s="1" t="n">
        <v>45899</v>
      </c>
      <c r="D271" t="inlineStr">
        <is>
          <t>VÄSTERNORRLANDS LÄN</t>
        </is>
      </c>
      <c r="E271" t="inlineStr">
        <is>
          <t>SOLLEFTEÅ</t>
        </is>
      </c>
      <c r="F271" t="inlineStr">
        <is>
          <t>SCA</t>
        </is>
      </c>
      <c r="G271" t="n">
        <v>9.300000000000001</v>
      </c>
      <c r="H271" t="n">
        <v>0</v>
      </c>
      <c r="I271" t="n">
        <v>1</v>
      </c>
      <c r="J271" t="n">
        <v>1</v>
      </c>
      <c r="K271" t="n">
        <v>0</v>
      </c>
      <c r="L271" t="n">
        <v>0</v>
      </c>
      <c r="M271" t="n">
        <v>0</v>
      </c>
      <c r="N271" t="n">
        <v>0</v>
      </c>
      <c r="O271" t="n">
        <v>1</v>
      </c>
      <c r="P271" t="n">
        <v>0</v>
      </c>
      <c r="Q271" t="n">
        <v>2</v>
      </c>
      <c r="R271" s="2" t="inlineStr">
        <is>
          <t>Kortskaftad ärgspik
Bronshjon</t>
        </is>
      </c>
      <c r="S271">
        <f>HYPERLINK("https://klasma.github.io/Logging_2283/artfynd/A 59020-2024 artfynd.xlsx", "A 59020-2024")</f>
        <v/>
      </c>
      <c r="T271">
        <f>HYPERLINK("https://klasma.github.io/Logging_2283/kartor/A 59020-2024 karta.png", "A 59020-2024")</f>
        <v/>
      </c>
      <c r="V271">
        <f>HYPERLINK("https://klasma.github.io/Logging_2283/klagomål/A 59020-2024 FSC-klagomål.docx", "A 59020-2024")</f>
        <v/>
      </c>
      <c r="W271">
        <f>HYPERLINK("https://klasma.github.io/Logging_2283/klagomålsmail/A 59020-2024 FSC-klagomål mail.docx", "A 59020-2024")</f>
        <v/>
      </c>
      <c r="X271">
        <f>HYPERLINK("https://klasma.github.io/Logging_2283/tillsyn/A 59020-2024 tillsynsbegäran.docx", "A 59020-2024")</f>
        <v/>
      </c>
      <c r="Y271">
        <f>HYPERLINK("https://klasma.github.io/Logging_2283/tillsynsmail/A 59020-2024 tillsynsbegäran mail.docx", "A 59020-2024")</f>
        <v/>
      </c>
    </row>
    <row r="272" ht="15" customHeight="1">
      <c r="A272" t="inlineStr">
        <is>
          <t>A 2515-2024</t>
        </is>
      </c>
      <c r="B272" s="1" t="n">
        <v>45313</v>
      </c>
      <c r="C272" s="1" t="n">
        <v>45899</v>
      </c>
      <c r="D272" t="inlineStr">
        <is>
          <t>VÄSTERNORRLANDS LÄN</t>
        </is>
      </c>
      <c r="E272" t="inlineStr">
        <is>
          <t>SOLLEFTEÅ</t>
        </is>
      </c>
      <c r="F272" t="inlineStr">
        <is>
          <t>Kommuner</t>
        </is>
      </c>
      <c r="G272" t="n">
        <v>8.699999999999999</v>
      </c>
      <c r="H272" t="n">
        <v>1</v>
      </c>
      <c r="I272" t="n">
        <v>0</v>
      </c>
      <c r="J272" t="n">
        <v>2</v>
      </c>
      <c r="K272" t="n">
        <v>0</v>
      </c>
      <c r="L272" t="n">
        <v>0</v>
      </c>
      <c r="M272" t="n">
        <v>0</v>
      </c>
      <c r="N272" t="n">
        <v>0</v>
      </c>
      <c r="O272" t="n">
        <v>2</v>
      </c>
      <c r="P272" t="n">
        <v>0</v>
      </c>
      <c r="Q272" t="n">
        <v>2</v>
      </c>
      <c r="R272" s="2" t="inlineStr">
        <is>
          <t>Granticka
Talltita</t>
        </is>
      </c>
      <c r="S272">
        <f>HYPERLINK("https://klasma.github.io/Logging_2283/artfynd/A 2515-2024 artfynd.xlsx", "A 2515-2024")</f>
        <v/>
      </c>
      <c r="T272">
        <f>HYPERLINK("https://klasma.github.io/Logging_2283/kartor/A 2515-2024 karta.png", "A 2515-2024")</f>
        <v/>
      </c>
      <c r="V272">
        <f>HYPERLINK("https://klasma.github.io/Logging_2283/klagomål/A 2515-2024 FSC-klagomål.docx", "A 2515-2024")</f>
        <v/>
      </c>
      <c r="W272">
        <f>HYPERLINK("https://klasma.github.io/Logging_2283/klagomålsmail/A 2515-2024 FSC-klagomål mail.docx", "A 2515-2024")</f>
        <v/>
      </c>
      <c r="X272">
        <f>HYPERLINK("https://klasma.github.io/Logging_2283/tillsyn/A 2515-2024 tillsynsbegäran.docx", "A 2515-2024")</f>
        <v/>
      </c>
      <c r="Y272">
        <f>HYPERLINK("https://klasma.github.io/Logging_2283/tillsynsmail/A 2515-2024 tillsynsbegäran mail.docx", "A 2515-2024")</f>
        <v/>
      </c>
      <c r="Z272">
        <f>HYPERLINK("https://klasma.github.io/Logging_2283/fåglar/A 2515-2024 prioriterade fågelarter.docx", "A 2515-2024")</f>
        <v/>
      </c>
    </row>
    <row r="273" ht="15" customHeight="1">
      <c r="A273" t="inlineStr">
        <is>
          <t>A 27644-2024</t>
        </is>
      </c>
      <c r="B273" s="1" t="n">
        <v>45474</v>
      </c>
      <c r="C273" s="1" t="n">
        <v>45899</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48016-2024</t>
        </is>
      </c>
      <c r="B274" s="1" t="n">
        <v>45589.46909722222</v>
      </c>
      <c r="C274" s="1" t="n">
        <v>45899</v>
      </c>
      <c r="D274" t="inlineStr">
        <is>
          <t>VÄSTERNORRLANDS LÄN</t>
        </is>
      </c>
      <c r="E274" t="inlineStr">
        <is>
          <t>SOLLEFTEÅ</t>
        </is>
      </c>
      <c r="F274" t="inlineStr">
        <is>
          <t>SCA</t>
        </is>
      </c>
      <c r="G274" t="n">
        <v>2.6</v>
      </c>
      <c r="H274" t="n">
        <v>1</v>
      </c>
      <c r="I274" t="n">
        <v>0</v>
      </c>
      <c r="J274" t="n">
        <v>2</v>
      </c>
      <c r="K274" t="n">
        <v>0</v>
      </c>
      <c r="L274" t="n">
        <v>0</v>
      </c>
      <c r="M274" t="n">
        <v>0</v>
      </c>
      <c r="N274" t="n">
        <v>0</v>
      </c>
      <c r="O274" t="n">
        <v>2</v>
      </c>
      <c r="P274" t="n">
        <v>0</v>
      </c>
      <c r="Q274" t="n">
        <v>2</v>
      </c>
      <c r="R274" s="2" t="inlineStr">
        <is>
          <t>Järpe
Ullticka</t>
        </is>
      </c>
      <c r="S274">
        <f>HYPERLINK("https://klasma.github.io/Logging_2283/artfynd/A 48016-2024 artfynd.xlsx", "A 48016-2024")</f>
        <v/>
      </c>
      <c r="T274">
        <f>HYPERLINK("https://klasma.github.io/Logging_2283/kartor/A 48016-2024 karta.png", "A 48016-2024")</f>
        <v/>
      </c>
      <c r="V274">
        <f>HYPERLINK("https://klasma.github.io/Logging_2283/klagomål/A 48016-2024 FSC-klagomål.docx", "A 48016-2024")</f>
        <v/>
      </c>
      <c r="W274">
        <f>HYPERLINK("https://klasma.github.io/Logging_2283/klagomålsmail/A 48016-2024 FSC-klagomål mail.docx", "A 48016-2024")</f>
        <v/>
      </c>
      <c r="X274">
        <f>HYPERLINK("https://klasma.github.io/Logging_2283/tillsyn/A 48016-2024 tillsynsbegäran.docx", "A 48016-2024")</f>
        <v/>
      </c>
      <c r="Y274">
        <f>HYPERLINK("https://klasma.github.io/Logging_2283/tillsynsmail/A 48016-2024 tillsynsbegäran mail.docx", "A 48016-2024")</f>
        <v/>
      </c>
      <c r="Z274">
        <f>HYPERLINK("https://klasma.github.io/Logging_2283/fåglar/A 48016-2024 prioriterade fågelarter.docx", "A 48016-2024")</f>
        <v/>
      </c>
    </row>
    <row r="275" ht="15" customHeight="1">
      <c r="A275" t="inlineStr">
        <is>
          <t>A 20836-2021</t>
        </is>
      </c>
      <c r="B275" s="1" t="n">
        <v>44318</v>
      </c>
      <c r="C275" s="1" t="n">
        <v>45899</v>
      </c>
      <c r="D275" t="inlineStr">
        <is>
          <t>VÄSTERNORRLANDS LÄN</t>
        </is>
      </c>
      <c r="E275" t="inlineStr">
        <is>
          <t>SOLLEFTEÅ</t>
        </is>
      </c>
      <c r="F275" t="inlineStr">
        <is>
          <t>SCA</t>
        </is>
      </c>
      <c r="G275" t="n">
        <v>4.8</v>
      </c>
      <c r="H275" t="n">
        <v>1</v>
      </c>
      <c r="I275" t="n">
        <v>0</v>
      </c>
      <c r="J275" t="n">
        <v>2</v>
      </c>
      <c r="K275" t="n">
        <v>0</v>
      </c>
      <c r="L275" t="n">
        <v>0</v>
      </c>
      <c r="M275" t="n">
        <v>0</v>
      </c>
      <c r="N275" t="n">
        <v>0</v>
      </c>
      <c r="O275" t="n">
        <v>2</v>
      </c>
      <c r="P275" t="n">
        <v>0</v>
      </c>
      <c r="Q275" t="n">
        <v>2</v>
      </c>
      <c r="R275" s="2" t="inlineStr">
        <is>
          <t>Garnlav
Talltita</t>
        </is>
      </c>
      <c r="S275">
        <f>HYPERLINK("https://klasma.github.io/Logging_2283/artfynd/A 20836-2021 artfynd.xlsx", "A 20836-2021")</f>
        <v/>
      </c>
      <c r="T275">
        <f>HYPERLINK("https://klasma.github.io/Logging_2283/kartor/A 20836-2021 karta.png", "A 20836-2021")</f>
        <v/>
      </c>
      <c r="V275">
        <f>HYPERLINK("https://klasma.github.io/Logging_2283/klagomål/A 20836-2021 FSC-klagomål.docx", "A 20836-2021")</f>
        <v/>
      </c>
      <c r="W275">
        <f>HYPERLINK("https://klasma.github.io/Logging_2283/klagomålsmail/A 20836-2021 FSC-klagomål mail.docx", "A 20836-2021")</f>
        <v/>
      </c>
      <c r="X275">
        <f>HYPERLINK("https://klasma.github.io/Logging_2283/tillsyn/A 20836-2021 tillsynsbegäran.docx", "A 20836-2021")</f>
        <v/>
      </c>
      <c r="Y275">
        <f>HYPERLINK("https://klasma.github.io/Logging_2283/tillsynsmail/A 20836-2021 tillsynsbegäran mail.docx", "A 20836-2021")</f>
        <v/>
      </c>
      <c r="Z275">
        <f>HYPERLINK("https://klasma.github.io/Logging_2283/fåglar/A 20836-2021 prioriterade fågelarter.docx", "A 20836-2021")</f>
        <v/>
      </c>
    </row>
    <row r="276" ht="15" customHeight="1">
      <c r="A276" t="inlineStr">
        <is>
          <t>A 58314-2024</t>
        </is>
      </c>
      <c r="B276" s="1" t="n">
        <v>45632.61516203704</v>
      </c>
      <c r="C276" s="1" t="n">
        <v>45899</v>
      </c>
      <c r="D276" t="inlineStr">
        <is>
          <t>VÄSTERNORRLANDS LÄN</t>
        </is>
      </c>
      <c r="E276" t="inlineStr">
        <is>
          <t>SOLLEFTEÅ</t>
        </is>
      </c>
      <c r="F276" t="inlineStr">
        <is>
          <t>SCA</t>
        </is>
      </c>
      <c r="G276" t="n">
        <v>3.3</v>
      </c>
      <c r="H276" t="n">
        <v>0</v>
      </c>
      <c r="I276" t="n">
        <v>0</v>
      </c>
      <c r="J276" t="n">
        <v>2</v>
      </c>
      <c r="K276" t="n">
        <v>0</v>
      </c>
      <c r="L276" t="n">
        <v>0</v>
      </c>
      <c r="M276" t="n">
        <v>0</v>
      </c>
      <c r="N276" t="n">
        <v>0</v>
      </c>
      <c r="O276" t="n">
        <v>2</v>
      </c>
      <c r="P276" t="n">
        <v>0</v>
      </c>
      <c r="Q276" t="n">
        <v>2</v>
      </c>
      <c r="R276" s="2" t="inlineStr">
        <is>
          <t>Garnlav
Gränsticka</t>
        </is>
      </c>
      <c r="S276">
        <f>HYPERLINK("https://klasma.github.io/Logging_2283/artfynd/A 58314-2024 artfynd.xlsx", "A 58314-2024")</f>
        <v/>
      </c>
      <c r="T276">
        <f>HYPERLINK("https://klasma.github.io/Logging_2283/kartor/A 58314-2024 karta.png", "A 58314-2024")</f>
        <v/>
      </c>
      <c r="V276">
        <f>HYPERLINK("https://klasma.github.io/Logging_2283/klagomål/A 58314-2024 FSC-klagomål.docx", "A 58314-2024")</f>
        <v/>
      </c>
      <c r="W276">
        <f>HYPERLINK("https://klasma.github.io/Logging_2283/klagomålsmail/A 58314-2024 FSC-klagomål mail.docx", "A 58314-2024")</f>
        <v/>
      </c>
      <c r="X276">
        <f>HYPERLINK("https://klasma.github.io/Logging_2283/tillsyn/A 58314-2024 tillsynsbegäran.docx", "A 58314-2024")</f>
        <v/>
      </c>
      <c r="Y276">
        <f>HYPERLINK("https://klasma.github.io/Logging_2283/tillsynsmail/A 58314-2024 tillsynsbegäran mail.docx", "A 58314-2024")</f>
        <v/>
      </c>
    </row>
    <row r="277" ht="15" customHeight="1">
      <c r="A277" t="inlineStr">
        <is>
          <t>A 58572-2021</t>
        </is>
      </c>
      <c r="B277" s="1" t="n">
        <v>44488</v>
      </c>
      <c r="C277" s="1" t="n">
        <v>45899</v>
      </c>
      <c r="D277" t="inlineStr">
        <is>
          <t>VÄSTERNORRLANDS LÄN</t>
        </is>
      </c>
      <c r="E277" t="inlineStr">
        <is>
          <t>SOLLEFTEÅ</t>
        </is>
      </c>
      <c r="G277" t="n">
        <v>0.1</v>
      </c>
      <c r="H277" t="n">
        <v>0</v>
      </c>
      <c r="I277" t="n">
        <v>0</v>
      </c>
      <c r="J277" t="n">
        <v>1</v>
      </c>
      <c r="K277" t="n">
        <v>0</v>
      </c>
      <c r="L277" t="n">
        <v>0</v>
      </c>
      <c r="M277" t="n">
        <v>0</v>
      </c>
      <c r="N277" t="n">
        <v>0</v>
      </c>
      <c r="O277" t="n">
        <v>1</v>
      </c>
      <c r="P277" t="n">
        <v>0</v>
      </c>
      <c r="Q277" t="n">
        <v>1</v>
      </c>
      <c r="R277" s="2" t="inlineStr">
        <is>
          <t>Brunklöver</t>
        </is>
      </c>
      <c r="S277">
        <f>HYPERLINK("https://klasma.github.io/Logging_2283/artfynd/A 58572-2021 artfynd.xlsx", "A 58572-2021")</f>
        <v/>
      </c>
      <c r="T277">
        <f>HYPERLINK("https://klasma.github.io/Logging_2283/kartor/A 58572-2021 karta.png", "A 58572-2021")</f>
        <v/>
      </c>
      <c r="V277">
        <f>HYPERLINK("https://klasma.github.io/Logging_2283/klagomål/A 58572-2021 FSC-klagomål.docx", "A 58572-2021")</f>
        <v/>
      </c>
      <c r="W277">
        <f>HYPERLINK("https://klasma.github.io/Logging_2283/klagomålsmail/A 58572-2021 FSC-klagomål mail.docx", "A 58572-2021")</f>
        <v/>
      </c>
      <c r="X277">
        <f>HYPERLINK("https://klasma.github.io/Logging_2283/tillsyn/A 58572-2021 tillsynsbegäran.docx", "A 58572-2021")</f>
        <v/>
      </c>
      <c r="Y277">
        <f>HYPERLINK("https://klasma.github.io/Logging_2283/tillsynsmail/A 58572-2021 tillsynsbegäran mail.docx", "A 58572-2021")</f>
        <v/>
      </c>
    </row>
    <row r="278" ht="15" customHeight="1">
      <c r="A278" t="inlineStr">
        <is>
          <t>A 68789-2020</t>
        </is>
      </c>
      <c r="B278" s="1" t="n">
        <v>44186</v>
      </c>
      <c r="C278" s="1" t="n">
        <v>45899</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47840-2020</t>
        </is>
      </c>
      <c r="B279" s="1" t="n">
        <v>44098</v>
      </c>
      <c r="C279" s="1" t="n">
        <v>45899</v>
      </c>
      <c r="D279" t="inlineStr">
        <is>
          <t>VÄSTERNORRLANDS LÄN</t>
        </is>
      </c>
      <c r="E279" t="inlineStr">
        <is>
          <t>SOLLEFTEÅ</t>
        </is>
      </c>
      <c r="F279" t="inlineStr">
        <is>
          <t>SCA</t>
        </is>
      </c>
      <c r="G279" t="n">
        <v>9.699999999999999</v>
      </c>
      <c r="H279" t="n">
        <v>1</v>
      </c>
      <c r="I279" t="n">
        <v>0</v>
      </c>
      <c r="J279" t="n">
        <v>0</v>
      </c>
      <c r="K279" t="n">
        <v>1</v>
      </c>
      <c r="L279" t="n">
        <v>0</v>
      </c>
      <c r="M279" t="n">
        <v>0</v>
      </c>
      <c r="N279" t="n">
        <v>0</v>
      </c>
      <c r="O279" t="n">
        <v>1</v>
      </c>
      <c r="P279" t="n">
        <v>1</v>
      </c>
      <c r="Q279" t="n">
        <v>1</v>
      </c>
      <c r="R279" s="2" t="inlineStr">
        <is>
          <t>Knärot</t>
        </is>
      </c>
      <c r="S279">
        <f>HYPERLINK("https://klasma.github.io/Logging_2283/artfynd/A 47840-2020 artfynd.xlsx", "A 47840-2020")</f>
        <v/>
      </c>
      <c r="T279">
        <f>HYPERLINK("https://klasma.github.io/Logging_2283/kartor/A 47840-2020 karta.png", "A 47840-2020")</f>
        <v/>
      </c>
      <c r="U279">
        <f>HYPERLINK("https://klasma.github.io/Logging_2283/knärot/A 47840-2020 karta knärot.png", "A 47840-2020")</f>
        <v/>
      </c>
      <c r="V279">
        <f>HYPERLINK("https://klasma.github.io/Logging_2283/klagomål/A 47840-2020 FSC-klagomål.docx", "A 47840-2020")</f>
        <v/>
      </c>
      <c r="W279">
        <f>HYPERLINK("https://klasma.github.io/Logging_2283/klagomålsmail/A 47840-2020 FSC-klagomål mail.docx", "A 47840-2020")</f>
        <v/>
      </c>
      <c r="X279">
        <f>HYPERLINK("https://klasma.github.io/Logging_2283/tillsyn/A 47840-2020 tillsynsbegäran.docx", "A 47840-2020")</f>
        <v/>
      </c>
      <c r="Y279">
        <f>HYPERLINK("https://klasma.github.io/Logging_2283/tillsynsmail/A 47840-2020 tillsynsbegäran mail.docx", "A 47840-2020")</f>
        <v/>
      </c>
    </row>
    <row r="280" ht="15" customHeight="1">
      <c r="A280" t="inlineStr">
        <is>
          <t>A 29037-2022</t>
        </is>
      </c>
      <c r="B280" s="1" t="n">
        <v>44749</v>
      </c>
      <c r="C280" s="1" t="n">
        <v>45899</v>
      </c>
      <c r="D280" t="inlineStr">
        <is>
          <t>VÄSTERNORRLANDS LÄN</t>
        </is>
      </c>
      <c r="E280" t="inlineStr">
        <is>
          <t>SOLLEFTEÅ</t>
        </is>
      </c>
      <c r="F280" t="inlineStr">
        <is>
          <t>SCA</t>
        </is>
      </c>
      <c r="G280" t="n">
        <v>1</v>
      </c>
      <c r="H280" t="n">
        <v>0</v>
      </c>
      <c r="I280" t="n">
        <v>1</v>
      </c>
      <c r="J280" t="n">
        <v>0</v>
      </c>
      <c r="K280" t="n">
        <v>0</v>
      </c>
      <c r="L280" t="n">
        <v>0</v>
      </c>
      <c r="M280" t="n">
        <v>0</v>
      </c>
      <c r="N280" t="n">
        <v>0</v>
      </c>
      <c r="O280" t="n">
        <v>0</v>
      </c>
      <c r="P280" t="n">
        <v>0</v>
      </c>
      <c r="Q280" t="n">
        <v>1</v>
      </c>
      <c r="R280" s="2" t="inlineStr">
        <is>
          <t>Vanlig flatbagge</t>
        </is>
      </c>
      <c r="S280">
        <f>HYPERLINK("https://klasma.github.io/Logging_2283/artfynd/A 29037-2022 artfynd.xlsx", "A 29037-2022")</f>
        <v/>
      </c>
      <c r="T280">
        <f>HYPERLINK("https://klasma.github.io/Logging_2283/kartor/A 29037-2022 karta.png", "A 29037-2022")</f>
        <v/>
      </c>
      <c r="V280">
        <f>HYPERLINK("https://klasma.github.io/Logging_2283/klagomål/A 29037-2022 FSC-klagomål.docx", "A 29037-2022")</f>
        <v/>
      </c>
      <c r="W280">
        <f>HYPERLINK("https://klasma.github.io/Logging_2283/klagomålsmail/A 29037-2022 FSC-klagomål mail.docx", "A 29037-2022")</f>
        <v/>
      </c>
      <c r="X280">
        <f>HYPERLINK("https://klasma.github.io/Logging_2283/tillsyn/A 29037-2022 tillsynsbegäran.docx", "A 29037-2022")</f>
        <v/>
      </c>
      <c r="Y280">
        <f>HYPERLINK("https://klasma.github.io/Logging_2283/tillsynsmail/A 29037-2022 tillsynsbegäran mail.docx", "A 29037-2022")</f>
        <v/>
      </c>
    </row>
    <row r="281" ht="15" customHeight="1">
      <c r="A281" t="inlineStr">
        <is>
          <t>A 51019-2021</t>
        </is>
      </c>
      <c r="B281" s="1" t="n">
        <v>44460</v>
      </c>
      <c r="C281" s="1" t="n">
        <v>45899</v>
      </c>
      <c r="D281" t="inlineStr">
        <is>
          <t>VÄSTERNORRLANDS LÄN</t>
        </is>
      </c>
      <c r="E281" t="inlineStr">
        <is>
          <t>SOLLEFTEÅ</t>
        </is>
      </c>
      <c r="F281" t="inlineStr">
        <is>
          <t>SCA</t>
        </is>
      </c>
      <c r="G281" t="n">
        <v>2.1</v>
      </c>
      <c r="H281" t="n">
        <v>1</v>
      </c>
      <c r="I281" t="n">
        <v>0</v>
      </c>
      <c r="J281" t="n">
        <v>0</v>
      </c>
      <c r="K281" t="n">
        <v>0</v>
      </c>
      <c r="L281" t="n">
        <v>0</v>
      </c>
      <c r="M281" t="n">
        <v>0</v>
      </c>
      <c r="N281" t="n">
        <v>0</v>
      </c>
      <c r="O281" t="n">
        <v>0</v>
      </c>
      <c r="P281" t="n">
        <v>0</v>
      </c>
      <c r="Q281" t="n">
        <v>1</v>
      </c>
      <c r="R281" s="2" t="inlineStr">
        <is>
          <t>Fläcknycklar</t>
        </is>
      </c>
      <c r="S281">
        <f>HYPERLINK("https://klasma.github.io/Logging_2283/artfynd/A 51019-2021 artfynd.xlsx", "A 51019-2021")</f>
        <v/>
      </c>
      <c r="T281">
        <f>HYPERLINK("https://klasma.github.io/Logging_2283/kartor/A 51019-2021 karta.png", "A 51019-2021")</f>
        <v/>
      </c>
      <c r="V281">
        <f>HYPERLINK("https://klasma.github.io/Logging_2283/klagomål/A 51019-2021 FSC-klagomål.docx", "A 51019-2021")</f>
        <v/>
      </c>
      <c r="W281">
        <f>HYPERLINK("https://klasma.github.io/Logging_2283/klagomålsmail/A 51019-2021 FSC-klagomål mail.docx", "A 51019-2021")</f>
        <v/>
      </c>
      <c r="X281">
        <f>HYPERLINK("https://klasma.github.io/Logging_2283/tillsyn/A 51019-2021 tillsynsbegäran.docx", "A 51019-2021")</f>
        <v/>
      </c>
      <c r="Y281">
        <f>HYPERLINK("https://klasma.github.io/Logging_2283/tillsynsmail/A 51019-2021 tillsynsbegäran mail.docx", "A 51019-2021")</f>
        <v/>
      </c>
    </row>
    <row r="282" ht="15" customHeight="1">
      <c r="A282" t="inlineStr">
        <is>
          <t>A 67402-2021</t>
        </is>
      </c>
      <c r="B282" s="1" t="n">
        <v>44523</v>
      </c>
      <c r="C282" s="1" t="n">
        <v>45899</v>
      </c>
      <c r="D282" t="inlineStr">
        <is>
          <t>VÄSTERNORRLANDS LÄN</t>
        </is>
      </c>
      <c r="E282" t="inlineStr">
        <is>
          <t>SOLLEFTEÅ</t>
        </is>
      </c>
      <c r="F282" t="inlineStr">
        <is>
          <t>SCA</t>
        </is>
      </c>
      <c r="G282" t="n">
        <v>11</v>
      </c>
      <c r="H282" t="n">
        <v>1</v>
      </c>
      <c r="I282" t="n">
        <v>0</v>
      </c>
      <c r="J282" t="n">
        <v>0</v>
      </c>
      <c r="K282" t="n">
        <v>1</v>
      </c>
      <c r="L282" t="n">
        <v>0</v>
      </c>
      <c r="M282" t="n">
        <v>0</v>
      </c>
      <c r="N282" t="n">
        <v>0</v>
      </c>
      <c r="O282" t="n">
        <v>1</v>
      </c>
      <c r="P282" t="n">
        <v>1</v>
      </c>
      <c r="Q282" t="n">
        <v>1</v>
      </c>
      <c r="R282" s="2" t="inlineStr">
        <is>
          <t>Knärot</t>
        </is>
      </c>
      <c r="S282">
        <f>HYPERLINK("https://klasma.github.io/Logging_2283/artfynd/A 67402-2021 artfynd.xlsx", "A 67402-2021")</f>
        <v/>
      </c>
      <c r="T282">
        <f>HYPERLINK("https://klasma.github.io/Logging_2283/kartor/A 67402-2021 karta.png", "A 67402-2021")</f>
        <v/>
      </c>
      <c r="U282">
        <f>HYPERLINK("https://klasma.github.io/Logging_2283/knärot/A 67402-2021 karta knärot.png", "A 67402-2021")</f>
        <v/>
      </c>
      <c r="V282">
        <f>HYPERLINK("https://klasma.github.io/Logging_2283/klagomål/A 67402-2021 FSC-klagomål.docx", "A 67402-2021")</f>
        <v/>
      </c>
      <c r="W282">
        <f>HYPERLINK("https://klasma.github.io/Logging_2283/klagomålsmail/A 67402-2021 FSC-klagomål mail.docx", "A 67402-2021")</f>
        <v/>
      </c>
      <c r="X282">
        <f>HYPERLINK("https://klasma.github.io/Logging_2283/tillsyn/A 67402-2021 tillsynsbegäran.docx", "A 67402-2021")</f>
        <v/>
      </c>
      <c r="Y282">
        <f>HYPERLINK("https://klasma.github.io/Logging_2283/tillsynsmail/A 67402-2021 tillsynsbegäran mail.docx", "A 67402-2021")</f>
        <v/>
      </c>
    </row>
    <row r="283" ht="15" customHeight="1">
      <c r="A283" t="inlineStr">
        <is>
          <t>A 15101-2021</t>
        </is>
      </c>
      <c r="B283" s="1" t="n">
        <v>44281.93871527778</v>
      </c>
      <c r="C283" s="1" t="n">
        <v>45899</v>
      </c>
      <c r="D283" t="inlineStr">
        <is>
          <t>VÄSTERNORRLANDS LÄN</t>
        </is>
      </c>
      <c r="E283" t="inlineStr">
        <is>
          <t>SOLLEFTEÅ</t>
        </is>
      </c>
      <c r="F283" t="inlineStr">
        <is>
          <t>SCA</t>
        </is>
      </c>
      <c r="G283" t="n">
        <v>1.1</v>
      </c>
      <c r="H283" t="n">
        <v>0</v>
      </c>
      <c r="I283" t="n">
        <v>0</v>
      </c>
      <c r="J283" t="n">
        <v>1</v>
      </c>
      <c r="K283" t="n">
        <v>0</v>
      </c>
      <c r="L283" t="n">
        <v>0</v>
      </c>
      <c r="M283" t="n">
        <v>0</v>
      </c>
      <c r="N283" t="n">
        <v>0</v>
      </c>
      <c r="O283" t="n">
        <v>1</v>
      </c>
      <c r="P283" t="n">
        <v>0</v>
      </c>
      <c r="Q283" t="n">
        <v>1</v>
      </c>
      <c r="R283" s="2" t="inlineStr">
        <is>
          <t>Garnlav</t>
        </is>
      </c>
      <c r="S283">
        <f>HYPERLINK("https://klasma.github.io/Logging_2283/artfynd/A 15101-2021 artfynd.xlsx", "A 15101-2021")</f>
        <v/>
      </c>
      <c r="T283">
        <f>HYPERLINK("https://klasma.github.io/Logging_2283/kartor/A 15101-2021 karta.png", "A 15101-2021")</f>
        <v/>
      </c>
      <c r="V283">
        <f>HYPERLINK("https://klasma.github.io/Logging_2283/klagomål/A 15101-2021 FSC-klagomål.docx", "A 15101-2021")</f>
        <v/>
      </c>
      <c r="W283">
        <f>HYPERLINK("https://klasma.github.io/Logging_2283/klagomålsmail/A 15101-2021 FSC-klagomål mail.docx", "A 15101-2021")</f>
        <v/>
      </c>
      <c r="X283">
        <f>HYPERLINK("https://klasma.github.io/Logging_2283/tillsyn/A 15101-2021 tillsynsbegäran.docx", "A 15101-2021")</f>
        <v/>
      </c>
      <c r="Y283">
        <f>HYPERLINK("https://klasma.github.io/Logging_2283/tillsynsmail/A 15101-2021 tillsynsbegäran mail.docx", "A 15101-2021")</f>
        <v/>
      </c>
    </row>
    <row r="284" ht="15" customHeight="1">
      <c r="A284" t="inlineStr">
        <is>
          <t>A 71349-2021</t>
        </is>
      </c>
      <c r="B284" s="1" t="n">
        <v>44539</v>
      </c>
      <c r="C284" s="1" t="n">
        <v>45899</v>
      </c>
      <c r="D284" t="inlineStr">
        <is>
          <t>VÄSTERNORRLANDS LÄN</t>
        </is>
      </c>
      <c r="E284" t="inlineStr">
        <is>
          <t>SOLLEFTEÅ</t>
        </is>
      </c>
      <c r="G284" t="n">
        <v>0.5</v>
      </c>
      <c r="H284" t="n">
        <v>1</v>
      </c>
      <c r="I284" t="n">
        <v>0</v>
      </c>
      <c r="J284" t="n">
        <v>1</v>
      </c>
      <c r="K284" t="n">
        <v>0</v>
      </c>
      <c r="L284" t="n">
        <v>0</v>
      </c>
      <c r="M284" t="n">
        <v>0</v>
      </c>
      <c r="N284" t="n">
        <v>0</v>
      </c>
      <c r="O284" t="n">
        <v>1</v>
      </c>
      <c r="P284" t="n">
        <v>0</v>
      </c>
      <c r="Q284" t="n">
        <v>1</v>
      </c>
      <c r="R284" s="2" t="inlineStr">
        <is>
          <t>Björktrast</t>
        </is>
      </c>
      <c r="S284">
        <f>HYPERLINK("https://klasma.github.io/Logging_2283/artfynd/A 71349-2021 artfynd.xlsx", "A 71349-2021")</f>
        <v/>
      </c>
      <c r="T284">
        <f>HYPERLINK("https://klasma.github.io/Logging_2283/kartor/A 71349-2021 karta.png", "A 71349-2021")</f>
        <v/>
      </c>
      <c r="V284">
        <f>HYPERLINK("https://klasma.github.io/Logging_2283/klagomål/A 71349-2021 FSC-klagomål.docx", "A 71349-2021")</f>
        <v/>
      </c>
      <c r="W284">
        <f>HYPERLINK("https://klasma.github.io/Logging_2283/klagomålsmail/A 71349-2021 FSC-klagomål mail.docx", "A 71349-2021")</f>
        <v/>
      </c>
      <c r="X284">
        <f>HYPERLINK("https://klasma.github.io/Logging_2283/tillsyn/A 71349-2021 tillsynsbegäran.docx", "A 71349-2021")</f>
        <v/>
      </c>
      <c r="Y284">
        <f>HYPERLINK("https://klasma.github.io/Logging_2283/tillsynsmail/A 71349-2021 tillsynsbegäran mail.docx", "A 71349-2021")</f>
        <v/>
      </c>
      <c r="Z284">
        <f>HYPERLINK("https://klasma.github.io/Logging_2283/fåglar/A 71349-2021 prioriterade fågelarter.docx", "A 71349-2021")</f>
        <v/>
      </c>
    </row>
    <row r="285" ht="15" customHeight="1">
      <c r="A285" t="inlineStr">
        <is>
          <t>A 30047-2022</t>
        </is>
      </c>
      <c r="B285" s="1" t="n">
        <v>44756.94622685185</v>
      </c>
      <c r="C285" s="1" t="n">
        <v>45899</v>
      </c>
      <c r="D285" t="inlineStr">
        <is>
          <t>VÄSTERNORRLANDS LÄN</t>
        </is>
      </c>
      <c r="E285" t="inlineStr">
        <is>
          <t>SOLLEFTEÅ</t>
        </is>
      </c>
      <c r="F285" t="inlineStr">
        <is>
          <t>SCA</t>
        </is>
      </c>
      <c r="G285" t="n">
        <v>2.5</v>
      </c>
      <c r="H285" t="n">
        <v>0</v>
      </c>
      <c r="I285" t="n">
        <v>0</v>
      </c>
      <c r="J285" t="n">
        <v>1</v>
      </c>
      <c r="K285" t="n">
        <v>0</v>
      </c>
      <c r="L285" t="n">
        <v>0</v>
      </c>
      <c r="M285" t="n">
        <v>0</v>
      </c>
      <c r="N285" t="n">
        <v>0</v>
      </c>
      <c r="O285" t="n">
        <v>1</v>
      </c>
      <c r="P285" t="n">
        <v>0</v>
      </c>
      <c r="Q285" t="n">
        <v>1</v>
      </c>
      <c r="R285" s="2" t="inlineStr">
        <is>
          <t>Garnlav</t>
        </is>
      </c>
      <c r="S285">
        <f>HYPERLINK("https://klasma.github.io/Logging_2283/artfynd/A 30047-2022 artfynd.xlsx", "A 30047-2022")</f>
        <v/>
      </c>
      <c r="T285">
        <f>HYPERLINK("https://klasma.github.io/Logging_2283/kartor/A 30047-2022 karta.png", "A 30047-2022")</f>
        <v/>
      </c>
      <c r="V285">
        <f>HYPERLINK("https://klasma.github.io/Logging_2283/klagomål/A 30047-2022 FSC-klagomål.docx", "A 30047-2022")</f>
        <v/>
      </c>
      <c r="W285">
        <f>HYPERLINK("https://klasma.github.io/Logging_2283/klagomålsmail/A 30047-2022 FSC-klagomål mail.docx", "A 30047-2022")</f>
        <v/>
      </c>
      <c r="X285">
        <f>HYPERLINK("https://klasma.github.io/Logging_2283/tillsyn/A 30047-2022 tillsynsbegäran.docx", "A 30047-2022")</f>
        <v/>
      </c>
      <c r="Y285">
        <f>HYPERLINK("https://klasma.github.io/Logging_2283/tillsynsmail/A 30047-2022 tillsynsbegäran mail.docx", "A 30047-2022")</f>
        <v/>
      </c>
    </row>
    <row r="286" ht="15" customHeight="1">
      <c r="A286" t="inlineStr">
        <is>
          <t>A 44763-2022</t>
        </is>
      </c>
      <c r="B286" s="1" t="n">
        <v>44840</v>
      </c>
      <c r="C286" s="1" t="n">
        <v>45899</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22323-2022</t>
        </is>
      </c>
      <c r="B287" s="1" t="n">
        <v>44712.94081018519</v>
      </c>
      <c r="C287" s="1" t="n">
        <v>45899</v>
      </c>
      <c r="D287" t="inlineStr">
        <is>
          <t>VÄSTERNORRLANDS LÄN</t>
        </is>
      </c>
      <c r="E287" t="inlineStr">
        <is>
          <t>SOLLEFTEÅ</t>
        </is>
      </c>
      <c r="F287" t="inlineStr">
        <is>
          <t>SCA</t>
        </is>
      </c>
      <c r="G287" t="n">
        <v>1.8</v>
      </c>
      <c r="H287" t="n">
        <v>0</v>
      </c>
      <c r="I287" t="n">
        <v>0</v>
      </c>
      <c r="J287" t="n">
        <v>1</v>
      </c>
      <c r="K287" t="n">
        <v>0</v>
      </c>
      <c r="L287" t="n">
        <v>0</v>
      </c>
      <c r="M287" t="n">
        <v>0</v>
      </c>
      <c r="N287" t="n">
        <v>0</v>
      </c>
      <c r="O287" t="n">
        <v>1</v>
      </c>
      <c r="P287" t="n">
        <v>0</v>
      </c>
      <c r="Q287" t="n">
        <v>1</v>
      </c>
      <c r="R287" s="2" t="inlineStr">
        <is>
          <t>Granticka</t>
        </is>
      </c>
      <c r="S287">
        <f>HYPERLINK("https://klasma.github.io/Logging_2283/artfynd/A 22323-2022 artfynd.xlsx", "A 22323-2022")</f>
        <v/>
      </c>
      <c r="T287">
        <f>HYPERLINK("https://klasma.github.io/Logging_2283/kartor/A 22323-2022 karta.png", "A 22323-2022")</f>
        <v/>
      </c>
      <c r="V287">
        <f>HYPERLINK("https://klasma.github.io/Logging_2283/klagomål/A 22323-2022 FSC-klagomål.docx", "A 22323-2022")</f>
        <v/>
      </c>
      <c r="W287">
        <f>HYPERLINK("https://klasma.github.io/Logging_2283/klagomålsmail/A 22323-2022 FSC-klagomål mail.docx", "A 22323-2022")</f>
        <v/>
      </c>
      <c r="X287">
        <f>HYPERLINK("https://klasma.github.io/Logging_2283/tillsyn/A 22323-2022 tillsynsbegäran.docx", "A 22323-2022")</f>
        <v/>
      </c>
      <c r="Y287">
        <f>HYPERLINK("https://klasma.github.io/Logging_2283/tillsynsmail/A 22323-2022 tillsynsbegäran mail.docx", "A 22323-2022")</f>
        <v/>
      </c>
    </row>
    <row r="288" ht="15" customHeight="1">
      <c r="A288" t="inlineStr">
        <is>
          <t>A 40626-2022</t>
        </is>
      </c>
      <c r="B288" s="1" t="n">
        <v>44823.95071759259</v>
      </c>
      <c r="C288" s="1" t="n">
        <v>45899</v>
      </c>
      <c r="D288" t="inlineStr">
        <is>
          <t>VÄSTERNORRLANDS LÄN</t>
        </is>
      </c>
      <c r="E288" t="inlineStr">
        <is>
          <t>SOLLEFTEÅ</t>
        </is>
      </c>
      <c r="F288" t="inlineStr">
        <is>
          <t>SCA</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HYPERLINK("https://klasma.github.io/Logging_2283/artfynd/A 40626-2022 artfynd.xlsx", "A 40626-2022")</f>
        <v/>
      </c>
      <c r="T288">
        <f>HYPERLINK("https://klasma.github.io/Logging_2283/kartor/A 40626-2022 karta.png", "A 40626-2022")</f>
        <v/>
      </c>
      <c r="V288">
        <f>HYPERLINK("https://klasma.github.io/Logging_2283/klagomål/A 40626-2022 FSC-klagomål.docx", "A 40626-2022")</f>
        <v/>
      </c>
      <c r="W288">
        <f>HYPERLINK("https://klasma.github.io/Logging_2283/klagomålsmail/A 40626-2022 FSC-klagomål mail.docx", "A 40626-2022")</f>
        <v/>
      </c>
      <c r="X288">
        <f>HYPERLINK("https://klasma.github.io/Logging_2283/tillsyn/A 40626-2022 tillsynsbegäran.docx", "A 40626-2022")</f>
        <v/>
      </c>
      <c r="Y288">
        <f>HYPERLINK("https://klasma.github.io/Logging_2283/tillsynsmail/A 40626-2022 tillsynsbegäran mail.docx", "A 40626-2022")</f>
        <v/>
      </c>
      <c r="Z288">
        <f>HYPERLINK("https://klasma.github.io/Logging_2283/fåglar/A 40626-2022 prioriterade fågelarter.docx", "A 40626-2022")</f>
        <v/>
      </c>
    </row>
    <row r="289" ht="15" customHeight="1">
      <c r="A289" t="inlineStr">
        <is>
          <t>A 27106-2022</t>
        </is>
      </c>
      <c r="B289" s="1" t="n">
        <v>44741</v>
      </c>
      <c r="C289" s="1" t="n">
        <v>45899</v>
      </c>
      <c r="D289" t="inlineStr">
        <is>
          <t>VÄSTERNORRLANDS LÄN</t>
        </is>
      </c>
      <c r="E289" t="inlineStr">
        <is>
          <t>SOLLEFTEÅ</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HYPERLINK("https://klasma.github.io/Logging_2283/artfynd/A 27106-2022 artfynd.xlsx", "A 27106-2022")</f>
        <v/>
      </c>
      <c r="T289">
        <f>HYPERLINK("https://klasma.github.io/Logging_2283/kartor/A 27106-2022 karta.png", "A 27106-2022")</f>
        <v/>
      </c>
      <c r="V289">
        <f>HYPERLINK("https://klasma.github.io/Logging_2283/klagomål/A 27106-2022 FSC-klagomål.docx", "A 27106-2022")</f>
        <v/>
      </c>
      <c r="W289">
        <f>HYPERLINK("https://klasma.github.io/Logging_2283/klagomålsmail/A 27106-2022 FSC-klagomål mail.docx", "A 27106-2022")</f>
        <v/>
      </c>
      <c r="X289">
        <f>HYPERLINK("https://klasma.github.io/Logging_2283/tillsyn/A 27106-2022 tillsynsbegäran.docx", "A 27106-2022")</f>
        <v/>
      </c>
      <c r="Y289">
        <f>HYPERLINK("https://klasma.github.io/Logging_2283/tillsynsmail/A 27106-2022 tillsynsbegäran mail.docx", "A 27106-2022")</f>
        <v/>
      </c>
    </row>
    <row r="290" ht="15" customHeight="1">
      <c r="A290" t="inlineStr">
        <is>
          <t>A 5033-2024</t>
        </is>
      </c>
      <c r="B290" s="1" t="n">
        <v>45329</v>
      </c>
      <c r="C290" s="1" t="n">
        <v>45899</v>
      </c>
      <c r="D290" t="inlineStr">
        <is>
          <t>VÄSTERNORRLANDS LÄN</t>
        </is>
      </c>
      <c r="E290" t="inlineStr">
        <is>
          <t>SOLLEFTEÅ</t>
        </is>
      </c>
      <c r="F290" t="inlineStr">
        <is>
          <t>Övriga Aktiebolag</t>
        </is>
      </c>
      <c r="G290" t="n">
        <v>3.2</v>
      </c>
      <c r="H290" t="n">
        <v>0</v>
      </c>
      <c r="I290" t="n">
        <v>1</v>
      </c>
      <c r="J290" t="n">
        <v>0</v>
      </c>
      <c r="K290" t="n">
        <v>0</v>
      </c>
      <c r="L290" t="n">
        <v>0</v>
      </c>
      <c r="M290" t="n">
        <v>0</v>
      </c>
      <c r="N290" t="n">
        <v>0</v>
      </c>
      <c r="O290" t="n">
        <v>0</v>
      </c>
      <c r="P290" t="n">
        <v>0</v>
      </c>
      <c r="Q290" t="n">
        <v>1</v>
      </c>
      <c r="R290" s="2" t="inlineStr">
        <is>
          <t>Kransrams</t>
        </is>
      </c>
      <c r="S290">
        <f>HYPERLINK("https://klasma.github.io/Logging_2283/artfynd/A 5033-2024 artfynd.xlsx", "A 5033-2024")</f>
        <v/>
      </c>
      <c r="T290">
        <f>HYPERLINK("https://klasma.github.io/Logging_2283/kartor/A 5033-2024 karta.png", "A 5033-2024")</f>
        <v/>
      </c>
      <c r="V290">
        <f>HYPERLINK("https://klasma.github.io/Logging_2283/klagomål/A 5033-2024 FSC-klagomål.docx", "A 5033-2024")</f>
        <v/>
      </c>
      <c r="W290">
        <f>HYPERLINK("https://klasma.github.io/Logging_2283/klagomålsmail/A 5033-2024 FSC-klagomål mail.docx", "A 5033-2024")</f>
        <v/>
      </c>
      <c r="X290">
        <f>HYPERLINK("https://klasma.github.io/Logging_2283/tillsyn/A 5033-2024 tillsynsbegäran.docx", "A 5033-2024")</f>
        <v/>
      </c>
      <c r="Y290">
        <f>HYPERLINK("https://klasma.github.io/Logging_2283/tillsynsmail/A 5033-2024 tillsynsbegäran mail.docx", "A 5033-2024")</f>
        <v/>
      </c>
    </row>
    <row r="291" ht="15" customHeight="1">
      <c r="A291" t="inlineStr">
        <is>
          <t>A 17251-2025</t>
        </is>
      </c>
      <c r="B291" s="1" t="n">
        <v>45756.51085648148</v>
      </c>
      <c r="C291" s="1" t="n">
        <v>45899</v>
      </c>
      <c r="D291" t="inlineStr">
        <is>
          <t>VÄSTERNORRLANDS LÄN</t>
        </is>
      </c>
      <c r="E291" t="inlineStr">
        <is>
          <t>SOLLEFTEÅ</t>
        </is>
      </c>
      <c r="F291" t="inlineStr">
        <is>
          <t>SCA</t>
        </is>
      </c>
      <c r="G291" t="n">
        <v>3.1</v>
      </c>
      <c r="H291" t="n">
        <v>0</v>
      </c>
      <c r="I291" t="n">
        <v>0</v>
      </c>
      <c r="J291" t="n">
        <v>0</v>
      </c>
      <c r="K291" t="n">
        <v>1</v>
      </c>
      <c r="L291" t="n">
        <v>0</v>
      </c>
      <c r="M291" t="n">
        <v>0</v>
      </c>
      <c r="N291" t="n">
        <v>0</v>
      </c>
      <c r="O291" t="n">
        <v>1</v>
      </c>
      <c r="P291" t="n">
        <v>1</v>
      </c>
      <c r="Q291" t="n">
        <v>1</v>
      </c>
      <c r="R291" s="2" t="inlineStr">
        <is>
          <t>Rynkskinn</t>
        </is>
      </c>
      <c r="S291">
        <f>HYPERLINK("https://klasma.github.io/Logging_2283/artfynd/A 17251-2025 artfynd.xlsx", "A 17251-2025")</f>
        <v/>
      </c>
      <c r="T291">
        <f>HYPERLINK("https://klasma.github.io/Logging_2283/kartor/A 17251-2025 karta.png", "A 17251-2025")</f>
        <v/>
      </c>
      <c r="V291">
        <f>HYPERLINK("https://klasma.github.io/Logging_2283/klagomål/A 17251-2025 FSC-klagomål.docx", "A 17251-2025")</f>
        <v/>
      </c>
      <c r="W291">
        <f>HYPERLINK("https://klasma.github.io/Logging_2283/klagomålsmail/A 17251-2025 FSC-klagomål mail.docx", "A 17251-2025")</f>
        <v/>
      </c>
      <c r="X291">
        <f>HYPERLINK("https://klasma.github.io/Logging_2283/tillsyn/A 17251-2025 tillsynsbegäran.docx", "A 17251-2025")</f>
        <v/>
      </c>
      <c r="Y291">
        <f>HYPERLINK("https://klasma.github.io/Logging_2283/tillsynsmail/A 17251-2025 tillsynsbegäran mail.docx", "A 17251-2025")</f>
        <v/>
      </c>
    </row>
    <row r="292" ht="15" customHeight="1">
      <c r="A292" t="inlineStr">
        <is>
          <t>A 3959-2024</t>
        </is>
      </c>
      <c r="B292" s="1" t="n">
        <v>45322</v>
      </c>
      <c r="C292" s="1" t="n">
        <v>45899</v>
      </c>
      <c r="D292" t="inlineStr">
        <is>
          <t>VÄSTERNORRLANDS LÄN</t>
        </is>
      </c>
      <c r="E292" t="inlineStr">
        <is>
          <t>SOLLEFTEÅ</t>
        </is>
      </c>
      <c r="F292" t="inlineStr">
        <is>
          <t>Kommuner</t>
        </is>
      </c>
      <c r="G292" t="n">
        <v>1</v>
      </c>
      <c r="H292" t="n">
        <v>0</v>
      </c>
      <c r="I292" t="n">
        <v>0</v>
      </c>
      <c r="J292" t="n">
        <v>1</v>
      </c>
      <c r="K292" t="n">
        <v>0</v>
      </c>
      <c r="L292" t="n">
        <v>0</v>
      </c>
      <c r="M292" t="n">
        <v>0</v>
      </c>
      <c r="N292" t="n">
        <v>0</v>
      </c>
      <c r="O292" t="n">
        <v>1</v>
      </c>
      <c r="P292" t="n">
        <v>0</v>
      </c>
      <c r="Q292" t="n">
        <v>1</v>
      </c>
      <c r="R292" s="2" t="inlineStr">
        <is>
          <t>Garnlav</t>
        </is>
      </c>
      <c r="S292">
        <f>HYPERLINK("https://klasma.github.io/Logging_2283/artfynd/A 3959-2024 artfynd.xlsx", "A 3959-2024")</f>
        <v/>
      </c>
      <c r="T292">
        <f>HYPERLINK("https://klasma.github.io/Logging_2283/kartor/A 3959-2024 karta.png", "A 3959-2024")</f>
        <v/>
      </c>
      <c r="V292">
        <f>HYPERLINK("https://klasma.github.io/Logging_2283/klagomål/A 3959-2024 FSC-klagomål.docx", "A 3959-2024")</f>
        <v/>
      </c>
      <c r="W292">
        <f>HYPERLINK("https://klasma.github.io/Logging_2283/klagomålsmail/A 3959-2024 FSC-klagomål mail.docx", "A 3959-2024")</f>
        <v/>
      </c>
      <c r="X292">
        <f>HYPERLINK("https://klasma.github.io/Logging_2283/tillsyn/A 3959-2024 tillsynsbegäran.docx", "A 3959-2024")</f>
        <v/>
      </c>
      <c r="Y292">
        <f>HYPERLINK("https://klasma.github.io/Logging_2283/tillsynsmail/A 3959-2024 tillsynsbegäran mail.docx", "A 3959-2024")</f>
        <v/>
      </c>
    </row>
    <row r="293" ht="15" customHeight="1">
      <c r="A293" t="inlineStr">
        <is>
          <t>A 33504-2022</t>
        </is>
      </c>
      <c r="B293" s="1" t="n">
        <v>44788</v>
      </c>
      <c r="C293" s="1" t="n">
        <v>45899</v>
      </c>
      <c r="D293" t="inlineStr">
        <is>
          <t>VÄSTERNORRLANDS LÄN</t>
        </is>
      </c>
      <c r="E293" t="inlineStr">
        <is>
          <t>SOLLEFTEÅ</t>
        </is>
      </c>
      <c r="F293" t="inlineStr">
        <is>
          <t>SCA</t>
        </is>
      </c>
      <c r="G293" t="n">
        <v>5.2</v>
      </c>
      <c r="H293" t="n">
        <v>1</v>
      </c>
      <c r="I293" t="n">
        <v>0</v>
      </c>
      <c r="J293" t="n">
        <v>0</v>
      </c>
      <c r="K293" t="n">
        <v>1</v>
      </c>
      <c r="L293" t="n">
        <v>0</v>
      </c>
      <c r="M293" t="n">
        <v>0</v>
      </c>
      <c r="N293" t="n">
        <v>0</v>
      </c>
      <c r="O293" t="n">
        <v>1</v>
      </c>
      <c r="P293" t="n">
        <v>1</v>
      </c>
      <c r="Q293" t="n">
        <v>1</v>
      </c>
      <c r="R293" s="2" t="inlineStr">
        <is>
          <t>Knärot</t>
        </is>
      </c>
      <c r="S293">
        <f>HYPERLINK("https://klasma.github.io/Logging_2283/artfynd/A 33504-2022 artfynd.xlsx", "A 33504-2022")</f>
        <v/>
      </c>
      <c r="T293">
        <f>HYPERLINK("https://klasma.github.io/Logging_2283/kartor/A 33504-2022 karta.png", "A 33504-2022")</f>
        <v/>
      </c>
      <c r="U293">
        <f>HYPERLINK("https://klasma.github.io/Logging_2283/knärot/A 33504-2022 karta knärot.png", "A 33504-2022")</f>
        <v/>
      </c>
      <c r="V293">
        <f>HYPERLINK("https://klasma.github.io/Logging_2283/klagomål/A 33504-2022 FSC-klagomål.docx", "A 33504-2022")</f>
        <v/>
      </c>
      <c r="W293">
        <f>HYPERLINK("https://klasma.github.io/Logging_2283/klagomålsmail/A 33504-2022 FSC-klagomål mail.docx", "A 33504-2022")</f>
        <v/>
      </c>
      <c r="X293">
        <f>HYPERLINK("https://klasma.github.io/Logging_2283/tillsyn/A 33504-2022 tillsynsbegäran.docx", "A 33504-2022")</f>
        <v/>
      </c>
      <c r="Y293">
        <f>HYPERLINK("https://klasma.github.io/Logging_2283/tillsynsmail/A 33504-2022 tillsynsbegäran mail.docx", "A 33504-2022")</f>
        <v/>
      </c>
    </row>
    <row r="294" ht="15" customHeight="1">
      <c r="A294" t="inlineStr">
        <is>
          <t>A 53059-2023</t>
        </is>
      </c>
      <c r="B294" s="1" t="n">
        <v>45226</v>
      </c>
      <c r="C294" s="1" t="n">
        <v>45899</v>
      </c>
      <c r="D294" t="inlineStr">
        <is>
          <t>VÄSTERNORRLANDS LÄN</t>
        </is>
      </c>
      <c r="E294" t="inlineStr">
        <is>
          <t>SOLLEFTEÅ</t>
        </is>
      </c>
      <c r="F294" t="inlineStr">
        <is>
          <t>SCA</t>
        </is>
      </c>
      <c r="G294" t="n">
        <v>1.3</v>
      </c>
      <c r="H294" t="n">
        <v>1</v>
      </c>
      <c r="I294" t="n">
        <v>0</v>
      </c>
      <c r="J294" t="n">
        <v>0</v>
      </c>
      <c r="K294" t="n">
        <v>1</v>
      </c>
      <c r="L294" t="n">
        <v>0</v>
      </c>
      <c r="M294" t="n">
        <v>0</v>
      </c>
      <c r="N294" t="n">
        <v>0</v>
      </c>
      <c r="O294" t="n">
        <v>1</v>
      </c>
      <c r="P294" t="n">
        <v>1</v>
      </c>
      <c r="Q294" t="n">
        <v>1</v>
      </c>
      <c r="R294" s="2" t="inlineStr">
        <is>
          <t>Knärot</t>
        </is>
      </c>
      <c r="S294">
        <f>HYPERLINK("https://klasma.github.io/Logging_2283/artfynd/A 53059-2023 artfynd.xlsx", "A 53059-2023")</f>
        <v/>
      </c>
      <c r="T294">
        <f>HYPERLINK("https://klasma.github.io/Logging_2283/kartor/A 53059-2023 karta.png", "A 53059-2023")</f>
        <v/>
      </c>
      <c r="U294">
        <f>HYPERLINK("https://klasma.github.io/Logging_2283/knärot/A 53059-2023 karta knärot.png", "A 53059-2023")</f>
        <v/>
      </c>
      <c r="V294">
        <f>HYPERLINK("https://klasma.github.io/Logging_2283/klagomål/A 53059-2023 FSC-klagomål.docx", "A 53059-2023")</f>
        <v/>
      </c>
      <c r="W294">
        <f>HYPERLINK("https://klasma.github.io/Logging_2283/klagomålsmail/A 53059-2023 FSC-klagomål mail.docx", "A 53059-2023")</f>
        <v/>
      </c>
      <c r="X294">
        <f>HYPERLINK("https://klasma.github.io/Logging_2283/tillsyn/A 53059-2023 tillsynsbegäran.docx", "A 53059-2023")</f>
        <v/>
      </c>
      <c r="Y294">
        <f>HYPERLINK("https://klasma.github.io/Logging_2283/tillsynsmail/A 53059-2023 tillsynsbegäran mail.docx", "A 53059-2023")</f>
        <v/>
      </c>
    </row>
    <row r="295" ht="15" customHeight="1">
      <c r="A295" t="inlineStr">
        <is>
          <t>A 37589-2022</t>
        </is>
      </c>
      <c r="B295" s="1" t="n">
        <v>44809.94556712963</v>
      </c>
      <c r="C295" s="1" t="n">
        <v>45899</v>
      </c>
      <c r="D295" t="inlineStr">
        <is>
          <t>VÄSTERNORRLANDS LÄN</t>
        </is>
      </c>
      <c r="E295" t="inlineStr">
        <is>
          <t>SOLLEFTEÅ</t>
        </is>
      </c>
      <c r="F295" t="inlineStr">
        <is>
          <t>SCA</t>
        </is>
      </c>
      <c r="G295" t="n">
        <v>2.6</v>
      </c>
      <c r="H295" t="n">
        <v>1</v>
      </c>
      <c r="I295" t="n">
        <v>0</v>
      </c>
      <c r="J295" t="n">
        <v>0</v>
      </c>
      <c r="K295" t="n">
        <v>0</v>
      </c>
      <c r="L295" t="n">
        <v>0</v>
      </c>
      <c r="M295" t="n">
        <v>0</v>
      </c>
      <c r="N295" t="n">
        <v>0</v>
      </c>
      <c r="O295" t="n">
        <v>0</v>
      </c>
      <c r="P295" t="n">
        <v>0</v>
      </c>
      <c r="Q295" t="n">
        <v>1</v>
      </c>
      <c r="R295" s="2" t="inlineStr">
        <is>
          <t>Tjäder</t>
        </is>
      </c>
      <c r="S295">
        <f>HYPERLINK("https://klasma.github.io/Logging_2283/artfynd/A 37589-2022 artfynd.xlsx", "A 37589-2022")</f>
        <v/>
      </c>
      <c r="T295">
        <f>HYPERLINK("https://klasma.github.io/Logging_2283/kartor/A 37589-2022 karta.png", "A 37589-2022")</f>
        <v/>
      </c>
      <c r="V295">
        <f>HYPERLINK("https://klasma.github.io/Logging_2283/klagomål/A 37589-2022 FSC-klagomål.docx", "A 37589-2022")</f>
        <v/>
      </c>
      <c r="W295">
        <f>HYPERLINK("https://klasma.github.io/Logging_2283/klagomålsmail/A 37589-2022 FSC-klagomål mail.docx", "A 37589-2022")</f>
        <v/>
      </c>
      <c r="X295">
        <f>HYPERLINK("https://klasma.github.io/Logging_2283/tillsyn/A 37589-2022 tillsynsbegäran.docx", "A 37589-2022")</f>
        <v/>
      </c>
      <c r="Y295">
        <f>HYPERLINK("https://klasma.github.io/Logging_2283/tillsynsmail/A 37589-2022 tillsynsbegäran mail.docx", "A 37589-2022")</f>
        <v/>
      </c>
      <c r="Z295">
        <f>HYPERLINK("https://klasma.github.io/Logging_2283/fåglar/A 37589-2022 prioriterade fågelarter.docx", "A 37589-2022")</f>
        <v/>
      </c>
    </row>
    <row r="296" ht="15" customHeight="1">
      <c r="A296" t="inlineStr">
        <is>
          <t>A 39565-2023</t>
        </is>
      </c>
      <c r="B296" s="1" t="n">
        <v>45167</v>
      </c>
      <c r="C296" s="1" t="n">
        <v>45899</v>
      </c>
      <c r="D296" t="inlineStr">
        <is>
          <t>VÄSTERNORRLANDS LÄN</t>
        </is>
      </c>
      <c r="E296" t="inlineStr">
        <is>
          <t>SOLLEFTEÅ</t>
        </is>
      </c>
      <c r="G296" t="n">
        <v>3.2</v>
      </c>
      <c r="H296" t="n">
        <v>0</v>
      </c>
      <c r="I296" t="n">
        <v>0</v>
      </c>
      <c r="J296" t="n">
        <v>1</v>
      </c>
      <c r="K296" t="n">
        <v>0</v>
      </c>
      <c r="L296" t="n">
        <v>0</v>
      </c>
      <c r="M296" t="n">
        <v>0</v>
      </c>
      <c r="N296" t="n">
        <v>0</v>
      </c>
      <c r="O296" t="n">
        <v>1</v>
      </c>
      <c r="P296" t="n">
        <v>0</v>
      </c>
      <c r="Q296" t="n">
        <v>1</v>
      </c>
      <c r="R296" s="2" t="inlineStr">
        <is>
          <t>Ullticka</t>
        </is>
      </c>
      <c r="S296">
        <f>HYPERLINK("https://klasma.github.io/Logging_2283/artfynd/A 39565-2023 artfynd.xlsx", "A 39565-2023")</f>
        <v/>
      </c>
      <c r="T296">
        <f>HYPERLINK("https://klasma.github.io/Logging_2283/kartor/A 39565-2023 karta.png", "A 39565-2023")</f>
        <v/>
      </c>
      <c r="V296">
        <f>HYPERLINK("https://klasma.github.io/Logging_2283/klagomål/A 39565-2023 FSC-klagomål.docx", "A 39565-2023")</f>
        <v/>
      </c>
      <c r="W296">
        <f>HYPERLINK("https://klasma.github.io/Logging_2283/klagomålsmail/A 39565-2023 FSC-klagomål mail.docx", "A 39565-2023")</f>
        <v/>
      </c>
      <c r="X296">
        <f>HYPERLINK("https://klasma.github.io/Logging_2283/tillsyn/A 39565-2023 tillsynsbegäran.docx", "A 39565-2023")</f>
        <v/>
      </c>
      <c r="Y296">
        <f>HYPERLINK("https://klasma.github.io/Logging_2283/tillsynsmail/A 39565-2023 tillsynsbegäran mail.docx", "A 39565-2023")</f>
        <v/>
      </c>
    </row>
    <row r="297" ht="15" customHeight="1">
      <c r="A297" t="inlineStr">
        <is>
          <t>A 21962-2025</t>
        </is>
      </c>
      <c r="B297" s="1" t="n">
        <v>45784</v>
      </c>
      <c r="C297" s="1" t="n">
        <v>45899</v>
      </c>
      <c r="D297" t="inlineStr">
        <is>
          <t>VÄSTERNORRLANDS LÄN</t>
        </is>
      </c>
      <c r="E297" t="inlineStr">
        <is>
          <t>SOLLEFTEÅ</t>
        </is>
      </c>
      <c r="F297" t="inlineStr">
        <is>
          <t>SCA</t>
        </is>
      </c>
      <c r="G297" t="n">
        <v>22.5</v>
      </c>
      <c r="H297" t="n">
        <v>1</v>
      </c>
      <c r="I297" t="n">
        <v>0</v>
      </c>
      <c r="J297" t="n">
        <v>1</v>
      </c>
      <c r="K297" t="n">
        <v>0</v>
      </c>
      <c r="L297" t="n">
        <v>0</v>
      </c>
      <c r="M297" t="n">
        <v>0</v>
      </c>
      <c r="N297" t="n">
        <v>0</v>
      </c>
      <c r="O297" t="n">
        <v>1</v>
      </c>
      <c r="P297" t="n">
        <v>0</v>
      </c>
      <c r="Q297" t="n">
        <v>1</v>
      </c>
      <c r="R297" s="2" t="inlineStr">
        <is>
          <t>Järpe</t>
        </is>
      </c>
      <c r="S297">
        <f>HYPERLINK("https://klasma.github.io/Logging_2283/artfynd/A 21962-2025 artfynd.xlsx", "A 21962-2025")</f>
        <v/>
      </c>
      <c r="T297">
        <f>HYPERLINK("https://klasma.github.io/Logging_2283/kartor/A 21962-2025 karta.png", "A 21962-2025")</f>
        <v/>
      </c>
      <c r="V297">
        <f>HYPERLINK("https://klasma.github.io/Logging_2283/klagomål/A 21962-2025 FSC-klagomål.docx", "A 21962-2025")</f>
        <v/>
      </c>
      <c r="W297">
        <f>HYPERLINK("https://klasma.github.io/Logging_2283/klagomålsmail/A 21962-2025 FSC-klagomål mail.docx", "A 21962-2025")</f>
        <v/>
      </c>
      <c r="X297">
        <f>HYPERLINK("https://klasma.github.io/Logging_2283/tillsyn/A 21962-2025 tillsynsbegäran.docx", "A 21962-2025")</f>
        <v/>
      </c>
      <c r="Y297">
        <f>HYPERLINK("https://klasma.github.io/Logging_2283/tillsynsmail/A 21962-2025 tillsynsbegäran mail.docx", "A 21962-2025")</f>
        <v/>
      </c>
      <c r="Z297">
        <f>HYPERLINK("https://klasma.github.io/Logging_2283/fåglar/A 21962-2025 prioriterade fågelarter.docx", "A 21962-2025")</f>
        <v/>
      </c>
    </row>
    <row r="298" ht="15" customHeight="1">
      <c r="A298" t="inlineStr">
        <is>
          <t>A 22428-2025</t>
        </is>
      </c>
      <c r="B298" s="1" t="n">
        <v>45786.57351851852</v>
      </c>
      <c r="C298" s="1" t="n">
        <v>45899</v>
      </c>
      <c r="D298" t="inlineStr">
        <is>
          <t>VÄSTERNORRLANDS LÄN</t>
        </is>
      </c>
      <c r="E298" t="inlineStr">
        <is>
          <t>SOLLEFTEÅ</t>
        </is>
      </c>
      <c r="G298" t="n">
        <v>11.6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22428-2025 artfynd.xlsx", "A 22428-2025")</f>
        <v/>
      </c>
      <c r="T298">
        <f>HYPERLINK("https://klasma.github.io/Logging_2283/kartor/A 22428-2025 karta.png", "A 22428-2025")</f>
        <v/>
      </c>
      <c r="V298">
        <f>HYPERLINK("https://klasma.github.io/Logging_2283/klagomål/A 22428-2025 FSC-klagomål.docx", "A 22428-2025")</f>
        <v/>
      </c>
      <c r="W298">
        <f>HYPERLINK("https://klasma.github.io/Logging_2283/klagomålsmail/A 22428-2025 FSC-klagomål mail.docx", "A 22428-2025")</f>
        <v/>
      </c>
      <c r="X298">
        <f>HYPERLINK("https://klasma.github.io/Logging_2283/tillsyn/A 22428-2025 tillsynsbegäran.docx", "A 22428-2025")</f>
        <v/>
      </c>
      <c r="Y298">
        <f>HYPERLINK("https://klasma.github.io/Logging_2283/tillsynsmail/A 22428-2025 tillsynsbegäran mail.docx", "A 22428-2025")</f>
        <v/>
      </c>
      <c r="Z298">
        <f>HYPERLINK("https://klasma.github.io/Logging_2283/fåglar/A 22428-2025 prioriterade fågelarter.docx", "A 22428-2025")</f>
        <v/>
      </c>
    </row>
    <row r="299" ht="15" customHeight="1">
      <c r="A299" t="inlineStr">
        <is>
          <t>A 27901-2024</t>
        </is>
      </c>
      <c r="B299" s="1" t="n">
        <v>45475.92859953704</v>
      </c>
      <c r="C299" s="1" t="n">
        <v>45899</v>
      </c>
      <c r="D299" t="inlineStr">
        <is>
          <t>VÄSTERNORRLANDS LÄN</t>
        </is>
      </c>
      <c r="E299" t="inlineStr">
        <is>
          <t>SOLLEFTEÅ</t>
        </is>
      </c>
      <c r="G299" t="n">
        <v>12.7</v>
      </c>
      <c r="H299" t="n">
        <v>0</v>
      </c>
      <c r="I299" t="n">
        <v>0</v>
      </c>
      <c r="J299" t="n">
        <v>1</v>
      </c>
      <c r="K299" t="n">
        <v>0</v>
      </c>
      <c r="L299" t="n">
        <v>0</v>
      </c>
      <c r="M299" t="n">
        <v>0</v>
      </c>
      <c r="N299" t="n">
        <v>0</v>
      </c>
      <c r="O299" t="n">
        <v>1</v>
      </c>
      <c r="P299" t="n">
        <v>0</v>
      </c>
      <c r="Q299" t="n">
        <v>1</v>
      </c>
      <c r="R299" s="2" t="inlineStr">
        <is>
          <t>Garnlav</t>
        </is>
      </c>
      <c r="S299">
        <f>HYPERLINK("https://klasma.github.io/Logging_2283/artfynd/A 27901-2024 artfynd.xlsx", "A 27901-2024")</f>
        <v/>
      </c>
      <c r="T299">
        <f>HYPERLINK("https://klasma.github.io/Logging_2283/kartor/A 27901-2024 karta.png", "A 27901-2024")</f>
        <v/>
      </c>
      <c r="V299">
        <f>HYPERLINK("https://klasma.github.io/Logging_2283/klagomål/A 27901-2024 FSC-klagomål.docx", "A 27901-2024")</f>
        <v/>
      </c>
      <c r="W299">
        <f>HYPERLINK("https://klasma.github.io/Logging_2283/klagomålsmail/A 27901-2024 FSC-klagomål mail.docx", "A 27901-2024")</f>
        <v/>
      </c>
      <c r="X299">
        <f>HYPERLINK("https://klasma.github.io/Logging_2283/tillsyn/A 27901-2024 tillsynsbegäran.docx", "A 27901-2024")</f>
        <v/>
      </c>
      <c r="Y299">
        <f>HYPERLINK("https://klasma.github.io/Logging_2283/tillsynsmail/A 27901-2024 tillsynsbegäran mail.docx", "A 27901-2024")</f>
        <v/>
      </c>
    </row>
    <row r="300" ht="15" customHeight="1">
      <c r="A300" t="inlineStr">
        <is>
          <t>A 22345-2025</t>
        </is>
      </c>
      <c r="B300" s="1" t="n">
        <v>45786.44869212963</v>
      </c>
      <c r="C300" s="1" t="n">
        <v>45899</v>
      </c>
      <c r="D300" t="inlineStr">
        <is>
          <t>VÄSTERNORRLANDS LÄN</t>
        </is>
      </c>
      <c r="E300" t="inlineStr">
        <is>
          <t>SOLLEFTEÅ</t>
        </is>
      </c>
      <c r="F300" t="inlineStr">
        <is>
          <t>SCA</t>
        </is>
      </c>
      <c r="G300" t="n">
        <v>7.2</v>
      </c>
      <c r="H300" t="n">
        <v>0</v>
      </c>
      <c r="I300" t="n">
        <v>0</v>
      </c>
      <c r="J300" t="n">
        <v>1</v>
      </c>
      <c r="K300" t="n">
        <v>0</v>
      </c>
      <c r="L300" t="n">
        <v>0</v>
      </c>
      <c r="M300" t="n">
        <v>0</v>
      </c>
      <c r="N300" t="n">
        <v>0</v>
      </c>
      <c r="O300" t="n">
        <v>1</v>
      </c>
      <c r="P300" t="n">
        <v>0</v>
      </c>
      <c r="Q300" t="n">
        <v>1</v>
      </c>
      <c r="R300" s="2" t="inlineStr">
        <is>
          <t>Gammelgransskål</t>
        </is>
      </c>
      <c r="S300">
        <f>HYPERLINK("https://klasma.github.io/Logging_2283/artfynd/A 22345-2025 artfynd.xlsx", "A 22345-2025")</f>
        <v/>
      </c>
      <c r="T300">
        <f>HYPERLINK("https://klasma.github.io/Logging_2283/kartor/A 22345-2025 karta.png", "A 22345-2025")</f>
        <v/>
      </c>
      <c r="V300">
        <f>HYPERLINK("https://klasma.github.io/Logging_2283/klagomål/A 22345-2025 FSC-klagomål.docx", "A 22345-2025")</f>
        <v/>
      </c>
      <c r="W300">
        <f>HYPERLINK("https://klasma.github.io/Logging_2283/klagomålsmail/A 22345-2025 FSC-klagomål mail.docx", "A 22345-2025")</f>
        <v/>
      </c>
      <c r="X300">
        <f>HYPERLINK("https://klasma.github.io/Logging_2283/tillsyn/A 22345-2025 tillsynsbegäran.docx", "A 22345-2025")</f>
        <v/>
      </c>
      <c r="Y300">
        <f>HYPERLINK("https://klasma.github.io/Logging_2283/tillsynsmail/A 22345-2025 tillsynsbegäran mail.docx", "A 22345-2025")</f>
        <v/>
      </c>
    </row>
    <row r="301" ht="15" customHeight="1">
      <c r="A301" t="inlineStr">
        <is>
          <t>A 22768-2025</t>
        </is>
      </c>
      <c r="B301" s="1" t="n">
        <v>45789.63329861111</v>
      </c>
      <c r="C301" s="1" t="n">
        <v>45899</v>
      </c>
      <c r="D301" t="inlineStr">
        <is>
          <t>VÄSTERNORRLANDS LÄN</t>
        </is>
      </c>
      <c r="E301" t="inlineStr">
        <is>
          <t>SOLLEFTEÅ</t>
        </is>
      </c>
      <c r="G301" t="n">
        <v>1.9</v>
      </c>
      <c r="H301" t="n">
        <v>0</v>
      </c>
      <c r="I301" t="n">
        <v>0</v>
      </c>
      <c r="J301" t="n">
        <v>1</v>
      </c>
      <c r="K301" t="n">
        <v>0</v>
      </c>
      <c r="L301" t="n">
        <v>0</v>
      </c>
      <c r="M301" t="n">
        <v>0</v>
      </c>
      <c r="N301" t="n">
        <v>0</v>
      </c>
      <c r="O301" t="n">
        <v>1</v>
      </c>
      <c r="P301" t="n">
        <v>0</v>
      </c>
      <c r="Q301" t="n">
        <v>1</v>
      </c>
      <c r="R301" s="2" t="inlineStr">
        <is>
          <t>Granticka</t>
        </is>
      </c>
      <c r="S301">
        <f>HYPERLINK("https://klasma.github.io/Logging_2283/artfynd/A 22768-2025 artfynd.xlsx", "A 22768-2025")</f>
        <v/>
      </c>
      <c r="T301">
        <f>HYPERLINK("https://klasma.github.io/Logging_2283/kartor/A 22768-2025 karta.png", "A 22768-2025")</f>
        <v/>
      </c>
      <c r="V301">
        <f>HYPERLINK("https://klasma.github.io/Logging_2283/klagomål/A 22768-2025 FSC-klagomål.docx", "A 22768-2025")</f>
        <v/>
      </c>
      <c r="W301">
        <f>HYPERLINK("https://klasma.github.io/Logging_2283/klagomålsmail/A 22768-2025 FSC-klagomål mail.docx", "A 22768-2025")</f>
        <v/>
      </c>
      <c r="X301">
        <f>HYPERLINK("https://klasma.github.io/Logging_2283/tillsyn/A 22768-2025 tillsynsbegäran.docx", "A 22768-2025")</f>
        <v/>
      </c>
      <c r="Y301">
        <f>HYPERLINK("https://klasma.github.io/Logging_2283/tillsynsmail/A 22768-2025 tillsynsbegäran mail.docx", "A 22768-2025")</f>
        <v/>
      </c>
    </row>
    <row r="302" ht="15" customHeight="1">
      <c r="A302" t="inlineStr">
        <is>
          <t>A 22776-2025</t>
        </is>
      </c>
      <c r="B302" s="1" t="n">
        <v>45789</v>
      </c>
      <c r="C302" s="1" t="n">
        <v>45899</v>
      </c>
      <c r="D302" t="inlineStr">
        <is>
          <t>VÄSTERNORRLANDS LÄN</t>
        </is>
      </c>
      <c r="E302" t="inlineStr">
        <is>
          <t>SOLLEFTEÅ</t>
        </is>
      </c>
      <c r="F302" t="inlineStr">
        <is>
          <t>SCA</t>
        </is>
      </c>
      <c r="G302" t="n">
        <v>5.2</v>
      </c>
      <c r="H302" t="n">
        <v>1</v>
      </c>
      <c r="I302" t="n">
        <v>0</v>
      </c>
      <c r="J302" t="n">
        <v>0</v>
      </c>
      <c r="K302" t="n">
        <v>1</v>
      </c>
      <c r="L302" t="n">
        <v>0</v>
      </c>
      <c r="M302" t="n">
        <v>0</v>
      </c>
      <c r="N302" t="n">
        <v>0</v>
      </c>
      <c r="O302" t="n">
        <v>1</v>
      </c>
      <c r="P302" t="n">
        <v>1</v>
      </c>
      <c r="Q302" t="n">
        <v>1</v>
      </c>
      <c r="R302" s="2" t="inlineStr">
        <is>
          <t>Doftticka</t>
        </is>
      </c>
      <c r="S302">
        <f>HYPERLINK("https://klasma.github.io/Logging_2283/artfynd/A 22776-2025 artfynd.xlsx", "A 22776-2025")</f>
        <v/>
      </c>
      <c r="T302">
        <f>HYPERLINK("https://klasma.github.io/Logging_2283/kartor/A 22776-2025 karta.png", "A 22776-2025")</f>
        <v/>
      </c>
      <c r="V302">
        <f>HYPERLINK("https://klasma.github.io/Logging_2283/klagomål/A 22776-2025 FSC-klagomål.docx", "A 22776-2025")</f>
        <v/>
      </c>
      <c r="W302">
        <f>HYPERLINK("https://klasma.github.io/Logging_2283/klagomålsmail/A 22776-2025 FSC-klagomål mail.docx", "A 22776-2025")</f>
        <v/>
      </c>
      <c r="X302">
        <f>HYPERLINK("https://klasma.github.io/Logging_2283/tillsyn/A 22776-2025 tillsynsbegäran.docx", "A 22776-2025")</f>
        <v/>
      </c>
      <c r="Y302">
        <f>HYPERLINK("https://klasma.github.io/Logging_2283/tillsynsmail/A 22776-2025 tillsynsbegäran mail.docx", "A 22776-2025")</f>
        <v/>
      </c>
    </row>
    <row r="303" ht="15" customHeight="1">
      <c r="A303" t="inlineStr">
        <is>
          <t>A 44632-2024</t>
        </is>
      </c>
      <c r="B303" s="1" t="n">
        <v>45574.51446759259</v>
      </c>
      <c r="C303" s="1" t="n">
        <v>45899</v>
      </c>
      <c r="D303" t="inlineStr">
        <is>
          <t>VÄSTERNORRLANDS LÄN</t>
        </is>
      </c>
      <c r="E303" t="inlineStr">
        <is>
          <t>SOLLEFTEÅ</t>
        </is>
      </c>
      <c r="F303" t="inlineStr">
        <is>
          <t>SCA</t>
        </is>
      </c>
      <c r="G303" t="n">
        <v>3.1</v>
      </c>
      <c r="H303" t="n">
        <v>0</v>
      </c>
      <c r="I303" t="n">
        <v>1</v>
      </c>
      <c r="J303" t="n">
        <v>0</v>
      </c>
      <c r="K303" t="n">
        <v>0</v>
      </c>
      <c r="L303" t="n">
        <v>0</v>
      </c>
      <c r="M303" t="n">
        <v>0</v>
      </c>
      <c r="N303" t="n">
        <v>0</v>
      </c>
      <c r="O303" t="n">
        <v>0</v>
      </c>
      <c r="P303" t="n">
        <v>0</v>
      </c>
      <c r="Q303" t="n">
        <v>1</v>
      </c>
      <c r="R303" s="2" t="inlineStr">
        <is>
          <t>Vedticka</t>
        </is>
      </c>
      <c r="S303">
        <f>HYPERLINK("https://klasma.github.io/Logging_2283/artfynd/A 44632-2024 artfynd.xlsx", "A 44632-2024")</f>
        <v/>
      </c>
      <c r="T303">
        <f>HYPERLINK("https://klasma.github.io/Logging_2283/kartor/A 44632-2024 karta.png", "A 44632-2024")</f>
        <v/>
      </c>
      <c r="V303">
        <f>HYPERLINK("https://klasma.github.io/Logging_2283/klagomål/A 44632-2024 FSC-klagomål.docx", "A 44632-2024")</f>
        <v/>
      </c>
      <c r="W303">
        <f>HYPERLINK("https://klasma.github.io/Logging_2283/klagomålsmail/A 44632-2024 FSC-klagomål mail.docx", "A 44632-2024")</f>
        <v/>
      </c>
      <c r="X303">
        <f>HYPERLINK("https://klasma.github.io/Logging_2283/tillsyn/A 44632-2024 tillsynsbegäran.docx", "A 44632-2024")</f>
        <v/>
      </c>
      <c r="Y303">
        <f>HYPERLINK("https://klasma.github.io/Logging_2283/tillsynsmail/A 44632-2024 tillsynsbegäran mail.docx", "A 44632-2024")</f>
        <v/>
      </c>
    </row>
    <row r="304" ht="15" customHeight="1">
      <c r="A304" t="inlineStr">
        <is>
          <t>A 1343-2025</t>
        </is>
      </c>
      <c r="B304" s="1" t="n">
        <v>45667.6043287037</v>
      </c>
      <c r="C304" s="1" t="n">
        <v>45899</v>
      </c>
      <c r="D304" t="inlineStr">
        <is>
          <t>VÄSTERNORRLANDS LÄN</t>
        </is>
      </c>
      <c r="E304" t="inlineStr">
        <is>
          <t>SOLLEFTEÅ</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HYPERLINK("https://klasma.github.io/Logging_2283/artfynd/A 1343-2025 artfynd.xlsx", "A 1343-2025")</f>
        <v/>
      </c>
      <c r="T304">
        <f>HYPERLINK("https://klasma.github.io/Logging_2283/kartor/A 1343-2025 karta.png", "A 1343-2025")</f>
        <v/>
      </c>
      <c r="V304">
        <f>HYPERLINK("https://klasma.github.io/Logging_2283/klagomål/A 1343-2025 FSC-klagomål.docx", "A 1343-2025")</f>
        <v/>
      </c>
      <c r="W304">
        <f>HYPERLINK("https://klasma.github.io/Logging_2283/klagomålsmail/A 1343-2025 FSC-klagomål mail.docx", "A 1343-2025")</f>
        <v/>
      </c>
      <c r="X304">
        <f>HYPERLINK("https://klasma.github.io/Logging_2283/tillsyn/A 1343-2025 tillsynsbegäran.docx", "A 1343-2025")</f>
        <v/>
      </c>
      <c r="Y304">
        <f>HYPERLINK("https://klasma.github.io/Logging_2283/tillsynsmail/A 1343-2025 tillsynsbegäran mail.docx", "A 1343-2025")</f>
        <v/>
      </c>
    </row>
    <row r="305" ht="15" customHeight="1">
      <c r="A305" t="inlineStr">
        <is>
          <t>A 25310-2023</t>
        </is>
      </c>
      <c r="B305" s="1" t="n">
        <v>45086</v>
      </c>
      <c r="C305" s="1" t="n">
        <v>45899</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54558-2022</t>
        </is>
      </c>
      <c r="B306" s="1" t="n">
        <v>44882</v>
      </c>
      <c r="C306" s="1" t="n">
        <v>45899</v>
      </c>
      <c r="D306" t="inlineStr">
        <is>
          <t>VÄSTERNORRLANDS LÄN</t>
        </is>
      </c>
      <c r="E306" t="inlineStr">
        <is>
          <t>SOLLEFTEÅ</t>
        </is>
      </c>
      <c r="G306" t="n">
        <v>5.8</v>
      </c>
      <c r="H306" t="n">
        <v>0</v>
      </c>
      <c r="I306" t="n">
        <v>1</v>
      </c>
      <c r="J306" t="n">
        <v>0</v>
      </c>
      <c r="K306" t="n">
        <v>0</v>
      </c>
      <c r="L306" t="n">
        <v>0</v>
      </c>
      <c r="M306" t="n">
        <v>0</v>
      </c>
      <c r="N306" t="n">
        <v>0</v>
      </c>
      <c r="O306" t="n">
        <v>0</v>
      </c>
      <c r="P306" t="n">
        <v>0</v>
      </c>
      <c r="Q306" t="n">
        <v>1</v>
      </c>
      <c r="R306" s="2" t="inlineStr">
        <is>
          <t>Strutbräken</t>
        </is>
      </c>
      <c r="S306">
        <f>HYPERLINK("https://klasma.github.io/Logging_2283/artfynd/A 54558-2022 artfynd.xlsx", "A 54558-2022")</f>
        <v/>
      </c>
      <c r="T306">
        <f>HYPERLINK("https://klasma.github.io/Logging_2283/kartor/A 54558-2022 karta.png", "A 54558-2022")</f>
        <v/>
      </c>
      <c r="V306">
        <f>HYPERLINK("https://klasma.github.io/Logging_2283/klagomål/A 54558-2022 FSC-klagomål.docx", "A 54558-2022")</f>
        <v/>
      </c>
      <c r="W306">
        <f>HYPERLINK("https://klasma.github.io/Logging_2283/klagomålsmail/A 54558-2022 FSC-klagomål mail.docx", "A 54558-2022")</f>
        <v/>
      </c>
      <c r="X306">
        <f>HYPERLINK("https://klasma.github.io/Logging_2283/tillsyn/A 54558-2022 tillsynsbegäran.docx", "A 54558-2022")</f>
        <v/>
      </c>
      <c r="Y306">
        <f>HYPERLINK("https://klasma.github.io/Logging_2283/tillsynsmail/A 54558-2022 tillsynsbegäran mail.docx", "A 54558-2022")</f>
        <v/>
      </c>
    </row>
    <row r="307" ht="15" customHeight="1">
      <c r="A307" t="inlineStr">
        <is>
          <t>A 37206-2024</t>
        </is>
      </c>
      <c r="B307" s="1" t="n">
        <v>45539</v>
      </c>
      <c r="C307" s="1" t="n">
        <v>45899</v>
      </c>
      <c r="D307" t="inlineStr">
        <is>
          <t>VÄSTERNORRLANDS LÄN</t>
        </is>
      </c>
      <c r="E307" t="inlineStr">
        <is>
          <t>SOLLEFTEÅ</t>
        </is>
      </c>
      <c r="F307" t="inlineStr">
        <is>
          <t>SCA</t>
        </is>
      </c>
      <c r="G307" t="n">
        <v>3.6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37206-2024 artfynd.xlsx", "A 37206-2024")</f>
        <v/>
      </c>
      <c r="T307">
        <f>HYPERLINK("https://klasma.github.io/Logging_2283/kartor/A 37206-2024 karta.png", "A 37206-2024")</f>
        <v/>
      </c>
      <c r="V307">
        <f>HYPERLINK("https://klasma.github.io/Logging_2283/klagomål/A 37206-2024 FSC-klagomål.docx", "A 37206-2024")</f>
        <v/>
      </c>
      <c r="W307">
        <f>HYPERLINK("https://klasma.github.io/Logging_2283/klagomålsmail/A 37206-2024 FSC-klagomål mail.docx", "A 37206-2024")</f>
        <v/>
      </c>
      <c r="X307">
        <f>HYPERLINK("https://klasma.github.io/Logging_2283/tillsyn/A 37206-2024 tillsynsbegäran.docx", "A 37206-2024")</f>
        <v/>
      </c>
      <c r="Y307">
        <f>HYPERLINK("https://klasma.github.io/Logging_2283/tillsynsmail/A 37206-2024 tillsynsbegäran mail.docx", "A 37206-2024")</f>
        <v/>
      </c>
      <c r="Z307">
        <f>HYPERLINK("https://klasma.github.io/Logging_2283/fåglar/A 37206-2024 prioriterade fågelarter.docx", "A 37206-2024")</f>
        <v/>
      </c>
    </row>
    <row r="308" ht="15" customHeight="1">
      <c r="A308" t="inlineStr">
        <is>
          <t>A 54734-2024</t>
        </is>
      </c>
      <c r="B308" s="1" t="n">
        <v>45618.43879629629</v>
      </c>
      <c r="C308" s="1" t="n">
        <v>45899</v>
      </c>
      <c r="D308" t="inlineStr">
        <is>
          <t>VÄSTERNORRLANDS LÄN</t>
        </is>
      </c>
      <c r="E308" t="inlineStr">
        <is>
          <t>SOLLEFTEÅ</t>
        </is>
      </c>
      <c r="F308" t="inlineStr">
        <is>
          <t>SCA</t>
        </is>
      </c>
      <c r="G308" t="n">
        <v>3.2</v>
      </c>
      <c r="H308" t="n">
        <v>0</v>
      </c>
      <c r="I308" t="n">
        <v>0</v>
      </c>
      <c r="J308" t="n">
        <v>1</v>
      </c>
      <c r="K308" t="n">
        <v>0</v>
      </c>
      <c r="L308" t="n">
        <v>0</v>
      </c>
      <c r="M308" t="n">
        <v>0</v>
      </c>
      <c r="N308" t="n">
        <v>0</v>
      </c>
      <c r="O308" t="n">
        <v>1</v>
      </c>
      <c r="P308" t="n">
        <v>0</v>
      </c>
      <c r="Q308" t="n">
        <v>1</v>
      </c>
      <c r="R308" s="2" t="inlineStr">
        <is>
          <t>Ullticka</t>
        </is>
      </c>
      <c r="S308">
        <f>HYPERLINK("https://klasma.github.io/Logging_2283/artfynd/A 54734-2024 artfynd.xlsx", "A 54734-2024")</f>
        <v/>
      </c>
      <c r="T308">
        <f>HYPERLINK("https://klasma.github.io/Logging_2283/kartor/A 54734-2024 karta.png", "A 54734-2024")</f>
        <v/>
      </c>
      <c r="V308">
        <f>HYPERLINK("https://klasma.github.io/Logging_2283/klagomål/A 54734-2024 FSC-klagomål.docx", "A 54734-2024")</f>
        <v/>
      </c>
      <c r="W308">
        <f>HYPERLINK("https://klasma.github.io/Logging_2283/klagomålsmail/A 54734-2024 FSC-klagomål mail.docx", "A 54734-2024")</f>
        <v/>
      </c>
      <c r="X308">
        <f>HYPERLINK("https://klasma.github.io/Logging_2283/tillsyn/A 54734-2024 tillsynsbegäran.docx", "A 54734-2024")</f>
        <v/>
      </c>
      <c r="Y308">
        <f>HYPERLINK("https://klasma.github.io/Logging_2283/tillsynsmail/A 54734-2024 tillsynsbegäran mail.docx", "A 54734-2024")</f>
        <v/>
      </c>
    </row>
    <row r="309" ht="15" customHeight="1">
      <c r="A309" t="inlineStr">
        <is>
          <t>A 22214-2025</t>
        </is>
      </c>
      <c r="B309" s="1" t="n">
        <v>45785.65792824074</v>
      </c>
      <c r="C309" s="1" t="n">
        <v>45899</v>
      </c>
      <c r="D309" t="inlineStr">
        <is>
          <t>VÄSTERNORRLANDS LÄN</t>
        </is>
      </c>
      <c r="E309" t="inlineStr">
        <is>
          <t>SOLLEFTEÅ</t>
        </is>
      </c>
      <c r="F309" t="inlineStr">
        <is>
          <t>SCA</t>
        </is>
      </c>
      <c r="G309" t="n">
        <v>4.6</v>
      </c>
      <c r="H309" t="n">
        <v>0</v>
      </c>
      <c r="I309" t="n">
        <v>0</v>
      </c>
      <c r="J309" t="n">
        <v>1</v>
      </c>
      <c r="K309" t="n">
        <v>0</v>
      </c>
      <c r="L309" t="n">
        <v>0</v>
      </c>
      <c r="M309" t="n">
        <v>0</v>
      </c>
      <c r="N309" t="n">
        <v>0</v>
      </c>
      <c r="O309" t="n">
        <v>1</v>
      </c>
      <c r="P309" t="n">
        <v>0</v>
      </c>
      <c r="Q309" t="n">
        <v>1</v>
      </c>
      <c r="R309" s="2" t="inlineStr">
        <is>
          <t>Reliktbock</t>
        </is>
      </c>
      <c r="S309">
        <f>HYPERLINK("https://klasma.github.io/Logging_2283/artfynd/A 22214-2025 artfynd.xlsx", "A 22214-2025")</f>
        <v/>
      </c>
      <c r="T309">
        <f>HYPERLINK("https://klasma.github.io/Logging_2283/kartor/A 22214-2025 karta.png", "A 22214-2025")</f>
        <v/>
      </c>
      <c r="V309">
        <f>HYPERLINK("https://klasma.github.io/Logging_2283/klagomål/A 22214-2025 FSC-klagomål.docx", "A 22214-2025")</f>
        <v/>
      </c>
      <c r="W309">
        <f>HYPERLINK("https://klasma.github.io/Logging_2283/klagomålsmail/A 22214-2025 FSC-klagomål mail.docx", "A 22214-2025")</f>
        <v/>
      </c>
      <c r="X309">
        <f>HYPERLINK("https://klasma.github.io/Logging_2283/tillsyn/A 22214-2025 tillsynsbegäran.docx", "A 22214-2025")</f>
        <v/>
      </c>
      <c r="Y309">
        <f>HYPERLINK("https://klasma.github.io/Logging_2283/tillsynsmail/A 22214-2025 tillsynsbegäran mail.docx", "A 22214-2025")</f>
        <v/>
      </c>
    </row>
    <row r="310" ht="15" customHeight="1">
      <c r="A310" t="inlineStr">
        <is>
          <t>A 26019-2025</t>
        </is>
      </c>
      <c r="B310" s="1" t="n">
        <v>45804.67811342593</v>
      </c>
      <c r="C310" s="1" t="n">
        <v>45899</v>
      </c>
      <c r="D310" t="inlineStr">
        <is>
          <t>VÄSTERNORRLANDS LÄN</t>
        </is>
      </c>
      <c r="E310" t="inlineStr">
        <is>
          <t>SOLLEFTEÅ</t>
        </is>
      </c>
      <c r="F310" t="inlineStr">
        <is>
          <t>SCA</t>
        </is>
      </c>
      <c r="G310" t="n">
        <v>3.7</v>
      </c>
      <c r="H310" t="n">
        <v>0</v>
      </c>
      <c r="I310" t="n">
        <v>0</v>
      </c>
      <c r="J310" t="n">
        <v>1</v>
      </c>
      <c r="K310" t="n">
        <v>0</v>
      </c>
      <c r="L310" t="n">
        <v>0</v>
      </c>
      <c r="M310" t="n">
        <v>0</v>
      </c>
      <c r="N310" t="n">
        <v>0</v>
      </c>
      <c r="O310" t="n">
        <v>1</v>
      </c>
      <c r="P310" t="n">
        <v>0</v>
      </c>
      <c r="Q310" t="n">
        <v>1</v>
      </c>
      <c r="R310" s="2" t="inlineStr">
        <is>
          <t>Rosenticka</t>
        </is>
      </c>
      <c r="S310">
        <f>HYPERLINK("https://klasma.github.io/Logging_2283/artfynd/A 26019-2025 artfynd.xlsx", "A 26019-2025")</f>
        <v/>
      </c>
      <c r="T310">
        <f>HYPERLINK("https://klasma.github.io/Logging_2283/kartor/A 26019-2025 karta.png", "A 26019-2025")</f>
        <v/>
      </c>
      <c r="V310">
        <f>HYPERLINK("https://klasma.github.io/Logging_2283/klagomål/A 26019-2025 FSC-klagomål.docx", "A 26019-2025")</f>
        <v/>
      </c>
      <c r="W310">
        <f>HYPERLINK("https://klasma.github.io/Logging_2283/klagomålsmail/A 26019-2025 FSC-klagomål mail.docx", "A 26019-2025")</f>
        <v/>
      </c>
      <c r="X310">
        <f>HYPERLINK("https://klasma.github.io/Logging_2283/tillsyn/A 26019-2025 tillsynsbegäran.docx", "A 26019-2025")</f>
        <v/>
      </c>
      <c r="Y310">
        <f>HYPERLINK("https://klasma.github.io/Logging_2283/tillsynsmail/A 26019-2025 tillsynsbegäran mail.docx", "A 26019-2025")</f>
        <v/>
      </c>
    </row>
    <row r="311" ht="15" customHeight="1">
      <c r="A311" t="inlineStr">
        <is>
          <t>A 23169-2025</t>
        </is>
      </c>
      <c r="B311" s="1" t="n">
        <v>45791.42752314815</v>
      </c>
      <c r="C311" s="1" t="n">
        <v>45899</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Järpe</t>
        </is>
      </c>
      <c r="S311">
        <f>HYPERLINK("https://klasma.github.io/Logging_2283/artfynd/A 23169-2025 artfynd.xlsx", "A 23169-2025")</f>
        <v/>
      </c>
      <c r="T311">
        <f>HYPERLINK("https://klasma.github.io/Logging_2283/kartor/A 23169-2025 karta.png", "A 23169-2025")</f>
        <v/>
      </c>
      <c r="V311">
        <f>HYPERLINK("https://klasma.github.io/Logging_2283/klagomål/A 23169-2025 FSC-klagomål.docx", "A 23169-2025")</f>
        <v/>
      </c>
      <c r="W311">
        <f>HYPERLINK("https://klasma.github.io/Logging_2283/klagomålsmail/A 23169-2025 FSC-klagomål mail.docx", "A 23169-2025")</f>
        <v/>
      </c>
      <c r="X311">
        <f>HYPERLINK("https://klasma.github.io/Logging_2283/tillsyn/A 23169-2025 tillsynsbegäran.docx", "A 23169-2025")</f>
        <v/>
      </c>
      <c r="Y311">
        <f>HYPERLINK("https://klasma.github.io/Logging_2283/tillsynsmail/A 23169-2025 tillsynsbegäran mail.docx", "A 23169-2025")</f>
        <v/>
      </c>
      <c r="Z311">
        <f>HYPERLINK("https://klasma.github.io/Logging_2283/fåglar/A 23169-2025 prioriterade fågelarter.docx", "A 23169-2025")</f>
        <v/>
      </c>
    </row>
    <row r="312" ht="15" customHeight="1">
      <c r="A312" t="inlineStr">
        <is>
          <t>A 8903-2024</t>
        </is>
      </c>
      <c r="B312" s="1" t="n">
        <v>45355</v>
      </c>
      <c r="C312" s="1" t="n">
        <v>45899</v>
      </c>
      <c r="D312" t="inlineStr">
        <is>
          <t>VÄSTERNORRLANDS LÄN</t>
        </is>
      </c>
      <c r="E312" t="inlineStr">
        <is>
          <t>SOLLEFTEÅ</t>
        </is>
      </c>
      <c r="G312" t="n">
        <v>1.7</v>
      </c>
      <c r="H312" t="n">
        <v>0</v>
      </c>
      <c r="I312" t="n">
        <v>1</v>
      </c>
      <c r="J312" t="n">
        <v>0</v>
      </c>
      <c r="K312" t="n">
        <v>0</v>
      </c>
      <c r="L312" t="n">
        <v>0</v>
      </c>
      <c r="M312" t="n">
        <v>0</v>
      </c>
      <c r="N312" t="n">
        <v>0</v>
      </c>
      <c r="O312" t="n">
        <v>0</v>
      </c>
      <c r="P312" t="n">
        <v>0</v>
      </c>
      <c r="Q312" t="n">
        <v>1</v>
      </c>
      <c r="R312" s="2" t="inlineStr">
        <is>
          <t>Strutbräken</t>
        </is>
      </c>
      <c r="S312">
        <f>HYPERLINK("https://klasma.github.io/Logging_2283/artfynd/A 8903-2024 artfynd.xlsx", "A 8903-2024")</f>
        <v/>
      </c>
      <c r="T312">
        <f>HYPERLINK("https://klasma.github.io/Logging_2283/kartor/A 8903-2024 karta.png", "A 8903-2024")</f>
        <v/>
      </c>
      <c r="V312">
        <f>HYPERLINK("https://klasma.github.io/Logging_2283/klagomål/A 8903-2024 FSC-klagomål.docx", "A 8903-2024")</f>
        <v/>
      </c>
      <c r="W312">
        <f>HYPERLINK("https://klasma.github.io/Logging_2283/klagomålsmail/A 8903-2024 FSC-klagomål mail.docx", "A 8903-2024")</f>
        <v/>
      </c>
      <c r="X312">
        <f>HYPERLINK("https://klasma.github.io/Logging_2283/tillsyn/A 8903-2024 tillsynsbegäran.docx", "A 8903-2024")</f>
        <v/>
      </c>
      <c r="Y312">
        <f>HYPERLINK("https://klasma.github.io/Logging_2283/tillsynsmail/A 8903-2024 tillsynsbegäran mail.docx", "A 8903-2024")</f>
        <v/>
      </c>
    </row>
    <row r="313" ht="15" customHeight="1">
      <c r="A313" t="inlineStr">
        <is>
          <t>A 39897-2024</t>
        </is>
      </c>
      <c r="B313" s="1" t="n">
        <v>45553.48841435185</v>
      </c>
      <c r="C313" s="1" t="n">
        <v>45899</v>
      </c>
      <c r="D313" t="inlineStr">
        <is>
          <t>VÄSTERNORRLANDS LÄN</t>
        </is>
      </c>
      <c r="E313" t="inlineStr">
        <is>
          <t>SOLLEFTEÅ</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HYPERLINK("https://klasma.github.io/Logging_2283/artfynd/A 39897-2024 artfynd.xlsx", "A 39897-2024")</f>
        <v/>
      </c>
      <c r="T313">
        <f>HYPERLINK("https://klasma.github.io/Logging_2283/kartor/A 39897-2024 karta.png", "A 39897-2024")</f>
        <v/>
      </c>
      <c r="V313">
        <f>HYPERLINK("https://klasma.github.io/Logging_2283/klagomål/A 39897-2024 FSC-klagomål.docx", "A 39897-2024")</f>
        <v/>
      </c>
      <c r="W313">
        <f>HYPERLINK("https://klasma.github.io/Logging_2283/klagomålsmail/A 39897-2024 FSC-klagomål mail.docx", "A 39897-2024")</f>
        <v/>
      </c>
      <c r="X313">
        <f>HYPERLINK("https://klasma.github.io/Logging_2283/tillsyn/A 39897-2024 tillsynsbegäran.docx", "A 39897-2024")</f>
        <v/>
      </c>
      <c r="Y313">
        <f>HYPERLINK("https://klasma.github.io/Logging_2283/tillsynsmail/A 39897-2024 tillsynsbegäran mail.docx", "A 39897-2024")</f>
        <v/>
      </c>
    </row>
    <row r="314" ht="15" customHeight="1">
      <c r="A314" t="inlineStr">
        <is>
          <t>A 49366-2024</t>
        </is>
      </c>
      <c r="B314" s="1" t="n">
        <v>45595.63572916666</v>
      </c>
      <c r="C314" s="1" t="n">
        <v>45899</v>
      </c>
      <c r="D314" t="inlineStr">
        <is>
          <t>VÄSTERNORRLANDS LÄN</t>
        </is>
      </c>
      <c r="E314" t="inlineStr">
        <is>
          <t>SOLLEFTEÅ</t>
        </is>
      </c>
      <c r="F314" t="inlineStr">
        <is>
          <t>SCA</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HYPERLINK("https://klasma.github.io/Logging_2283/artfynd/A 49366-2024 artfynd.xlsx", "A 49366-2024")</f>
        <v/>
      </c>
      <c r="T314">
        <f>HYPERLINK("https://klasma.github.io/Logging_2283/kartor/A 49366-2024 karta.png", "A 49366-2024")</f>
        <v/>
      </c>
      <c r="U314">
        <f>HYPERLINK("https://klasma.github.io/Logging_2283/knärot/A 49366-2024 karta knärot.png", "A 49366-2024")</f>
        <v/>
      </c>
      <c r="V314">
        <f>HYPERLINK("https://klasma.github.io/Logging_2283/klagomål/A 49366-2024 FSC-klagomål.docx", "A 49366-2024")</f>
        <v/>
      </c>
      <c r="W314">
        <f>HYPERLINK("https://klasma.github.io/Logging_2283/klagomålsmail/A 49366-2024 FSC-klagomål mail.docx", "A 49366-2024")</f>
        <v/>
      </c>
      <c r="X314">
        <f>HYPERLINK("https://klasma.github.io/Logging_2283/tillsyn/A 49366-2024 tillsynsbegäran.docx", "A 49366-2024")</f>
        <v/>
      </c>
      <c r="Y314">
        <f>HYPERLINK("https://klasma.github.io/Logging_2283/tillsynsmail/A 49366-2024 tillsynsbegäran mail.docx", "A 49366-2024")</f>
        <v/>
      </c>
    </row>
    <row r="315" ht="15" customHeight="1">
      <c r="A315" t="inlineStr">
        <is>
          <t>A 26501-2025</t>
        </is>
      </c>
      <c r="B315" s="1" t="n">
        <v>45807</v>
      </c>
      <c r="C315" s="1" t="n">
        <v>45899</v>
      </c>
      <c r="D315" t="inlineStr">
        <is>
          <t>VÄSTERNORRLANDS LÄN</t>
        </is>
      </c>
      <c r="E315" t="inlineStr">
        <is>
          <t>SOLLEFTEÅ</t>
        </is>
      </c>
      <c r="F315" t="inlineStr">
        <is>
          <t>SCA</t>
        </is>
      </c>
      <c r="G315" t="n">
        <v>3.9</v>
      </c>
      <c r="H315" t="n">
        <v>0</v>
      </c>
      <c r="I315" t="n">
        <v>0</v>
      </c>
      <c r="J315" t="n">
        <v>1</v>
      </c>
      <c r="K315" t="n">
        <v>0</v>
      </c>
      <c r="L315" t="n">
        <v>0</v>
      </c>
      <c r="M315" t="n">
        <v>0</v>
      </c>
      <c r="N315" t="n">
        <v>0</v>
      </c>
      <c r="O315" t="n">
        <v>1</v>
      </c>
      <c r="P315" t="n">
        <v>0</v>
      </c>
      <c r="Q315" t="n">
        <v>1</v>
      </c>
      <c r="R315" s="2" t="inlineStr">
        <is>
          <t>Vedflikmossa</t>
        </is>
      </c>
      <c r="S315">
        <f>HYPERLINK("https://klasma.github.io/Logging_2283/artfynd/A 26501-2025 artfynd.xlsx", "A 26501-2025")</f>
        <v/>
      </c>
      <c r="T315">
        <f>HYPERLINK("https://klasma.github.io/Logging_2283/kartor/A 26501-2025 karta.png", "A 26501-2025")</f>
        <v/>
      </c>
      <c r="V315">
        <f>HYPERLINK("https://klasma.github.io/Logging_2283/klagomål/A 26501-2025 FSC-klagomål.docx", "A 26501-2025")</f>
        <v/>
      </c>
      <c r="W315">
        <f>HYPERLINK("https://klasma.github.io/Logging_2283/klagomålsmail/A 26501-2025 FSC-klagomål mail.docx", "A 26501-2025")</f>
        <v/>
      </c>
      <c r="X315">
        <f>HYPERLINK("https://klasma.github.io/Logging_2283/tillsyn/A 26501-2025 tillsynsbegäran.docx", "A 26501-2025")</f>
        <v/>
      </c>
      <c r="Y315">
        <f>HYPERLINK("https://klasma.github.io/Logging_2283/tillsynsmail/A 26501-2025 tillsynsbegäran mail.docx", "A 26501-2025")</f>
        <v/>
      </c>
    </row>
    <row r="316" ht="15" customHeight="1">
      <c r="A316" t="inlineStr">
        <is>
          <t>A 53039-2023</t>
        </is>
      </c>
      <c r="B316" s="1" t="n">
        <v>45226</v>
      </c>
      <c r="C316" s="1" t="n">
        <v>45899</v>
      </c>
      <c r="D316" t="inlineStr">
        <is>
          <t>VÄSTERNORRLANDS LÄN</t>
        </is>
      </c>
      <c r="E316" t="inlineStr">
        <is>
          <t>SOLLEFTEÅ</t>
        </is>
      </c>
      <c r="F316" t="inlineStr">
        <is>
          <t>SCA</t>
        </is>
      </c>
      <c r="G316" t="n">
        <v>1.8</v>
      </c>
      <c r="H316" t="n">
        <v>1</v>
      </c>
      <c r="I316" t="n">
        <v>0</v>
      </c>
      <c r="J316" t="n">
        <v>1</v>
      </c>
      <c r="K316" t="n">
        <v>0</v>
      </c>
      <c r="L316" t="n">
        <v>0</v>
      </c>
      <c r="M316" t="n">
        <v>0</v>
      </c>
      <c r="N316" t="n">
        <v>0</v>
      </c>
      <c r="O316" t="n">
        <v>1</v>
      </c>
      <c r="P316" t="n">
        <v>0</v>
      </c>
      <c r="Q316" t="n">
        <v>1</v>
      </c>
      <c r="R316" s="2" t="inlineStr">
        <is>
          <t>Nordfladdermus</t>
        </is>
      </c>
      <c r="S316">
        <f>HYPERLINK("https://klasma.github.io/Logging_2283/artfynd/A 53039-2023 artfynd.xlsx", "A 53039-2023")</f>
        <v/>
      </c>
      <c r="T316">
        <f>HYPERLINK("https://klasma.github.io/Logging_2283/kartor/A 53039-2023 karta.png", "A 53039-2023")</f>
        <v/>
      </c>
      <c r="V316">
        <f>HYPERLINK("https://klasma.github.io/Logging_2283/klagomål/A 53039-2023 FSC-klagomål.docx", "A 53039-2023")</f>
        <v/>
      </c>
      <c r="W316">
        <f>HYPERLINK("https://klasma.github.io/Logging_2283/klagomålsmail/A 53039-2023 FSC-klagomål mail.docx", "A 53039-2023")</f>
        <v/>
      </c>
      <c r="X316">
        <f>HYPERLINK("https://klasma.github.io/Logging_2283/tillsyn/A 53039-2023 tillsynsbegäran.docx", "A 53039-2023")</f>
        <v/>
      </c>
      <c r="Y316">
        <f>HYPERLINK("https://klasma.github.io/Logging_2283/tillsynsmail/A 53039-2023 tillsynsbegäran mail.docx", "A 53039-2023")</f>
        <v/>
      </c>
    </row>
    <row r="317" ht="15" customHeight="1">
      <c r="A317" t="inlineStr">
        <is>
          <t>A 39995-2024</t>
        </is>
      </c>
      <c r="B317" s="1" t="n">
        <v>45553.63572916666</v>
      </c>
      <c r="C317" s="1" t="n">
        <v>45899</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HYPERLINK("https://klasma.github.io/Logging_2283/artfynd/A 39995-2024 artfynd.xlsx", "A 39995-2024")</f>
        <v/>
      </c>
      <c r="T317">
        <f>HYPERLINK("https://klasma.github.io/Logging_2283/kartor/A 39995-2024 karta.png", "A 39995-2024")</f>
        <v/>
      </c>
      <c r="V317">
        <f>HYPERLINK("https://klasma.github.io/Logging_2283/klagomål/A 39995-2024 FSC-klagomål.docx", "A 39995-2024")</f>
        <v/>
      </c>
      <c r="W317">
        <f>HYPERLINK("https://klasma.github.io/Logging_2283/klagomålsmail/A 39995-2024 FSC-klagomål mail.docx", "A 39995-2024")</f>
        <v/>
      </c>
      <c r="X317">
        <f>HYPERLINK("https://klasma.github.io/Logging_2283/tillsyn/A 39995-2024 tillsynsbegäran.docx", "A 39995-2024")</f>
        <v/>
      </c>
      <c r="Y317">
        <f>HYPERLINK("https://klasma.github.io/Logging_2283/tillsynsmail/A 39995-2024 tillsynsbegäran mail.docx", "A 39995-2024")</f>
        <v/>
      </c>
    </row>
    <row r="318" ht="15" customHeight="1">
      <c r="A318" t="inlineStr">
        <is>
          <t>A 27460-2025</t>
        </is>
      </c>
      <c r="B318" s="1" t="n">
        <v>45813.34574074074</v>
      </c>
      <c r="C318" s="1" t="n">
        <v>45899</v>
      </c>
      <c r="D318" t="inlineStr">
        <is>
          <t>VÄSTERNORRLANDS LÄN</t>
        </is>
      </c>
      <c r="E318" t="inlineStr">
        <is>
          <t>SOLLEFTEÅ</t>
        </is>
      </c>
      <c r="F318" t="inlineStr">
        <is>
          <t>SCA</t>
        </is>
      </c>
      <c r="G318" t="n">
        <v>15.7</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27460-2025 artfynd.xlsx", "A 27460-2025")</f>
        <v/>
      </c>
      <c r="T318">
        <f>HYPERLINK("https://klasma.github.io/Logging_2283/kartor/A 27460-2025 karta.png", "A 27460-2025")</f>
        <v/>
      </c>
      <c r="V318">
        <f>HYPERLINK("https://klasma.github.io/Logging_2283/klagomål/A 27460-2025 FSC-klagomål.docx", "A 27460-2025")</f>
        <v/>
      </c>
      <c r="W318">
        <f>HYPERLINK("https://klasma.github.io/Logging_2283/klagomålsmail/A 27460-2025 FSC-klagomål mail.docx", "A 27460-2025")</f>
        <v/>
      </c>
      <c r="X318">
        <f>HYPERLINK("https://klasma.github.io/Logging_2283/tillsyn/A 27460-2025 tillsynsbegäran.docx", "A 27460-2025")</f>
        <v/>
      </c>
      <c r="Y318">
        <f>HYPERLINK("https://klasma.github.io/Logging_2283/tillsynsmail/A 27460-2025 tillsynsbegäran mail.docx", "A 27460-2025")</f>
        <v/>
      </c>
      <c r="Z318">
        <f>HYPERLINK("https://klasma.github.io/Logging_2283/fåglar/A 27460-2025 prioriterade fågelarter.docx", "A 27460-2025")</f>
        <v/>
      </c>
    </row>
    <row r="319" ht="15" customHeight="1">
      <c r="A319" t="inlineStr">
        <is>
          <t>A 15669-2022</t>
        </is>
      </c>
      <c r="B319" s="1" t="n">
        <v>44662</v>
      </c>
      <c r="C319" s="1" t="n">
        <v>45899</v>
      </c>
      <c r="D319" t="inlineStr">
        <is>
          <t>VÄSTERNORRLANDS LÄN</t>
        </is>
      </c>
      <c r="E319" t="inlineStr">
        <is>
          <t>SOLLEFTEÅ</t>
        </is>
      </c>
      <c r="G319" t="n">
        <v>12.1</v>
      </c>
      <c r="H319" t="n">
        <v>0</v>
      </c>
      <c r="I319" t="n">
        <v>1</v>
      </c>
      <c r="J319" t="n">
        <v>0</v>
      </c>
      <c r="K319" t="n">
        <v>0</v>
      </c>
      <c r="L319" t="n">
        <v>0</v>
      </c>
      <c r="M319" t="n">
        <v>0</v>
      </c>
      <c r="N319" t="n">
        <v>0</v>
      </c>
      <c r="O319" t="n">
        <v>0</v>
      </c>
      <c r="P319" t="n">
        <v>0</v>
      </c>
      <c r="Q319" t="n">
        <v>1</v>
      </c>
      <c r="R319" s="2" t="inlineStr">
        <is>
          <t>Skinnlav</t>
        </is>
      </c>
      <c r="S319">
        <f>HYPERLINK("https://klasma.github.io/Logging_2283/artfynd/A 15669-2022 artfynd.xlsx", "A 15669-2022")</f>
        <v/>
      </c>
      <c r="T319">
        <f>HYPERLINK("https://klasma.github.io/Logging_2283/kartor/A 15669-2022 karta.png", "A 15669-2022")</f>
        <v/>
      </c>
      <c r="V319">
        <f>HYPERLINK("https://klasma.github.io/Logging_2283/klagomål/A 15669-2022 FSC-klagomål.docx", "A 15669-2022")</f>
        <v/>
      </c>
      <c r="W319">
        <f>HYPERLINK("https://klasma.github.io/Logging_2283/klagomålsmail/A 15669-2022 FSC-klagomål mail.docx", "A 15669-2022")</f>
        <v/>
      </c>
      <c r="X319">
        <f>HYPERLINK("https://klasma.github.io/Logging_2283/tillsyn/A 15669-2022 tillsynsbegäran.docx", "A 15669-2022")</f>
        <v/>
      </c>
      <c r="Y319">
        <f>HYPERLINK("https://klasma.github.io/Logging_2283/tillsynsmail/A 15669-2022 tillsynsbegäran mail.docx", "A 15669-2022")</f>
        <v/>
      </c>
    </row>
    <row r="320" ht="15" customHeight="1">
      <c r="A320" t="inlineStr">
        <is>
          <t>A 48948-2024</t>
        </is>
      </c>
      <c r="B320" s="1" t="n">
        <v>45594.42767361111</v>
      </c>
      <c r="C320" s="1" t="n">
        <v>45899</v>
      </c>
      <c r="D320" t="inlineStr">
        <is>
          <t>VÄSTERNORRLANDS LÄN</t>
        </is>
      </c>
      <c r="E320" t="inlineStr">
        <is>
          <t>SOLLEFTEÅ</t>
        </is>
      </c>
      <c r="F320" t="inlineStr">
        <is>
          <t>SCA</t>
        </is>
      </c>
      <c r="G320" t="n">
        <v>15</v>
      </c>
      <c r="H320" t="n">
        <v>1</v>
      </c>
      <c r="I320" t="n">
        <v>0</v>
      </c>
      <c r="J320" t="n">
        <v>0</v>
      </c>
      <c r="K320" t="n">
        <v>0</v>
      </c>
      <c r="L320" t="n">
        <v>0</v>
      </c>
      <c r="M320" t="n">
        <v>0</v>
      </c>
      <c r="N320" t="n">
        <v>0</v>
      </c>
      <c r="O320" t="n">
        <v>0</v>
      </c>
      <c r="P320" t="n">
        <v>0</v>
      </c>
      <c r="Q320" t="n">
        <v>1</v>
      </c>
      <c r="R320" s="2" t="inlineStr">
        <is>
          <t>Mattlummer</t>
        </is>
      </c>
      <c r="S320">
        <f>HYPERLINK("https://klasma.github.io/Logging_2283/artfynd/A 48948-2024 artfynd.xlsx", "A 48948-2024")</f>
        <v/>
      </c>
      <c r="T320">
        <f>HYPERLINK("https://klasma.github.io/Logging_2283/kartor/A 48948-2024 karta.png", "A 48948-2024")</f>
        <v/>
      </c>
      <c r="V320">
        <f>HYPERLINK("https://klasma.github.io/Logging_2283/klagomål/A 48948-2024 FSC-klagomål.docx", "A 48948-2024")</f>
        <v/>
      </c>
      <c r="W320">
        <f>HYPERLINK("https://klasma.github.io/Logging_2283/klagomålsmail/A 48948-2024 FSC-klagomål mail.docx", "A 48948-2024")</f>
        <v/>
      </c>
      <c r="X320">
        <f>HYPERLINK("https://klasma.github.io/Logging_2283/tillsyn/A 48948-2024 tillsynsbegäran.docx", "A 48948-2024")</f>
        <v/>
      </c>
      <c r="Y320">
        <f>HYPERLINK("https://klasma.github.io/Logging_2283/tillsynsmail/A 48948-2024 tillsynsbegäran mail.docx", "A 48948-2024")</f>
        <v/>
      </c>
    </row>
    <row r="321" ht="15" customHeight="1">
      <c r="A321" t="inlineStr">
        <is>
          <t>A 30948-2025</t>
        </is>
      </c>
      <c r="B321" s="1" t="n">
        <v>45832.42745370371</v>
      </c>
      <c r="C321" s="1" t="n">
        <v>45899</v>
      </c>
      <c r="D321" t="inlineStr">
        <is>
          <t>VÄSTERNORRLANDS LÄN</t>
        </is>
      </c>
      <c r="E321" t="inlineStr">
        <is>
          <t>SOLLEFTEÅ</t>
        </is>
      </c>
      <c r="F321" t="inlineStr">
        <is>
          <t>SCA</t>
        </is>
      </c>
      <c r="G321" t="n">
        <v>1.7</v>
      </c>
      <c r="H321" t="n">
        <v>1</v>
      </c>
      <c r="I321" t="n">
        <v>0</v>
      </c>
      <c r="J321" t="n">
        <v>0</v>
      </c>
      <c r="K321" t="n">
        <v>1</v>
      </c>
      <c r="L321" t="n">
        <v>0</v>
      </c>
      <c r="M321" t="n">
        <v>0</v>
      </c>
      <c r="N321" t="n">
        <v>0</v>
      </c>
      <c r="O321" t="n">
        <v>1</v>
      </c>
      <c r="P321" t="n">
        <v>1</v>
      </c>
      <c r="Q321" t="n">
        <v>1</v>
      </c>
      <c r="R321" s="2" t="inlineStr">
        <is>
          <t>Knärot</t>
        </is>
      </c>
      <c r="S321">
        <f>HYPERLINK("https://klasma.github.io/Logging_2283/artfynd/A 30948-2025 artfynd.xlsx", "A 30948-2025")</f>
        <v/>
      </c>
      <c r="T321">
        <f>HYPERLINK("https://klasma.github.io/Logging_2283/kartor/A 30948-2025 karta.png", "A 30948-2025")</f>
        <v/>
      </c>
      <c r="U321">
        <f>HYPERLINK("https://klasma.github.io/Logging_2283/knärot/A 30948-2025 karta knärot.png", "A 30948-2025")</f>
        <v/>
      </c>
      <c r="V321">
        <f>HYPERLINK("https://klasma.github.io/Logging_2283/klagomål/A 30948-2025 FSC-klagomål.docx", "A 30948-2025")</f>
        <v/>
      </c>
      <c r="W321">
        <f>HYPERLINK("https://klasma.github.io/Logging_2283/klagomålsmail/A 30948-2025 FSC-klagomål mail.docx", "A 30948-2025")</f>
        <v/>
      </c>
      <c r="X321">
        <f>HYPERLINK("https://klasma.github.io/Logging_2283/tillsyn/A 30948-2025 tillsynsbegäran.docx", "A 30948-2025")</f>
        <v/>
      </c>
      <c r="Y321">
        <f>HYPERLINK("https://klasma.github.io/Logging_2283/tillsynsmail/A 30948-2025 tillsynsbegäran mail.docx", "A 30948-2025")</f>
        <v/>
      </c>
    </row>
    <row r="322" ht="15" customHeight="1">
      <c r="A322" t="inlineStr">
        <is>
          <t>A 14805-2024</t>
        </is>
      </c>
      <c r="B322" s="1" t="n">
        <v>45397</v>
      </c>
      <c r="C322" s="1" t="n">
        <v>45899</v>
      </c>
      <c r="D322" t="inlineStr">
        <is>
          <t>VÄSTERNORRLANDS LÄN</t>
        </is>
      </c>
      <c r="E322" t="inlineStr">
        <is>
          <t>SOLLEFTEÅ</t>
        </is>
      </c>
      <c r="F322" t="inlineStr">
        <is>
          <t>SCA</t>
        </is>
      </c>
      <c r="G322" t="n">
        <v>3.5</v>
      </c>
      <c r="H322" t="n">
        <v>0</v>
      </c>
      <c r="I322" t="n">
        <v>0</v>
      </c>
      <c r="J322" t="n">
        <v>1</v>
      </c>
      <c r="K322" t="n">
        <v>0</v>
      </c>
      <c r="L322" t="n">
        <v>0</v>
      </c>
      <c r="M322" t="n">
        <v>0</v>
      </c>
      <c r="N322" t="n">
        <v>0</v>
      </c>
      <c r="O322" t="n">
        <v>1</v>
      </c>
      <c r="P322" t="n">
        <v>0</v>
      </c>
      <c r="Q322" t="n">
        <v>1</v>
      </c>
      <c r="R322" s="2" t="inlineStr">
        <is>
          <t>Dvärgbägarlav</t>
        </is>
      </c>
      <c r="S322">
        <f>HYPERLINK("https://klasma.github.io/Logging_2283/artfynd/A 14805-2024 artfynd.xlsx", "A 14805-2024")</f>
        <v/>
      </c>
      <c r="T322">
        <f>HYPERLINK("https://klasma.github.io/Logging_2283/kartor/A 14805-2024 karta.png", "A 14805-2024")</f>
        <v/>
      </c>
      <c r="V322">
        <f>HYPERLINK("https://klasma.github.io/Logging_2283/klagomål/A 14805-2024 FSC-klagomål.docx", "A 14805-2024")</f>
        <v/>
      </c>
      <c r="W322">
        <f>HYPERLINK("https://klasma.github.io/Logging_2283/klagomålsmail/A 14805-2024 FSC-klagomål mail.docx", "A 14805-2024")</f>
        <v/>
      </c>
      <c r="X322">
        <f>HYPERLINK("https://klasma.github.io/Logging_2283/tillsyn/A 14805-2024 tillsynsbegäran.docx", "A 14805-2024")</f>
        <v/>
      </c>
      <c r="Y322">
        <f>HYPERLINK("https://klasma.github.io/Logging_2283/tillsynsmail/A 14805-2024 tillsynsbegäran mail.docx", "A 14805-2024")</f>
        <v/>
      </c>
    </row>
    <row r="323" ht="15" customHeight="1">
      <c r="A323" t="inlineStr">
        <is>
          <t>A 17215-2025</t>
        </is>
      </c>
      <c r="B323" s="1" t="n">
        <v>45756.44856481482</v>
      </c>
      <c r="C323" s="1" t="n">
        <v>45899</v>
      </c>
      <c r="D323" t="inlineStr">
        <is>
          <t>VÄSTERNORRLANDS LÄN</t>
        </is>
      </c>
      <c r="E323" t="inlineStr">
        <is>
          <t>SOLLEFTEÅ</t>
        </is>
      </c>
      <c r="F323" t="inlineStr">
        <is>
          <t>SCA</t>
        </is>
      </c>
      <c r="G323" t="n">
        <v>5</v>
      </c>
      <c r="H323" t="n">
        <v>0</v>
      </c>
      <c r="I323" t="n">
        <v>0</v>
      </c>
      <c r="J323" t="n">
        <v>1</v>
      </c>
      <c r="K323" t="n">
        <v>0</v>
      </c>
      <c r="L323" t="n">
        <v>0</v>
      </c>
      <c r="M323" t="n">
        <v>0</v>
      </c>
      <c r="N323" t="n">
        <v>0</v>
      </c>
      <c r="O323" t="n">
        <v>1</v>
      </c>
      <c r="P323" t="n">
        <v>0</v>
      </c>
      <c r="Q323" t="n">
        <v>1</v>
      </c>
      <c r="R323" s="2" t="inlineStr">
        <is>
          <t>Vitgrynig nållav</t>
        </is>
      </c>
      <c r="S323">
        <f>HYPERLINK("https://klasma.github.io/Logging_2283/artfynd/A 17215-2025 artfynd.xlsx", "A 17215-2025")</f>
        <v/>
      </c>
      <c r="T323">
        <f>HYPERLINK("https://klasma.github.io/Logging_2283/kartor/A 17215-2025 karta.png", "A 17215-2025")</f>
        <v/>
      </c>
      <c r="V323">
        <f>HYPERLINK("https://klasma.github.io/Logging_2283/klagomål/A 17215-2025 FSC-klagomål.docx", "A 17215-2025")</f>
        <v/>
      </c>
      <c r="W323">
        <f>HYPERLINK("https://klasma.github.io/Logging_2283/klagomålsmail/A 17215-2025 FSC-klagomål mail.docx", "A 17215-2025")</f>
        <v/>
      </c>
      <c r="X323">
        <f>HYPERLINK("https://klasma.github.io/Logging_2283/tillsyn/A 17215-2025 tillsynsbegäran.docx", "A 17215-2025")</f>
        <v/>
      </c>
      <c r="Y323">
        <f>HYPERLINK("https://klasma.github.io/Logging_2283/tillsynsmail/A 17215-2025 tillsynsbegäran mail.docx", "A 17215-2025")</f>
        <v/>
      </c>
    </row>
    <row r="324" ht="15" customHeight="1">
      <c r="A324" t="inlineStr">
        <is>
          <t>A 19199-2025</t>
        </is>
      </c>
      <c r="B324" s="1" t="n">
        <v>45769.42774305555</v>
      </c>
      <c r="C324" s="1" t="n">
        <v>45899</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45899</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32101-2025</t>
        </is>
      </c>
      <c r="B326" s="1" t="n">
        <v>45835.46914351852</v>
      </c>
      <c r="C326" s="1" t="n">
        <v>45899</v>
      </c>
      <c r="D326" t="inlineStr">
        <is>
          <t>VÄSTERNORRLANDS LÄN</t>
        </is>
      </c>
      <c r="E326" t="inlineStr">
        <is>
          <t>SOLLEFTEÅ</t>
        </is>
      </c>
      <c r="F326" t="inlineStr">
        <is>
          <t>SCA</t>
        </is>
      </c>
      <c r="G326" t="n">
        <v>2.2</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32101-2025 artfynd.xlsx", "A 32101-2025")</f>
        <v/>
      </c>
      <c r="T326">
        <f>HYPERLINK("https://klasma.github.io/Logging_2283/kartor/A 32101-2025 karta.png", "A 32101-2025")</f>
        <v/>
      </c>
      <c r="V326">
        <f>HYPERLINK("https://klasma.github.io/Logging_2283/klagomål/A 32101-2025 FSC-klagomål.docx", "A 32101-2025")</f>
        <v/>
      </c>
      <c r="W326">
        <f>HYPERLINK("https://klasma.github.io/Logging_2283/klagomålsmail/A 32101-2025 FSC-klagomål mail.docx", "A 32101-2025")</f>
        <v/>
      </c>
      <c r="X326">
        <f>HYPERLINK("https://klasma.github.io/Logging_2283/tillsyn/A 32101-2025 tillsynsbegäran.docx", "A 32101-2025")</f>
        <v/>
      </c>
      <c r="Y326">
        <f>HYPERLINK("https://klasma.github.io/Logging_2283/tillsynsmail/A 32101-2025 tillsynsbegäran mail.docx", "A 32101-2025")</f>
        <v/>
      </c>
      <c r="Z326">
        <f>HYPERLINK("https://klasma.github.io/Logging_2283/fåglar/A 32101-2025 prioriterade fågelarter.docx", "A 32101-2025")</f>
        <v/>
      </c>
    </row>
    <row r="327" ht="15" customHeight="1">
      <c r="A327" t="inlineStr">
        <is>
          <t>A 68651-2020</t>
        </is>
      </c>
      <c r="B327" s="1" t="n">
        <v>44186</v>
      </c>
      <c r="C327" s="1" t="n">
        <v>45899</v>
      </c>
      <c r="D327" t="inlineStr">
        <is>
          <t>VÄSTERNORRLANDS LÄN</t>
        </is>
      </c>
      <c r="E327" t="inlineStr">
        <is>
          <t>SOLLEFTEÅ</t>
        </is>
      </c>
      <c r="F327" t="inlineStr">
        <is>
          <t>SCA</t>
        </is>
      </c>
      <c r="G327" t="n">
        <v>1.5</v>
      </c>
      <c r="H327" t="n">
        <v>0</v>
      </c>
      <c r="I327" t="n">
        <v>0</v>
      </c>
      <c r="J327" t="n">
        <v>1</v>
      </c>
      <c r="K327" t="n">
        <v>0</v>
      </c>
      <c r="L327" t="n">
        <v>0</v>
      </c>
      <c r="M327" t="n">
        <v>0</v>
      </c>
      <c r="N327" t="n">
        <v>0</v>
      </c>
      <c r="O327" t="n">
        <v>1</v>
      </c>
      <c r="P327" t="n">
        <v>0</v>
      </c>
      <c r="Q327" t="n">
        <v>1</v>
      </c>
      <c r="R327" s="2" t="inlineStr">
        <is>
          <t>Harticka</t>
        </is>
      </c>
      <c r="S327">
        <f>HYPERLINK("https://klasma.github.io/Logging_2283/artfynd/A 68651-2020 artfynd.xlsx", "A 68651-2020")</f>
        <v/>
      </c>
      <c r="T327">
        <f>HYPERLINK("https://klasma.github.io/Logging_2283/kartor/A 68651-2020 karta.png", "A 68651-2020")</f>
        <v/>
      </c>
      <c r="V327">
        <f>HYPERLINK("https://klasma.github.io/Logging_2283/klagomål/A 68651-2020 FSC-klagomål.docx", "A 68651-2020")</f>
        <v/>
      </c>
      <c r="W327">
        <f>HYPERLINK("https://klasma.github.io/Logging_2283/klagomålsmail/A 68651-2020 FSC-klagomål mail.docx", "A 68651-2020")</f>
        <v/>
      </c>
      <c r="X327">
        <f>HYPERLINK("https://klasma.github.io/Logging_2283/tillsyn/A 68651-2020 tillsynsbegäran.docx", "A 68651-2020")</f>
        <v/>
      </c>
      <c r="Y327">
        <f>HYPERLINK("https://klasma.github.io/Logging_2283/tillsynsmail/A 68651-2020 tillsynsbegäran mail.docx", "A 68651-2020")</f>
        <v/>
      </c>
    </row>
    <row r="328" ht="15" customHeight="1">
      <c r="A328" t="inlineStr">
        <is>
          <t>A 21708-2022</t>
        </is>
      </c>
      <c r="B328" s="1" t="n">
        <v>44707</v>
      </c>
      <c r="C328" s="1" t="n">
        <v>45899</v>
      </c>
      <c r="D328" t="inlineStr">
        <is>
          <t>VÄSTERNORRLANDS LÄN</t>
        </is>
      </c>
      <c r="E328" t="inlineStr">
        <is>
          <t>SOLLEFTEÅ</t>
        </is>
      </c>
      <c r="F328" t="inlineStr">
        <is>
          <t>SCA</t>
        </is>
      </c>
      <c r="G328" t="n">
        <v>2.6</v>
      </c>
      <c r="H328" t="n">
        <v>0</v>
      </c>
      <c r="I328" t="n">
        <v>0</v>
      </c>
      <c r="J328" t="n">
        <v>1</v>
      </c>
      <c r="K328" t="n">
        <v>0</v>
      </c>
      <c r="L328" t="n">
        <v>0</v>
      </c>
      <c r="M328" t="n">
        <v>0</v>
      </c>
      <c r="N328" t="n">
        <v>0</v>
      </c>
      <c r="O328" t="n">
        <v>1</v>
      </c>
      <c r="P328" t="n">
        <v>0</v>
      </c>
      <c r="Q328" t="n">
        <v>1</v>
      </c>
      <c r="R328" s="2" t="inlineStr">
        <is>
          <t>Lunglav</t>
        </is>
      </c>
      <c r="S328">
        <f>HYPERLINK("https://klasma.github.io/Logging_2283/artfynd/A 21708-2022 artfynd.xlsx", "A 21708-2022")</f>
        <v/>
      </c>
      <c r="T328">
        <f>HYPERLINK("https://klasma.github.io/Logging_2283/kartor/A 21708-2022 karta.png", "A 21708-2022")</f>
        <v/>
      </c>
      <c r="V328">
        <f>HYPERLINK("https://klasma.github.io/Logging_2283/klagomål/A 21708-2022 FSC-klagomål.docx", "A 21708-2022")</f>
        <v/>
      </c>
      <c r="W328">
        <f>HYPERLINK("https://klasma.github.io/Logging_2283/klagomålsmail/A 21708-2022 FSC-klagomål mail.docx", "A 21708-2022")</f>
        <v/>
      </c>
      <c r="X328">
        <f>HYPERLINK("https://klasma.github.io/Logging_2283/tillsyn/A 21708-2022 tillsynsbegäran.docx", "A 21708-2022")</f>
        <v/>
      </c>
      <c r="Y328">
        <f>HYPERLINK("https://klasma.github.io/Logging_2283/tillsynsmail/A 21708-2022 tillsynsbegäran mail.docx", "A 21708-2022")</f>
        <v/>
      </c>
    </row>
    <row r="329" ht="15" customHeight="1">
      <c r="A329" t="inlineStr">
        <is>
          <t>A 38268-2025</t>
        </is>
      </c>
      <c r="B329" s="1" t="n">
        <v>45883.40679398148</v>
      </c>
      <c r="C329" s="1" t="n">
        <v>45899</v>
      </c>
      <c r="D329" t="inlineStr">
        <is>
          <t>VÄSTERNORRLANDS LÄN</t>
        </is>
      </c>
      <c r="E329" t="inlineStr">
        <is>
          <t>SOLLEFTEÅ</t>
        </is>
      </c>
      <c r="F329" t="inlineStr">
        <is>
          <t>SCA</t>
        </is>
      </c>
      <c r="G329" t="n">
        <v>5.1</v>
      </c>
      <c r="H329" t="n">
        <v>0</v>
      </c>
      <c r="I329" t="n">
        <v>0</v>
      </c>
      <c r="J329" t="n">
        <v>0</v>
      </c>
      <c r="K329" t="n">
        <v>1</v>
      </c>
      <c r="L329" t="n">
        <v>0</v>
      </c>
      <c r="M329" t="n">
        <v>0</v>
      </c>
      <c r="N329" t="n">
        <v>0</v>
      </c>
      <c r="O329" t="n">
        <v>1</v>
      </c>
      <c r="P329" t="n">
        <v>1</v>
      </c>
      <c r="Q329" t="n">
        <v>1</v>
      </c>
      <c r="R329" s="2" t="inlineStr">
        <is>
          <t>Gräddporing</t>
        </is>
      </c>
      <c r="S329">
        <f>HYPERLINK("https://klasma.github.io/Logging_2283/artfynd/A 38268-2025 artfynd.xlsx", "A 38268-2025")</f>
        <v/>
      </c>
      <c r="T329">
        <f>HYPERLINK("https://klasma.github.io/Logging_2283/kartor/A 38268-2025 karta.png", "A 38268-2025")</f>
        <v/>
      </c>
      <c r="V329">
        <f>HYPERLINK("https://klasma.github.io/Logging_2283/klagomål/A 38268-2025 FSC-klagomål.docx", "A 38268-2025")</f>
        <v/>
      </c>
      <c r="W329">
        <f>HYPERLINK("https://klasma.github.io/Logging_2283/klagomålsmail/A 38268-2025 FSC-klagomål mail.docx", "A 38268-2025")</f>
        <v/>
      </c>
      <c r="X329">
        <f>HYPERLINK("https://klasma.github.io/Logging_2283/tillsyn/A 38268-2025 tillsynsbegäran.docx", "A 38268-2025")</f>
        <v/>
      </c>
      <c r="Y329">
        <f>HYPERLINK("https://klasma.github.io/Logging_2283/tillsynsmail/A 38268-2025 tillsynsbegäran mail.docx", "A 38268-2025")</f>
        <v/>
      </c>
    </row>
    <row r="330" ht="15" customHeight="1">
      <c r="A330" t="inlineStr">
        <is>
          <t>A 11667-2025</t>
        </is>
      </c>
      <c r="B330" s="1" t="n">
        <v>45727.51074074074</v>
      </c>
      <c r="C330" s="1" t="n">
        <v>45899</v>
      </c>
      <c r="D330" t="inlineStr">
        <is>
          <t>VÄSTERNORRLANDS LÄN</t>
        </is>
      </c>
      <c r="E330" t="inlineStr">
        <is>
          <t>SOLLEFTEÅ</t>
        </is>
      </c>
      <c r="F330" t="inlineStr">
        <is>
          <t>SCA</t>
        </is>
      </c>
      <c r="G330" t="n">
        <v>4.5</v>
      </c>
      <c r="H330" t="n">
        <v>1</v>
      </c>
      <c r="I330" t="n">
        <v>0</v>
      </c>
      <c r="J330" t="n">
        <v>1</v>
      </c>
      <c r="K330" t="n">
        <v>0</v>
      </c>
      <c r="L330" t="n">
        <v>0</v>
      </c>
      <c r="M330" t="n">
        <v>0</v>
      </c>
      <c r="N330" t="n">
        <v>0</v>
      </c>
      <c r="O330" t="n">
        <v>1</v>
      </c>
      <c r="P330" t="n">
        <v>0</v>
      </c>
      <c r="Q330" t="n">
        <v>1</v>
      </c>
      <c r="R330" s="2" t="inlineStr">
        <is>
          <t>Järpe</t>
        </is>
      </c>
      <c r="S330">
        <f>HYPERLINK("https://klasma.github.io/Logging_2283/artfynd/A 11667-2025 artfynd.xlsx", "A 11667-2025")</f>
        <v/>
      </c>
      <c r="T330">
        <f>HYPERLINK("https://klasma.github.io/Logging_2283/kartor/A 11667-2025 karta.png", "A 11667-2025")</f>
        <v/>
      </c>
      <c r="V330">
        <f>HYPERLINK("https://klasma.github.io/Logging_2283/klagomål/A 11667-2025 FSC-klagomål.docx", "A 11667-2025")</f>
        <v/>
      </c>
      <c r="W330">
        <f>HYPERLINK("https://klasma.github.io/Logging_2283/klagomålsmail/A 11667-2025 FSC-klagomål mail.docx", "A 11667-2025")</f>
        <v/>
      </c>
      <c r="X330">
        <f>HYPERLINK("https://klasma.github.io/Logging_2283/tillsyn/A 11667-2025 tillsynsbegäran.docx", "A 11667-2025")</f>
        <v/>
      </c>
      <c r="Y330">
        <f>HYPERLINK("https://klasma.github.io/Logging_2283/tillsynsmail/A 11667-2025 tillsynsbegäran mail.docx", "A 11667-2025")</f>
        <v/>
      </c>
      <c r="Z330">
        <f>HYPERLINK("https://klasma.github.io/Logging_2283/fåglar/A 11667-2025 prioriterade fågelarter.docx", "A 11667-2025")</f>
        <v/>
      </c>
    </row>
    <row r="331" ht="15" customHeight="1">
      <c r="A331" t="inlineStr">
        <is>
          <t>A 33853-2025</t>
        </is>
      </c>
      <c r="B331" s="1" t="n">
        <v>45842.51097222222</v>
      </c>
      <c r="C331" s="1" t="n">
        <v>45899</v>
      </c>
      <c r="D331" t="inlineStr">
        <is>
          <t>VÄSTERNORRLANDS LÄN</t>
        </is>
      </c>
      <c r="E331" t="inlineStr">
        <is>
          <t>SOLLEFTEÅ</t>
        </is>
      </c>
      <c r="F331" t="inlineStr">
        <is>
          <t>SCA</t>
        </is>
      </c>
      <c r="G331" t="n">
        <v>6.5</v>
      </c>
      <c r="H331" t="n">
        <v>1</v>
      </c>
      <c r="I331" t="n">
        <v>0</v>
      </c>
      <c r="J331" t="n">
        <v>0</v>
      </c>
      <c r="K331" t="n">
        <v>0</v>
      </c>
      <c r="L331" t="n">
        <v>0</v>
      </c>
      <c r="M331" t="n">
        <v>0</v>
      </c>
      <c r="N331" t="n">
        <v>0</v>
      </c>
      <c r="O331" t="n">
        <v>0</v>
      </c>
      <c r="P331" t="n">
        <v>0</v>
      </c>
      <c r="Q331" t="n">
        <v>1</v>
      </c>
      <c r="R331" s="2" t="inlineStr">
        <is>
          <t>Tjäder</t>
        </is>
      </c>
      <c r="S331">
        <f>HYPERLINK("https://klasma.github.io/Logging_2283/artfynd/A 33853-2025 artfynd.xlsx", "A 33853-2025")</f>
        <v/>
      </c>
      <c r="T331">
        <f>HYPERLINK("https://klasma.github.io/Logging_2283/kartor/A 33853-2025 karta.png", "A 33853-2025")</f>
        <v/>
      </c>
      <c r="V331">
        <f>HYPERLINK("https://klasma.github.io/Logging_2283/klagomål/A 33853-2025 FSC-klagomål.docx", "A 33853-2025")</f>
        <v/>
      </c>
      <c r="W331">
        <f>HYPERLINK("https://klasma.github.io/Logging_2283/klagomålsmail/A 33853-2025 FSC-klagomål mail.docx", "A 33853-2025")</f>
        <v/>
      </c>
      <c r="X331">
        <f>HYPERLINK("https://klasma.github.io/Logging_2283/tillsyn/A 33853-2025 tillsynsbegäran.docx", "A 33853-2025")</f>
        <v/>
      </c>
      <c r="Y331">
        <f>HYPERLINK("https://klasma.github.io/Logging_2283/tillsynsmail/A 33853-2025 tillsynsbegäran mail.docx", "A 33853-2025")</f>
        <v/>
      </c>
      <c r="Z331">
        <f>HYPERLINK("https://klasma.github.io/Logging_2283/fåglar/A 33853-2025 prioriterade fågelarter.docx", "A 33853-2025")</f>
        <v/>
      </c>
    </row>
    <row r="332" ht="15" customHeight="1">
      <c r="A332" t="inlineStr">
        <is>
          <t>A 18697-2025</t>
        </is>
      </c>
      <c r="B332" s="1" t="n">
        <v>45763.61592592593</v>
      </c>
      <c r="C332" s="1" t="n">
        <v>45899</v>
      </c>
      <c r="D332" t="inlineStr">
        <is>
          <t>VÄSTERNORRLANDS LÄN</t>
        </is>
      </c>
      <c r="E332" t="inlineStr">
        <is>
          <t>SOLLEFTEÅ</t>
        </is>
      </c>
      <c r="F332" t="inlineStr">
        <is>
          <t>SCA</t>
        </is>
      </c>
      <c r="G332" t="n">
        <v>6.4</v>
      </c>
      <c r="H332" t="n">
        <v>0</v>
      </c>
      <c r="I332" t="n">
        <v>0</v>
      </c>
      <c r="J332" t="n">
        <v>1</v>
      </c>
      <c r="K332" t="n">
        <v>0</v>
      </c>
      <c r="L332" t="n">
        <v>0</v>
      </c>
      <c r="M332" t="n">
        <v>0</v>
      </c>
      <c r="N332" t="n">
        <v>0</v>
      </c>
      <c r="O332" t="n">
        <v>1</v>
      </c>
      <c r="P332" t="n">
        <v>0</v>
      </c>
      <c r="Q332" t="n">
        <v>1</v>
      </c>
      <c r="R332" s="2" t="inlineStr">
        <is>
          <t>Kolflarnlav</t>
        </is>
      </c>
      <c r="S332">
        <f>HYPERLINK("https://klasma.github.io/Logging_2283/artfynd/A 18697-2025 artfynd.xlsx", "A 18697-2025")</f>
        <v/>
      </c>
      <c r="T332">
        <f>HYPERLINK("https://klasma.github.io/Logging_2283/kartor/A 18697-2025 karta.png", "A 18697-2025")</f>
        <v/>
      </c>
      <c r="V332">
        <f>HYPERLINK("https://klasma.github.io/Logging_2283/klagomål/A 18697-2025 FSC-klagomål.docx", "A 18697-2025")</f>
        <v/>
      </c>
      <c r="W332">
        <f>HYPERLINK("https://klasma.github.io/Logging_2283/klagomålsmail/A 18697-2025 FSC-klagomål mail.docx", "A 18697-2025")</f>
        <v/>
      </c>
      <c r="X332">
        <f>HYPERLINK("https://klasma.github.io/Logging_2283/tillsyn/A 18697-2025 tillsynsbegäran.docx", "A 18697-2025")</f>
        <v/>
      </c>
      <c r="Y332">
        <f>HYPERLINK("https://klasma.github.io/Logging_2283/tillsynsmail/A 18697-2025 tillsynsbegäran mail.docx", "A 18697-2025")</f>
        <v/>
      </c>
    </row>
    <row r="333" ht="15" customHeight="1">
      <c r="A333" t="inlineStr">
        <is>
          <t>A 21360-2021</t>
        </is>
      </c>
      <c r="B333" s="1" t="n">
        <v>44320</v>
      </c>
      <c r="C333" s="1" t="n">
        <v>45899</v>
      </c>
      <c r="D333" t="inlineStr">
        <is>
          <t>VÄSTERNORRLANDS LÄN</t>
        </is>
      </c>
      <c r="E333" t="inlineStr">
        <is>
          <t>SOLLEFTEÅ</t>
        </is>
      </c>
      <c r="G333" t="n">
        <v>6.8</v>
      </c>
      <c r="H333" t="n">
        <v>1</v>
      </c>
      <c r="I333" t="n">
        <v>0</v>
      </c>
      <c r="J333" t="n">
        <v>0</v>
      </c>
      <c r="K333" t="n">
        <v>1</v>
      </c>
      <c r="L333" t="n">
        <v>0</v>
      </c>
      <c r="M333" t="n">
        <v>0</v>
      </c>
      <c r="N333" t="n">
        <v>0</v>
      </c>
      <c r="O333" t="n">
        <v>1</v>
      </c>
      <c r="P333" t="n">
        <v>1</v>
      </c>
      <c r="Q333" t="n">
        <v>1</v>
      </c>
      <c r="R333" s="2" t="inlineStr">
        <is>
          <t>Knärot</t>
        </is>
      </c>
      <c r="S333">
        <f>HYPERLINK("https://klasma.github.io/Logging_2283/artfynd/A 21360-2021 artfynd.xlsx", "A 21360-2021")</f>
        <v/>
      </c>
      <c r="T333">
        <f>HYPERLINK("https://klasma.github.io/Logging_2283/kartor/A 21360-2021 karta.png", "A 21360-2021")</f>
        <v/>
      </c>
      <c r="U333">
        <f>HYPERLINK("https://klasma.github.io/Logging_2283/knärot/A 21360-2021 karta knärot.png", "A 21360-2021")</f>
        <v/>
      </c>
      <c r="V333">
        <f>HYPERLINK("https://klasma.github.io/Logging_2283/klagomål/A 21360-2021 FSC-klagomål.docx", "A 21360-2021")</f>
        <v/>
      </c>
      <c r="W333">
        <f>HYPERLINK("https://klasma.github.io/Logging_2283/klagomålsmail/A 21360-2021 FSC-klagomål mail.docx", "A 21360-2021")</f>
        <v/>
      </c>
      <c r="X333">
        <f>HYPERLINK("https://klasma.github.io/Logging_2283/tillsyn/A 21360-2021 tillsynsbegäran.docx", "A 21360-2021")</f>
        <v/>
      </c>
      <c r="Y333">
        <f>HYPERLINK("https://klasma.github.io/Logging_2283/tillsynsmail/A 21360-2021 tillsynsbegäran mail.docx", "A 21360-2021")</f>
        <v/>
      </c>
    </row>
    <row r="334" ht="15" customHeight="1">
      <c r="A334" t="inlineStr">
        <is>
          <t>A 59997-2024</t>
        </is>
      </c>
      <c r="B334" s="1" t="n">
        <v>45642.40715277778</v>
      </c>
      <c r="C334" s="1" t="n">
        <v>45899</v>
      </c>
      <c r="D334" t="inlineStr">
        <is>
          <t>VÄSTERNORRLANDS LÄN</t>
        </is>
      </c>
      <c r="E334" t="inlineStr">
        <is>
          <t>SOLLEFTEÅ</t>
        </is>
      </c>
      <c r="F334" t="inlineStr">
        <is>
          <t>SCA</t>
        </is>
      </c>
      <c r="G334" t="n">
        <v>2.8</v>
      </c>
      <c r="H334" t="n">
        <v>0</v>
      </c>
      <c r="I334" t="n">
        <v>0</v>
      </c>
      <c r="J334" t="n">
        <v>1</v>
      </c>
      <c r="K334" t="n">
        <v>0</v>
      </c>
      <c r="L334" t="n">
        <v>0</v>
      </c>
      <c r="M334" t="n">
        <v>0</v>
      </c>
      <c r="N334" t="n">
        <v>0</v>
      </c>
      <c r="O334" t="n">
        <v>1</v>
      </c>
      <c r="P334" t="n">
        <v>0</v>
      </c>
      <c r="Q334" t="n">
        <v>1</v>
      </c>
      <c r="R334" s="2" t="inlineStr">
        <is>
          <t>Garnlav</t>
        </is>
      </c>
      <c r="S334">
        <f>HYPERLINK("https://klasma.github.io/Logging_2283/artfynd/A 59997-2024 artfynd.xlsx", "A 59997-2024")</f>
        <v/>
      </c>
      <c r="T334">
        <f>HYPERLINK("https://klasma.github.io/Logging_2283/kartor/A 59997-2024 karta.png", "A 59997-2024")</f>
        <v/>
      </c>
      <c r="V334">
        <f>HYPERLINK("https://klasma.github.io/Logging_2283/klagomål/A 59997-2024 FSC-klagomål.docx", "A 59997-2024")</f>
        <v/>
      </c>
      <c r="W334">
        <f>HYPERLINK("https://klasma.github.io/Logging_2283/klagomålsmail/A 59997-2024 FSC-klagomål mail.docx", "A 59997-2024")</f>
        <v/>
      </c>
      <c r="X334">
        <f>HYPERLINK("https://klasma.github.io/Logging_2283/tillsyn/A 59997-2024 tillsynsbegäran.docx", "A 59997-2024")</f>
        <v/>
      </c>
      <c r="Y334">
        <f>HYPERLINK("https://klasma.github.io/Logging_2283/tillsynsmail/A 59997-2024 tillsynsbegäran mail.docx", "A 59997-2024")</f>
        <v/>
      </c>
    </row>
    <row r="335" ht="15" customHeight="1">
      <c r="A335" t="inlineStr">
        <is>
          <t>A 34865-2025</t>
        </is>
      </c>
      <c r="B335" s="1" t="n">
        <v>45849.4421412037</v>
      </c>
      <c r="C335" s="1" t="n">
        <v>45899</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35217-2025</t>
        </is>
      </c>
      <c r="B336" s="1" t="n">
        <v>45853.49020833334</v>
      </c>
      <c r="C336" s="1" t="n">
        <v>45899</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31920-2023</t>
        </is>
      </c>
      <c r="B337" s="1" t="n">
        <v>45118</v>
      </c>
      <c r="C337" s="1" t="n">
        <v>45899</v>
      </c>
      <c r="D337" t="inlineStr">
        <is>
          <t>VÄSTERNORRLANDS LÄN</t>
        </is>
      </c>
      <c r="E337" t="inlineStr">
        <is>
          <t>SOLLEFTEÅ</t>
        </is>
      </c>
      <c r="F337" t="inlineStr">
        <is>
          <t>SCA</t>
        </is>
      </c>
      <c r="G337" t="n">
        <v>2</v>
      </c>
      <c r="H337" t="n">
        <v>0</v>
      </c>
      <c r="I337" t="n">
        <v>0</v>
      </c>
      <c r="J337" t="n">
        <v>1</v>
      </c>
      <c r="K337" t="n">
        <v>0</v>
      </c>
      <c r="L337" t="n">
        <v>0</v>
      </c>
      <c r="M337" t="n">
        <v>0</v>
      </c>
      <c r="N337" t="n">
        <v>0</v>
      </c>
      <c r="O337" t="n">
        <v>1</v>
      </c>
      <c r="P337" t="n">
        <v>0</v>
      </c>
      <c r="Q337" t="n">
        <v>1</v>
      </c>
      <c r="R337" s="2" t="inlineStr">
        <is>
          <t>Ullticka</t>
        </is>
      </c>
      <c r="S337">
        <f>HYPERLINK("https://klasma.github.io/Logging_2283/artfynd/A 31920-2023 artfynd.xlsx", "A 31920-2023")</f>
        <v/>
      </c>
      <c r="T337">
        <f>HYPERLINK("https://klasma.github.io/Logging_2283/kartor/A 31920-2023 karta.png", "A 31920-2023")</f>
        <v/>
      </c>
      <c r="V337">
        <f>HYPERLINK("https://klasma.github.io/Logging_2283/klagomål/A 31920-2023 FSC-klagomål.docx", "A 31920-2023")</f>
        <v/>
      </c>
      <c r="W337">
        <f>HYPERLINK("https://klasma.github.io/Logging_2283/klagomålsmail/A 31920-2023 FSC-klagomål mail.docx", "A 31920-2023")</f>
        <v/>
      </c>
      <c r="X337">
        <f>HYPERLINK("https://klasma.github.io/Logging_2283/tillsyn/A 31920-2023 tillsynsbegäran.docx", "A 31920-2023")</f>
        <v/>
      </c>
      <c r="Y337">
        <f>HYPERLINK("https://klasma.github.io/Logging_2283/tillsynsmail/A 31920-2023 tillsynsbegäran mail.docx", "A 31920-2023")</f>
        <v/>
      </c>
    </row>
    <row r="338" ht="15" customHeight="1">
      <c r="A338" t="inlineStr">
        <is>
          <t>A 386-2024</t>
        </is>
      </c>
      <c r="B338" s="1" t="n">
        <v>45296</v>
      </c>
      <c r="C338" s="1" t="n">
        <v>45899</v>
      </c>
      <c r="D338" t="inlineStr">
        <is>
          <t>VÄSTERNORRLANDS LÄN</t>
        </is>
      </c>
      <c r="E338" t="inlineStr">
        <is>
          <t>SOLLEFTEÅ</t>
        </is>
      </c>
      <c r="G338" t="n">
        <v>3.7</v>
      </c>
      <c r="H338" t="n">
        <v>0</v>
      </c>
      <c r="I338" t="n">
        <v>0</v>
      </c>
      <c r="J338" t="n">
        <v>1</v>
      </c>
      <c r="K338" t="n">
        <v>0</v>
      </c>
      <c r="L338" t="n">
        <v>0</v>
      </c>
      <c r="M338" t="n">
        <v>0</v>
      </c>
      <c r="N338" t="n">
        <v>0</v>
      </c>
      <c r="O338" t="n">
        <v>1</v>
      </c>
      <c r="P338" t="n">
        <v>0</v>
      </c>
      <c r="Q338" t="n">
        <v>1</v>
      </c>
      <c r="R338" s="2" t="inlineStr">
        <is>
          <t>Kolflarnlav</t>
        </is>
      </c>
      <c r="S338">
        <f>HYPERLINK("https://klasma.github.io/Logging_2283/artfynd/A 386-2024 artfynd.xlsx", "A 386-2024")</f>
        <v/>
      </c>
      <c r="T338">
        <f>HYPERLINK("https://klasma.github.io/Logging_2283/kartor/A 386-2024 karta.png", "A 386-2024")</f>
        <v/>
      </c>
      <c r="V338">
        <f>HYPERLINK("https://klasma.github.io/Logging_2283/klagomål/A 386-2024 FSC-klagomål.docx", "A 386-2024")</f>
        <v/>
      </c>
      <c r="W338">
        <f>HYPERLINK("https://klasma.github.io/Logging_2283/klagomålsmail/A 386-2024 FSC-klagomål mail.docx", "A 386-2024")</f>
        <v/>
      </c>
      <c r="X338">
        <f>HYPERLINK("https://klasma.github.io/Logging_2283/tillsyn/A 386-2024 tillsynsbegäran.docx", "A 386-2024")</f>
        <v/>
      </c>
      <c r="Y338">
        <f>HYPERLINK("https://klasma.github.io/Logging_2283/tillsynsmail/A 386-2024 tillsynsbegäran mail.docx", "A 386-2024")</f>
        <v/>
      </c>
    </row>
    <row r="339" ht="15" customHeight="1">
      <c r="A339" t="inlineStr">
        <is>
          <t>A 22862-2021</t>
        </is>
      </c>
      <c r="B339" s="1" t="n">
        <v>44326</v>
      </c>
      <c r="C339" s="1" t="n">
        <v>45899</v>
      </c>
      <c r="D339" t="inlineStr">
        <is>
          <t>VÄSTERNORRLANDS LÄN</t>
        </is>
      </c>
      <c r="E339" t="inlineStr">
        <is>
          <t>SOLLEFTEÅ</t>
        </is>
      </c>
      <c r="F339" t="inlineStr">
        <is>
          <t>Kommuner</t>
        </is>
      </c>
      <c r="G339" t="n">
        <v>2</v>
      </c>
      <c r="H339" t="n">
        <v>1</v>
      </c>
      <c r="I339" t="n">
        <v>0</v>
      </c>
      <c r="J339" t="n">
        <v>0</v>
      </c>
      <c r="K339" t="n">
        <v>1</v>
      </c>
      <c r="L339" t="n">
        <v>0</v>
      </c>
      <c r="M339" t="n">
        <v>0</v>
      </c>
      <c r="N339" t="n">
        <v>0</v>
      </c>
      <c r="O339" t="n">
        <v>1</v>
      </c>
      <c r="P339" t="n">
        <v>1</v>
      </c>
      <c r="Q339" t="n">
        <v>1</v>
      </c>
      <c r="R339" s="2" t="inlineStr">
        <is>
          <t>Lappuggla</t>
        </is>
      </c>
      <c r="S339">
        <f>HYPERLINK("https://klasma.github.io/Logging_2283/artfynd/A 22862-2021 artfynd.xlsx", "A 22862-2021")</f>
        <v/>
      </c>
      <c r="T339">
        <f>HYPERLINK("https://klasma.github.io/Logging_2283/kartor/A 22862-2021 karta.png", "A 22862-2021")</f>
        <v/>
      </c>
      <c r="V339">
        <f>HYPERLINK("https://klasma.github.io/Logging_2283/klagomål/A 22862-2021 FSC-klagomål.docx", "A 22862-2021")</f>
        <v/>
      </c>
      <c r="W339">
        <f>HYPERLINK("https://klasma.github.io/Logging_2283/klagomålsmail/A 22862-2021 FSC-klagomål mail.docx", "A 22862-2021")</f>
        <v/>
      </c>
      <c r="X339">
        <f>HYPERLINK("https://klasma.github.io/Logging_2283/tillsyn/A 22862-2021 tillsynsbegäran.docx", "A 22862-2021")</f>
        <v/>
      </c>
      <c r="Y339">
        <f>HYPERLINK("https://klasma.github.io/Logging_2283/tillsynsmail/A 22862-2021 tillsynsbegäran mail.docx", "A 22862-2021")</f>
        <v/>
      </c>
      <c r="Z339">
        <f>HYPERLINK("https://klasma.github.io/Logging_2283/fåglar/A 22862-2021 prioriterade fågelarter.docx", "A 22862-2021")</f>
        <v/>
      </c>
    </row>
    <row r="340" ht="15" customHeight="1">
      <c r="A340" t="inlineStr">
        <is>
          <t>A 5790-2025</t>
        </is>
      </c>
      <c r="B340" s="1" t="n">
        <v>45694.65657407408</v>
      </c>
      <c r="C340" s="1" t="n">
        <v>45899</v>
      </c>
      <c r="D340" t="inlineStr">
        <is>
          <t>VÄSTERNORRLANDS LÄN</t>
        </is>
      </c>
      <c r="E340" t="inlineStr">
        <is>
          <t>SOLLEFTEÅ</t>
        </is>
      </c>
      <c r="F340" t="inlineStr">
        <is>
          <t>SCA</t>
        </is>
      </c>
      <c r="G340" t="n">
        <v>32.7</v>
      </c>
      <c r="H340" t="n">
        <v>0</v>
      </c>
      <c r="I340" t="n">
        <v>0</v>
      </c>
      <c r="J340" t="n">
        <v>1</v>
      </c>
      <c r="K340" t="n">
        <v>0</v>
      </c>
      <c r="L340" t="n">
        <v>0</v>
      </c>
      <c r="M340" t="n">
        <v>0</v>
      </c>
      <c r="N340" t="n">
        <v>0</v>
      </c>
      <c r="O340" t="n">
        <v>1</v>
      </c>
      <c r="P340" t="n">
        <v>0</v>
      </c>
      <c r="Q340" t="n">
        <v>1</v>
      </c>
      <c r="R340" s="2" t="inlineStr">
        <is>
          <t>Lunglav</t>
        </is>
      </c>
      <c r="S340">
        <f>HYPERLINK("https://klasma.github.io/Logging_2283/artfynd/A 5790-2025 artfynd.xlsx", "A 5790-2025")</f>
        <v/>
      </c>
      <c r="T340">
        <f>HYPERLINK("https://klasma.github.io/Logging_2283/kartor/A 5790-2025 karta.png", "A 5790-2025")</f>
        <v/>
      </c>
      <c r="V340">
        <f>HYPERLINK("https://klasma.github.io/Logging_2283/klagomål/A 5790-2025 FSC-klagomål.docx", "A 5790-2025")</f>
        <v/>
      </c>
      <c r="W340">
        <f>HYPERLINK("https://klasma.github.io/Logging_2283/klagomålsmail/A 5790-2025 FSC-klagomål mail.docx", "A 5790-2025")</f>
        <v/>
      </c>
      <c r="X340">
        <f>HYPERLINK("https://klasma.github.io/Logging_2283/tillsyn/A 5790-2025 tillsynsbegäran.docx", "A 5790-2025")</f>
        <v/>
      </c>
      <c r="Y340">
        <f>HYPERLINK("https://klasma.github.io/Logging_2283/tillsynsmail/A 5790-2025 tillsynsbegäran mail.docx", "A 5790-2025")</f>
        <v/>
      </c>
    </row>
    <row r="341" ht="15" customHeight="1">
      <c r="A341" t="inlineStr">
        <is>
          <t>A 48087-2023</t>
        </is>
      </c>
      <c r="B341" s="1" t="n">
        <v>45204</v>
      </c>
      <c r="C341" s="1" t="n">
        <v>45899</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16269-2022</t>
        </is>
      </c>
      <c r="B342" s="1" t="n">
        <v>44670</v>
      </c>
      <c r="C342" s="1" t="n">
        <v>45899</v>
      </c>
      <c r="D342" t="inlineStr">
        <is>
          <t>VÄSTERNORRLANDS LÄN</t>
        </is>
      </c>
      <c r="E342" t="inlineStr">
        <is>
          <t>SOLLEFTEÅ</t>
        </is>
      </c>
      <c r="F342" t="inlineStr">
        <is>
          <t>Holmen skog AB</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16269-2022 artfynd.xlsx", "A 16269-2022")</f>
        <v/>
      </c>
      <c r="T342">
        <f>HYPERLINK("https://klasma.github.io/Logging_2283/kartor/A 16269-2022 karta.png", "A 16269-2022")</f>
        <v/>
      </c>
      <c r="V342">
        <f>HYPERLINK("https://klasma.github.io/Logging_2283/klagomål/A 16269-2022 FSC-klagomål.docx", "A 16269-2022")</f>
        <v/>
      </c>
      <c r="W342">
        <f>HYPERLINK("https://klasma.github.io/Logging_2283/klagomålsmail/A 16269-2022 FSC-klagomål mail.docx", "A 16269-2022")</f>
        <v/>
      </c>
      <c r="X342">
        <f>HYPERLINK("https://klasma.github.io/Logging_2283/tillsyn/A 16269-2022 tillsynsbegäran.docx", "A 16269-2022")</f>
        <v/>
      </c>
      <c r="Y342">
        <f>HYPERLINK("https://klasma.github.io/Logging_2283/tillsynsmail/A 16269-2022 tillsynsbegäran mail.docx", "A 16269-2022")</f>
        <v/>
      </c>
      <c r="Z342">
        <f>HYPERLINK("https://klasma.github.io/Logging_2283/fåglar/A 16269-2022 prioriterade fågelarter.docx", "A 16269-2022")</f>
        <v/>
      </c>
    </row>
    <row r="343" ht="15" customHeight="1">
      <c r="A343" t="inlineStr">
        <is>
          <t>A 49367-2024</t>
        </is>
      </c>
      <c r="B343" s="1" t="n">
        <v>45595.63591435185</v>
      </c>
      <c r="C343" s="1" t="n">
        <v>45899</v>
      </c>
      <c r="D343" t="inlineStr">
        <is>
          <t>VÄSTERNORRLANDS LÄN</t>
        </is>
      </c>
      <c r="E343" t="inlineStr">
        <is>
          <t>SOLLEFTEÅ</t>
        </is>
      </c>
      <c r="F343" t="inlineStr">
        <is>
          <t>SCA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HYPERLINK("https://klasma.github.io/Logging_2283/artfynd/A 49367-2024 artfynd.xlsx", "A 49367-2024")</f>
        <v/>
      </c>
      <c r="T343">
        <f>HYPERLINK("https://klasma.github.io/Logging_2283/kartor/A 49367-2024 karta.png", "A 49367-2024")</f>
        <v/>
      </c>
      <c r="U343">
        <f>HYPERLINK("https://klasma.github.io/Logging_2283/knärot/A 49367-2024 karta knärot.png", "A 49367-2024")</f>
        <v/>
      </c>
      <c r="V343">
        <f>HYPERLINK("https://klasma.github.io/Logging_2283/klagomål/A 49367-2024 FSC-klagomål.docx", "A 49367-2024")</f>
        <v/>
      </c>
      <c r="W343">
        <f>HYPERLINK("https://klasma.github.io/Logging_2283/klagomålsmail/A 49367-2024 FSC-klagomål mail.docx", "A 49367-2024")</f>
        <v/>
      </c>
      <c r="X343">
        <f>HYPERLINK("https://klasma.github.io/Logging_2283/tillsyn/A 49367-2024 tillsynsbegäran.docx", "A 49367-2024")</f>
        <v/>
      </c>
      <c r="Y343">
        <f>HYPERLINK("https://klasma.github.io/Logging_2283/tillsynsmail/A 49367-2024 tillsynsbegäran mail.docx", "A 49367-2024")</f>
        <v/>
      </c>
    </row>
    <row r="344" ht="15" customHeight="1">
      <c r="A344" t="inlineStr">
        <is>
          <t>A 35295-2023</t>
        </is>
      </c>
      <c r="B344" s="1" t="n">
        <v>45145</v>
      </c>
      <c r="C344" s="1" t="n">
        <v>45899</v>
      </c>
      <c r="D344" t="inlineStr">
        <is>
          <t>VÄSTERNORRLANDS LÄN</t>
        </is>
      </c>
      <c r="E344" t="inlineStr">
        <is>
          <t>SOLLEFTEÅ</t>
        </is>
      </c>
      <c r="F344" t="inlineStr">
        <is>
          <t>SCA</t>
        </is>
      </c>
      <c r="G344" t="n">
        <v>8.9</v>
      </c>
      <c r="H344" t="n">
        <v>1</v>
      </c>
      <c r="I344" t="n">
        <v>0</v>
      </c>
      <c r="J344" t="n">
        <v>1</v>
      </c>
      <c r="K344" t="n">
        <v>0</v>
      </c>
      <c r="L344" t="n">
        <v>0</v>
      </c>
      <c r="M344" t="n">
        <v>0</v>
      </c>
      <c r="N344" t="n">
        <v>0</v>
      </c>
      <c r="O344" t="n">
        <v>1</v>
      </c>
      <c r="P344" t="n">
        <v>0</v>
      </c>
      <c r="Q344" t="n">
        <v>1</v>
      </c>
      <c r="R344" s="2" t="inlineStr">
        <is>
          <t>Talltita</t>
        </is>
      </c>
      <c r="S344">
        <f>HYPERLINK("https://klasma.github.io/Logging_2283/artfynd/A 35295-2023 artfynd.xlsx", "A 35295-2023")</f>
        <v/>
      </c>
      <c r="T344">
        <f>HYPERLINK("https://klasma.github.io/Logging_2283/kartor/A 35295-2023 karta.png", "A 35295-2023")</f>
        <v/>
      </c>
      <c r="V344">
        <f>HYPERLINK("https://klasma.github.io/Logging_2283/klagomål/A 35295-2023 FSC-klagomål.docx", "A 35295-2023")</f>
        <v/>
      </c>
      <c r="W344">
        <f>HYPERLINK("https://klasma.github.io/Logging_2283/klagomålsmail/A 35295-2023 FSC-klagomål mail.docx", "A 35295-2023")</f>
        <v/>
      </c>
      <c r="X344">
        <f>HYPERLINK("https://klasma.github.io/Logging_2283/tillsyn/A 35295-2023 tillsynsbegäran.docx", "A 35295-2023")</f>
        <v/>
      </c>
      <c r="Y344">
        <f>HYPERLINK("https://klasma.github.io/Logging_2283/tillsynsmail/A 35295-2023 tillsynsbegäran mail.docx", "A 35295-2023")</f>
        <v/>
      </c>
      <c r="Z344">
        <f>HYPERLINK("https://klasma.github.io/Logging_2283/fåglar/A 35295-2023 prioriterade fågelarter.docx", "A 35295-2023")</f>
        <v/>
      </c>
    </row>
    <row r="345" ht="15" customHeight="1">
      <c r="A345" t="inlineStr">
        <is>
          <t>A 8541-2024</t>
        </is>
      </c>
      <c r="B345" s="1" t="n">
        <v>45351</v>
      </c>
      <c r="C345" s="1" t="n">
        <v>45899</v>
      </c>
      <c r="D345" t="inlineStr">
        <is>
          <t>VÄSTERNORRLANDS LÄN</t>
        </is>
      </c>
      <c r="E345" t="inlineStr">
        <is>
          <t>SOLLEFTEÅ</t>
        </is>
      </c>
      <c r="F345" t="inlineStr">
        <is>
          <t>Kommuner</t>
        </is>
      </c>
      <c r="G345" t="n">
        <v>0.6</v>
      </c>
      <c r="H345" t="n">
        <v>0</v>
      </c>
      <c r="I345" t="n">
        <v>0</v>
      </c>
      <c r="J345" t="n">
        <v>1</v>
      </c>
      <c r="K345" t="n">
        <v>0</v>
      </c>
      <c r="L345" t="n">
        <v>0</v>
      </c>
      <c r="M345" t="n">
        <v>0</v>
      </c>
      <c r="N345" t="n">
        <v>0</v>
      </c>
      <c r="O345" t="n">
        <v>1</v>
      </c>
      <c r="P345" t="n">
        <v>0</v>
      </c>
      <c r="Q345" t="n">
        <v>1</v>
      </c>
      <c r="R345" s="2" t="inlineStr">
        <is>
          <t>Granticka</t>
        </is>
      </c>
      <c r="S345">
        <f>HYPERLINK("https://klasma.github.io/Logging_2283/artfynd/A 8541-2024 artfynd.xlsx", "A 8541-2024")</f>
        <v/>
      </c>
      <c r="T345">
        <f>HYPERLINK("https://klasma.github.io/Logging_2283/kartor/A 8541-2024 karta.png", "A 8541-2024")</f>
        <v/>
      </c>
      <c r="V345">
        <f>HYPERLINK("https://klasma.github.io/Logging_2283/klagomål/A 8541-2024 FSC-klagomål.docx", "A 8541-2024")</f>
        <v/>
      </c>
      <c r="W345">
        <f>HYPERLINK("https://klasma.github.io/Logging_2283/klagomålsmail/A 8541-2024 FSC-klagomål mail.docx", "A 8541-2024")</f>
        <v/>
      </c>
      <c r="X345">
        <f>HYPERLINK("https://klasma.github.io/Logging_2283/tillsyn/A 8541-2024 tillsynsbegäran.docx", "A 8541-2024")</f>
        <v/>
      </c>
      <c r="Y345">
        <f>HYPERLINK("https://klasma.github.io/Logging_2283/tillsynsmail/A 8541-2024 tillsynsbegäran mail.docx", "A 8541-2024")</f>
        <v/>
      </c>
    </row>
    <row r="346" ht="15" customHeight="1">
      <c r="A346" t="inlineStr">
        <is>
          <t>A 38363-2022</t>
        </is>
      </c>
      <c r="B346" s="1" t="n">
        <v>44812</v>
      </c>
      <c r="C346" s="1" t="n">
        <v>45899</v>
      </c>
      <c r="D346" t="inlineStr">
        <is>
          <t>VÄSTERNORRLANDS LÄN</t>
        </is>
      </c>
      <c r="E346" t="inlineStr">
        <is>
          <t>SOLLEFTEÅ</t>
        </is>
      </c>
      <c r="F346" t="inlineStr">
        <is>
          <t>Kommuner</t>
        </is>
      </c>
      <c r="G346" t="n">
        <v>16</v>
      </c>
      <c r="H346" t="n">
        <v>0</v>
      </c>
      <c r="I346" t="n">
        <v>0</v>
      </c>
      <c r="J346" t="n">
        <v>1</v>
      </c>
      <c r="K346" t="n">
        <v>0</v>
      </c>
      <c r="L346" t="n">
        <v>0</v>
      </c>
      <c r="M346" t="n">
        <v>0</v>
      </c>
      <c r="N346" t="n">
        <v>0</v>
      </c>
      <c r="O346" t="n">
        <v>1</v>
      </c>
      <c r="P346" t="n">
        <v>0</v>
      </c>
      <c r="Q346" t="n">
        <v>1</v>
      </c>
      <c r="R346" s="2" t="inlineStr">
        <is>
          <t>Garnlav</t>
        </is>
      </c>
      <c r="S346">
        <f>HYPERLINK("https://klasma.github.io/Logging_2283/artfynd/A 38363-2022 artfynd.xlsx", "A 38363-2022")</f>
        <v/>
      </c>
      <c r="T346">
        <f>HYPERLINK("https://klasma.github.io/Logging_2283/kartor/A 38363-2022 karta.png", "A 38363-2022")</f>
        <v/>
      </c>
      <c r="V346">
        <f>HYPERLINK("https://klasma.github.io/Logging_2283/klagomål/A 38363-2022 FSC-klagomål.docx", "A 38363-2022")</f>
        <v/>
      </c>
      <c r="W346">
        <f>HYPERLINK("https://klasma.github.io/Logging_2283/klagomålsmail/A 38363-2022 FSC-klagomål mail.docx", "A 38363-2022")</f>
        <v/>
      </c>
      <c r="X346">
        <f>HYPERLINK("https://klasma.github.io/Logging_2283/tillsyn/A 38363-2022 tillsynsbegäran.docx", "A 38363-2022")</f>
        <v/>
      </c>
      <c r="Y346">
        <f>HYPERLINK("https://klasma.github.io/Logging_2283/tillsynsmail/A 38363-2022 tillsynsbegäran mail.docx", "A 38363-2022")</f>
        <v/>
      </c>
    </row>
    <row r="347" ht="15" customHeight="1">
      <c r="A347" t="inlineStr">
        <is>
          <t>A 7658-2021</t>
        </is>
      </c>
      <c r="B347" s="1" t="n">
        <v>44242.42165509259</v>
      </c>
      <c r="C347" s="1" t="n">
        <v>45899</v>
      </c>
      <c r="D347" t="inlineStr">
        <is>
          <t>VÄSTERNORRLANDS LÄN</t>
        </is>
      </c>
      <c r="E347" t="inlineStr">
        <is>
          <t>SOLLEFTEÅ</t>
        </is>
      </c>
      <c r="G347" t="n">
        <v>4.9</v>
      </c>
      <c r="H347" t="n">
        <v>0</v>
      </c>
      <c r="I347" t="n">
        <v>0</v>
      </c>
      <c r="J347" t="n">
        <v>0</v>
      </c>
      <c r="K347" t="n">
        <v>0</v>
      </c>
      <c r="L347" t="n">
        <v>0</v>
      </c>
      <c r="M347" t="n">
        <v>0</v>
      </c>
      <c r="N347" t="n">
        <v>0</v>
      </c>
      <c r="O347" t="n">
        <v>0</v>
      </c>
      <c r="P347" t="n">
        <v>0</v>
      </c>
      <c r="Q347" t="n">
        <v>0</v>
      </c>
      <c r="R347" s="2" t="inlineStr"/>
    </row>
    <row r="348" ht="15" customHeight="1">
      <c r="A348" t="inlineStr">
        <is>
          <t>A 49181-2022</t>
        </is>
      </c>
      <c r="B348" s="1" t="n">
        <v>44860.95321759259</v>
      </c>
      <c r="C348" s="1" t="n">
        <v>45899</v>
      </c>
      <c r="D348" t="inlineStr">
        <is>
          <t>VÄSTERNORRLANDS LÄN</t>
        </is>
      </c>
      <c r="E348" t="inlineStr">
        <is>
          <t>SOLLEFTEÅ</t>
        </is>
      </c>
      <c r="F348" t="inlineStr">
        <is>
          <t>SCA</t>
        </is>
      </c>
      <c r="G348" t="n">
        <v>6</v>
      </c>
      <c r="H348" t="n">
        <v>0</v>
      </c>
      <c r="I348" t="n">
        <v>0</v>
      </c>
      <c r="J348" t="n">
        <v>0</v>
      </c>
      <c r="K348" t="n">
        <v>0</v>
      </c>
      <c r="L348" t="n">
        <v>0</v>
      </c>
      <c r="M348" t="n">
        <v>0</v>
      </c>
      <c r="N348" t="n">
        <v>0</v>
      </c>
      <c r="O348" t="n">
        <v>0</v>
      </c>
      <c r="P348" t="n">
        <v>0</v>
      </c>
      <c r="Q348" t="n">
        <v>0</v>
      </c>
      <c r="R348" s="2" t="inlineStr"/>
    </row>
    <row r="349" ht="15" customHeight="1">
      <c r="A349" t="inlineStr">
        <is>
          <t>A 65407-2020</t>
        </is>
      </c>
      <c r="B349" s="1" t="n">
        <v>44169</v>
      </c>
      <c r="C349" s="1" t="n">
        <v>45899</v>
      </c>
      <c r="D349" t="inlineStr">
        <is>
          <t>VÄSTERNORRLANDS LÄN</t>
        </is>
      </c>
      <c r="E349" t="inlineStr">
        <is>
          <t>SOLLEFTEÅ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51104-2021</t>
        </is>
      </c>
      <c r="B350" s="1" t="n">
        <v>44459</v>
      </c>
      <c r="C350" s="1" t="n">
        <v>45899</v>
      </c>
      <c r="D350" t="inlineStr">
        <is>
          <t>VÄSTERNORRLANDS LÄN</t>
        </is>
      </c>
      <c r="E350" t="inlineStr">
        <is>
          <t>SOLLEFTEÅ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21350-2021</t>
        </is>
      </c>
      <c r="B351" s="1" t="n">
        <v>44320.95533564815</v>
      </c>
      <c r="C351" s="1" t="n">
        <v>45899</v>
      </c>
      <c r="D351" t="inlineStr">
        <is>
          <t>VÄSTERNORRLANDS LÄN</t>
        </is>
      </c>
      <c r="E351" t="inlineStr">
        <is>
          <t>SOLLEFTEÅ</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18761-2021</t>
        </is>
      </c>
      <c r="B352" s="1" t="n">
        <v>44307</v>
      </c>
      <c r="C352" s="1" t="n">
        <v>45899</v>
      </c>
      <c r="D352" t="inlineStr">
        <is>
          <t>VÄSTERNORRLANDS LÄN</t>
        </is>
      </c>
      <c r="E352" t="inlineStr">
        <is>
          <t>SOLLEFTEÅ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21532-2021</t>
        </is>
      </c>
      <c r="B353" s="1" t="n">
        <v>44321</v>
      </c>
      <c r="C353" s="1" t="n">
        <v>45899</v>
      </c>
      <c r="D353" t="inlineStr">
        <is>
          <t>VÄSTERNORRLANDS LÄN</t>
        </is>
      </c>
      <c r="E353" t="inlineStr">
        <is>
          <t>SOLLEFTEÅ</t>
        </is>
      </c>
      <c r="G353" t="n">
        <v>1.1</v>
      </c>
      <c r="H353" t="n">
        <v>0</v>
      </c>
      <c r="I353" t="n">
        <v>0</v>
      </c>
      <c r="J353" t="n">
        <v>0</v>
      </c>
      <c r="K353" t="n">
        <v>0</v>
      </c>
      <c r="L353" t="n">
        <v>0</v>
      </c>
      <c r="M353" t="n">
        <v>0</v>
      </c>
      <c r="N353" t="n">
        <v>0</v>
      </c>
      <c r="O353" t="n">
        <v>0</v>
      </c>
      <c r="P353" t="n">
        <v>0</v>
      </c>
      <c r="Q353" t="n">
        <v>0</v>
      </c>
      <c r="R353" s="2" t="inlineStr"/>
    </row>
    <row r="354" ht="15" customHeight="1">
      <c r="A354" t="inlineStr">
        <is>
          <t>A 12564-2022</t>
        </is>
      </c>
      <c r="B354" s="1" t="n">
        <v>44638.94256944444</v>
      </c>
      <c r="C354" s="1" t="n">
        <v>45899</v>
      </c>
      <c r="D354" t="inlineStr">
        <is>
          <t>VÄSTERNORRLANDS LÄN</t>
        </is>
      </c>
      <c r="E354" t="inlineStr">
        <is>
          <t>SOLLEFTEÅ</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37835-2022</t>
        </is>
      </c>
      <c r="B355" s="1" t="n">
        <v>44810</v>
      </c>
      <c r="C355" s="1" t="n">
        <v>45899</v>
      </c>
      <c r="D355" t="inlineStr">
        <is>
          <t>VÄSTERNORRLANDS LÄN</t>
        </is>
      </c>
      <c r="E355" t="inlineStr">
        <is>
          <t>SOLLEFTEÅ</t>
        </is>
      </c>
      <c r="F355" t="inlineStr">
        <is>
          <t>SCA</t>
        </is>
      </c>
      <c r="G355" t="n">
        <v>8.5</v>
      </c>
      <c r="H355" t="n">
        <v>0</v>
      </c>
      <c r="I355" t="n">
        <v>0</v>
      </c>
      <c r="J355" t="n">
        <v>0</v>
      </c>
      <c r="K355" t="n">
        <v>0</v>
      </c>
      <c r="L355" t="n">
        <v>0</v>
      </c>
      <c r="M355" t="n">
        <v>0</v>
      </c>
      <c r="N355" t="n">
        <v>0</v>
      </c>
      <c r="O355" t="n">
        <v>0</v>
      </c>
      <c r="P355" t="n">
        <v>0</v>
      </c>
      <c r="Q355" t="n">
        <v>0</v>
      </c>
      <c r="R355" s="2" t="inlineStr"/>
    </row>
    <row r="356" ht="15" customHeight="1">
      <c r="A356" t="inlineStr">
        <is>
          <t>A 43107-2020</t>
        </is>
      </c>
      <c r="B356" s="1" t="n">
        <v>44078</v>
      </c>
      <c r="C356" s="1" t="n">
        <v>45899</v>
      </c>
      <c r="D356" t="inlineStr">
        <is>
          <t>VÄSTERNORRLANDS LÄN</t>
        </is>
      </c>
      <c r="E356" t="inlineStr">
        <is>
          <t>SOLLEFTEÅ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41455-2022</t>
        </is>
      </c>
      <c r="B357" s="1" t="n">
        <v>44826</v>
      </c>
      <c r="C357" s="1" t="n">
        <v>45899</v>
      </c>
      <c r="D357" t="inlineStr">
        <is>
          <t>VÄSTERNORRLANDS LÄN</t>
        </is>
      </c>
      <c r="E357" t="inlineStr">
        <is>
          <t>SOLLEFTEÅ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45187-2021</t>
        </is>
      </c>
      <c r="B358" s="1" t="n">
        <v>44439</v>
      </c>
      <c r="C358" s="1" t="n">
        <v>45899</v>
      </c>
      <c r="D358" t="inlineStr">
        <is>
          <t>VÄSTERNORRLANDS LÄN</t>
        </is>
      </c>
      <c r="E358" t="inlineStr">
        <is>
          <t>SOLLEFTEÅ</t>
        </is>
      </c>
      <c r="G358" t="n">
        <v>3.2</v>
      </c>
      <c r="H358" t="n">
        <v>0</v>
      </c>
      <c r="I358" t="n">
        <v>0</v>
      </c>
      <c r="J358" t="n">
        <v>0</v>
      </c>
      <c r="K358" t="n">
        <v>0</v>
      </c>
      <c r="L358" t="n">
        <v>0</v>
      </c>
      <c r="M358" t="n">
        <v>0</v>
      </c>
      <c r="N358" t="n">
        <v>0</v>
      </c>
      <c r="O358" t="n">
        <v>0</v>
      </c>
      <c r="P358" t="n">
        <v>0</v>
      </c>
      <c r="Q358" t="n">
        <v>0</v>
      </c>
      <c r="R358" s="2" t="inlineStr"/>
    </row>
    <row r="359" ht="15" customHeight="1">
      <c r="A359" t="inlineStr">
        <is>
          <t>A 30937-2022</t>
        </is>
      </c>
      <c r="B359" s="1" t="n">
        <v>44767.94092592593</v>
      </c>
      <c r="C359" s="1" t="n">
        <v>45899</v>
      </c>
      <c r="D359" t="inlineStr">
        <is>
          <t>VÄSTERNORRLANDS LÄN</t>
        </is>
      </c>
      <c r="E359" t="inlineStr">
        <is>
          <t>SOLLEFTEÅ</t>
        </is>
      </c>
      <c r="F359" t="inlineStr">
        <is>
          <t>SCA</t>
        </is>
      </c>
      <c r="G359" t="n">
        <v>10.2</v>
      </c>
      <c r="H359" t="n">
        <v>0</v>
      </c>
      <c r="I359" t="n">
        <v>0</v>
      </c>
      <c r="J359" t="n">
        <v>0</v>
      </c>
      <c r="K359" t="n">
        <v>0</v>
      </c>
      <c r="L359" t="n">
        <v>0</v>
      </c>
      <c r="M359" t="n">
        <v>0</v>
      </c>
      <c r="N359" t="n">
        <v>0</v>
      </c>
      <c r="O359" t="n">
        <v>0</v>
      </c>
      <c r="P359" t="n">
        <v>0</v>
      </c>
      <c r="Q359" t="n">
        <v>0</v>
      </c>
      <c r="R359" s="2" t="inlineStr"/>
    </row>
    <row r="360" ht="15" customHeight="1">
      <c r="A360" t="inlineStr">
        <is>
          <t>A 15461-2021</t>
        </is>
      </c>
      <c r="B360" s="1" t="n">
        <v>44285</v>
      </c>
      <c r="C360" s="1" t="n">
        <v>45899</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45147-2020</t>
        </is>
      </c>
      <c r="B361" s="1" t="n">
        <v>44084</v>
      </c>
      <c r="C361" s="1" t="n">
        <v>45899</v>
      </c>
      <c r="D361" t="inlineStr">
        <is>
          <t>VÄSTERNORRLANDS LÄN</t>
        </is>
      </c>
      <c r="E361" t="inlineStr">
        <is>
          <t>SOLLEFTEÅ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28288-2021</t>
        </is>
      </c>
      <c r="B362" s="1" t="n">
        <v>44355</v>
      </c>
      <c r="C362" s="1" t="n">
        <v>45899</v>
      </c>
      <c r="D362" t="inlineStr">
        <is>
          <t>VÄSTERNORRLANDS LÄN</t>
        </is>
      </c>
      <c r="E362" t="inlineStr">
        <is>
          <t>SOLLEFTEÅ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67063-2020</t>
        </is>
      </c>
      <c r="B363" s="1" t="n">
        <v>44176</v>
      </c>
      <c r="C363" s="1" t="n">
        <v>45899</v>
      </c>
      <c r="D363" t="inlineStr">
        <is>
          <t>VÄSTERNORRLANDS LÄN</t>
        </is>
      </c>
      <c r="E363" t="inlineStr">
        <is>
          <t>SOLLEFTEÅ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4127-2021</t>
        </is>
      </c>
      <c r="B364" s="1" t="n">
        <v>44222</v>
      </c>
      <c r="C364" s="1" t="n">
        <v>45899</v>
      </c>
      <c r="D364" t="inlineStr">
        <is>
          <t>VÄSTERNORRLANDS LÄN</t>
        </is>
      </c>
      <c r="E364" t="inlineStr">
        <is>
          <t>SOLLEFTEÅ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18867-2021</t>
        </is>
      </c>
      <c r="B365" s="1" t="n">
        <v>44307</v>
      </c>
      <c r="C365" s="1" t="n">
        <v>45899</v>
      </c>
      <c r="D365" t="inlineStr">
        <is>
          <t>VÄSTERNORRLANDS LÄN</t>
        </is>
      </c>
      <c r="E365" t="inlineStr">
        <is>
          <t>SOLLEFTEÅ</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12277-2021</t>
        </is>
      </c>
      <c r="B366" s="1" t="n">
        <v>44266</v>
      </c>
      <c r="C366" s="1" t="n">
        <v>45899</v>
      </c>
      <c r="D366" t="inlineStr">
        <is>
          <t>VÄSTERNORRLANDS LÄN</t>
        </is>
      </c>
      <c r="E366" t="inlineStr">
        <is>
          <t>SOLLEFTEÅ</t>
        </is>
      </c>
      <c r="F366" t="inlineStr">
        <is>
          <t>SCA</t>
        </is>
      </c>
      <c r="G366" t="n">
        <v>4.5</v>
      </c>
      <c r="H366" t="n">
        <v>0</v>
      </c>
      <c r="I366" t="n">
        <v>0</v>
      </c>
      <c r="J366" t="n">
        <v>0</v>
      </c>
      <c r="K366" t="n">
        <v>0</v>
      </c>
      <c r="L366" t="n">
        <v>0</v>
      </c>
      <c r="M366" t="n">
        <v>0</v>
      </c>
      <c r="N366" t="n">
        <v>0</v>
      </c>
      <c r="O366" t="n">
        <v>0</v>
      </c>
      <c r="P366" t="n">
        <v>0</v>
      </c>
      <c r="Q366" t="n">
        <v>0</v>
      </c>
      <c r="R366" s="2" t="inlineStr"/>
    </row>
    <row r="367" ht="15" customHeight="1">
      <c r="A367" t="inlineStr">
        <is>
          <t>A 34542-2022</t>
        </is>
      </c>
      <c r="B367" s="1" t="n">
        <v>44793</v>
      </c>
      <c r="C367" s="1" t="n">
        <v>45899</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58486-2021</t>
        </is>
      </c>
      <c r="B368" s="1" t="n">
        <v>44488</v>
      </c>
      <c r="C368" s="1" t="n">
        <v>45899</v>
      </c>
      <c r="D368" t="inlineStr">
        <is>
          <t>VÄSTERNORRLANDS LÄN</t>
        </is>
      </c>
      <c r="E368" t="inlineStr">
        <is>
          <t>SOLLEFTEÅ</t>
        </is>
      </c>
      <c r="G368" t="n">
        <v>2.4</v>
      </c>
      <c r="H368" t="n">
        <v>0</v>
      </c>
      <c r="I368" t="n">
        <v>0</v>
      </c>
      <c r="J368" t="n">
        <v>0</v>
      </c>
      <c r="K368" t="n">
        <v>0</v>
      </c>
      <c r="L368" t="n">
        <v>0</v>
      </c>
      <c r="M368" t="n">
        <v>0</v>
      </c>
      <c r="N368" t="n">
        <v>0</v>
      </c>
      <c r="O368" t="n">
        <v>0</v>
      </c>
      <c r="P368" t="n">
        <v>0</v>
      </c>
      <c r="Q368" t="n">
        <v>0</v>
      </c>
      <c r="R368" s="2" t="inlineStr"/>
    </row>
    <row r="369" ht="15" customHeight="1">
      <c r="A369" t="inlineStr">
        <is>
          <t>A 29623-2021</t>
        </is>
      </c>
      <c r="B369" s="1" t="n">
        <v>44361</v>
      </c>
      <c r="C369" s="1" t="n">
        <v>45899</v>
      </c>
      <c r="D369" t="inlineStr">
        <is>
          <t>VÄSTERNORRLANDS LÄN</t>
        </is>
      </c>
      <c r="E369" t="inlineStr">
        <is>
          <t>SOLLEFTEÅ</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71350-2021</t>
        </is>
      </c>
      <c r="B370" s="1" t="n">
        <v>44539</v>
      </c>
      <c r="C370" s="1" t="n">
        <v>45899</v>
      </c>
      <c r="D370" t="inlineStr">
        <is>
          <t>VÄSTERNORRLANDS LÄN</t>
        </is>
      </c>
      <c r="E370" t="inlineStr">
        <is>
          <t>SOLLEFTEÅ</t>
        </is>
      </c>
      <c r="G370" t="n">
        <v>0</v>
      </c>
      <c r="H370" t="n">
        <v>0</v>
      </c>
      <c r="I370" t="n">
        <v>0</v>
      </c>
      <c r="J370" t="n">
        <v>0</v>
      </c>
      <c r="K370" t="n">
        <v>0</v>
      </c>
      <c r="L370" t="n">
        <v>0</v>
      </c>
      <c r="M370" t="n">
        <v>0</v>
      </c>
      <c r="N370" t="n">
        <v>0</v>
      </c>
      <c r="O370" t="n">
        <v>0</v>
      </c>
      <c r="P370" t="n">
        <v>0</v>
      </c>
      <c r="Q370" t="n">
        <v>0</v>
      </c>
      <c r="R370" s="2" t="inlineStr"/>
    </row>
    <row r="371" ht="15" customHeight="1">
      <c r="A371" t="inlineStr">
        <is>
          <t>A 32779-2022</t>
        </is>
      </c>
      <c r="B371" s="1" t="n">
        <v>44783.94623842592</v>
      </c>
      <c r="C371" s="1" t="n">
        <v>45899</v>
      </c>
      <c r="D371" t="inlineStr">
        <is>
          <t>VÄSTERNORRLANDS LÄN</t>
        </is>
      </c>
      <c r="E371" t="inlineStr">
        <is>
          <t>SOLLEFTEÅ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2487-2021</t>
        </is>
      </c>
      <c r="B372" s="1" t="n">
        <v>44211</v>
      </c>
      <c r="C372" s="1" t="n">
        <v>45899</v>
      </c>
      <c r="D372" t="inlineStr">
        <is>
          <t>VÄSTERNORRLANDS LÄN</t>
        </is>
      </c>
      <c r="E372" t="inlineStr">
        <is>
          <t>SOLLEFTEÅ</t>
        </is>
      </c>
      <c r="G372" t="n">
        <v>2.7</v>
      </c>
      <c r="H372" t="n">
        <v>0</v>
      </c>
      <c r="I372" t="n">
        <v>0</v>
      </c>
      <c r="J372" t="n">
        <v>0</v>
      </c>
      <c r="K372" t="n">
        <v>0</v>
      </c>
      <c r="L372" t="n">
        <v>0</v>
      </c>
      <c r="M372" t="n">
        <v>0</v>
      </c>
      <c r="N372" t="n">
        <v>0</v>
      </c>
      <c r="O372" t="n">
        <v>0</v>
      </c>
      <c r="P372" t="n">
        <v>0</v>
      </c>
      <c r="Q372" t="n">
        <v>0</v>
      </c>
      <c r="R372" s="2" t="inlineStr"/>
    </row>
    <row r="373" ht="15" customHeight="1">
      <c r="A373" t="inlineStr">
        <is>
          <t>A 39372-2022</t>
        </is>
      </c>
      <c r="B373" s="1" t="n">
        <v>44817.94298611111</v>
      </c>
      <c r="C373" s="1" t="n">
        <v>45899</v>
      </c>
      <c r="D373" t="inlineStr">
        <is>
          <t>VÄSTERNORRLANDS LÄN</t>
        </is>
      </c>
      <c r="E373" t="inlineStr">
        <is>
          <t>SOLLEFTEÅ</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9461-2021</t>
        </is>
      </c>
      <c r="B374" s="1" t="n">
        <v>44251</v>
      </c>
      <c r="C374" s="1" t="n">
        <v>45899</v>
      </c>
      <c r="D374" t="inlineStr">
        <is>
          <t>VÄSTERNORRLANDS LÄN</t>
        </is>
      </c>
      <c r="E374" t="inlineStr">
        <is>
          <t>SOLLEFTEÅ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17045-2022</t>
        </is>
      </c>
      <c r="B375" s="1" t="n">
        <v>44676</v>
      </c>
      <c r="C375" s="1" t="n">
        <v>45899</v>
      </c>
      <c r="D375" t="inlineStr">
        <is>
          <t>VÄSTERNORRLANDS LÄN</t>
        </is>
      </c>
      <c r="E375" t="inlineStr">
        <is>
          <t>SOLLEFTEÅ</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11710-2021</t>
        </is>
      </c>
      <c r="B376" s="1" t="n">
        <v>44264</v>
      </c>
      <c r="C376" s="1" t="n">
        <v>45899</v>
      </c>
      <c r="D376" t="inlineStr">
        <is>
          <t>VÄSTERNORRLANDS LÄN</t>
        </is>
      </c>
      <c r="E376" t="inlineStr">
        <is>
          <t>SOLLEFTEÅ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3557-2022</t>
        </is>
      </c>
      <c r="B377" s="1" t="n">
        <v>44585.93833333333</v>
      </c>
      <c r="C377" s="1" t="n">
        <v>45899</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18015-2022</t>
        </is>
      </c>
      <c r="B378" s="1" t="n">
        <v>44683.94319444444</v>
      </c>
      <c r="C378" s="1" t="n">
        <v>45899</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67390-2021</t>
        </is>
      </c>
      <c r="B379" s="1" t="n">
        <v>44523.93848379629</v>
      </c>
      <c r="C379" s="1" t="n">
        <v>45899</v>
      </c>
      <c r="D379" t="inlineStr">
        <is>
          <t>VÄSTERNORRLANDS LÄN</t>
        </is>
      </c>
      <c r="E379" t="inlineStr">
        <is>
          <t>SOLLEFTEÅ</t>
        </is>
      </c>
      <c r="F379" t="inlineStr">
        <is>
          <t>SCA</t>
        </is>
      </c>
      <c r="G379" t="n">
        <v>6.8</v>
      </c>
      <c r="H379" t="n">
        <v>0</v>
      </c>
      <c r="I379" t="n">
        <v>0</v>
      </c>
      <c r="J379" t="n">
        <v>0</v>
      </c>
      <c r="K379" t="n">
        <v>0</v>
      </c>
      <c r="L379" t="n">
        <v>0</v>
      </c>
      <c r="M379" t="n">
        <v>0</v>
      </c>
      <c r="N379" t="n">
        <v>0</v>
      </c>
      <c r="O379" t="n">
        <v>0</v>
      </c>
      <c r="P379" t="n">
        <v>0</v>
      </c>
      <c r="Q379" t="n">
        <v>0</v>
      </c>
      <c r="R379" s="2" t="inlineStr"/>
    </row>
    <row r="380" ht="15" customHeight="1">
      <c r="A380" t="inlineStr">
        <is>
          <t>A 48468-2020</t>
        </is>
      </c>
      <c r="B380" s="1" t="n">
        <v>44102</v>
      </c>
      <c r="C380" s="1" t="n">
        <v>45899</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19220-2021</t>
        </is>
      </c>
      <c r="B381" s="1" t="n">
        <v>44309</v>
      </c>
      <c r="C381" s="1" t="n">
        <v>45899</v>
      </c>
      <c r="D381" t="inlineStr">
        <is>
          <t>VÄSTERNORRLANDS LÄN</t>
        </is>
      </c>
      <c r="E381" t="inlineStr">
        <is>
          <t>SOLLEFTEÅ</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4555-2022</t>
        </is>
      </c>
      <c r="B382" s="1" t="n">
        <v>44590.93231481482</v>
      </c>
      <c r="C382" s="1" t="n">
        <v>45899</v>
      </c>
      <c r="D382" t="inlineStr">
        <is>
          <t>VÄSTERNORRLANDS LÄN</t>
        </is>
      </c>
      <c r="E382" t="inlineStr">
        <is>
          <t>SOLLEFTEÅ</t>
        </is>
      </c>
      <c r="F382" t="inlineStr">
        <is>
          <t>SCA</t>
        </is>
      </c>
      <c r="G382" t="n">
        <v>5.6</v>
      </c>
      <c r="H382" t="n">
        <v>0</v>
      </c>
      <c r="I382" t="n">
        <v>0</v>
      </c>
      <c r="J382" t="n">
        <v>0</v>
      </c>
      <c r="K382" t="n">
        <v>0</v>
      </c>
      <c r="L382" t="n">
        <v>0</v>
      </c>
      <c r="M382" t="n">
        <v>0</v>
      </c>
      <c r="N382" t="n">
        <v>0</v>
      </c>
      <c r="O382" t="n">
        <v>0</v>
      </c>
      <c r="P382" t="n">
        <v>0</v>
      </c>
      <c r="Q382" t="n">
        <v>0</v>
      </c>
      <c r="R382" s="2" t="inlineStr"/>
    </row>
    <row r="383" ht="15" customHeight="1">
      <c r="A383" t="inlineStr">
        <is>
          <t>A 27282-2022</t>
        </is>
      </c>
      <c r="B383" s="1" t="n">
        <v>44741</v>
      </c>
      <c r="C383" s="1" t="n">
        <v>45899</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24322-2022</t>
        </is>
      </c>
      <c r="B384" s="1" t="n">
        <v>44725.94471064815</v>
      </c>
      <c r="C384" s="1" t="n">
        <v>45899</v>
      </c>
      <c r="D384" t="inlineStr">
        <is>
          <t>VÄSTERNORRLANDS LÄN</t>
        </is>
      </c>
      <c r="E384" t="inlineStr">
        <is>
          <t>SOLLEFTEÅ</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39006-2022</t>
        </is>
      </c>
      <c r="B385" s="1" t="n">
        <v>44816.94675925926</v>
      </c>
      <c r="C385" s="1" t="n">
        <v>45899</v>
      </c>
      <c r="D385" t="inlineStr">
        <is>
          <t>VÄSTERNORRLANDS LÄN</t>
        </is>
      </c>
      <c r="E385" t="inlineStr">
        <is>
          <t>SOLLEFTEÅ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10927-2022</t>
        </is>
      </c>
      <c r="B386" s="1" t="n">
        <v>44627.94453703704</v>
      </c>
      <c r="C386" s="1" t="n">
        <v>45899</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21711-2021</t>
        </is>
      </c>
      <c r="B387" s="1" t="n">
        <v>44322</v>
      </c>
      <c r="C387" s="1" t="n">
        <v>45899</v>
      </c>
      <c r="D387" t="inlineStr">
        <is>
          <t>VÄSTERNORRLANDS LÄN</t>
        </is>
      </c>
      <c r="E387" t="inlineStr">
        <is>
          <t>SOLLEFTEÅ</t>
        </is>
      </c>
      <c r="F387" t="inlineStr">
        <is>
          <t>Kyrkan</t>
        </is>
      </c>
      <c r="G387" t="n">
        <v>22.2</v>
      </c>
      <c r="H387" t="n">
        <v>0</v>
      </c>
      <c r="I387" t="n">
        <v>0</v>
      </c>
      <c r="J387" t="n">
        <v>0</v>
      </c>
      <c r="K387" t="n">
        <v>0</v>
      </c>
      <c r="L387" t="n">
        <v>0</v>
      </c>
      <c r="M387" t="n">
        <v>0</v>
      </c>
      <c r="N387" t="n">
        <v>0</v>
      </c>
      <c r="O387" t="n">
        <v>0</v>
      </c>
      <c r="P387" t="n">
        <v>0</v>
      </c>
      <c r="Q387" t="n">
        <v>0</v>
      </c>
      <c r="R387" s="2" t="inlineStr"/>
    </row>
    <row r="388" ht="15" customHeight="1">
      <c r="A388" t="inlineStr">
        <is>
          <t>A 29842-2022</t>
        </is>
      </c>
      <c r="B388" s="1" t="n">
        <v>44756.32835648148</v>
      </c>
      <c r="C388" s="1" t="n">
        <v>45899</v>
      </c>
      <c r="D388" t="inlineStr">
        <is>
          <t>VÄSTERNORRLANDS LÄN</t>
        </is>
      </c>
      <c r="E388" t="inlineStr">
        <is>
          <t>SOLLEFTEÅ</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19830-2021</t>
        </is>
      </c>
      <c r="B389" s="1" t="n">
        <v>44312</v>
      </c>
      <c r="C389" s="1" t="n">
        <v>45899</v>
      </c>
      <c r="D389" t="inlineStr">
        <is>
          <t>VÄSTERNORRLANDS LÄN</t>
        </is>
      </c>
      <c r="E389" t="inlineStr">
        <is>
          <t>SOLLEFTEÅ</t>
        </is>
      </c>
      <c r="G389" t="n">
        <v>1.9</v>
      </c>
      <c r="H389" t="n">
        <v>0</v>
      </c>
      <c r="I389" t="n">
        <v>0</v>
      </c>
      <c r="J389" t="n">
        <v>0</v>
      </c>
      <c r="K389" t="n">
        <v>0</v>
      </c>
      <c r="L389" t="n">
        <v>0</v>
      </c>
      <c r="M389" t="n">
        <v>0</v>
      </c>
      <c r="N389" t="n">
        <v>0</v>
      </c>
      <c r="O389" t="n">
        <v>0</v>
      </c>
      <c r="P389" t="n">
        <v>0</v>
      </c>
      <c r="Q389" t="n">
        <v>0</v>
      </c>
      <c r="R389" s="2" t="inlineStr"/>
    </row>
    <row r="390" ht="15" customHeight="1">
      <c r="A390" t="inlineStr">
        <is>
          <t>A 30043-2022</t>
        </is>
      </c>
      <c r="B390" s="1" t="n">
        <v>44756</v>
      </c>
      <c r="C390" s="1" t="n">
        <v>45899</v>
      </c>
      <c r="D390" t="inlineStr">
        <is>
          <t>VÄSTERNORRLANDS LÄN</t>
        </is>
      </c>
      <c r="E390" t="inlineStr">
        <is>
          <t>SOLLEFTEÅ</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19516-2021</t>
        </is>
      </c>
      <c r="B391" s="1" t="n">
        <v>44309</v>
      </c>
      <c r="C391" s="1" t="n">
        <v>45899</v>
      </c>
      <c r="D391" t="inlineStr">
        <is>
          <t>VÄSTERNORRLANDS LÄN</t>
        </is>
      </c>
      <c r="E391" t="inlineStr">
        <is>
          <t>SOLLEFTEÅ</t>
        </is>
      </c>
      <c r="G391" t="n">
        <v>15.6</v>
      </c>
      <c r="H391" t="n">
        <v>0</v>
      </c>
      <c r="I391" t="n">
        <v>0</v>
      </c>
      <c r="J391" t="n">
        <v>0</v>
      </c>
      <c r="K391" t="n">
        <v>0</v>
      </c>
      <c r="L391" t="n">
        <v>0</v>
      </c>
      <c r="M391" t="n">
        <v>0</v>
      </c>
      <c r="N391" t="n">
        <v>0</v>
      </c>
      <c r="O391" t="n">
        <v>0</v>
      </c>
      <c r="P391" t="n">
        <v>0</v>
      </c>
      <c r="Q391" t="n">
        <v>0</v>
      </c>
      <c r="R391" s="2" t="inlineStr"/>
    </row>
    <row r="392" ht="15" customHeight="1">
      <c r="A392" t="inlineStr">
        <is>
          <t>A 22441-2021</t>
        </is>
      </c>
      <c r="B392" s="1" t="n">
        <v>44323</v>
      </c>
      <c r="C392" s="1" t="n">
        <v>45899</v>
      </c>
      <c r="D392" t="inlineStr">
        <is>
          <t>VÄSTERNORRLANDS LÄN</t>
        </is>
      </c>
      <c r="E392" t="inlineStr">
        <is>
          <t>SOLLEFTEÅ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21714-2022</t>
        </is>
      </c>
      <c r="B393" s="1" t="n">
        <v>44707.94015046296</v>
      </c>
      <c r="C393" s="1" t="n">
        <v>45899</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49175-2022</t>
        </is>
      </c>
      <c r="B394" s="1" t="n">
        <v>44860.92922453704</v>
      </c>
      <c r="C394" s="1" t="n">
        <v>45899</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10417-2022</t>
        </is>
      </c>
      <c r="B395" s="1" t="n">
        <v>44623</v>
      </c>
      <c r="C395" s="1" t="n">
        <v>45899</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45899</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45423-2022</t>
        </is>
      </c>
      <c r="B397" s="1" t="n">
        <v>44844.95256944445</v>
      </c>
      <c r="C397" s="1" t="n">
        <v>45899</v>
      </c>
      <c r="D397" t="inlineStr">
        <is>
          <t>VÄSTERNORRLANDS LÄN</t>
        </is>
      </c>
      <c r="E397" t="inlineStr">
        <is>
          <t>SOLLEFTEÅ</t>
        </is>
      </c>
      <c r="F397" t="inlineStr">
        <is>
          <t>SCA</t>
        </is>
      </c>
      <c r="G397" t="n">
        <v>5</v>
      </c>
      <c r="H397" t="n">
        <v>0</v>
      </c>
      <c r="I397" t="n">
        <v>0</v>
      </c>
      <c r="J397" t="n">
        <v>0</v>
      </c>
      <c r="K397" t="n">
        <v>0</v>
      </c>
      <c r="L397" t="n">
        <v>0</v>
      </c>
      <c r="M397" t="n">
        <v>0</v>
      </c>
      <c r="N397" t="n">
        <v>0</v>
      </c>
      <c r="O397" t="n">
        <v>0</v>
      </c>
      <c r="P397" t="n">
        <v>0</v>
      </c>
      <c r="Q397" t="n">
        <v>0</v>
      </c>
      <c r="R397" s="2" t="inlineStr"/>
    </row>
    <row r="398" ht="15" customHeight="1">
      <c r="A398" t="inlineStr">
        <is>
          <t>A 42219-2021</t>
        </is>
      </c>
      <c r="B398" s="1" t="n">
        <v>44426.87444444445</v>
      </c>
      <c r="C398" s="1" t="n">
        <v>45899</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41172-2022</t>
        </is>
      </c>
      <c r="B399" s="1" t="n">
        <v>44825.94738425926</v>
      </c>
      <c r="C399" s="1" t="n">
        <v>45899</v>
      </c>
      <c r="D399" t="inlineStr">
        <is>
          <t>VÄSTERNORRLANDS LÄN</t>
        </is>
      </c>
      <c r="E399" t="inlineStr">
        <is>
          <t>SOLLEFTEÅ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1987-2022</t>
        </is>
      </c>
      <c r="B400" s="1" t="n">
        <v>44575</v>
      </c>
      <c r="C400" s="1" t="n">
        <v>45899</v>
      </c>
      <c r="D400" t="inlineStr">
        <is>
          <t>VÄSTERNORRLANDS LÄN</t>
        </is>
      </c>
      <c r="E400" t="inlineStr">
        <is>
          <t>SOLLEFTEÅ</t>
        </is>
      </c>
      <c r="G400" t="n">
        <v>2</v>
      </c>
      <c r="H400" t="n">
        <v>0</v>
      </c>
      <c r="I400" t="n">
        <v>0</v>
      </c>
      <c r="J400" t="n">
        <v>0</v>
      </c>
      <c r="K400" t="n">
        <v>0</v>
      </c>
      <c r="L400" t="n">
        <v>0</v>
      </c>
      <c r="M400" t="n">
        <v>0</v>
      </c>
      <c r="N400" t="n">
        <v>0</v>
      </c>
      <c r="O400" t="n">
        <v>0</v>
      </c>
      <c r="P400" t="n">
        <v>0</v>
      </c>
      <c r="Q400" t="n">
        <v>0</v>
      </c>
      <c r="R400" s="2" t="inlineStr"/>
    </row>
    <row r="401" ht="15" customHeight="1">
      <c r="A401" t="inlineStr">
        <is>
          <t>A 12278-2021</t>
        </is>
      </c>
      <c r="B401" s="1" t="n">
        <v>44266</v>
      </c>
      <c r="C401" s="1" t="n">
        <v>45899</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49200-2022</t>
        </is>
      </c>
      <c r="B402" s="1" t="n">
        <v>44860.95540509259</v>
      </c>
      <c r="C402" s="1" t="n">
        <v>45899</v>
      </c>
      <c r="D402" t="inlineStr">
        <is>
          <t>VÄSTERNORRLANDS LÄN</t>
        </is>
      </c>
      <c r="E402" t="inlineStr">
        <is>
          <t>SOLLEFTEÅ</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29602-2021</t>
        </is>
      </c>
      <c r="B403" s="1" t="n">
        <v>44361.93674768518</v>
      </c>
      <c r="C403" s="1" t="n">
        <v>45899</v>
      </c>
      <c r="D403" t="inlineStr">
        <is>
          <t>VÄSTERNORRLANDS LÄN</t>
        </is>
      </c>
      <c r="E403" t="inlineStr">
        <is>
          <t>SOLLEFTEÅ</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38663-2022</t>
        </is>
      </c>
      <c r="B404" s="1" t="n">
        <v>44813.94670138889</v>
      </c>
      <c r="C404" s="1" t="n">
        <v>45899</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60091-2020</t>
        </is>
      </c>
      <c r="B405" s="1" t="n">
        <v>44151</v>
      </c>
      <c r="C405" s="1" t="n">
        <v>45899</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31490-2022</t>
        </is>
      </c>
      <c r="B406" s="1" t="n">
        <v>44774.94451388889</v>
      </c>
      <c r="C406" s="1" t="n">
        <v>45899</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39594-2021</t>
        </is>
      </c>
      <c r="B407" s="1" t="n">
        <v>44413</v>
      </c>
      <c r="C407" s="1" t="n">
        <v>45899</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62881-2020</t>
        </is>
      </c>
      <c r="B408" s="1" t="n">
        <v>44161</v>
      </c>
      <c r="C408" s="1" t="n">
        <v>45899</v>
      </c>
      <c r="D408" t="inlineStr">
        <is>
          <t>VÄSTERNORRLANDS LÄN</t>
        </is>
      </c>
      <c r="E408" t="inlineStr">
        <is>
          <t>SOLLEFTEÅ</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45899</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18196-2022</t>
        </is>
      </c>
      <c r="B410" s="1" t="n">
        <v>44684.94048611111</v>
      </c>
      <c r="C410" s="1" t="n">
        <v>45899</v>
      </c>
      <c r="D410" t="inlineStr">
        <is>
          <t>VÄSTERNORRLANDS LÄN</t>
        </is>
      </c>
      <c r="E410" t="inlineStr">
        <is>
          <t>SOLLEFTEÅ</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1094-2022</t>
        </is>
      </c>
      <c r="B411" s="1" t="n">
        <v>44571</v>
      </c>
      <c r="C411" s="1" t="n">
        <v>45899</v>
      </c>
      <c r="D411" t="inlineStr">
        <is>
          <t>VÄSTERNORRLANDS LÄN</t>
        </is>
      </c>
      <c r="E411" t="inlineStr">
        <is>
          <t>SOLLEFTEÅ</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48923-2022</t>
        </is>
      </c>
      <c r="B412" s="1" t="n">
        <v>44859.95590277778</v>
      </c>
      <c r="C412" s="1" t="n">
        <v>45899</v>
      </c>
      <c r="D412" t="inlineStr">
        <is>
          <t>VÄSTERNORRLANDS LÄN</t>
        </is>
      </c>
      <c r="E412" t="inlineStr">
        <is>
          <t>SOLLEFTEÅ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25329-2021</t>
        </is>
      </c>
      <c r="B413" s="1" t="n">
        <v>44342</v>
      </c>
      <c r="C413" s="1" t="n">
        <v>45899</v>
      </c>
      <c r="D413" t="inlineStr">
        <is>
          <t>VÄSTERNORRLANDS LÄN</t>
        </is>
      </c>
      <c r="E413" t="inlineStr">
        <is>
          <t>SOLLEFTEÅ</t>
        </is>
      </c>
      <c r="G413" t="n">
        <v>2</v>
      </c>
      <c r="H413" t="n">
        <v>0</v>
      </c>
      <c r="I413" t="n">
        <v>0</v>
      </c>
      <c r="J413" t="n">
        <v>0</v>
      </c>
      <c r="K413" t="n">
        <v>0</v>
      </c>
      <c r="L413" t="n">
        <v>0</v>
      </c>
      <c r="M413" t="n">
        <v>0</v>
      </c>
      <c r="N413" t="n">
        <v>0</v>
      </c>
      <c r="O413" t="n">
        <v>0</v>
      </c>
      <c r="P413" t="n">
        <v>0</v>
      </c>
      <c r="Q413" t="n">
        <v>0</v>
      </c>
      <c r="R413" s="2" t="inlineStr"/>
    </row>
    <row r="414" ht="15" customHeight="1">
      <c r="A414" t="inlineStr">
        <is>
          <t>A 68843-2021</t>
        </is>
      </c>
      <c r="B414" s="1" t="n">
        <v>44530</v>
      </c>
      <c r="C414" s="1" t="n">
        <v>45899</v>
      </c>
      <c r="D414" t="inlineStr">
        <is>
          <t>VÄSTERNORRLANDS LÄN</t>
        </is>
      </c>
      <c r="E414" t="inlineStr">
        <is>
          <t>SOLLEFTEÅ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45899</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35862-2021</t>
        </is>
      </c>
      <c r="B416" s="1" t="n">
        <v>44386</v>
      </c>
      <c r="C416" s="1" t="n">
        <v>45899</v>
      </c>
      <c r="D416" t="inlineStr">
        <is>
          <t>VÄSTERNORRLANDS LÄN</t>
        </is>
      </c>
      <c r="E416" t="inlineStr">
        <is>
          <t>SOLLEFTEÅ</t>
        </is>
      </c>
      <c r="G416" t="n">
        <v>5.5</v>
      </c>
      <c r="H416" t="n">
        <v>0</v>
      </c>
      <c r="I416" t="n">
        <v>0</v>
      </c>
      <c r="J416" t="n">
        <v>0</v>
      </c>
      <c r="K416" t="n">
        <v>0</v>
      </c>
      <c r="L416" t="n">
        <v>0</v>
      </c>
      <c r="M416" t="n">
        <v>0</v>
      </c>
      <c r="N416" t="n">
        <v>0</v>
      </c>
      <c r="O416" t="n">
        <v>0</v>
      </c>
      <c r="P416" t="n">
        <v>0</v>
      </c>
      <c r="Q416" t="n">
        <v>0</v>
      </c>
      <c r="R416" s="2" t="inlineStr"/>
    </row>
    <row r="417" ht="15" customHeight="1">
      <c r="A417" t="inlineStr">
        <is>
          <t>A 44454-2022</t>
        </is>
      </c>
      <c r="B417" s="1" t="n">
        <v>44839.95543981482</v>
      </c>
      <c r="C417" s="1" t="n">
        <v>45899</v>
      </c>
      <c r="D417" t="inlineStr">
        <is>
          <t>VÄSTERNORRLANDS LÄN</t>
        </is>
      </c>
      <c r="E417" t="inlineStr">
        <is>
          <t>SOLLEFTEÅ</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46664-2022</t>
        </is>
      </c>
      <c r="B418" s="1" t="n">
        <v>44850.94962962963</v>
      </c>
      <c r="C418" s="1" t="n">
        <v>45899</v>
      </c>
      <c r="D418" t="inlineStr">
        <is>
          <t>VÄSTERNORRLANDS LÄN</t>
        </is>
      </c>
      <c r="E418" t="inlineStr">
        <is>
          <t>SOLLEFTEÅ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45899</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14299-2022</t>
        </is>
      </c>
      <c r="B420" s="1" t="n">
        <v>44651.93903935186</v>
      </c>
      <c r="C420" s="1" t="n">
        <v>45899</v>
      </c>
      <c r="D420" t="inlineStr">
        <is>
          <t>VÄSTERNORRLANDS LÄN</t>
        </is>
      </c>
      <c r="E420" t="inlineStr">
        <is>
          <t>SOLLEFTEÅ</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3699-2022</t>
        </is>
      </c>
      <c r="B421" s="1" t="n">
        <v>44586.58597222222</v>
      </c>
      <c r="C421" s="1" t="n">
        <v>45899</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18197-2022</t>
        </is>
      </c>
      <c r="B422" s="1" t="n">
        <v>44684</v>
      </c>
      <c r="C422" s="1" t="n">
        <v>45899</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12562-2022</t>
        </is>
      </c>
      <c r="B423" s="1" t="n">
        <v>44638.94247685185</v>
      </c>
      <c r="C423" s="1" t="n">
        <v>45899</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55209-2022</t>
        </is>
      </c>
      <c r="B424" s="1" t="n">
        <v>44886.96086805555</v>
      </c>
      <c r="C424" s="1" t="n">
        <v>45899</v>
      </c>
      <c r="D424" t="inlineStr">
        <is>
          <t>VÄSTERNORRLANDS LÄN</t>
        </is>
      </c>
      <c r="E424" t="inlineStr">
        <is>
          <t>SOLLEFTEÅ</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20994-2022</t>
        </is>
      </c>
      <c r="B425" s="1" t="n">
        <v>44703</v>
      </c>
      <c r="C425" s="1" t="n">
        <v>45899</v>
      </c>
      <c r="D425" t="inlineStr">
        <is>
          <t>VÄSTERNORRLANDS LÄN</t>
        </is>
      </c>
      <c r="E425" t="inlineStr">
        <is>
          <t>SOLLEFTEÅ</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20996-2022</t>
        </is>
      </c>
      <c r="B426" s="1" t="n">
        <v>44703</v>
      </c>
      <c r="C426" s="1" t="n">
        <v>45899</v>
      </c>
      <c r="D426" t="inlineStr">
        <is>
          <t>VÄSTERNORRLANDS LÄN</t>
        </is>
      </c>
      <c r="E426" t="inlineStr">
        <is>
          <t>SOLLEFTEÅ</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49694-2022</t>
        </is>
      </c>
      <c r="B427" s="1" t="n">
        <v>44859</v>
      </c>
      <c r="C427" s="1" t="n">
        <v>45899</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48470-2020</t>
        </is>
      </c>
      <c r="B428" s="1" t="n">
        <v>44102</v>
      </c>
      <c r="C428" s="1" t="n">
        <v>45899</v>
      </c>
      <c r="D428" t="inlineStr">
        <is>
          <t>VÄSTERNORRLANDS LÄN</t>
        </is>
      </c>
      <c r="E428" t="inlineStr">
        <is>
          <t>SOLLEFTEÅ</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68033-2020</t>
        </is>
      </c>
      <c r="B429" s="1" t="n">
        <v>44182</v>
      </c>
      <c r="C429" s="1" t="n">
        <v>45899</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45899</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30032-2022</t>
        </is>
      </c>
      <c r="B431" s="1" t="n">
        <v>44756</v>
      </c>
      <c r="C431" s="1" t="n">
        <v>45899</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45899</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52406-2020</t>
        </is>
      </c>
      <c r="B433" s="1" t="n">
        <v>44118</v>
      </c>
      <c r="C433" s="1" t="n">
        <v>45899</v>
      </c>
      <c r="D433" t="inlineStr">
        <is>
          <t>VÄSTERNORRLANDS LÄN</t>
        </is>
      </c>
      <c r="E433" t="inlineStr">
        <is>
          <t>SOLLEFTEÅ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63190-2020</t>
        </is>
      </c>
      <c r="B434" s="1" t="n">
        <v>44162</v>
      </c>
      <c r="C434" s="1" t="n">
        <v>45899</v>
      </c>
      <c r="D434" t="inlineStr">
        <is>
          <t>VÄSTERNORRLANDS LÄN</t>
        </is>
      </c>
      <c r="E434" t="inlineStr">
        <is>
          <t>SOLLEFTEÅ</t>
        </is>
      </c>
      <c r="G434" t="n">
        <v>0.2</v>
      </c>
      <c r="H434" t="n">
        <v>0</v>
      </c>
      <c r="I434" t="n">
        <v>0</v>
      </c>
      <c r="J434" t="n">
        <v>0</v>
      </c>
      <c r="K434" t="n">
        <v>0</v>
      </c>
      <c r="L434" t="n">
        <v>0</v>
      </c>
      <c r="M434" t="n">
        <v>0</v>
      </c>
      <c r="N434" t="n">
        <v>0</v>
      </c>
      <c r="O434" t="n">
        <v>0</v>
      </c>
      <c r="P434" t="n">
        <v>0</v>
      </c>
      <c r="Q434" t="n">
        <v>0</v>
      </c>
      <c r="R434" s="2" t="inlineStr"/>
    </row>
    <row r="435" ht="15" customHeight="1">
      <c r="A435" t="inlineStr">
        <is>
          <t>A 43160-2020</t>
        </is>
      </c>
      <c r="B435" s="1" t="n">
        <v>44076</v>
      </c>
      <c r="C435" s="1" t="n">
        <v>45899</v>
      </c>
      <c r="D435" t="inlineStr">
        <is>
          <t>VÄSTERNORRLANDS LÄN</t>
        </is>
      </c>
      <c r="E435" t="inlineStr">
        <is>
          <t>SOLLEFTEÅ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45899</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44285-2022</t>
        </is>
      </c>
      <c r="B437" s="1" t="n">
        <v>44839</v>
      </c>
      <c r="C437" s="1" t="n">
        <v>45899</v>
      </c>
      <c r="D437" t="inlineStr">
        <is>
          <t>VÄSTERNORRLANDS LÄN</t>
        </is>
      </c>
      <c r="E437" t="inlineStr">
        <is>
          <t>SOLLEFTEÅ</t>
        </is>
      </c>
      <c r="F437" t="inlineStr">
        <is>
          <t>Holmen skog AB</t>
        </is>
      </c>
      <c r="G437" t="n">
        <v>13.9</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45899</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47580-2022</t>
        </is>
      </c>
      <c r="B439" s="1" t="n">
        <v>44853.95252314815</v>
      </c>
      <c r="C439" s="1" t="n">
        <v>45899</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46324-2022</t>
        </is>
      </c>
      <c r="B440" s="1" t="n">
        <v>44847</v>
      </c>
      <c r="C440" s="1" t="n">
        <v>45899</v>
      </c>
      <c r="D440" t="inlineStr">
        <is>
          <t>VÄSTERNORRLANDS LÄN</t>
        </is>
      </c>
      <c r="E440" t="inlineStr">
        <is>
          <t>SOLLEFTEÅ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25183-2021</t>
        </is>
      </c>
      <c r="B441" s="1" t="n">
        <v>44341</v>
      </c>
      <c r="C441" s="1" t="n">
        <v>45899</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43442-2022</t>
        </is>
      </c>
      <c r="B442" s="1" t="n">
        <v>44834</v>
      </c>
      <c r="C442" s="1" t="n">
        <v>45899</v>
      </c>
      <c r="D442" t="inlineStr">
        <is>
          <t>VÄSTERNORRLANDS LÄN</t>
        </is>
      </c>
      <c r="E442" t="inlineStr">
        <is>
          <t>SOLLEFTEÅ</t>
        </is>
      </c>
      <c r="F442" t="inlineStr">
        <is>
          <t>Kyrkan</t>
        </is>
      </c>
      <c r="G442" t="n">
        <v>3</v>
      </c>
      <c r="H442" t="n">
        <v>0</v>
      </c>
      <c r="I442" t="n">
        <v>0</v>
      </c>
      <c r="J442" t="n">
        <v>0</v>
      </c>
      <c r="K442" t="n">
        <v>0</v>
      </c>
      <c r="L442" t="n">
        <v>0</v>
      </c>
      <c r="M442" t="n">
        <v>0</v>
      </c>
      <c r="N442" t="n">
        <v>0</v>
      </c>
      <c r="O442" t="n">
        <v>0</v>
      </c>
      <c r="P442" t="n">
        <v>0</v>
      </c>
      <c r="Q442" t="n">
        <v>0</v>
      </c>
      <c r="R442" s="2" t="inlineStr"/>
    </row>
    <row r="443" ht="15" customHeight="1">
      <c r="A443" t="inlineStr">
        <is>
          <t>A 43124-2022</t>
        </is>
      </c>
      <c r="B443" s="1" t="n">
        <v>44833.92898148148</v>
      </c>
      <c r="C443" s="1" t="n">
        <v>45899</v>
      </c>
      <c r="D443" t="inlineStr">
        <is>
          <t>VÄSTERNORRLANDS LÄN</t>
        </is>
      </c>
      <c r="E443" t="inlineStr">
        <is>
          <t>SOLLEFTEÅ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27809-2021</t>
        </is>
      </c>
      <c r="B444" s="1" t="n">
        <v>44354</v>
      </c>
      <c r="C444" s="1" t="n">
        <v>45899</v>
      </c>
      <c r="D444" t="inlineStr">
        <is>
          <t>VÄSTERNORRLANDS LÄN</t>
        </is>
      </c>
      <c r="E444" t="inlineStr">
        <is>
          <t>SOLLEFTEÅ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45899</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29829-2021</t>
        </is>
      </c>
      <c r="B446" s="1" t="n">
        <v>44362</v>
      </c>
      <c r="C446" s="1" t="n">
        <v>45899</v>
      </c>
      <c r="D446" t="inlineStr">
        <is>
          <t>VÄSTERNORRLANDS LÄN</t>
        </is>
      </c>
      <c r="E446" t="inlineStr">
        <is>
          <t>SOLLEFTEÅ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18873-2021</t>
        </is>
      </c>
      <c r="B447" s="1" t="n">
        <v>44307.934375</v>
      </c>
      <c r="C447" s="1" t="n">
        <v>45899</v>
      </c>
      <c r="D447" t="inlineStr">
        <is>
          <t>VÄSTERNORRLANDS LÄN</t>
        </is>
      </c>
      <c r="E447" t="inlineStr">
        <is>
          <t>SOLLEFTEÅ</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25345-2021</t>
        </is>
      </c>
      <c r="B448" s="1" t="n">
        <v>44342</v>
      </c>
      <c r="C448" s="1" t="n">
        <v>45899</v>
      </c>
      <c r="D448" t="inlineStr">
        <is>
          <t>VÄSTERNORRLANDS LÄN</t>
        </is>
      </c>
      <c r="E448" t="inlineStr">
        <is>
          <t>SOLLEFTEÅ</t>
        </is>
      </c>
      <c r="G448" t="n">
        <v>0.2</v>
      </c>
      <c r="H448" t="n">
        <v>0</v>
      </c>
      <c r="I448" t="n">
        <v>0</v>
      </c>
      <c r="J448" t="n">
        <v>0</v>
      </c>
      <c r="K448" t="n">
        <v>0</v>
      </c>
      <c r="L448" t="n">
        <v>0</v>
      </c>
      <c r="M448" t="n">
        <v>0</v>
      </c>
      <c r="N448" t="n">
        <v>0</v>
      </c>
      <c r="O448" t="n">
        <v>0</v>
      </c>
      <c r="P448" t="n">
        <v>0</v>
      </c>
      <c r="Q448" t="n">
        <v>0</v>
      </c>
      <c r="R448" s="2" t="inlineStr"/>
    </row>
    <row r="449" ht="15" customHeight="1">
      <c r="A449" t="inlineStr">
        <is>
          <t>A 51442-2021</t>
        </is>
      </c>
      <c r="B449" s="1" t="n">
        <v>44461.94450231481</v>
      </c>
      <c r="C449" s="1" t="n">
        <v>45899</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51443-2021</t>
        </is>
      </c>
      <c r="B450" s="1" t="n">
        <v>44461</v>
      </c>
      <c r="C450" s="1" t="n">
        <v>45899</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51952-2021</t>
        </is>
      </c>
      <c r="B451" s="1" t="n">
        <v>44462.95631944444</v>
      </c>
      <c r="C451" s="1" t="n">
        <v>45899</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18013-2022</t>
        </is>
      </c>
      <c r="B452" s="1" t="n">
        <v>44683.94355324074</v>
      </c>
      <c r="C452" s="1" t="n">
        <v>45899</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21404-2022</t>
        </is>
      </c>
      <c r="B453" s="1" t="n">
        <v>44705.94037037037</v>
      </c>
      <c r="C453" s="1" t="n">
        <v>45899</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57856-2021</t>
        </is>
      </c>
      <c r="B454" s="1" t="n">
        <v>44484.98627314815</v>
      </c>
      <c r="C454" s="1" t="n">
        <v>45899</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45899</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43300-2020</t>
        </is>
      </c>
      <c r="B456" s="1" t="n">
        <v>44076</v>
      </c>
      <c r="C456" s="1" t="n">
        <v>45899</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45899</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49165-2020</t>
        </is>
      </c>
      <c r="B458" s="1" t="n">
        <v>44104.9402662037</v>
      </c>
      <c r="C458" s="1" t="n">
        <v>45899</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45899</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45899</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45899</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34267-2022</t>
        </is>
      </c>
      <c r="B462" s="1" t="n">
        <v>44791.9455787037</v>
      </c>
      <c r="C462" s="1" t="n">
        <v>45899</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23032-2021</t>
        </is>
      </c>
      <c r="B463" s="1" t="n">
        <v>44328.9410300926</v>
      </c>
      <c r="C463" s="1" t="n">
        <v>45899</v>
      </c>
      <c r="D463" t="inlineStr">
        <is>
          <t>VÄSTERNORRLANDS LÄN</t>
        </is>
      </c>
      <c r="E463" t="inlineStr">
        <is>
          <t>SOLLEFTEÅ</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45899</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45899</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45899</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45899</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45899</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48511-2022</t>
        </is>
      </c>
      <c r="B469" s="1" t="n">
        <v>44858.94972222222</v>
      </c>
      <c r="C469" s="1" t="n">
        <v>45899</v>
      </c>
      <c r="D469" t="inlineStr">
        <is>
          <t>VÄSTERNORRLANDS LÄN</t>
        </is>
      </c>
      <c r="E469" t="inlineStr">
        <is>
          <t>SOLLEFTEÅ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45105-2021</t>
        </is>
      </c>
      <c r="B470" s="1" t="n">
        <v>44439</v>
      </c>
      <c r="C470" s="1" t="n">
        <v>45899</v>
      </c>
      <c r="D470" t="inlineStr">
        <is>
          <t>VÄSTERNORRLANDS LÄN</t>
        </is>
      </c>
      <c r="E470" t="inlineStr">
        <is>
          <t>SOLLEFTEÅ</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15090-2022</t>
        </is>
      </c>
      <c r="B471" s="1" t="n">
        <v>44657.95271990741</v>
      </c>
      <c r="C471" s="1" t="n">
        <v>45899</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45551-2020</t>
        </is>
      </c>
      <c r="B472" s="1" t="n">
        <v>44089</v>
      </c>
      <c r="C472" s="1" t="n">
        <v>45899</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58268-2021</t>
        </is>
      </c>
      <c r="B473" s="1" t="n">
        <v>44487</v>
      </c>
      <c r="C473" s="1" t="n">
        <v>45899</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57911-2021</t>
        </is>
      </c>
      <c r="B474" s="1" t="n">
        <v>44486.90736111111</v>
      </c>
      <c r="C474" s="1" t="n">
        <v>45899</v>
      </c>
      <c r="D474" t="inlineStr">
        <is>
          <t>VÄSTERNORRLANDS LÄN</t>
        </is>
      </c>
      <c r="E474" t="inlineStr">
        <is>
          <t>SOLLEFTEÅ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71348-2021</t>
        </is>
      </c>
      <c r="B475" s="1" t="n">
        <v>44539</v>
      </c>
      <c r="C475" s="1" t="n">
        <v>45899</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71351-2021</t>
        </is>
      </c>
      <c r="B476" s="1" t="n">
        <v>44539</v>
      </c>
      <c r="C476" s="1" t="n">
        <v>45899</v>
      </c>
      <c r="D476" t="inlineStr">
        <is>
          <t>VÄSTERNORRLANDS LÄN</t>
        </is>
      </c>
      <c r="E476" t="inlineStr">
        <is>
          <t>SOLLEFTEÅ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45899</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66850-2020</t>
        </is>
      </c>
      <c r="B478" s="1" t="n">
        <v>44179</v>
      </c>
      <c r="C478" s="1" t="n">
        <v>45899</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45899</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45899</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45899</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22101-2022</t>
        </is>
      </c>
      <c r="B482" s="1" t="n">
        <v>44711.94153935185</v>
      </c>
      <c r="C482" s="1" t="n">
        <v>45899</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26416-2022</t>
        </is>
      </c>
      <c r="B483" s="1" t="n">
        <v>44735.94130787037</v>
      </c>
      <c r="C483" s="1" t="n">
        <v>45899</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30039-2022</t>
        </is>
      </c>
      <c r="B484" s="1" t="n">
        <v>44756.94572916667</v>
      </c>
      <c r="C484" s="1" t="n">
        <v>45899</v>
      </c>
      <c r="D484" t="inlineStr">
        <is>
          <t>VÄSTERNORRLANDS LÄN</t>
        </is>
      </c>
      <c r="E484" t="inlineStr">
        <is>
          <t>SOLLEFTEÅ</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61424-2021</t>
        </is>
      </c>
      <c r="B485" s="1" t="n">
        <v>44500.93637731481</v>
      </c>
      <c r="C485" s="1" t="n">
        <v>45899</v>
      </c>
      <c r="D485" t="inlineStr">
        <is>
          <t>VÄSTERNORRLANDS LÄN</t>
        </is>
      </c>
      <c r="E485" t="inlineStr">
        <is>
          <t>SOLLEFTEÅ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58755-2021</t>
        </is>
      </c>
      <c r="B486" s="1" t="n">
        <v>44489</v>
      </c>
      <c r="C486" s="1" t="n">
        <v>45899</v>
      </c>
      <c r="D486" t="inlineStr">
        <is>
          <t>VÄSTERNORRLANDS LÄN</t>
        </is>
      </c>
      <c r="E486" t="inlineStr">
        <is>
          <t>SOLLEFTEÅ</t>
        </is>
      </c>
      <c r="G486" t="n">
        <v>12.2</v>
      </c>
      <c r="H486" t="n">
        <v>0</v>
      </c>
      <c r="I486" t="n">
        <v>0</v>
      </c>
      <c r="J486" t="n">
        <v>0</v>
      </c>
      <c r="K486" t="n">
        <v>0</v>
      </c>
      <c r="L486" t="n">
        <v>0</v>
      </c>
      <c r="M486" t="n">
        <v>0</v>
      </c>
      <c r="N486" t="n">
        <v>0</v>
      </c>
      <c r="O486" t="n">
        <v>0</v>
      </c>
      <c r="P486" t="n">
        <v>0</v>
      </c>
      <c r="Q486" t="n">
        <v>0</v>
      </c>
      <c r="R486" s="2" t="inlineStr"/>
    </row>
    <row r="487" ht="15" customHeight="1">
      <c r="A487" t="inlineStr">
        <is>
          <t>A 32091-2021</t>
        </is>
      </c>
      <c r="B487" s="1" t="n">
        <v>44370</v>
      </c>
      <c r="C487" s="1" t="n">
        <v>45899</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40539-2021</t>
        </is>
      </c>
      <c r="B488" s="1" t="n">
        <v>44420</v>
      </c>
      <c r="C488" s="1" t="n">
        <v>45899</v>
      </c>
      <c r="D488" t="inlineStr">
        <is>
          <t>VÄSTERNORRLANDS LÄN</t>
        </is>
      </c>
      <c r="E488" t="inlineStr">
        <is>
          <t>SOLLEFTEÅ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69436-2020</t>
        </is>
      </c>
      <c r="B489" s="1" t="n">
        <v>44193</v>
      </c>
      <c r="C489" s="1" t="n">
        <v>45899</v>
      </c>
      <c r="D489" t="inlineStr">
        <is>
          <t>VÄSTERNORRLANDS LÄN</t>
        </is>
      </c>
      <c r="E489" t="inlineStr">
        <is>
          <t>SOLLEFTEÅ</t>
        </is>
      </c>
      <c r="G489" t="n">
        <v>4.9</v>
      </c>
      <c r="H489" t="n">
        <v>0</v>
      </c>
      <c r="I489" t="n">
        <v>0</v>
      </c>
      <c r="J489" t="n">
        <v>0</v>
      </c>
      <c r="K489" t="n">
        <v>0</v>
      </c>
      <c r="L489" t="n">
        <v>0</v>
      </c>
      <c r="M489" t="n">
        <v>0</v>
      </c>
      <c r="N489" t="n">
        <v>0</v>
      </c>
      <c r="O489" t="n">
        <v>0</v>
      </c>
      <c r="P489" t="n">
        <v>0</v>
      </c>
      <c r="Q489" t="n">
        <v>0</v>
      </c>
      <c r="R489" s="2" t="inlineStr"/>
    </row>
    <row r="490" ht="15" customHeight="1">
      <c r="A490" t="inlineStr">
        <is>
          <t>A 68016-2020</t>
        </is>
      </c>
      <c r="B490" s="1" t="n">
        <v>44182</v>
      </c>
      <c r="C490" s="1" t="n">
        <v>45899</v>
      </c>
      <c r="D490" t="inlineStr">
        <is>
          <t>VÄSTERNORRLANDS LÄN</t>
        </is>
      </c>
      <c r="E490" t="inlineStr">
        <is>
          <t>SOLLEFTEÅ</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45899</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12758-2022</t>
        </is>
      </c>
      <c r="B492" s="1" t="n">
        <v>44641</v>
      </c>
      <c r="C492" s="1" t="n">
        <v>45899</v>
      </c>
      <c r="D492" t="inlineStr">
        <is>
          <t>VÄSTERNORRLANDS LÄN</t>
        </is>
      </c>
      <c r="E492" t="inlineStr">
        <is>
          <t>SOLLEFTEÅ</t>
        </is>
      </c>
      <c r="G492" t="n">
        <v>0.1</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45899</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25295-2022</t>
        </is>
      </c>
      <c r="B494" s="1" t="n">
        <v>44730.94094907407</v>
      </c>
      <c r="C494" s="1" t="n">
        <v>45899</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11133-2022</t>
        </is>
      </c>
      <c r="B495" s="1" t="n">
        <v>44628</v>
      </c>
      <c r="C495" s="1" t="n">
        <v>45899</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18570-2022</t>
        </is>
      </c>
      <c r="B496" s="1" t="n">
        <v>44686.94278935185</v>
      </c>
      <c r="C496" s="1" t="n">
        <v>45899</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69916-2021</t>
        </is>
      </c>
      <c r="B497" s="1" t="n">
        <v>44532</v>
      </c>
      <c r="C497" s="1" t="n">
        <v>45899</v>
      </c>
      <c r="D497" t="inlineStr">
        <is>
          <t>VÄSTERNORRLANDS LÄN</t>
        </is>
      </c>
      <c r="E497" t="inlineStr">
        <is>
          <t>SOLLEFTEÅ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69919-2021</t>
        </is>
      </c>
      <c r="B498" s="1" t="n">
        <v>44532.94325231481</v>
      </c>
      <c r="C498" s="1" t="n">
        <v>45899</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45899</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37242-2022</t>
        </is>
      </c>
      <c r="B500" s="1" t="n">
        <v>44806.94675925926</v>
      </c>
      <c r="C500" s="1" t="n">
        <v>45899</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47268-2022</t>
        </is>
      </c>
      <c r="B501" s="1" t="n">
        <v>44852.94989583334</v>
      </c>
      <c r="C501" s="1" t="n">
        <v>45899</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45899</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45899</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58688-2021</t>
        </is>
      </c>
      <c r="B504" s="1" t="n">
        <v>44489</v>
      </c>
      <c r="C504" s="1" t="n">
        <v>45899</v>
      </c>
      <c r="D504" t="inlineStr">
        <is>
          <t>VÄSTERNORRLANDS LÄN</t>
        </is>
      </c>
      <c r="E504" t="inlineStr">
        <is>
          <t>SOLLEFTEÅ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51020-2021</t>
        </is>
      </c>
      <c r="B505" s="1" t="n">
        <v>44460</v>
      </c>
      <c r="C505" s="1" t="n">
        <v>45899</v>
      </c>
      <c r="D505" t="inlineStr">
        <is>
          <t>VÄSTERNORRLANDS LÄN</t>
        </is>
      </c>
      <c r="E505" t="inlineStr">
        <is>
          <t>SOLLEFTEÅ</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19414-2022</t>
        </is>
      </c>
      <c r="B506" s="1" t="n">
        <v>44693</v>
      </c>
      <c r="C506" s="1" t="n">
        <v>45899</v>
      </c>
      <c r="D506" t="inlineStr">
        <is>
          <t>VÄSTERNORRLANDS LÄN</t>
        </is>
      </c>
      <c r="E506" t="inlineStr">
        <is>
          <t>SOLLEFTEÅ</t>
        </is>
      </c>
      <c r="G506" t="n">
        <v>0.3</v>
      </c>
      <c r="H506" t="n">
        <v>0</v>
      </c>
      <c r="I506" t="n">
        <v>0</v>
      </c>
      <c r="J506" t="n">
        <v>0</v>
      </c>
      <c r="K506" t="n">
        <v>0</v>
      </c>
      <c r="L506" t="n">
        <v>0</v>
      </c>
      <c r="M506" t="n">
        <v>0</v>
      </c>
      <c r="N506" t="n">
        <v>0</v>
      </c>
      <c r="O506" t="n">
        <v>0</v>
      </c>
      <c r="P506" t="n">
        <v>0</v>
      </c>
      <c r="Q506" t="n">
        <v>0</v>
      </c>
      <c r="R506" s="2" t="inlineStr"/>
    </row>
    <row r="507" ht="15" customHeight="1">
      <c r="A507" t="inlineStr">
        <is>
          <t>A 31452-2022</t>
        </is>
      </c>
      <c r="B507" s="1" t="n">
        <v>44774.9415162037</v>
      </c>
      <c r="C507" s="1" t="n">
        <v>45899</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26498-2021</t>
        </is>
      </c>
      <c r="B508" s="1" t="n">
        <v>44348</v>
      </c>
      <c r="C508" s="1" t="n">
        <v>45899</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58573-2021</t>
        </is>
      </c>
      <c r="B509" s="1" t="n">
        <v>44488</v>
      </c>
      <c r="C509" s="1" t="n">
        <v>45899</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21715-2022</t>
        </is>
      </c>
      <c r="B510" s="1" t="n">
        <v>44707.94020833333</v>
      </c>
      <c r="C510" s="1" t="n">
        <v>45899</v>
      </c>
      <c r="D510" t="inlineStr">
        <is>
          <t>VÄSTERNORRLANDS LÄN</t>
        </is>
      </c>
      <c r="E510" t="inlineStr">
        <is>
          <t>SOLLEFTEÅ</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43766-2022</t>
        </is>
      </c>
      <c r="B511" s="1" t="n">
        <v>44837.92642361111</v>
      </c>
      <c r="C511" s="1" t="n">
        <v>45899</v>
      </c>
      <c r="D511" t="inlineStr">
        <is>
          <t>VÄSTERNORRLANDS LÄN</t>
        </is>
      </c>
      <c r="E511" t="inlineStr">
        <is>
          <t>SOLLEFTEÅ</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23445-2022</t>
        </is>
      </c>
      <c r="B512" s="1" t="n">
        <v>44720.94123842593</v>
      </c>
      <c r="C512" s="1" t="n">
        <v>45899</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59334-2020</t>
        </is>
      </c>
      <c r="B513" s="1" t="n">
        <v>44147</v>
      </c>
      <c r="C513" s="1" t="n">
        <v>45899</v>
      </c>
      <c r="D513" t="inlineStr">
        <is>
          <t>VÄSTERNORRLANDS LÄN</t>
        </is>
      </c>
      <c r="E513" t="inlineStr">
        <is>
          <t>SOLLEFTEÅ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45899</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16093-2022</t>
        </is>
      </c>
      <c r="B515" s="1" t="n">
        <v>44665</v>
      </c>
      <c r="C515" s="1" t="n">
        <v>45899</v>
      </c>
      <c r="D515" t="inlineStr">
        <is>
          <t>VÄSTERNORRLANDS LÄN</t>
        </is>
      </c>
      <c r="E515" t="inlineStr">
        <is>
          <t>SOLLEFTEÅ</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45899</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45899</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45899</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20296-2022</t>
        </is>
      </c>
      <c r="B519" s="1" t="n">
        <v>44698</v>
      </c>
      <c r="C519" s="1" t="n">
        <v>45899</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45899</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14061-2022</t>
        </is>
      </c>
      <c r="B521" s="1" t="n">
        <v>44650.94005787037</v>
      </c>
      <c r="C521" s="1" t="n">
        <v>45899</v>
      </c>
      <c r="D521" t="inlineStr">
        <is>
          <t>VÄSTERNORRLANDS LÄN</t>
        </is>
      </c>
      <c r="E521" t="inlineStr">
        <is>
          <t>SOLLEFTEÅ</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22341-2022</t>
        </is>
      </c>
      <c r="B522" s="1" t="n">
        <v>44712.94197916667</v>
      </c>
      <c r="C522" s="1" t="n">
        <v>45899</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42196-2020</t>
        </is>
      </c>
      <c r="B523" s="1" t="n">
        <v>44075.94295138889</v>
      </c>
      <c r="C523" s="1" t="n">
        <v>45899</v>
      </c>
      <c r="D523" t="inlineStr">
        <is>
          <t>VÄSTERNORRLANDS LÄN</t>
        </is>
      </c>
      <c r="E523" t="inlineStr">
        <is>
          <t>SOLLEFTEÅ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45899</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14302-2022</t>
        </is>
      </c>
      <c r="B525" s="1" t="n">
        <v>44651</v>
      </c>
      <c r="C525" s="1" t="n">
        <v>45899</v>
      </c>
      <c r="D525" t="inlineStr">
        <is>
          <t>VÄSTERNORRLANDS LÄN</t>
        </is>
      </c>
      <c r="E525" t="inlineStr">
        <is>
          <t>SOLLEFTEÅ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48240-2022</t>
        </is>
      </c>
      <c r="B526" s="1" t="n">
        <v>44858</v>
      </c>
      <c r="C526" s="1" t="n">
        <v>45899</v>
      </c>
      <c r="D526" t="inlineStr">
        <is>
          <t>VÄSTERNORRLANDS LÄN</t>
        </is>
      </c>
      <c r="E526" t="inlineStr">
        <is>
          <t>SOLLEFTEÅ</t>
        </is>
      </c>
      <c r="G526" t="n">
        <v>0.3</v>
      </c>
      <c r="H526" t="n">
        <v>0</v>
      </c>
      <c r="I526" t="n">
        <v>0</v>
      </c>
      <c r="J526" t="n">
        <v>0</v>
      </c>
      <c r="K526" t="n">
        <v>0</v>
      </c>
      <c r="L526" t="n">
        <v>0</v>
      </c>
      <c r="M526" t="n">
        <v>0</v>
      </c>
      <c r="N526" t="n">
        <v>0</v>
      </c>
      <c r="O526" t="n">
        <v>0</v>
      </c>
      <c r="P526" t="n">
        <v>0</v>
      </c>
      <c r="Q526" t="n">
        <v>0</v>
      </c>
      <c r="R526" s="2" t="inlineStr"/>
    </row>
    <row r="527" ht="15" customHeight="1">
      <c r="A527" t="inlineStr">
        <is>
          <t>A 16088-2022</t>
        </is>
      </c>
      <c r="B527" s="1" t="n">
        <v>44665</v>
      </c>
      <c r="C527" s="1" t="n">
        <v>45899</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27082-2022</t>
        </is>
      </c>
      <c r="B528" s="1" t="n">
        <v>44741</v>
      </c>
      <c r="C528" s="1" t="n">
        <v>45899</v>
      </c>
      <c r="D528" t="inlineStr">
        <is>
          <t>VÄSTERNORRLANDS LÄN</t>
        </is>
      </c>
      <c r="E528" t="inlineStr">
        <is>
          <t>SOLLEFTEÅ</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72958-2021</t>
        </is>
      </c>
      <c r="B529" s="1" t="n">
        <v>44547</v>
      </c>
      <c r="C529" s="1" t="n">
        <v>45899</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39943-2022</t>
        </is>
      </c>
      <c r="B530" s="1" t="n">
        <v>44819.94916666667</v>
      </c>
      <c r="C530" s="1" t="n">
        <v>45899</v>
      </c>
      <c r="D530" t="inlineStr">
        <is>
          <t>VÄSTERNORRLANDS LÄN</t>
        </is>
      </c>
      <c r="E530" t="inlineStr">
        <is>
          <t>SOLLEFTEÅ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35747-2022</t>
        </is>
      </c>
      <c r="B531" s="1" t="n">
        <v>44799</v>
      </c>
      <c r="C531" s="1" t="n">
        <v>45899</v>
      </c>
      <c r="D531" t="inlineStr">
        <is>
          <t>VÄSTERNORRLANDS LÄN</t>
        </is>
      </c>
      <c r="E531" t="inlineStr">
        <is>
          <t>SOLLEFTEÅ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30013-2022</t>
        </is>
      </c>
      <c r="B532" s="1" t="n">
        <v>44756</v>
      </c>
      <c r="C532" s="1" t="n">
        <v>45899</v>
      </c>
      <c r="D532" t="inlineStr">
        <is>
          <t>VÄSTERNORRLANDS LÄN</t>
        </is>
      </c>
      <c r="E532" t="inlineStr">
        <is>
          <t>SOLLEFTEÅ</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30041-2022</t>
        </is>
      </c>
      <c r="B533" s="1" t="n">
        <v>44756</v>
      </c>
      <c r="C533" s="1" t="n">
        <v>45899</v>
      </c>
      <c r="D533" t="inlineStr">
        <is>
          <t>VÄSTERNORRLANDS LÄN</t>
        </is>
      </c>
      <c r="E533" t="inlineStr">
        <is>
          <t>SOLLEFTEÅ</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11653-2022</t>
        </is>
      </c>
      <c r="B534" s="1" t="n">
        <v>44631</v>
      </c>
      <c r="C534" s="1" t="n">
        <v>45899</v>
      </c>
      <c r="D534" t="inlineStr">
        <is>
          <t>VÄSTERNORRLANDS LÄN</t>
        </is>
      </c>
      <c r="E534" t="inlineStr">
        <is>
          <t>SOLLEFTEÅ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15974-2022</t>
        </is>
      </c>
      <c r="B535" s="1" t="n">
        <v>44664.94778935185</v>
      </c>
      <c r="C535" s="1" t="n">
        <v>45899</v>
      </c>
      <c r="D535" t="inlineStr">
        <is>
          <t>VÄSTERNORRLANDS LÄN</t>
        </is>
      </c>
      <c r="E535" t="inlineStr">
        <is>
          <t>SOLLEFTEÅ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30236-2022</t>
        </is>
      </c>
      <c r="B536" s="1" t="n">
        <v>44757</v>
      </c>
      <c r="C536" s="1" t="n">
        <v>45899</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67822-2021</t>
        </is>
      </c>
      <c r="B537" s="1" t="n">
        <v>44525.45137731481</v>
      </c>
      <c r="C537" s="1" t="n">
        <v>45899</v>
      </c>
      <c r="D537" t="inlineStr">
        <is>
          <t>VÄSTERNORRLANDS LÄN</t>
        </is>
      </c>
      <c r="E537" t="inlineStr">
        <is>
          <t>SOLLEFTEÅ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53955-2021</t>
        </is>
      </c>
      <c r="B538" s="1" t="n">
        <v>44469</v>
      </c>
      <c r="C538" s="1" t="n">
        <v>45899</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45251-2020</t>
        </is>
      </c>
      <c r="B539" s="1" t="n">
        <v>44088</v>
      </c>
      <c r="C539" s="1" t="n">
        <v>45899</v>
      </c>
      <c r="D539" t="inlineStr">
        <is>
          <t>VÄSTERNORRLANDS LÄN</t>
        </is>
      </c>
      <c r="E539" t="inlineStr">
        <is>
          <t>SOLLEFTEÅ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29294-2022</t>
        </is>
      </c>
      <c r="B540" s="1" t="n">
        <v>44750.9431712963</v>
      </c>
      <c r="C540" s="1" t="n">
        <v>45899</v>
      </c>
      <c r="D540" t="inlineStr">
        <is>
          <t>VÄSTERNORRLANDS LÄN</t>
        </is>
      </c>
      <c r="E540" t="inlineStr">
        <is>
          <t>SOLLEFTEÅ</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44042-2022</t>
        </is>
      </c>
      <c r="B541" s="1" t="n">
        <v>44838.94877314815</v>
      </c>
      <c r="C541" s="1" t="n">
        <v>45899</v>
      </c>
      <c r="D541" t="inlineStr">
        <is>
          <t>VÄSTERNORRLANDS LÄN</t>
        </is>
      </c>
      <c r="E541" t="inlineStr">
        <is>
          <t>SOLLEFTEÅ</t>
        </is>
      </c>
      <c r="F541" t="inlineStr">
        <is>
          <t>SCA</t>
        </is>
      </c>
      <c r="G541" t="n">
        <v>5.6</v>
      </c>
      <c r="H541" t="n">
        <v>0</v>
      </c>
      <c r="I541" t="n">
        <v>0</v>
      </c>
      <c r="J541" t="n">
        <v>0</v>
      </c>
      <c r="K541" t="n">
        <v>0</v>
      </c>
      <c r="L541" t="n">
        <v>0</v>
      </c>
      <c r="M541" t="n">
        <v>0</v>
      </c>
      <c r="N541" t="n">
        <v>0</v>
      </c>
      <c r="O541" t="n">
        <v>0</v>
      </c>
      <c r="P541" t="n">
        <v>0</v>
      </c>
      <c r="Q541" t="n">
        <v>0</v>
      </c>
      <c r="R541" s="2" t="inlineStr"/>
    </row>
    <row r="542" ht="15" customHeight="1">
      <c r="A542" t="inlineStr">
        <is>
          <t>A 38430-2022</t>
        </is>
      </c>
      <c r="B542" s="1" t="n">
        <v>44812</v>
      </c>
      <c r="C542" s="1" t="n">
        <v>45899</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28893-2022</t>
        </is>
      </c>
      <c r="B543" s="1" t="n">
        <v>44749.53978009259</v>
      </c>
      <c r="C543" s="1" t="n">
        <v>45899</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72315-2021</t>
        </is>
      </c>
      <c r="B544" s="1" t="n">
        <v>44545</v>
      </c>
      <c r="C544" s="1" t="n">
        <v>45899</v>
      </c>
      <c r="D544" t="inlineStr">
        <is>
          <t>VÄSTERNORRLANDS LÄN</t>
        </is>
      </c>
      <c r="E544" t="inlineStr">
        <is>
          <t>SOLLEFTEÅ</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44727.94329861111</v>
      </c>
      <c r="C545" s="1" t="n">
        <v>45899</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42303-2022</t>
        </is>
      </c>
      <c r="B546" s="1" t="n">
        <v>44830.95473379629</v>
      </c>
      <c r="C546" s="1" t="n">
        <v>45899</v>
      </c>
      <c r="D546" t="inlineStr">
        <is>
          <t>VÄSTERNORRLANDS LÄN</t>
        </is>
      </c>
      <c r="E546" t="inlineStr">
        <is>
          <t>SOLLEFTEÅ</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54249-2022</t>
        </is>
      </c>
      <c r="B547" s="1" t="n">
        <v>44881.95111111111</v>
      </c>
      <c r="C547" s="1" t="n">
        <v>45899</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54568-2020</t>
        </is>
      </c>
      <c r="B548" s="1" t="n">
        <v>44126</v>
      </c>
      <c r="C548" s="1" t="n">
        <v>45899</v>
      </c>
      <c r="D548" t="inlineStr">
        <is>
          <t>VÄSTERNORRLANDS LÄN</t>
        </is>
      </c>
      <c r="E548" t="inlineStr">
        <is>
          <t>SOLLEFTEÅ</t>
        </is>
      </c>
      <c r="G548" t="n">
        <v>0.2</v>
      </c>
      <c r="H548" t="n">
        <v>0</v>
      </c>
      <c r="I548" t="n">
        <v>0</v>
      </c>
      <c r="J548" t="n">
        <v>0</v>
      </c>
      <c r="K548" t="n">
        <v>0</v>
      </c>
      <c r="L548" t="n">
        <v>0</v>
      </c>
      <c r="M548" t="n">
        <v>0</v>
      </c>
      <c r="N548" t="n">
        <v>0</v>
      </c>
      <c r="O548" t="n">
        <v>0</v>
      </c>
      <c r="P548" t="n">
        <v>0</v>
      </c>
      <c r="Q548" t="n">
        <v>0</v>
      </c>
      <c r="R548" s="2" t="inlineStr"/>
    </row>
    <row r="549" ht="15" customHeight="1">
      <c r="A549" t="inlineStr">
        <is>
          <t>A 54572-2020</t>
        </is>
      </c>
      <c r="B549" s="1" t="n">
        <v>44126</v>
      </c>
      <c r="C549" s="1" t="n">
        <v>45899</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73566-2021</t>
        </is>
      </c>
      <c r="B550" s="1" t="n">
        <v>44551.94106481481</v>
      </c>
      <c r="C550" s="1" t="n">
        <v>45899</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46058-2021</t>
        </is>
      </c>
      <c r="B551" s="1" t="n">
        <v>44441.94364583334</v>
      </c>
      <c r="C551" s="1" t="n">
        <v>45899</v>
      </c>
      <c r="D551" t="inlineStr">
        <is>
          <t>VÄSTERNORRLANDS LÄN</t>
        </is>
      </c>
      <c r="E551" t="inlineStr">
        <is>
          <t>SOLLEFTEÅ</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68317-2021</t>
        </is>
      </c>
      <c r="B552" s="1" t="n">
        <v>44526.94339120371</v>
      </c>
      <c r="C552" s="1" t="n">
        <v>45899</v>
      </c>
      <c r="D552" t="inlineStr">
        <is>
          <t>VÄSTERNORRLANDS LÄN</t>
        </is>
      </c>
      <c r="E552" t="inlineStr">
        <is>
          <t>SOLLEFTEÅ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39944-2022</t>
        </is>
      </c>
      <c r="B553" s="1" t="n">
        <v>44819</v>
      </c>
      <c r="C553" s="1" t="n">
        <v>45899</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26415-2022</t>
        </is>
      </c>
      <c r="B554" s="1" t="n">
        <v>44735</v>
      </c>
      <c r="C554" s="1" t="n">
        <v>45899</v>
      </c>
      <c r="D554" t="inlineStr">
        <is>
          <t>VÄSTERNORRLANDS LÄN</t>
        </is>
      </c>
      <c r="E554" t="inlineStr">
        <is>
          <t>SOLLEFTEÅ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73886-2021</t>
        </is>
      </c>
      <c r="B555" s="1" t="n">
        <v>44553</v>
      </c>
      <c r="C555" s="1" t="n">
        <v>45899</v>
      </c>
      <c r="D555" t="inlineStr">
        <is>
          <t>VÄSTERNORRLANDS LÄN</t>
        </is>
      </c>
      <c r="E555" t="inlineStr">
        <is>
          <t>SOLLEFTEÅ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3549-2022</t>
        </is>
      </c>
      <c r="B556" s="1" t="n">
        <v>44585</v>
      </c>
      <c r="C556" s="1" t="n">
        <v>45899</v>
      </c>
      <c r="D556" t="inlineStr">
        <is>
          <t>VÄSTERNORRLANDS LÄN</t>
        </is>
      </c>
      <c r="E556" t="inlineStr">
        <is>
          <t>SOLLEFTEÅ</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38095-2022</t>
        </is>
      </c>
      <c r="B557" s="1" t="n">
        <v>44811</v>
      </c>
      <c r="C557" s="1" t="n">
        <v>45899</v>
      </c>
      <c r="D557" t="inlineStr">
        <is>
          <t>VÄSTERNORRLANDS LÄN</t>
        </is>
      </c>
      <c r="E557" t="inlineStr">
        <is>
          <t>SOLLEFTEÅ</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41196-2022</t>
        </is>
      </c>
      <c r="B558" s="1" t="n">
        <v>44825.94994212963</v>
      </c>
      <c r="C558" s="1" t="n">
        <v>45899</v>
      </c>
      <c r="D558" t="inlineStr">
        <is>
          <t>VÄSTERNORRLANDS LÄN</t>
        </is>
      </c>
      <c r="E558" t="inlineStr">
        <is>
          <t>SOLLEFTEÅ</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48240-2020</t>
        </is>
      </c>
      <c r="B559" s="1" t="n">
        <v>44102</v>
      </c>
      <c r="C559" s="1" t="n">
        <v>45899</v>
      </c>
      <c r="D559" t="inlineStr">
        <is>
          <t>VÄSTERNORRLANDS LÄN</t>
        </is>
      </c>
      <c r="E559" t="inlineStr">
        <is>
          <t>SOLLEFTEÅ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30936-2022</t>
        </is>
      </c>
      <c r="B560" s="1" t="n">
        <v>44767.94028935185</v>
      </c>
      <c r="C560" s="1" t="n">
        <v>45899</v>
      </c>
      <c r="D560" t="inlineStr">
        <is>
          <t>VÄSTERNORRLANDS LÄN</t>
        </is>
      </c>
      <c r="E560" t="inlineStr">
        <is>
          <t>SOLLEFTEÅ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3551-2022</t>
        </is>
      </c>
      <c r="B561" s="1" t="n">
        <v>44585.93800925926</v>
      </c>
      <c r="C561" s="1" t="n">
        <v>45899</v>
      </c>
      <c r="D561" t="inlineStr">
        <is>
          <t>VÄSTERNORRLANDS LÄN</t>
        </is>
      </c>
      <c r="E561" t="inlineStr">
        <is>
          <t>SOLLEFTEÅ</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13309-2022</t>
        </is>
      </c>
      <c r="B562" s="1" t="n">
        <v>44644.93670138889</v>
      </c>
      <c r="C562" s="1" t="n">
        <v>45899</v>
      </c>
      <c r="D562" t="inlineStr">
        <is>
          <t>VÄSTERNORRLANDS LÄN</t>
        </is>
      </c>
      <c r="E562" t="inlineStr">
        <is>
          <t>SOLLEFTEÅ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35574-2021</t>
        </is>
      </c>
      <c r="B563" s="1" t="n">
        <v>44385.93663194445</v>
      </c>
      <c r="C563" s="1" t="n">
        <v>45899</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72949-2021</t>
        </is>
      </c>
      <c r="B564" s="1" t="n">
        <v>44547.92181712963</v>
      </c>
      <c r="C564" s="1" t="n">
        <v>45899</v>
      </c>
      <c r="D564" t="inlineStr">
        <is>
          <t>VÄSTERNORRLANDS LÄN</t>
        </is>
      </c>
      <c r="E564" t="inlineStr">
        <is>
          <t>SOLLEFTEÅ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66856-2021</t>
        </is>
      </c>
      <c r="B565" s="1" t="n">
        <v>44522</v>
      </c>
      <c r="C565" s="1" t="n">
        <v>45899</v>
      </c>
      <c r="D565" t="inlineStr">
        <is>
          <t>VÄSTERNORRLANDS LÄN</t>
        </is>
      </c>
      <c r="E565" t="inlineStr">
        <is>
          <t>SOLLEFTEÅ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53828-2020</t>
        </is>
      </c>
      <c r="B566" s="1" t="n">
        <v>44124</v>
      </c>
      <c r="C566" s="1" t="n">
        <v>45899</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12191-2022</t>
        </is>
      </c>
      <c r="B567" s="1" t="n">
        <v>44636.9250925926</v>
      </c>
      <c r="C567" s="1" t="n">
        <v>45899</v>
      </c>
      <c r="D567" t="inlineStr">
        <is>
          <t>VÄSTERNORRLANDS LÄN</t>
        </is>
      </c>
      <c r="E567" t="inlineStr">
        <is>
          <t>SOLLEFTEÅ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48555-2021</t>
        </is>
      </c>
      <c r="B568" s="1" t="n">
        <v>44452</v>
      </c>
      <c r="C568" s="1" t="n">
        <v>45899</v>
      </c>
      <c r="D568" t="inlineStr">
        <is>
          <t>VÄSTERNORRLANDS LÄN</t>
        </is>
      </c>
      <c r="E568" t="inlineStr">
        <is>
          <t>SOLLEFTEÅ</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10139-2022</t>
        </is>
      </c>
      <c r="B569" s="1" t="n">
        <v>44621</v>
      </c>
      <c r="C569" s="1" t="n">
        <v>45899</v>
      </c>
      <c r="D569" t="inlineStr">
        <is>
          <t>VÄSTERNORRLANDS LÄN</t>
        </is>
      </c>
      <c r="E569" t="inlineStr">
        <is>
          <t>SOLLEFTEÅ</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53012-2022</t>
        </is>
      </c>
      <c r="B570" s="1" t="n">
        <v>44875.95450231482</v>
      </c>
      <c r="C570" s="1" t="n">
        <v>45899</v>
      </c>
      <c r="D570" t="inlineStr">
        <is>
          <t>VÄSTERNORRLANDS LÄN</t>
        </is>
      </c>
      <c r="E570" t="inlineStr">
        <is>
          <t>SOLLEFTEÅ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10308-2022</t>
        </is>
      </c>
      <c r="B571" s="1" t="n">
        <v>44622</v>
      </c>
      <c r="C571" s="1" t="n">
        <v>45899</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10311-2022</t>
        </is>
      </c>
      <c r="B572" s="1" t="n">
        <v>44622.94049768519</v>
      </c>
      <c r="C572" s="1" t="n">
        <v>45899</v>
      </c>
      <c r="D572" t="inlineStr">
        <is>
          <t>VÄSTERNORRLANDS LÄN</t>
        </is>
      </c>
      <c r="E572" t="inlineStr">
        <is>
          <t>SOLLEFTEÅ</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576-2022</t>
        </is>
      </c>
      <c r="B573" s="1" t="n">
        <v>44566.92086805555</v>
      </c>
      <c r="C573" s="1" t="n">
        <v>45899</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22224-2021</t>
        </is>
      </c>
      <c r="B574" s="1" t="n">
        <v>44326</v>
      </c>
      <c r="C574" s="1" t="n">
        <v>45899</v>
      </c>
      <c r="D574" t="inlineStr">
        <is>
          <t>VÄSTERNORRLANDS LÄN</t>
        </is>
      </c>
      <c r="E574" t="inlineStr">
        <is>
          <t>SOLLEFTEÅ</t>
        </is>
      </c>
      <c r="F574" t="inlineStr">
        <is>
          <t>Kommuner</t>
        </is>
      </c>
      <c r="G574" t="n">
        <v>2.3</v>
      </c>
      <c r="H574" t="n">
        <v>0</v>
      </c>
      <c r="I574" t="n">
        <v>0</v>
      </c>
      <c r="J574" t="n">
        <v>0</v>
      </c>
      <c r="K574" t="n">
        <v>0</v>
      </c>
      <c r="L574" t="n">
        <v>0</v>
      </c>
      <c r="M574" t="n">
        <v>0</v>
      </c>
      <c r="N574" t="n">
        <v>0</v>
      </c>
      <c r="O574" t="n">
        <v>0</v>
      </c>
      <c r="P574" t="n">
        <v>0</v>
      </c>
      <c r="Q574" t="n">
        <v>0</v>
      </c>
      <c r="R574" s="2" t="inlineStr"/>
    </row>
    <row r="575" ht="15" customHeight="1">
      <c r="A575" t="inlineStr">
        <is>
          <t>A 10141-2022</t>
        </is>
      </c>
      <c r="B575" s="1" t="n">
        <v>44621</v>
      </c>
      <c r="C575" s="1" t="n">
        <v>45899</v>
      </c>
      <c r="D575" t="inlineStr">
        <is>
          <t>VÄSTERNORRLANDS LÄN</t>
        </is>
      </c>
      <c r="E575" t="inlineStr">
        <is>
          <t>SOLLEFTEÅ</t>
        </is>
      </c>
      <c r="F575" t="inlineStr">
        <is>
          <t>SCA</t>
        </is>
      </c>
      <c r="G575" t="n">
        <v>15.5</v>
      </c>
      <c r="H575" t="n">
        <v>0</v>
      </c>
      <c r="I575" t="n">
        <v>0</v>
      </c>
      <c r="J575" t="n">
        <v>0</v>
      </c>
      <c r="K575" t="n">
        <v>0</v>
      </c>
      <c r="L575" t="n">
        <v>0</v>
      </c>
      <c r="M575" t="n">
        <v>0</v>
      </c>
      <c r="N575" t="n">
        <v>0</v>
      </c>
      <c r="O575" t="n">
        <v>0</v>
      </c>
      <c r="P575" t="n">
        <v>0</v>
      </c>
      <c r="Q575" t="n">
        <v>0</v>
      </c>
      <c r="R575" s="2" t="inlineStr"/>
    </row>
    <row r="576" ht="15" customHeight="1">
      <c r="A576" t="inlineStr">
        <is>
          <t>A 10198-2022</t>
        </is>
      </c>
      <c r="B576" s="1" t="n">
        <v>44622.44116898148</v>
      </c>
      <c r="C576" s="1" t="n">
        <v>45899</v>
      </c>
      <c r="D576" t="inlineStr">
        <is>
          <t>VÄSTERNORRLANDS LÄN</t>
        </is>
      </c>
      <c r="E576" t="inlineStr">
        <is>
          <t>SOLLEFTEÅ</t>
        </is>
      </c>
      <c r="G576" t="n">
        <v>5.9</v>
      </c>
      <c r="H576" t="n">
        <v>0</v>
      </c>
      <c r="I576" t="n">
        <v>0</v>
      </c>
      <c r="J576" t="n">
        <v>0</v>
      </c>
      <c r="K576" t="n">
        <v>0</v>
      </c>
      <c r="L576" t="n">
        <v>0</v>
      </c>
      <c r="M576" t="n">
        <v>0</v>
      </c>
      <c r="N576" t="n">
        <v>0</v>
      </c>
      <c r="O576" t="n">
        <v>0</v>
      </c>
      <c r="P576" t="n">
        <v>0</v>
      </c>
      <c r="Q576" t="n">
        <v>0</v>
      </c>
      <c r="R576" s="2" t="inlineStr"/>
    </row>
    <row r="577" ht="15" customHeight="1">
      <c r="A577" t="inlineStr">
        <is>
          <t>A 43220-2021</t>
        </is>
      </c>
      <c r="B577" s="1" t="n">
        <v>44431.9378125</v>
      </c>
      <c r="C577" s="1" t="n">
        <v>45899</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61943-2020</t>
        </is>
      </c>
      <c r="B578" s="1" t="n">
        <v>44155</v>
      </c>
      <c r="C578" s="1" t="n">
        <v>45899</v>
      </c>
      <c r="D578" t="inlineStr">
        <is>
          <t>VÄSTERNORRLANDS LÄN</t>
        </is>
      </c>
      <c r="E578" t="inlineStr">
        <is>
          <t>SOLLEFTEÅ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10309-2022</t>
        </is>
      </c>
      <c r="B579" s="1" t="n">
        <v>44622</v>
      </c>
      <c r="C579" s="1" t="n">
        <v>45899</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10310-2022</t>
        </is>
      </c>
      <c r="B580" s="1" t="n">
        <v>44622.94043981482</v>
      </c>
      <c r="C580" s="1" t="n">
        <v>45899</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33990-2022</t>
        </is>
      </c>
      <c r="B581" s="1" t="n">
        <v>44790</v>
      </c>
      <c r="C581" s="1" t="n">
        <v>45899</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59309-2021</t>
        </is>
      </c>
      <c r="B582" s="1" t="n">
        <v>44490.93883101852</v>
      </c>
      <c r="C582" s="1" t="n">
        <v>45899</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45899</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15241-2022</t>
        </is>
      </c>
      <c r="B584" s="1" t="n">
        <v>44658.9375</v>
      </c>
      <c r="C584" s="1" t="n">
        <v>45899</v>
      </c>
      <c r="D584" t="inlineStr">
        <is>
          <t>VÄSTERNORRLANDS LÄN</t>
        </is>
      </c>
      <c r="E584" t="inlineStr">
        <is>
          <t>SOLLEFTEÅ</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45899</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45899</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59343-2021</t>
        </is>
      </c>
      <c r="B587" s="1" t="n">
        <v>44490</v>
      </c>
      <c r="C587" s="1" t="n">
        <v>45899</v>
      </c>
      <c r="D587" t="inlineStr">
        <is>
          <t>VÄSTERNORRLANDS LÄN</t>
        </is>
      </c>
      <c r="E587" t="inlineStr">
        <is>
          <t>SOLLEFTEÅ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24735-2022</t>
        </is>
      </c>
      <c r="B588" s="1" t="n">
        <v>44727.94346064814</v>
      </c>
      <c r="C588" s="1" t="n">
        <v>45899</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14477-2022</t>
        </is>
      </c>
      <c r="B589" s="1" t="n">
        <v>44654.93954861111</v>
      </c>
      <c r="C589" s="1" t="n">
        <v>45899</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45117-2022</t>
        </is>
      </c>
      <c r="B590" s="1" t="n">
        <v>44843.94648148148</v>
      </c>
      <c r="C590" s="1" t="n">
        <v>45899</v>
      </c>
      <c r="D590" t="inlineStr">
        <is>
          <t>VÄSTERNORRLANDS LÄN</t>
        </is>
      </c>
      <c r="E590" t="inlineStr">
        <is>
          <t>SOLLEFTEÅ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63210-2020</t>
        </is>
      </c>
      <c r="B591" s="1" t="n">
        <v>44163</v>
      </c>
      <c r="C591" s="1" t="n">
        <v>45899</v>
      </c>
      <c r="D591" t="inlineStr">
        <is>
          <t>VÄSTERNORRLANDS LÄN</t>
        </is>
      </c>
      <c r="E591" t="inlineStr">
        <is>
          <t>SOLLEFTEÅ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14447-2022</t>
        </is>
      </c>
      <c r="B592" s="1" t="n">
        <v>44652.94510416667</v>
      </c>
      <c r="C592" s="1" t="n">
        <v>45899</v>
      </c>
      <c r="D592" t="inlineStr">
        <is>
          <t>VÄSTERNORRLANDS LÄN</t>
        </is>
      </c>
      <c r="E592" t="inlineStr">
        <is>
          <t>SOLLEFTEÅ</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27283-2022</t>
        </is>
      </c>
      <c r="B593" s="1" t="n">
        <v>44741.94023148148</v>
      </c>
      <c r="C593" s="1" t="n">
        <v>45899</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20702-2022</t>
        </is>
      </c>
      <c r="B594" s="1" t="n">
        <v>44700.92697916667</v>
      </c>
      <c r="C594" s="1" t="n">
        <v>45899</v>
      </c>
      <c r="D594" t="inlineStr">
        <is>
          <t>VÄSTERNORRLANDS LÄN</t>
        </is>
      </c>
      <c r="E594" t="inlineStr">
        <is>
          <t>SOLLEFTEÅ</t>
        </is>
      </c>
      <c r="G594" t="n">
        <v>5.1</v>
      </c>
      <c r="H594" t="n">
        <v>0</v>
      </c>
      <c r="I594" t="n">
        <v>0</v>
      </c>
      <c r="J594" t="n">
        <v>0</v>
      </c>
      <c r="K594" t="n">
        <v>0</v>
      </c>
      <c r="L594" t="n">
        <v>0</v>
      </c>
      <c r="M594" t="n">
        <v>0</v>
      </c>
      <c r="N594" t="n">
        <v>0</v>
      </c>
      <c r="O594" t="n">
        <v>0</v>
      </c>
      <c r="P594" t="n">
        <v>0</v>
      </c>
      <c r="Q594" t="n">
        <v>0</v>
      </c>
      <c r="R594" s="2" t="inlineStr"/>
    </row>
    <row r="595" ht="15" customHeight="1">
      <c r="A595" t="inlineStr">
        <is>
          <t>A 53289-2021</t>
        </is>
      </c>
      <c r="B595" s="1" t="n">
        <v>44467</v>
      </c>
      <c r="C595" s="1" t="n">
        <v>45899</v>
      </c>
      <c r="D595" t="inlineStr">
        <is>
          <t>VÄSTERNORRLANDS LÄN</t>
        </is>
      </c>
      <c r="E595" t="inlineStr">
        <is>
          <t>SOLLEFTEÅ</t>
        </is>
      </c>
      <c r="G595" t="n">
        <v>6.5</v>
      </c>
      <c r="H595" t="n">
        <v>0</v>
      </c>
      <c r="I595" t="n">
        <v>0</v>
      </c>
      <c r="J595" t="n">
        <v>0</v>
      </c>
      <c r="K595" t="n">
        <v>0</v>
      </c>
      <c r="L595" t="n">
        <v>0</v>
      </c>
      <c r="M595" t="n">
        <v>0</v>
      </c>
      <c r="N595" t="n">
        <v>0</v>
      </c>
      <c r="O595" t="n">
        <v>0</v>
      </c>
      <c r="P595" t="n">
        <v>0</v>
      </c>
      <c r="Q595" t="n">
        <v>0</v>
      </c>
      <c r="R595" s="2" t="inlineStr"/>
    </row>
    <row r="596" ht="15" customHeight="1">
      <c r="A596" t="inlineStr">
        <is>
          <t>A 21635-2022</t>
        </is>
      </c>
      <c r="B596" s="1" t="n">
        <v>44706.92628472222</v>
      </c>
      <c r="C596" s="1" t="n">
        <v>45899</v>
      </c>
      <c r="D596" t="inlineStr">
        <is>
          <t>VÄSTERNORRLANDS LÄN</t>
        </is>
      </c>
      <c r="E596" t="inlineStr">
        <is>
          <t>SOLLEFTEÅ</t>
        </is>
      </c>
      <c r="G596" t="n">
        <v>0.3</v>
      </c>
      <c r="H596" t="n">
        <v>0</v>
      </c>
      <c r="I596" t="n">
        <v>0</v>
      </c>
      <c r="J596" t="n">
        <v>0</v>
      </c>
      <c r="K596" t="n">
        <v>0</v>
      </c>
      <c r="L596" t="n">
        <v>0</v>
      </c>
      <c r="M596" t="n">
        <v>0</v>
      </c>
      <c r="N596" t="n">
        <v>0</v>
      </c>
      <c r="O596" t="n">
        <v>0</v>
      </c>
      <c r="P596" t="n">
        <v>0</v>
      </c>
      <c r="Q596" t="n">
        <v>0</v>
      </c>
      <c r="R596" s="2" t="inlineStr"/>
    </row>
    <row r="597" ht="15" customHeight="1">
      <c r="A597" t="inlineStr">
        <is>
          <t>A 31444-2022</t>
        </is>
      </c>
      <c r="B597" s="1" t="n">
        <v>44774</v>
      </c>
      <c r="C597" s="1" t="n">
        <v>45899</v>
      </c>
      <c r="D597" t="inlineStr">
        <is>
          <t>VÄSTERNORRLANDS LÄN</t>
        </is>
      </c>
      <c r="E597" t="inlineStr">
        <is>
          <t>SOLLEFTEÅ</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68656-2020</t>
        </is>
      </c>
      <c r="B598" s="1" t="n">
        <v>44186</v>
      </c>
      <c r="C598" s="1" t="n">
        <v>45899</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11677-2022</t>
        </is>
      </c>
      <c r="B599" s="1" t="n">
        <v>44633</v>
      </c>
      <c r="C599" s="1" t="n">
        <v>45899</v>
      </c>
      <c r="D599" t="inlineStr">
        <is>
          <t>VÄSTERNORRLANDS LÄN</t>
        </is>
      </c>
      <c r="E599" t="inlineStr">
        <is>
          <t>SOLLEFTEÅ</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47859-2020</t>
        </is>
      </c>
      <c r="B600" s="1" t="n">
        <v>44098.93984953704</v>
      </c>
      <c r="C600" s="1" t="n">
        <v>45899</v>
      </c>
      <c r="D600" t="inlineStr">
        <is>
          <t>VÄSTERNORRLANDS LÄN</t>
        </is>
      </c>
      <c r="E600" t="inlineStr">
        <is>
          <t>SOLLEFTEÅ</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46715-2020</t>
        </is>
      </c>
      <c r="B601" s="1" t="n">
        <v>44095</v>
      </c>
      <c r="C601" s="1" t="n">
        <v>45899</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68647-2020</t>
        </is>
      </c>
      <c r="B602" s="1" t="n">
        <v>44186</v>
      </c>
      <c r="C602" s="1" t="n">
        <v>45899</v>
      </c>
      <c r="D602" t="inlineStr">
        <is>
          <t>VÄSTERNORRLANDS LÄN</t>
        </is>
      </c>
      <c r="E602" t="inlineStr">
        <is>
          <t>SOLLEFTEÅ</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54463-2020</t>
        </is>
      </c>
      <c r="B603" s="1" t="n">
        <v>44125</v>
      </c>
      <c r="C603" s="1" t="n">
        <v>45899</v>
      </c>
      <c r="D603" t="inlineStr">
        <is>
          <t>VÄSTERNORRLANDS LÄN</t>
        </is>
      </c>
      <c r="E603" t="inlineStr">
        <is>
          <t>SOLLEFTEÅ</t>
        </is>
      </c>
      <c r="G603" t="n">
        <v>2</v>
      </c>
      <c r="H603" t="n">
        <v>0</v>
      </c>
      <c r="I603" t="n">
        <v>0</v>
      </c>
      <c r="J603" t="n">
        <v>0</v>
      </c>
      <c r="K603" t="n">
        <v>0</v>
      </c>
      <c r="L603" t="n">
        <v>0</v>
      </c>
      <c r="M603" t="n">
        <v>0</v>
      </c>
      <c r="N603" t="n">
        <v>0</v>
      </c>
      <c r="O603" t="n">
        <v>0</v>
      </c>
      <c r="P603" t="n">
        <v>0</v>
      </c>
      <c r="Q603" t="n">
        <v>0</v>
      </c>
      <c r="R603" s="2" t="inlineStr"/>
    </row>
    <row r="604" ht="15" customHeight="1">
      <c r="A604" t="inlineStr">
        <is>
          <t>A 18097-2021</t>
        </is>
      </c>
      <c r="B604" s="1" t="n">
        <v>44302.48136574074</v>
      </c>
      <c r="C604" s="1" t="n">
        <v>45899</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68863-2021</t>
        </is>
      </c>
      <c r="B605" s="1" t="n">
        <v>44530</v>
      </c>
      <c r="C605" s="1" t="n">
        <v>45899</v>
      </c>
      <c r="D605" t="inlineStr">
        <is>
          <t>VÄSTERNORRLANDS LÄN</t>
        </is>
      </c>
      <c r="E605" t="inlineStr">
        <is>
          <t>SOLLEFTEÅ</t>
        </is>
      </c>
      <c r="F605" t="inlineStr">
        <is>
          <t>Holmen skog AB</t>
        </is>
      </c>
      <c r="G605" t="n">
        <v>16.8</v>
      </c>
      <c r="H605" t="n">
        <v>0</v>
      </c>
      <c r="I605" t="n">
        <v>0</v>
      </c>
      <c r="J605" t="n">
        <v>0</v>
      </c>
      <c r="K605" t="n">
        <v>0</v>
      </c>
      <c r="L605" t="n">
        <v>0</v>
      </c>
      <c r="M605" t="n">
        <v>0</v>
      </c>
      <c r="N605" t="n">
        <v>0</v>
      </c>
      <c r="O605" t="n">
        <v>0</v>
      </c>
      <c r="P605" t="n">
        <v>0</v>
      </c>
      <c r="Q605" t="n">
        <v>0</v>
      </c>
      <c r="R605" s="2" t="inlineStr"/>
    </row>
    <row r="606" ht="15" customHeight="1">
      <c r="A606" t="inlineStr">
        <is>
          <t>A 18662-2021</t>
        </is>
      </c>
      <c r="B606" s="1" t="n">
        <v>44306</v>
      </c>
      <c r="C606" s="1" t="n">
        <v>45899</v>
      </c>
      <c r="D606" t="inlineStr">
        <is>
          <t>VÄSTERNORRLANDS LÄN</t>
        </is>
      </c>
      <c r="E606" t="inlineStr">
        <is>
          <t>SOLLEFTEÅ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52189-2020</t>
        </is>
      </c>
      <c r="B607" s="1" t="n">
        <v>44117.54841435186</v>
      </c>
      <c r="C607" s="1" t="n">
        <v>45899</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61496-2021</t>
        </is>
      </c>
      <c r="B608" s="1" t="n">
        <v>44501</v>
      </c>
      <c r="C608" s="1" t="n">
        <v>45899</v>
      </c>
      <c r="D608" t="inlineStr">
        <is>
          <t>VÄSTERNORRLANDS LÄN</t>
        </is>
      </c>
      <c r="E608" t="inlineStr">
        <is>
          <t>SOLLEFTEÅ</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73285-2021</t>
        </is>
      </c>
      <c r="B609" s="1" t="n">
        <v>44550.94386574074</v>
      </c>
      <c r="C609" s="1" t="n">
        <v>45899</v>
      </c>
      <c r="D609" t="inlineStr">
        <is>
          <t>VÄSTERNORRLANDS LÄN</t>
        </is>
      </c>
      <c r="E609" t="inlineStr">
        <is>
          <t>SOLLEFTEÅ</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19510-2021</t>
        </is>
      </c>
      <c r="B610" s="1" t="n">
        <v>44308</v>
      </c>
      <c r="C610" s="1" t="n">
        <v>45899</v>
      </c>
      <c r="D610" t="inlineStr">
        <is>
          <t>VÄSTERNORRLANDS LÄN</t>
        </is>
      </c>
      <c r="E610" t="inlineStr">
        <is>
          <t>SOLLEFTEÅ</t>
        </is>
      </c>
      <c r="F610" t="inlineStr">
        <is>
          <t>Kyrkan</t>
        </is>
      </c>
      <c r="G610" t="n">
        <v>19.6</v>
      </c>
      <c r="H610" t="n">
        <v>0</v>
      </c>
      <c r="I610" t="n">
        <v>0</v>
      </c>
      <c r="J610" t="n">
        <v>0</v>
      </c>
      <c r="K610" t="n">
        <v>0</v>
      </c>
      <c r="L610" t="n">
        <v>0</v>
      </c>
      <c r="M610" t="n">
        <v>0</v>
      </c>
      <c r="N610" t="n">
        <v>0</v>
      </c>
      <c r="O610" t="n">
        <v>0</v>
      </c>
      <c r="P610" t="n">
        <v>0</v>
      </c>
      <c r="Q610" t="n">
        <v>0</v>
      </c>
      <c r="R610" s="2" t="inlineStr"/>
    </row>
    <row r="611" ht="15" customHeight="1">
      <c r="A611" t="inlineStr">
        <is>
          <t>A 41334-2021</t>
        </is>
      </c>
      <c r="B611" s="1" t="n">
        <v>44424</v>
      </c>
      <c r="C611" s="1" t="n">
        <v>45899</v>
      </c>
      <c r="D611" t="inlineStr">
        <is>
          <t>VÄSTERNORRLANDS LÄN</t>
        </is>
      </c>
      <c r="E611" t="inlineStr">
        <is>
          <t>SOLLEFTEÅ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272-2021</t>
        </is>
      </c>
      <c r="B612" s="1" t="n">
        <v>44200</v>
      </c>
      <c r="C612" s="1" t="n">
        <v>45899</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9586-2022</t>
        </is>
      </c>
      <c r="B613" s="1" t="n">
        <v>44617</v>
      </c>
      <c r="C613" s="1" t="n">
        <v>45899</v>
      </c>
      <c r="D613" t="inlineStr">
        <is>
          <t>VÄSTERNORRLANDS LÄN</t>
        </is>
      </c>
      <c r="E613" t="inlineStr">
        <is>
          <t>SOLLEFTEÅ</t>
        </is>
      </c>
      <c r="F613" t="inlineStr">
        <is>
          <t>Övriga Aktiebolag</t>
        </is>
      </c>
      <c r="G613" t="n">
        <v>2.9</v>
      </c>
      <c r="H613" t="n">
        <v>0</v>
      </c>
      <c r="I613" t="n">
        <v>0</v>
      </c>
      <c r="J613" t="n">
        <v>0</v>
      </c>
      <c r="K613" t="n">
        <v>0</v>
      </c>
      <c r="L613" t="n">
        <v>0</v>
      </c>
      <c r="M613" t="n">
        <v>0</v>
      </c>
      <c r="N613" t="n">
        <v>0</v>
      </c>
      <c r="O613" t="n">
        <v>0</v>
      </c>
      <c r="P613" t="n">
        <v>0</v>
      </c>
      <c r="Q613" t="n">
        <v>0</v>
      </c>
      <c r="R613" s="2" t="inlineStr"/>
    </row>
    <row r="614" ht="15" customHeight="1">
      <c r="A614" t="inlineStr">
        <is>
          <t>A 42634-2022</t>
        </is>
      </c>
      <c r="B614" s="1" t="n">
        <v>44831.94565972222</v>
      </c>
      <c r="C614" s="1" t="n">
        <v>45899</v>
      </c>
      <c r="D614" t="inlineStr">
        <is>
          <t>VÄSTERNORRLANDS LÄN</t>
        </is>
      </c>
      <c r="E614" t="inlineStr">
        <is>
          <t>SOLLEFTEÅ</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24720-2021</t>
        </is>
      </c>
      <c r="B615" s="1" t="n">
        <v>44340</v>
      </c>
      <c r="C615" s="1" t="n">
        <v>45899</v>
      </c>
      <c r="D615" t="inlineStr">
        <is>
          <t>VÄSTERNORRLANDS LÄN</t>
        </is>
      </c>
      <c r="E615" t="inlineStr">
        <is>
          <t>SOLLEFTEÅ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49507-2020</t>
        </is>
      </c>
      <c r="B616" s="1" t="n">
        <v>44105</v>
      </c>
      <c r="C616" s="1" t="n">
        <v>45899</v>
      </c>
      <c r="D616" t="inlineStr">
        <is>
          <t>VÄSTERNORRLANDS LÄN</t>
        </is>
      </c>
      <c r="E616" t="inlineStr">
        <is>
          <t>SOLLEFTEÅ</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58726-2021</t>
        </is>
      </c>
      <c r="B617" s="1" t="n">
        <v>44489</v>
      </c>
      <c r="C617" s="1" t="n">
        <v>45899</v>
      </c>
      <c r="D617" t="inlineStr">
        <is>
          <t>VÄSTERNORRLANDS LÄN</t>
        </is>
      </c>
      <c r="E617" t="inlineStr">
        <is>
          <t>SOLLEFTEÅ</t>
        </is>
      </c>
      <c r="G617" t="n">
        <v>1.5</v>
      </c>
      <c r="H617" t="n">
        <v>0</v>
      </c>
      <c r="I617" t="n">
        <v>0</v>
      </c>
      <c r="J617" t="n">
        <v>0</v>
      </c>
      <c r="K617" t="n">
        <v>0</v>
      </c>
      <c r="L617" t="n">
        <v>0</v>
      </c>
      <c r="M617" t="n">
        <v>0</v>
      </c>
      <c r="N617" t="n">
        <v>0</v>
      </c>
      <c r="O617" t="n">
        <v>0</v>
      </c>
      <c r="P617" t="n">
        <v>0</v>
      </c>
      <c r="Q617" t="n">
        <v>0</v>
      </c>
      <c r="R617" s="2" t="inlineStr"/>
    </row>
    <row r="618" ht="15" customHeight="1">
      <c r="A618" t="inlineStr">
        <is>
          <t>A 22342-2022</t>
        </is>
      </c>
      <c r="B618" s="1" t="n">
        <v>44712.94203703704</v>
      </c>
      <c r="C618" s="1" t="n">
        <v>45899</v>
      </c>
      <c r="D618" t="inlineStr">
        <is>
          <t>VÄSTERNORRLANDS LÄN</t>
        </is>
      </c>
      <c r="E618" t="inlineStr">
        <is>
          <t>SOLLEFTEÅ</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55898-2022</t>
        </is>
      </c>
      <c r="B619" s="1" t="n">
        <v>44888.95342592592</v>
      </c>
      <c r="C619" s="1" t="n">
        <v>45899</v>
      </c>
      <c r="D619" t="inlineStr">
        <is>
          <t>VÄSTERNORRLANDS LÄN</t>
        </is>
      </c>
      <c r="E619" t="inlineStr">
        <is>
          <t>SOLLEFTEÅ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49629-2020</t>
        </is>
      </c>
      <c r="B620" s="1" t="n">
        <v>44103</v>
      </c>
      <c r="C620" s="1" t="n">
        <v>45899</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18878-2021</t>
        </is>
      </c>
      <c r="B621" s="1" t="n">
        <v>44307</v>
      </c>
      <c r="C621" s="1" t="n">
        <v>45899</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27018-2022</t>
        </is>
      </c>
      <c r="B622" s="1" t="n">
        <v>44740</v>
      </c>
      <c r="C622" s="1" t="n">
        <v>45899</v>
      </c>
      <c r="D622" t="inlineStr">
        <is>
          <t>VÄSTERNORRLANDS LÄN</t>
        </is>
      </c>
      <c r="E622" t="inlineStr">
        <is>
          <t>SOLLEFTEÅ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45899</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16083-2022</t>
        </is>
      </c>
      <c r="B624" s="1" t="n">
        <v>44665</v>
      </c>
      <c r="C624" s="1" t="n">
        <v>45899</v>
      </c>
      <c r="D624" t="inlineStr">
        <is>
          <t>VÄSTERNORRLANDS LÄN</t>
        </is>
      </c>
      <c r="E624" t="inlineStr">
        <is>
          <t>SOLLEFTEÅ</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68292-2020</t>
        </is>
      </c>
      <c r="B625" s="1" t="n">
        <v>44183</v>
      </c>
      <c r="C625" s="1" t="n">
        <v>45899</v>
      </c>
      <c r="D625" t="inlineStr">
        <is>
          <t>VÄSTERNORRLANDS LÄN</t>
        </is>
      </c>
      <c r="E625" t="inlineStr">
        <is>
          <t>SOLLEFTEÅ</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6170-2022</t>
        </is>
      </c>
      <c r="B626" s="1" t="n">
        <v>44599</v>
      </c>
      <c r="C626" s="1" t="n">
        <v>45899</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20062-2022</t>
        </is>
      </c>
      <c r="B627" s="1" t="n">
        <v>44697</v>
      </c>
      <c r="C627" s="1" t="n">
        <v>45899</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45899</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12568-2022</t>
        </is>
      </c>
      <c r="B629" s="1" t="n">
        <v>44638.94277777777</v>
      </c>
      <c r="C629" s="1" t="n">
        <v>45899</v>
      </c>
      <c r="D629" t="inlineStr">
        <is>
          <t>VÄSTERNORRLANDS LÄN</t>
        </is>
      </c>
      <c r="E629" t="inlineStr">
        <is>
          <t>SOLLEFTEÅ</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40608-2022</t>
        </is>
      </c>
      <c r="B630" s="1" t="n">
        <v>44823.94972222222</v>
      </c>
      <c r="C630" s="1" t="n">
        <v>45899</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60324-2021</t>
        </is>
      </c>
      <c r="B631" s="1" t="n">
        <v>44495.94048611111</v>
      </c>
      <c r="C631" s="1" t="n">
        <v>45899</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27926-2022</t>
        </is>
      </c>
      <c r="B632" s="1" t="n">
        <v>44743</v>
      </c>
      <c r="C632" s="1" t="n">
        <v>45899</v>
      </c>
      <c r="D632" t="inlineStr">
        <is>
          <t>VÄSTERNORRLANDS LÄN</t>
        </is>
      </c>
      <c r="E632" t="inlineStr">
        <is>
          <t>SOLLEFTEÅ</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14065-2022</t>
        </is>
      </c>
      <c r="B633" s="1" t="n">
        <v>44650</v>
      </c>
      <c r="C633" s="1" t="n">
        <v>45899</v>
      </c>
      <c r="D633" t="inlineStr">
        <is>
          <t>VÄSTERNORRLANDS LÄN</t>
        </is>
      </c>
      <c r="E633" t="inlineStr">
        <is>
          <t>SOLLEFTEÅ</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45119-2022</t>
        </is>
      </c>
      <c r="B634" s="1" t="n">
        <v>44843</v>
      </c>
      <c r="C634" s="1" t="n">
        <v>45899</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3194-2025</t>
        </is>
      </c>
      <c r="B635" s="1" t="n">
        <v>45679.42130787037</v>
      </c>
      <c r="C635" s="1" t="n">
        <v>45899</v>
      </c>
      <c r="D635" t="inlineStr">
        <is>
          <t>VÄSTERNORRLANDS LÄN</t>
        </is>
      </c>
      <c r="E635" t="inlineStr">
        <is>
          <t>SOLLEFTEÅ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29292-2022</t>
        </is>
      </c>
      <c r="B636" s="1" t="n">
        <v>44750</v>
      </c>
      <c r="C636" s="1" t="n">
        <v>45899</v>
      </c>
      <c r="D636" t="inlineStr">
        <is>
          <t>VÄSTERNORRLANDS LÄN</t>
        </is>
      </c>
      <c r="E636" t="inlineStr">
        <is>
          <t>SOLLEFTEÅ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54570-2020</t>
        </is>
      </c>
      <c r="B637" s="1" t="n">
        <v>44126</v>
      </c>
      <c r="C637" s="1" t="n">
        <v>45899</v>
      </c>
      <c r="D637" t="inlineStr">
        <is>
          <t>VÄSTERNORRLANDS LÄN</t>
        </is>
      </c>
      <c r="E637" t="inlineStr">
        <is>
          <t>SOLLEFTEÅ</t>
        </is>
      </c>
      <c r="G637" t="n">
        <v>0.3</v>
      </c>
      <c r="H637" t="n">
        <v>0</v>
      </c>
      <c r="I637" t="n">
        <v>0</v>
      </c>
      <c r="J637" t="n">
        <v>0</v>
      </c>
      <c r="K637" t="n">
        <v>0</v>
      </c>
      <c r="L637" t="n">
        <v>0</v>
      </c>
      <c r="M637" t="n">
        <v>0</v>
      </c>
      <c r="N637" t="n">
        <v>0</v>
      </c>
      <c r="O637" t="n">
        <v>0</v>
      </c>
      <c r="P637" t="n">
        <v>0</v>
      </c>
      <c r="Q637" t="n">
        <v>0</v>
      </c>
      <c r="R637" s="2" t="inlineStr"/>
    </row>
    <row r="638" ht="15" customHeight="1">
      <c r="A638" t="inlineStr">
        <is>
          <t>A 54571-2020</t>
        </is>
      </c>
      <c r="B638" s="1" t="n">
        <v>44126</v>
      </c>
      <c r="C638" s="1" t="n">
        <v>45899</v>
      </c>
      <c r="D638" t="inlineStr">
        <is>
          <t>VÄSTERNORRLANDS LÄN</t>
        </is>
      </c>
      <c r="E638" t="inlineStr">
        <is>
          <t>SOLLEFTEÅ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20950-2022</t>
        </is>
      </c>
      <c r="B639" s="1" t="n">
        <v>44701</v>
      </c>
      <c r="C639" s="1" t="n">
        <v>45899</v>
      </c>
      <c r="D639" t="inlineStr">
        <is>
          <t>VÄSTERNORRLANDS LÄN</t>
        </is>
      </c>
      <c r="E639" t="inlineStr">
        <is>
          <t>SOLLEFTEÅ</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11241-2022</t>
        </is>
      </c>
      <c r="B640" s="1" t="n">
        <v>44629</v>
      </c>
      <c r="C640" s="1" t="n">
        <v>45899</v>
      </c>
      <c r="D640" t="inlineStr">
        <is>
          <t>VÄSTERNORRLANDS LÄN</t>
        </is>
      </c>
      <c r="E640" t="inlineStr">
        <is>
          <t>SOLLEFTEÅ</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45899</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45899</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36579-2021</t>
        </is>
      </c>
      <c r="B643" s="1" t="n">
        <v>44391.59509259259</v>
      </c>
      <c r="C643" s="1" t="n">
        <v>45899</v>
      </c>
      <c r="D643" t="inlineStr">
        <is>
          <t>VÄSTERNORRLANDS LÄN</t>
        </is>
      </c>
      <c r="E643" t="inlineStr">
        <is>
          <t>SOLLEFTEÅ</t>
        </is>
      </c>
      <c r="G643" t="n">
        <v>6.9</v>
      </c>
      <c r="H643" t="n">
        <v>0</v>
      </c>
      <c r="I643" t="n">
        <v>0</v>
      </c>
      <c r="J643" t="n">
        <v>0</v>
      </c>
      <c r="K643" t="n">
        <v>0</v>
      </c>
      <c r="L643" t="n">
        <v>0</v>
      </c>
      <c r="M643" t="n">
        <v>0</v>
      </c>
      <c r="N643" t="n">
        <v>0</v>
      </c>
      <c r="O643" t="n">
        <v>0</v>
      </c>
      <c r="P643" t="n">
        <v>0</v>
      </c>
      <c r="Q643" t="n">
        <v>0</v>
      </c>
      <c r="R643" s="2" t="inlineStr"/>
    </row>
    <row r="644" ht="15" customHeight="1">
      <c r="A644" t="inlineStr">
        <is>
          <t>A 61894-2020</t>
        </is>
      </c>
      <c r="B644" s="1" t="n">
        <v>44155</v>
      </c>
      <c r="C644" s="1" t="n">
        <v>45899</v>
      </c>
      <c r="D644" t="inlineStr">
        <is>
          <t>VÄSTERNORRLANDS LÄN</t>
        </is>
      </c>
      <c r="E644" t="inlineStr">
        <is>
          <t>SOLLEFTEÅ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1679-2024</t>
        </is>
      </c>
      <c r="B645" s="1" t="n">
        <v>45306</v>
      </c>
      <c r="C645" s="1" t="n">
        <v>45899</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20334-2025</t>
        </is>
      </c>
      <c r="B646" s="1" t="n">
        <v>45775.36496527777</v>
      </c>
      <c r="C646" s="1" t="n">
        <v>45899</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41813-2022</t>
        </is>
      </c>
      <c r="B647" s="1" t="n">
        <v>44827.94520833333</v>
      </c>
      <c r="C647" s="1" t="n">
        <v>45899</v>
      </c>
      <c r="D647" t="inlineStr">
        <is>
          <t>VÄSTERNORRLANDS LÄN</t>
        </is>
      </c>
      <c r="E647" t="inlineStr">
        <is>
          <t>SOLLEFTEÅ</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6067-2024</t>
        </is>
      </c>
      <c r="B648" s="1" t="n">
        <v>45336.89018518518</v>
      </c>
      <c r="C648" s="1" t="n">
        <v>45899</v>
      </c>
      <c r="D648" t="inlineStr">
        <is>
          <t>VÄSTERNORRLANDS LÄN</t>
        </is>
      </c>
      <c r="E648" t="inlineStr">
        <is>
          <t>SOLLEFTEÅ</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20101-2025</t>
        </is>
      </c>
      <c r="B649" s="1" t="n">
        <v>45772</v>
      </c>
      <c r="C649" s="1" t="n">
        <v>45899</v>
      </c>
      <c r="D649" t="inlineStr">
        <is>
          <t>VÄSTERNORRLANDS LÄN</t>
        </is>
      </c>
      <c r="E649" t="inlineStr">
        <is>
          <t>SOLLEFTEÅ</t>
        </is>
      </c>
      <c r="F649" t="inlineStr">
        <is>
          <t>SCA</t>
        </is>
      </c>
      <c r="G649" t="n">
        <v>13.5</v>
      </c>
      <c r="H649" t="n">
        <v>0</v>
      </c>
      <c r="I649" t="n">
        <v>0</v>
      </c>
      <c r="J649" t="n">
        <v>0</v>
      </c>
      <c r="K649" t="n">
        <v>0</v>
      </c>
      <c r="L649" t="n">
        <v>0</v>
      </c>
      <c r="M649" t="n">
        <v>0</v>
      </c>
      <c r="N649" t="n">
        <v>0</v>
      </c>
      <c r="O649" t="n">
        <v>0</v>
      </c>
      <c r="P649" t="n">
        <v>0</v>
      </c>
      <c r="Q649" t="n">
        <v>0</v>
      </c>
      <c r="R649" s="2" t="inlineStr"/>
    </row>
    <row r="650" ht="15" customHeight="1">
      <c r="A650" t="inlineStr">
        <is>
          <t>A 59579-2023</t>
        </is>
      </c>
      <c r="B650" s="1" t="n">
        <v>45253</v>
      </c>
      <c r="C650" s="1" t="n">
        <v>45899</v>
      </c>
      <c r="D650" t="inlineStr">
        <is>
          <t>VÄSTERNORRLANDS LÄN</t>
        </is>
      </c>
      <c r="E650" t="inlineStr">
        <is>
          <t>SOLLEFTEÅ</t>
        </is>
      </c>
      <c r="G650" t="n">
        <v>6.2</v>
      </c>
      <c r="H650" t="n">
        <v>0</v>
      </c>
      <c r="I650" t="n">
        <v>0</v>
      </c>
      <c r="J650" t="n">
        <v>0</v>
      </c>
      <c r="K650" t="n">
        <v>0</v>
      </c>
      <c r="L650" t="n">
        <v>0</v>
      </c>
      <c r="M650" t="n">
        <v>0</v>
      </c>
      <c r="N650" t="n">
        <v>0</v>
      </c>
      <c r="O650" t="n">
        <v>0</v>
      </c>
      <c r="P650" t="n">
        <v>0</v>
      </c>
      <c r="Q650" t="n">
        <v>0</v>
      </c>
      <c r="R650" s="2" t="inlineStr"/>
    </row>
    <row r="651" ht="15" customHeight="1">
      <c r="A651" t="inlineStr">
        <is>
          <t>A 3096-2025</t>
        </is>
      </c>
      <c r="B651" s="1" t="n">
        <v>45678.66643518519</v>
      </c>
      <c r="C651" s="1" t="n">
        <v>45899</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52136-2023</t>
        </is>
      </c>
      <c r="B652" s="1" t="n">
        <v>45223.96625</v>
      </c>
      <c r="C652" s="1" t="n">
        <v>45899</v>
      </c>
      <c r="D652" t="inlineStr">
        <is>
          <t>VÄSTERNORRLANDS LÄN</t>
        </is>
      </c>
      <c r="E652" t="inlineStr">
        <is>
          <t>SOLLEFTEÅ</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42771-2022</t>
        </is>
      </c>
      <c r="B653" s="1" t="n">
        <v>44832</v>
      </c>
      <c r="C653" s="1" t="n">
        <v>45899</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7463-2024</t>
        </is>
      </c>
      <c r="B654" s="1" t="n">
        <v>45345.94887731481</v>
      </c>
      <c r="C654" s="1" t="n">
        <v>45899</v>
      </c>
      <c r="D654" t="inlineStr">
        <is>
          <t>VÄSTERNORRLANDS LÄN</t>
        </is>
      </c>
      <c r="E654" t="inlineStr">
        <is>
          <t>SOLLEFTEÅ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49711-2021</t>
        </is>
      </c>
      <c r="B655" s="1" t="n">
        <v>44455</v>
      </c>
      <c r="C655" s="1" t="n">
        <v>45899</v>
      </c>
      <c r="D655" t="inlineStr">
        <is>
          <t>VÄSTERNORRLANDS LÄN</t>
        </is>
      </c>
      <c r="E655" t="inlineStr">
        <is>
          <t>SOLLEFTEÅ</t>
        </is>
      </c>
      <c r="G655" t="n">
        <v>3.7</v>
      </c>
      <c r="H655" t="n">
        <v>0</v>
      </c>
      <c r="I655" t="n">
        <v>0</v>
      </c>
      <c r="J655" t="n">
        <v>0</v>
      </c>
      <c r="K655" t="n">
        <v>0</v>
      </c>
      <c r="L655" t="n">
        <v>0</v>
      </c>
      <c r="M655" t="n">
        <v>0</v>
      </c>
      <c r="N655" t="n">
        <v>0</v>
      </c>
      <c r="O655" t="n">
        <v>0</v>
      </c>
      <c r="P655" t="n">
        <v>0</v>
      </c>
      <c r="Q655" t="n">
        <v>0</v>
      </c>
      <c r="R655" s="2" t="inlineStr"/>
    </row>
    <row r="656" ht="15" customHeight="1">
      <c r="A656" t="inlineStr">
        <is>
          <t>A 62507-2022</t>
        </is>
      </c>
      <c r="B656" s="1" t="n">
        <v>44924</v>
      </c>
      <c r="C656" s="1" t="n">
        <v>45899</v>
      </c>
      <c r="D656" t="inlineStr">
        <is>
          <t>VÄSTERNORRLANDS LÄN</t>
        </is>
      </c>
      <c r="E656" t="inlineStr">
        <is>
          <t>SOLLEFTEÅ</t>
        </is>
      </c>
      <c r="F656" t="inlineStr">
        <is>
          <t>Holmen skog AB</t>
        </is>
      </c>
      <c r="G656" t="n">
        <v>4.8</v>
      </c>
      <c r="H656" t="n">
        <v>0</v>
      </c>
      <c r="I656" t="n">
        <v>0</v>
      </c>
      <c r="J656" t="n">
        <v>0</v>
      </c>
      <c r="K656" t="n">
        <v>0</v>
      </c>
      <c r="L656" t="n">
        <v>0</v>
      </c>
      <c r="M656" t="n">
        <v>0</v>
      </c>
      <c r="N656" t="n">
        <v>0</v>
      </c>
      <c r="O656" t="n">
        <v>0</v>
      </c>
      <c r="P656" t="n">
        <v>0</v>
      </c>
      <c r="Q656" t="n">
        <v>0</v>
      </c>
      <c r="R656" s="2" t="inlineStr"/>
    </row>
    <row r="657" ht="15" customHeight="1">
      <c r="A657" t="inlineStr">
        <is>
          <t>A 37977-2022</t>
        </is>
      </c>
      <c r="B657" s="1" t="n">
        <v>44811</v>
      </c>
      <c r="C657" s="1" t="n">
        <v>45899</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6621-2025</t>
        </is>
      </c>
      <c r="B658" s="1" t="n">
        <v>45700.36576388889</v>
      </c>
      <c r="C658" s="1" t="n">
        <v>45899</v>
      </c>
      <c r="D658" t="inlineStr">
        <is>
          <t>VÄSTERNORRLANDS LÄN</t>
        </is>
      </c>
      <c r="E658" t="inlineStr">
        <is>
          <t>SOLLEFTEÅ</t>
        </is>
      </c>
      <c r="F658" t="inlineStr">
        <is>
          <t>SCA</t>
        </is>
      </c>
      <c r="G658" t="n">
        <v>14.8</v>
      </c>
      <c r="H658" t="n">
        <v>0</v>
      </c>
      <c r="I658" t="n">
        <v>0</v>
      </c>
      <c r="J658" t="n">
        <v>0</v>
      </c>
      <c r="K658" t="n">
        <v>0</v>
      </c>
      <c r="L658" t="n">
        <v>0</v>
      </c>
      <c r="M658" t="n">
        <v>0</v>
      </c>
      <c r="N658" t="n">
        <v>0</v>
      </c>
      <c r="O658" t="n">
        <v>0</v>
      </c>
      <c r="P658" t="n">
        <v>0</v>
      </c>
      <c r="Q658" t="n">
        <v>0</v>
      </c>
      <c r="R658" s="2" t="inlineStr"/>
    </row>
    <row r="659" ht="15" customHeight="1">
      <c r="A659" t="inlineStr">
        <is>
          <t>A 19814-2022</t>
        </is>
      </c>
      <c r="B659" s="1" t="n">
        <v>44694.93945601852</v>
      </c>
      <c r="C659" s="1" t="n">
        <v>45899</v>
      </c>
      <c r="D659" t="inlineStr">
        <is>
          <t>VÄSTERNORRLANDS LÄN</t>
        </is>
      </c>
      <c r="E659" t="inlineStr">
        <is>
          <t>SOLLEFTEÅ</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12865-2024</t>
        </is>
      </c>
      <c r="B660" s="1" t="n">
        <v>45384</v>
      </c>
      <c r="C660" s="1" t="n">
        <v>45899</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11134-2025</t>
        </is>
      </c>
      <c r="B661" s="1" t="n">
        <v>45723.65655092592</v>
      </c>
      <c r="C661" s="1" t="n">
        <v>45899</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50655-2022</t>
        </is>
      </c>
      <c r="B662" s="1" t="n">
        <v>44866</v>
      </c>
      <c r="C662" s="1" t="n">
        <v>45899</v>
      </c>
      <c r="D662" t="inlineStr">
        <is>
          <t>VÄSTERNORRLANDS LÄN</t>
        </is>
      </c>
      <c r="E662" t="inlineStr">
        <is>
          <t>SOLLEFTEÅ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5001-2023</t>
        </is>
      </c>
      <c r="B663" s="1" t="n">
        <v>44956</v>
      </c>
      <c r="C663" s="1" t="n">
        <v>45899</v>
      </c>
      <c r="D663" t="inlineStr">
        <is>
          <t>VÄSTERNORRLANDS LÄN</t>
        </is>
      </c>
      <c r="E663" t="inlineStr">
        <is>
          <t>SOLLEFTEÅ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14731-2025</t>
        </is>
      </c>
      <c r="B664" s="1" t="n">
        <v>45742.6360300926</v>
      </c>
      <c r="C664" s="1" t="n">
        <v>45899</v>
      </c>
      <c r="D664" t="inlineStr">
        <is>
          <t>VÄSTERNORRLANDS LÄN</t>
        </is>
      </c>
      <c r="E664" t="inlineStr">
        <is>
          <t>SOLLEFTEÅ</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14889-2025</t>
        </is>
      </c>
      <c r="B665" s="1" t="n">
        <v>45743.46898148148</v>
      </c>
      <c r="C665" s="1" t="n">
        <v>45899</v>
      </c>
      <c r="D665" t="inlineStr">
        <is>
          <t>VÄSTERNORRLANDS LÄN</t>
        </is>
      </c>
      <c r="E665" t="inlineStr">
        <is>
          <t>SOLLEFTEÅ</t>
        </is>
      </c>
      <c r="G665" t="n">
        <v>5.8</v>
      </c>
      <c r="H665" t="n">
        <v>0</v>
      </c>
      <c r="I665" t="n">
        <v>0</v>
      </c>
      <c r="J665" t="n">
        <v>0</v>
      </c>
      <c r="K665" t="n">
        <v>0</v>
      </c>
      <c r="L665" t="n">
        <v>0</v>
      </c>
      <c r="M665" t="n">
        <v>0</v>
      </c>
      <c r="N665" t="n">
        <v>0</v>
      </c>
      <c r="O665" t="n">
        <v>0</v>
      </c>
      <c r="P665" t="n">
        <v>0</v>
      </c>
      <c r="Q665" t="n">
        <v>0</v>
      </c>
      <c r="R665" s="2" t="inlineStr"/>
    </row>
    <row r="666" ht="15" customHeight="1">
      <c r="A666" t="inlineStr">
        <is>
          <t>A 45958-2023</t>
        </is>
      </c>
      <c r="B666" s="1" t="n">
        <v>45195</v>
      </c>
      <c r="C666" s="1" t="n">
        <v>45899</v>
      </c>
      <c r="D666" t="inlineStr">
        <is>
          <t>VÄSTERNORRLANDS LÄN</t>
        </is>
      </c>
      <c r="E666" t="inlineStr">
        <is>
          <t>SOLLEFTEÅ</t>
        </is>
      </c>
      <c r="F666" t="inlineStr">
        <is>
          <t>SCA</t>
        </is>
      </c>
      <c r="G666" t="n">
        <v>9.9</v>
      </c>
      <c r="H666" t="n">
        <v>0</v>
      </c>
      <c r="I666" t="n">
        <v>0</v>
      </c>
      <c r="J666" t="n">
        <v>0</v>
      </c>
      <c r="K666" t="n">
        <v>0</v>
      </c>
      <c r="L666" t="n">
        <v>0</v>
      </c>
      <c r="M666" t="n">
        <v>0</v>
      </c>
      <c r="N666" t="n">
        <v>0</v>
      </c>
      <c r="O666" t="n">
        <v>0</v>
      </c>
      <c r="P666" t="n">
        <v>0</v>
      </c>
      <c r="Q666" t="n">
        <v>0</v>
      </c>
      <c r="R666" s="2" t="inlineStr"/>
    </row>
    <row r="667" ht="15" customHeight="1">
      <c r="A667" t="inlineStr">
        <is>
          <t>A 63144-2023</t>
        </is>
      </c>
      <c r="B667" s="1" t="n">
        <v>45272</v>
      </c>
      <c r="C667" s="1" t="n">
        <v>45899</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9557-2024</t>
        </is>
      </c>
      <c r="B668" s="1" t="n">
        <v>45360</v>
      </c>
      <c r="C668" s="1" t="n">
        <v>45899</v>
      </c>
      <c r="D668" t="inlineStr">
        <is>
          <t>VÄSTERNORRLANDS LÄN</t>
        </is>
      </c>
      <c r="E668" t="inlineStr">
        <is>
          <t>SOLLEFTEÅ</t>
        </is>
      </c>
      <c r="F668" t="inlineStr">
        <is>
          <t>SCA</t>
        </is>
      </c>
      <c r="G668" t="n">
        <v>7.4</v>
      </c>
      <c r="H668" t="n">
        <v>0</v>
      </c>
      <c r="I668" t="n">
        <v>0</v>
      </c>
      <c r="J668" t="n">
        <v>0</v>
      </c>
      <c r="K668" t="n">
        <v>0</v>
      </c>
      <c r="L668" t="n">
        <v>0</v>
      </c>
      <c r="M668" t="n">
        <v>0</v>
      </c>
      <c r="N668" t="n">
        <v>0</v>
      </c>
      <c r="O668" t="n">
        <v>0</v>
      </c>
      <c r="P668" t="n">
        <v>0</v>
      </c>
      <c r="Q668" t="n">
        <v>0</v>
      </c>
      <c r="R668" s="2" t="inlineStr"/>
    </row>
    <row r="669" ht="15" customHeight="1">
      <c r="A669" t="inlineStr">
        <is>
          <t>A 44172-2024</t>
        </is>
      </c>
      <c r="B669" s="1" t="n">
        <v>45572.74454861111</v>
      </c>
      <c r="C669" s="1" t="n">
        <v>45899</v>
      </c>
      <c r="D669" t="inlineStr">
        <is>
          <t>VÄSTERNORRLANDS LÄN</t>
        </is>
      </c>
      <c r="E669" t="inlineStr">
        <is>
          <t>SOLLEFTEÅ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31005-2022</t>
        </is>
      </c>
      <c r="B670" s="1" t="n">
        <v>44768</v>
      </c>
      <c r="C670" s="1" t="n">
        <v>45899</v>
      </c>
      <c r="D670" t="inlineStr">
        <is>
          <t>VÄSTERNORRLANDS LÄN</t>
        </is>
      </c>
      <c r="E670" t="inlineStr">
        <is>
          <t>SOLLEFTEÅ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295-2025</t>
        </is>
      </c>
      <c r="B671" s="1" t="n">
        <v>45660.53206018519</v>
      </c>
      <c r="C671" s="1" t="n">
        <v>45899</v>
      </c>
      <c r="D671" t="inlineStr">
        <is>
          <t>VÄSTERNORRLANDS LÄN</t>
        </is>
      </c>
      <c r="E671" t="inlineStr">
        <is>
          <t>SOLLEFTEÅ</t>
        </is>
      </c>
      <c r="F671" t="inlineStr">
        <is>
          <t>SCA</t>
        </is>
      </c>
      <c r="G671" t="n">
        <v>30.7</v>
      </c>
      <c r="H671" t="n">
        <v>0</v>
      </c>
      <c r="I671" t="n">
        <v>0</v>
      </c>
      <c r="J671" t="n">
        <v>0</v>
      </c>
      <c r="K671" t="n">
        <v>0</v>
      </c>
      <c r="L671" t="n">
        <v>0</v>
      </c>
      <c r="M671" t="n">
        <v>0</v>
      </c>
      <c r="N671" t="n">
        <v>0</v>
      </c>
      <c r="O671" t="n">
        <v>0</v>
      </c>
      <c r="P671" t="n">
        <v>0</v>
      </c>
      <c r="Q671" t="n">
        <v>0</v>
      </c>
      <c r="R671" s="2" t="inlineStr"/>
    </row>
    <row r="672" ht="15" customHeight="1">
      <c r="A672" t="inlineStr">
        <is>
          <t>A 6139-2024</t>
        </is>
      </c>
      <c r="B672" s="1" t="n">
        <v>45337</v>
      </c>
      <c r="C672" s="1" t="n">
        <v>45899</v>
      </c>
      <c r="D672" t="inlineStr">
        <is>
          <t>VÄSTERNORRLANDS LÄN</t>
        </is>
      </c>
      <c r="E672" t="inlineStr">
        <is>
          <t>SOLLEFTEÅ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5034-2024</t>
        </is>
      </c>
      <c r="B673" s="1" t="n">
        <v>45329.86893518519</v>
      </c>
      <c r="C673" s="1" t="n">
        <v>45899</v>
      </c>
      <c r="D673" t="inlineStr">
        <is>
          <t>VÄSTERNORRLANDS LÄN</t>
        </is>
      </c>
      <c r="E673" t="inlineStr">
        <is>
          <t>SOLLEFTEÅ</t>
        </is>
      </c>
      <c r="F673" t="inlineStr">
        <is>
          <t>Övriga Aktiebolag</t>
        </is>
      </c>
      <c r="G673" t="n">
        <v>0.9</v>
      </c>
      <c r="H673" t="n">
        <v>0</v>
      </c>
      <c r="I673" t="n">
        <v>0</v>
      </c>
      <c r="J673" t="n">
        <v>0</v>
      </c>
      <c r="K673" t="n">
        <v>0</v>
      </c>
      <c r="L673" t="n">
        <v>0</v>
      </c>
      <c r="M673" t="n">
        <v>0</v>
      </c>
      <c r="N673" t="n">
        <v>0</v>
      </c>
      <c r="O673" t="n">
        <v>0</v>
      </c>
      <c r="P673" t="n">
        <v>0</v>
      </c>
      <c r="Q673" t="n">
        <v>0</v>
      </c>
      <c r="R673" s="2" t="inlineStr"/>
    </row>
    <row r="674" ht="15" customHeight="1">
      <c r="A674" t="inlineStr">
        <is>
          <t>A 18456-2023</t>
        </is>
      </c>
      <c r="B674" s="1" t="n">
        <v>45041</v>
      </c>
      <c r="C674" s="1" t="n">
        <v>45899</v>
      </c>
      <c r="D674" t="inlineStr">
        <is>
          <t>VÄSTERNORRLANDS LÄN</t>
        </is>
      </c>
      <c r="E674" t="inlineStr">
        <is>
          <t>SOLLEFTEÅ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55149-2024</t>
        </is>
      </c>
      <c r="B675" s="1" t="n">
        <v>45621.49055555555</v>
      </c>
      <c r="C675" s="1" t="n">
        <v>45899</v>
      </c>
      <c r="D675" t="inlineStr">
        <is>
          <t>VÄSTERNORRLANDS LÄN</t>
        </is>
      </c>
      <c r="E675" t="inlineStr">
        <is>
          <t>SOLLEFTEÅ</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16238-2024</t>
        </is>
      </c>
      <c r="B676" s="1" t="n">
        <v>45407.05692129629</v>
      </c>
      <c r="C676" s="1" t="n">
        <v>45899</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5254-2024</t>
        </is>
      </c>
      <c r="B677" s="1" t="n">
        <v>45330</v>
      </c>
      <c r="C677" s="1" t="n">
        <v>45899</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43512-2023</t>
        </is>
      </c>
      <c r="B678" s="1" t="n">
        <v>45181</v>
      </c>
      <c r="C678" s="1" t="n">
        <v>45899</v>
      </c>
      <c r="D678" t="inlineStr">
        <is>
          <t>VÄSTERNORRLANDS LÄN</t>
        </is>
      </c>
      <c r="E678" t="inlineStr">
        <is>
          <t>SOLLEFTEÅ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49036-2023</t>
        </is>
      </c>
      <c r="B679" s="1" t="n">
        <v>45209.95693287037</v>
      </c>
      <c r="C679" s="1" t="n">
        <v>45899</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16237-2024</t>
        </is>
      </c>
      <c r="B680" s="1" t="n">
        <v>45407.05681712963</v>
      </c>
      <c r="C680" s="1" t="n">
        <v>45899</v>
      </c>
      <c r="D680" t="inlineStr">
        <is>
          <t>VÄSTERNORRLANDS LÄN</t>
        </is>
      </c>
      <c r="E680" t="inlineStr">
        <is>
          <t>SOLLEFTEÅ</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16239-2024</t>
        </is>
      </c>
      <c r="B681" s="1" t="n">
        <v>45407.05703703704</v>
      </c>
      <c r="C681" s="1" t="n">
        <v>45899</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6816-2024</t>
        </is>
      </c>
      <c r="B682" s="1" t="n">
        <v>45342</v>
      </c>
      <c r="C682" s="1" t="n">
        <v>45899</v>
      </c>
      <c r="D682" t="inlineStr">
        <is>
          <t>VÄSTERNORRLANDS LÄN</t>
        </is>
      </c>
      <c r="E682" t="inlineStr">
        <is>
          <t>SOLLEFTEÅ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54045-2023</t>
        </is>
      </c>
      <c r="B683" s="1" t="n">
        <v>45231.96743055555</v>
      </c>
      <c r="C683" s="1" t="n">
        <v>45899</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23286-2023</t>
        </is>
      </c>
      <c r="B684" s="1" t="n">
        <v>45075</v>
      </c>
      <c r="C684" s="1" t="n">
        <v>45899</v>
      </c>
      <c r="D684" t="inlineStr">
        <is>
          <t>VÄSTERNORRLANDS LÄN</t>
        </is>
      </c>
      <c r="E684" t="inlineStr">
        <is>
          <t>SOLLEFTEÅ</t>
        </is>
      </c>
      <c r="G684" t="n">
        <v>0.1</v>
      </c>
      <c r="H684" t="n">
        <v>0</v>
      </c>
      <c r="I684" t="n">
        <v>0</v>
      </c>
      <c r="J684" t="n">
        <v>0</v>
      </c>
      <c r="K684" t="n">
        <v>0</v>
      </c>
      <c r="L684" t="n">
        <v>0</v>
      </c>
      <c r="M684" t="n">
        <v>0</v>
      </c>
      <c r="N684" t="n">
        <v>0</v>
      </c>
      <c r="O684" t="n">
        <v>0</v>
      </c>
      <c r="P684" t="n">
        <v>0</v>
      </c>
      <c r="Q684" t="n">
        <v>0</v>
      </c>
      <c r="R684" s="2" t="inlineStr"/>
    </row>
    <row r="685" ht="15" customHeight="1">
      <c r="A685" t="inlineStr">
        <is>
          <t>A 23288-2023</t>
        </is>
      </c>
      <c r="B685" s="1" t="n">
        <v>45075</v>
      </c>
      <c r="C685" s="1" t="n">
        <v>45899</v>
      </c>
      <c r="D685" t="inlineStr">
        <is>
          <t>VÄSTERNORRLANDS LÄN</t>
        </is>
      </c>
      <c r="E685" t="inlineStr">
        <is>
          <t>SOLLEFTEÅ</t>
        </is>
      </c>
      <c r="G685" t="n">
        <v>0.4</v>
      </c>
      <c r="H685" t="n">
        <v>0</v>
      </c>
      <c r="I685" t="n">
        <v>0</v>
      </c>
      <c r="J685" t="n">
        <v>0</v>
      </c>
      <c r="K685" t="n">
        <v>0</v>
      </c>
      <c r="L685" t="n">
        <v>0</v>
      </c>
      <c r="M685" t="n">
        <v>0</v>
      </c>
      <c r="N685" t="n">
        <v>0</v>
      </c>
      <c r="O685" t="n">
        <v>0</v>
      </c>
      <c r="P685" t="n">
        <v>0</v>
      </c>
      <c r="Q685" t="n">
        <v>0</v>
      </c>
      <c r="R685" s="2" t="inlineStr"/>
    </row>
    <row r="686" ht="15" customHeight="1">
      <c r="A686" t="inlineStr">
        <is>
          <t>A 23289-2023</t>
        </is>
      </c>
      <c r="B686" s="1" t="n">
        <v>45075</v>
      </c>
      <c r="C686" s="1" t="n">
        <v>45899</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43487-2023</t>
        </is>
      </c>
      <c r="B687" s="1" t="n">
        <v>45181</v>
      </c>
      <c r="C687" s="1" t="n">
        <v>45899</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9328-2024</t>
        </is>
      </c>
      <c r="B688" s="1" t="n">
        <v>45358.99144675926</v>
      </c>
      <c r="C688" s="1" t="n">
        <v>45899</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8105-2025</t>
        </is>
      </c>
      <c r="B689" s="1" t="n">
        <v>45707.6990625</v>
      </c>
      <c r="C689" s="1" t="n">
        <v>45899</v>
      </c>
      <c r="D689" t="inlineStr">
        <is>
          <t>VÄSTERNORRLANDS LÄN</t>
        </is>
      </c>
      <c r="E689" t="inlineStr">
        <is>
          <t>SOLLEFTEÅ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52267-2023</t>
        </is>
      </c>
      <c r="B690" s="1" t="n">
        <v>45217</v>
      </c>
      <c r="C690" s="1" t="n">
        <v>45899</v>
      </c>
      <c r="D690" t="inlineStr">
        <is>
          <t>VÄSTERNORRLANDS LÄN</t>
        </is>
      </c>
      <c r="E690" t="inlineStr">
        <is>
          <t>SOLLEFTEÅ</t>
        </is>
      </c>
      <c r="G690" t="n">
        <v>6.2</v>
      </c>
      <c r="H690" t="n">
        <v>0</v>
      </c>
      <c r="I690" t="n">
        <v>0</v>
      </c>
      <c r="J690" t="n">
        <v>0</v>
      </c>
      <c r="K690" t="n">
        <v>0</v>
      </c>
      <c r="L690" t="n">
        <v>0</v>
      </c>
      <c r="M690" t="n">
        <v>0</v>
      </c>
      <c r="N690" t="n">
        <v>0</v>
      </c>
      <c r="O690" t="n">
        <v>0</v>
      </c>
      <c r="P690" t="n">
        <v>0</v>
      </c>
      <c r="Q690" t="n">
        <v>0</v>
      </c>
      <c r="R690" s="2" t="inlineStr"/>
    </row>
    <row r="691" ht="15" customHeight="1">
      <c r="A691" t="inlineStr">
        <is>
          <t>A 18459-2021</t>
        </is>
      </c>
      <c r="B691" s="1" t="n">
        <v>44305.93701388889</v>
      </c>
      <c r="C691" s="1" t="n">
        <v>45899</v>
      </c>
      <c r="D691" t="inlineStr">
        <is>
          <t>VÄSTERNORRLANDS LÄN</t>
        </is>
      </c>
      <c r="E691" t="inlineStr">
        <is>
          <t>SOLLEFTEÅ</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7003-2025</t>
        </is>
      </c>
      <c r="B692" s="1" t="n">
        <v>45701</v>
      </c>
      <c r="C692" s="1" t="n">
        <v>45899</v>
      </c>
      <c r="D692" t="inlineStr">
        <is>
          <t>VÄSTERNORRLANDS LÄN</t>
        </is>
      </c>
      <c r="E692" t="inlineStr">
        <is>
          <t>SOLLEFTEÅ</t>
        </is>
      </c>
      <c r="G692" t="n">
        <v>2.1</v>
      </c>
      <c r="H692" t="n">
        <v>0</v>
      </c>
      <c r="I692" t="n">
        <v>0</v>
      </c>
      <c r="J692" t="n">
        <v>0</v>
      </c>
      <c r="K692" t="n">
        <v>0</v>
      </c>
      <c r="L692" t="n">
        <v>0</v>
      </c>
      <c r="M692" t="n">
        <v>0</v>
      </c>
      <c r="N692" t="n">
        <v>0</v>
      </c>
      <c r="O692" t="n">
        <v>0</v>
      </c>
      <c r="P692" t="n">
        <v>0</v>
      </c>
      <c r="Q692" t="n">
        <v>0</v>
      </c>
      <c r="R692" s="2" t="inlineStr"/>
    </row>
    <row r="693" ht="15" customHeight="1">
      <c r="A693" t="inlineStr">
        <is>
          <t>A 41434-2024</t>
        </is>
      </c>
      <c r="B693" s="1" t="n">
        <v>45560</v>
      </c>
      <c r="C693" s="1" t="n">
        <v>45899</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13150-2025</t>
        </is>
      </c>
      <c r="B694" s="1" t="n">
        <v>45735.34439814815</v>
      </c>
      <c r="C694" s="1" t="n">
        <v>45899</v>
      </c>
      <c r="D694" t="inlineStr">
        <is>
          <t>VÄSTERNORRLANDS LÄN</t>
        </is>
      </c>
      <c r="E694" t="inlineStr">
        <is>
          <t>SOLLEFTEÅ</t>
        </is>
      </c>
      <c r="F694" t="inlineStr">
        <is>
          <t>SCA</t>
        </is>
      </c>
      <c r="G694" t="n">
        <v>8.1</v>
      </c>
      <c r="H694" t="n">
        <v>0</v>
      </c>
      <c r="I694" t="n">
        <v>0</v>
      </c>
      <c r="J694" t="n">
        <v>0</v>
      </c>
      <c r="K694" t="n">
        <v>0</v>
      </c>
      <c r="L694" t="n">
        <v>0</v>
      </c>
      <c r="M694" t="n">
        <v>0</v>
      </c>
      <c r="N694" t="n">
        <v>0</v>
      </c>
      <c r="O694" t="n">
        <v>0</v>
      </c>
      <c r="P694" t="n">
        <v>0</v>
      </c>
      <c r="Q694" t="n">
        <v>0</v>
      </c>
      <c r="R694" s="2" t="inlineStr"/>
    </row>
    <row r="695" ht="15" customHeight="1">
      <c r="A695" t="inlineStr">
        <is>
          <t>A 5874-2024</t>
        </is>
      </c>
      <c r="B695" s="1" t="n">
        <v>45335.6615625</v>
      </c>
      <c r="C695" s="1" t="n">
        <v>45899</v>
      </c>
      <c r="D695" t="inlineStr">
        <is>
          <t>VÄSTERNORRLANDS LÄN</t>
        </is>
      </c>
      <c r="E695" t="inlineStr">
        <is>
          <t>SOLLEFTEÅ</t>
        </is>
      </c>
      <c r="F695" t="inlineStr">
        <is>
          <t>Övriga Aktiebolag</t>
        </is>
      </c>
      <c r="G695" t="n">
        <v>5.3</v>
      </c>
      <c r="H695" t="n">
        <v>0</v>
      </c>
      <c r="I695" t="n">
        <v>0</v>
      </c>
      <c r="J695" t="n">
        <v>0</v>
      </c>
      <c r="K695" t="n">
        <v>0</v>
      </c>
      <c r="L695" t="n">
        <v>0</v>
      </c>
      <c r="M695" t="n">
        <v>0</v>
      </c>
      <c r="N695" t="n">
        <v>0</v>
      </c>
      <c r="O695" t="n">
        <v>0</v>
      </c>
      <c r="P695" t="n">
        <v>0</v>
      </c>
      <c r="Q695" t="n">
        <v>0</v>
      </c>
      <c r="R695" s="2" t="inlineStr"/>
    </row>
    <row r="696" ht="15" customHeight="1">
      <c r="A696" t="inlineStr">
        <is>
          <t>A 8476-2025</t>
        </is>
      </c>
      <c r="B696" s="1" t="n">
        <v>45709.47894675926</v>
      </c>
      <c r="C696" s="1" t="n">
        <v>45899</v>
      </c>
      <c r="D696" t="inlineStr">
        <is>
          <t>VÄSTERNORRLANDS LÄN</t>
        </is>
      </c>
      <c r="E696" t="inlineStr">
        <is>
          <t>SOLLEFTEÅ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42663-2022</t>
        </is>
      </c>
      <c r="B697" s="1" t="n">
        <v>44831</v>
      </c>
      <c r="C697" s="1" t="n">
        <v>45899</v>
      </c>
      <c r="D697" t="inlineStr">
        <is>
          <t>VÄSTERNORRLANDS LÄN</t>
        </is>
      </c>
      <c r="E697" t="inlineStr">
        <is>
          <t>SOLLEFTEÅ</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31914-2023</t>
        </is>
      </c>
      <c r="B698" s="1" t="n">
        <v>45118</v>
      </c>
      <c r="C698" s="1" t="n">
        <v>45899</v>
      </c>
      <c r="D698" t="inlineStr">
        <is>
          <t>VÄSTERNORRLANDS LÄN</t>
        </is>
      </c>
      <c r="E698" t="inlineStr">
        <is>
          <t>SOLLEFTEÅ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16253-2024</t>
        </is>
      </c>
      <c r="B699" s="1" t="n">
        <v>45407.0587962963</v>
      </c>
      <c r="C699" s="1" t="n">
        <v>45899</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6474-2023</t>
        </is>
      </c>
      <c r="B700" s="1" t="n">
        <v>44965.94128472222</v>
      </c>
      <c r="C700" s="1" t="n">
        <v>45899</v>
      </c>
      <c r="D700" t="inlineStr">
        <is>
          <t>VÄSTERNORRLANDS LÄN</t>
        </is>
      </c>
      <c r="E700" t="inlineStr">
        <is>
          <t>SOLLEFTEÅ</t>
        </is>
      </c>
      <c r="F700" t="inlineStr">
        <is>
          <t>SCA</t>
        </is>
      </c>
      <c r="G700" t="n">
        <v>47.3</v>
      </c>
      <c r="H700" t="n">
        <v>0</v>
      </c>
      <c r="I700" t="n">
        <v>0</v>
      </c>
      <c r="J700" t="n">
        <v>0</v>
      </c>
      <c r="K700" t="n">
        <v>0</v>
      </c>
      <c r="L700" t="n">
        <v>0</v>
      </c>
      <c r="M700" t="n">
        <v>0</v>
      </c>
      <c r="N700" t="n">
        <v>0</v>
      </c>
      <c r="O700" t="n">
        <v>0</v>
      </c>
      <c r="P700" t="n">
        <v>0</v>
      </c>
      <c r="Q700" t="n">
        <v>0</v>
      </c>
      <c r="R700" s="2" t="inlineStr"/>
    </row>
    <row r="701" ht="15" customHeight="1">
      <c r="A701" t="inlineStr">
        <is>
          <t>A 3319-2025</t>
        </is>
      </c>
      <c r="B701" s="1" t="n">
        <v>45679</v>
      </c>
      <c r="C701" s="1" t="n">
        <v>45899</v>
      </c>
      <c r="D701" t="inlineStr">
        <is>
          <t>VÄSTERNORRLANDS LÄN</t>
        </is>
      </c>
      <c r="E701" t="inlineStr">
        <is>
          <t>SOLLEFTEÅ</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8652-2024</t>
        </is>
      </c>
      <c r="B702" s="1" t="n">
        <v>45356</v>
      </c>
      <c r="C702" s="1" t="n">
        <v>45899</v>
      </c>
      <c r="D702" t="inlineStr">
        <is>
          <t>VÄSTERNORRLANDS LÄN</t>
        </is>
      </c>
      <c r="E702" t="inlineStr">
        <is>
          <t>SOLLEFTEÅ</t>
        </is>
      </c>
      <c r="F702" t="inlineStr">
        <is>
          <t>SCA</t>
        </is>
      </c>
      <c r="G702" t="n">
        <v>38.6</v>
      </c>
      <c r="H702" t="n">
        <v>0</v>
      </c>
      <c r="I702" t="n">
        <v>0</v>
      </c>
      <c r="J702" t="n">
        <v>0</v>
      </c>
      <c r="K702" t="n">
        <v>0</v>
      </c>
      <c r="L702" t="n">
        <v>0</v>
      </c>
      <c r="M702" t="n">
        <v>0</v>
      </c>
      <c r="N702" t="n">
        <v>0</v>
      </c>
      <c r="O702" t="n">
        <v>0</v>
      </c>
      <c r="P702" t="n">
        <v>0</v>
      </c>
      <c r="Q702" t="n">
        <v>0</v>
      </c>
      <c r="R702" s="2" t="inlineStr"/>
    </row>
    <row r="703" ht="15" customHeight="1">
      <c r="A703" t="inlineStr">
        <is>
          <t>A 49673-2024</t>
        </is>
      </c>
      <c r="B703" s="1" t="n">
        <v>45596.65657407408</v>
      </c>
      <c r="C703" s="1" t="n">
        <v>45899</v>
      </c>
      <c r="D703" t="inlineStr">
        <is>
          <t>VÄSTERNORRLANDS LÄN</t>
        </is>
      </c>
      <c r="E703" t="inlineStr">
        <is>
          <t>SOLLEFTEÅ</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50615-2023</t>
        </is>
      </c>
      <c r="B704" s="1" t="n">
        <v>45217</v>
      </c>
      <c r="C704" s="1" t="n">
        <v>45899</v>
      </c>
      <c r="D704" t="inlineStr">
        <is>
          <t>VÄSTERNORRLANDS LÄN</t>
        </is>
      </c>
      <c r="E704" t="inlineStr">
        <is>
          <t>SOLLEFTEÅ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25314-2023</t>
        </is>
      </c>
      <c r="B705" s="1" t="n">
        <v>45086</v>
      </c>
      <c r="C705" s="1" t="n">
        <v>45899</v>
      </c>
      <c r="D705" t="inlineStr">
        <is>
          <t>VÄSTERNORRLANDS LÄN</t>
        </is>
      </c>
      <c r="E705" t="inlineStr">
        <is>
          <t>SOLLEFTEÅ</t>
        </is>
      </c>
      <c r="G705" t="n">
        <v>3.2</v>
      </c>
      <c r="H705" t="n">
        <v>0</v>
      </c>
      <c r="I705" t="n">
        <v>0</v>
      </c>
      <c r="J705" t="n">
        <v>0</v>
      </c>
      <c r="K705" t="n">
        <v>0</v>
      </c>
      <c r="L705" t="n">
        <v>0</v>
      </c>
      <c r="M705" t="n">
        <v>0</v>
      </c>
      <c r="N705" t="n">
        <v>0</v>
      </c>
      <c r="O705" t="n">
        <v>0</v>
      </c>
      <c r="P705" t="n">
        <v>0</v>
      </c>
      <c r="Q705" t="n">
        <v>0</v>
      </c>
      <c r="R705" s="2" t="inlineStr"/>
    </row>
    <row r="706" ht="15" customHeight="1">
      <c r="A706" t="inlineStr">
        <is>
          <t>A 12683-2025</t>
        </is>
      </c>
      <c r="B706" s="1" t="n">
        <v>45733.44483796296</v>
      </c>
      <c r="C706" s="1" t="n">
        <v>45899</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51681-2023</t>
        </is>
      </c>
      <c r="B707" s="1" t="n">
        <v>45215</v>
      </c>
      <c r="C707" s="1" t="n">
        <v>45899</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61081-2023</t>
        </is>
      </c>
      <c r="B708" s="1" t="n">
        <v>45261</v>
      </c>
      <c r="C708" s="1" t="n">
        <v>45899</v>
      </c>
      <c r="D708" t="inlineStr">
        <is>
          <t>VÄSTERNORRLANDS LÄN</t>
        </is>
      </c>
      <c r="E708" t="inlineStr">
        <is>
          <t>SOLLEFTEÅ</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11539-2024</t>
        </is>
      </c>
      <c r="B709" s="1" t="n">
        <v>45372.9560300926</v>
      </c>
      <c r="C709" s="1" t="n">
        <v>45899</v>
      </c>
      <c r="D709" t="inlineStr">
        <is>
          <t>VÄSTERNORRLANDS LÄN</t>
        </is>
      </c>
      <c r="E709" t="inlineStr">
        <is>
          <t>SOLLEFTEÅ</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9831-2024</t>
        </is>
      </c>
      <c r="B710" s="1" t="n">
        <v>45363.04699074074</v>
      </c>
      <c r="C710" s="1" t="n">
        <v>45899</v>
      </c>
      <c r="D710" t="inlineStr">
        <is>
          <t>VÄSTERNORRLANDS LÄN</t>
        </is>
      </c>
      <c r="E710" t="inlineStr">
        <is>
          <t>SOLLEFTEÅ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61845-2024</t>
        </is>
      </c>
      <c r="B711" s="1" t="n">
        <v>45646</v>
      </c>
      <c r="C711" s="1" t="n">
        <v>45899</v>
      </c>
      <c r="D711" t="inlineStr">
        <is>
          <t>VÄSTERNORRLANDS LÄN</t>
        </is>
      </c>
      <c r="E711" t="inlineStr">
        <is>
          <t>SOLLEFTEÅ</t>
        </is>
      </c>
      <c r="G711" t="n">
        <v>9.4</v>
      </c>
      <c r="H711" t="n">
        <v>0</v>
      </c>
      <c r="I711" t="n">
        <v>0</v>
      </c>
      <c r="J711" t="n">
        <v>0</v>
      </c>
      <c r="K711" t="n">
        <v>0</v>
      </c>
      <c r="L711" t="n">
        <v>0</v>
      </c>
      <c r="M711" t="n">
        <v>0</v>
      </c>
      <c r="N711" t="n">
        <v>0</v>
      </c>
      <c r="O711" t="n">
        <v>0</v>
      </c>
      <c r="P711" t="n">
        <v>0</v>
      </c>
      <c r="Q711" t="n">
        <v>0</v>
      </c>
      <c r="R711" s="2" t="inlineStr"/>
    </row>
    <row r="712" ht="15" customHeight="1">
      <c r="A712" t="inlineStr">
        <is>
          <t>A 61849-2024</t>
        </is>
      </c>
      <c r="B712" s="1" t="n">
        <v>45646</v>
      </c>
      <c r="C712" s="1" t="n">
        <v>45899</v>
      </c>
      <c r="D712" t="inlineStr">
        <is>
          <t>VÄSTERNORRLANDS LÄN</t>
        </is>
      </c>
      <c r="E712" t="inlineStr">
        <is>
          <t>SOLLEFTEÅ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53939-2023</t>
        </is>
      </c>
      <c r="B713" s="1" t="n">
        <v>45224</v>
      </c>
      <c r="C713" s="1" t="n">
        <v>45899</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13860-2025</t>
        </is>
      </c>
      <c r="B714" s="1" t="n">
        <v>45737.57387731481</v>
      </c>
      <c r="C714" s="1" t="n">
        <v>45899</v>
      </c>
      <c r="D714" t="inlineStr">
        <is>
          <t>VÄSTERNORRLANDS LÄN</t>
        </is>
      </c>
      <c r="E714" t="inlineStr">
        <is>
          <t>SOLLEFTEÅ</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50844-2023</t>
        </is>
      </c>
      <c r="B715" s="1" t="n">
        <v>45217</v>
      </c>
      <c r="C715" s="1" t="n">
        <v>45899</v>
      </c>
      <c r="D715" t="inlineStr">
        <is>
          <t>VÄSTERNORRLANDS LÄN</t>
        </is>
      </c>
      <c r="E715" t="inlineStr">
        <is>
          <t>SOLLEFTEÅ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17664-2023</t>
        </is>
      </c>
      <c r="B716" s="1" t="n">
        <v>45036.94416666667</v>
      </c>
      <c r="C716" s="1" t="n">
        <v>45899</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52471-2024</t>
        </is>
      </c>
      <c r="B717" s="1" t="n">
        <v>45609.53076388889</v>
      </c>
      <c r="C717" s="1" t="n">
        <v>45899</v>
      </c>
      <c r="D717" t="inlineStr">
        <is>
          <t>VÄSTERNORRLANDS LÄN</t>
        </is>
      </c>
      <c r="E717" t="inlineStr">
        <is>
          <t>SOLLEFTEÅ</t>
        </is>
      </c>
      <c r="G717" t="n">
        <v>6.6</v>
      </c>
      <c r="H717" t="n">
        <v>0</v>
      </c>
      <c r="I717" t="n">
        <v>0</v>
      </c>
      <c r="J717" t="n">
        <v>0</v>
      </c>
      <c r="K717" t="n">
        <v>0</v>
      </c>
      <c r="L717" t="n">
        <v>0</v>
      </c>
      <c r="M717" t="n">
        <v>0</v>
      </c>
      <c r="N717" t="n">
        <v>0</v>
      </c>
      <c r="O717" t="n">
        <v>0</v>
      </c>
      <c r="P717" t="n">
        <v>0</v>
      </c>
      <c r="Q717" t="n">
        <v>0</v>
      </c>
      <c r="R717" s="2" t="inlineStr"/>
    </row>
    <row r="718" ht="15" customHeight="1">
      <c r="A718" t="inlineStr">
        <is>
          <t>A 14353-2025</t>
        </is>
      </c>
      <c r="B718" s="1" t="n">
        <v>45741.36502314815</v>
      </c>
      <c r="C718" s="1" t="n">
        <v>45899</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2580-2025</t>
        </is>
      </c>
      <c r="B719" s="1" t="n">
        <v>45674</v>
      </c>
      <c r="C719" s="1" t="n">
        <v>45899</v>
      </c>
      <c r="D719" t="inlineStr">
        <is>
          <t>VÄSTERNORRLANDS LÄN</t>
        </is>
      </c>
      <c r="E719" t="inlineStr">
        <is>
          <t>SOLLEFTEÅ</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47827-2020</t>
        </is>
      </c>
      <c r="B720" s="1" t="n">
        <v>44098</v>
      </c>
      <c r="C720" s="1" t="n">
        <v>45899</v>
      </c>
      <c r="D720" t="inlineStr">
        <is>
          <t>VÄSTERNORRLANDS LÄN</t>
        </is>
      </c>
      <c r="E720" t="inlineStr">
        <is>
          <t>SOLLEFTEÅ</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4935-2025</t>
        </is>
      </c>
      <c r="B721" s="1" t="n">
        <v>45688.68496527777</v>
      </c>
      <c r="C721" s="1" t="n">
        <v>45899</v>
      </c>
      <c r="D721" t="inlineStr">
        <is>
          <t>VÄSTERNORRLANDS LÄN</t>
        </is>
      </c>
      <c r="E721" t="inlineStr">
        <is>
          <t>SOLLEFTEÅ</t>
        </is>
      </c>
      <c r="G721" t="n">
        <v>6.5</v>
      </c>
      <c r="H721" t="n">
        <v>0</v>
      </c>
      <c r="I721" t="n">
        <v>0</v>
      </c>
      <c r="J721" t="n">
        <v>0</v>
      </c>
      <c r="K721" t="n">
        <v>0</v>
      </c>
      <c r="L721" t="n">
        <v>0</v>
      </c>
      <c r="M721" t="n">
        <v>0</v>
      </c>
      <c r="N721" t="n">
        <v>0</v>
      </c>
      <c r="O721" t="n">
        <v>0</v>
      </c>
      <c r="P721" t="n">
        <v>0</v>
      </c>
      <c r="Q721" t="n">
        <v>0</v>
      </c>
      <c r="R721" s="2" t="inlineStr"/>
    </row>
    <row r="722" ht="15" customHeight="1">
      <c r="A722" t="inlineStr">
        <is>
          <t>A 18882-2021</t>
        </is>
      </c>
      <c r="B722" s="1" t="n">
        <v>44307.93505787037</v>
      </c>
      <c r="C722" s="1" t="n">
        <v>45899</v>
      </c>
      <c r="D722" t="inlineStr">
        <is>
          <t>VÄSTERNORRLANDS LÄN</t>
        </is>
      </c>
      <c r="E722" t="inlineStr">
        <is>
          <t>SOLLEFTEÅ</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15273-2025</t>
        </is>
      </c>
      <c r="B723" s="1" t="n">
        <v>45744.67740740741</v>
      </c>
      <c r="C723" s="1" t="n">
        <v>45899</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14094-2025</t>
        </is>
      </c>
      <c r="B724" s="1" t="n">
        <v>45740.44827546296</v>
      </c>
      <c r="C724" s="1" t="n">
        <v>45899</v>
      </c>
      <c r="D724" t="inlineStr">
        <is>
          <t>VÄSTERNORRLANDS LÄN</t>
        </is>
      </c>
      <c r="E724" t="inlineStr">
        <is>
          <t>SOLLEFTEÅ</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14096-2025</t>
        </is>
      </c>
      <c r="B725" s="1" t="n">
        <v>45740.44858796296</v>
      </c>
      <c r="C725" s="1" t="n">
        <v>45899</v>
      </c>
      <c r="D725" t="inlineStr">
        <is>
          <t>VÄSTERNORRLANDS LÄN</t>
        </is>
      </c>
      <c r="E725" t="inlineStr">
        <is>
          <t>SOLLEFTEÅ</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9608-2025</t>
        </is>
      </c>
      <c r="B726" s="1" t="n">
        <v>45715.65699074074</v>
      </c>
      <c r="C726" s="1" t="n">
        <v>45899</v>
      </c>
      <c r="D726" t="inlineStr">
        <is>
          <t>VÄSTERNORRLANDS LÄN</t>
        </is>
      </c>
      <c r="E726" t="inlineStr">
        <is>
          <t>SOLLEFTEÅ</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18149-2023</t>
        </is>
      </c>
      <c r="B727" s="1" t="n">
        <v>45040</v>
      </c>
      <c r="C727" s="1" t="n">
        <v>45899</v>
      </c>
      <c r="D727" t="inlineStr">
        <is>
          <t>VÄSTERNORRLANDS LÄN</t>
        </is>
      </c>
      <c r="E727" t="inlineStr">
        <is>
          <t>SOLLEFTEÅ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8414-2024</t>
        </is>
      </c>
      <c r="B728" s="1" t="n">
        <v>45352</v>
      </c>
      <c r="C728" s="1" t="n">
        <v>45899</v>
      </c>
      <c r="D728" t="inlineStr">
        <is>
          <t>VÄSTERNORRLANDS LÄN</t>
        </is>
      </c>
      <c r="E728" t="inlineStr">
        <is>
          <t>SOLLEFTEÅ</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20638-2025</t>
        </is>
      </c>
      <c r="B729" s="1" t="n">
        <v>45776.36480324074</v>
      </c>
      <c r="C729" s="1" t="n">
        <v>45899</v>
      </c>
      <c r="D729" t="inlineStr">
        <is>
          <t>VÄSTERNORRLANDS LÄN</t>
        </is>
      </c>
      <c r="E729" t="inlineStr">
        <is>
          <t>SOLLEFTEÅ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12965-2025</t>
        </is>
      </c>
      <c r="B730" s="1" t="n">
        <v>45734.42753472222</v>
      </c>
      <c r="C730" s="1" t="n">
        <v>45899</v>
      </c>
      <c r="D730" t="inlineStr">
        <is>
          <t>VÄSTERNORRLANDS LÄN</t>
        </is>
      </c>
      <c r="E730" t="inlineStr">
        <is>
          <t>SOLLEFTEÅ</t>
        </is>
      </c>
      <c r="G730" t="n">
        <v>5.7</v>
      </c>
      <c r="H730" t="n">
        <v>0</v>
      </c>
      <c r="I730" t="n">
        <v>0</v>
      </c>
      <c r="J730" t="n">
        <v>0</v>
      </c>
      <c r="K730" t="n">
        <v>0</v>
      </c>
      <c r="L730" t="n">
        <v>0</v>
      </c>
      <c r="M730" t="n">
        <v>0</v>
      </c>
      <c r="N730" t="n">
        <v>0</v>
      </c>
      <c r="O730" t="n">
        <v>0</v>
      </c>
      <c r="P730" t="n">
        <v>0</v>
      </c>
      <c r="Q730" t="n">
        <v>0</v>
      </c>
      <c r="R730" s="2" t="inlineStr"/>
    </row>
    <row r="731" ht="15" customHeight="1">
      <c r="A731" t="inlineStr">
        <is>
          <t>A 20725-2025</t>
        </is>
      </c>
      <c r="B731" s="1" t="n">
        <v>45776.51074074074</v>
      </c>
      <c r="C731" s="1" t="n">
        <v>45899</v>
      </c>
      <c r="D731" t="inlineStr">
        <is>
          <t>VÄSTERNORRLANDS LÄN</t>
        </is>
      </c>
      <c r="E731" t="inlineStr">
        <is>
          <t>SOLLEFTEÅ</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21031-2024</t>
        </is>
      </c>
      <c r="B732" s="1" t="n">
        <v>45439</v>
      </c>
      <c r="C732" s="1" t="n">
        <v>45899</v>
      </c>
      <c r="D732" t="inlineStr">
        <is>
          <t>VÄSTERNORRLANDS LÄN</t>
        </is>
      </c>
      <c r="E732" t="inlineStr">
        <is>
          <t>SOLLEFTEÅ</t>
        </is>
      </c>
      <c r="F732" t="inlineStr">
        <is>
          <t>Holmen skog AB</t>
        </is>
      </c>
      <c r="G732" t="n">
        <v>1.9</v>
      </c>
      <c r="H732" t="n">
        <v>0</v>
      </c>
      <c r="I732" t="n">
        <v>0</v>
      </c>
      <c r="J732" t="n">
        <v>0</v>
      </c>
      <c r="K732" t="n">
        <v>0</v>
      </c>
      <c r="L732" t="n">
        <v>0</v>
      </c>
      <c r="M732" t="n">
        <v>0</v>
      </c>
      <c r="N732" t="n">
        <v>0</v>
      </c>
      <c r="O732" t="n">
        <v>0</v>
      </c>
      <c r="P732" t="n">
        <v>0</v>
      </c>
      <c r="Q732" t="n">
        <v>0</v>
      </c>
      <c r="R732" s="2" t="inlineStr"/>
    </row>
    <row r="733" ht="15" customHeight="1">
      <c r="A733" t="inlineStr">
        <is>
          <t>A 19652-2025</t>
        </is>
      </c>
      <c r="B733" s="1" t="n">
        <v>45770</v>
      </c>
      <c r="C733" s="1" t="n">
        <v>45899</v>
      </c>
      <c r="D733" t="inlineStr">
        <is>
          <t>VÄSTERNORRLANDS LÄN</t>
        </is>
      </c>
      <c r="E733" t="inlineStr">
        <is>
          <t>SOLLEFTEÅ</t>
        </is>
      </c>
      <c r="G733" t="n">
        <v>6.8</v>
      </c>
      <c r="H733" t="n">
        <v>0</v>
      </c>
      <c r="I733" t="n">
        <v>0</v>
      </c>
      <c r="J733" t="n">
        <v>0</v>
      </c>
      <c r="K733" t="n">
        <v>0</v>
      </c>
      <c r="L733" t="n">
        <v>0</v>
      </c>
      <c r="M733" t="n">
        <v>0</v>
      </c>
      <c r="N733" t="n">
        <v>0</v>
      </c>
      <c r="O733" t="n">
        <v>0</v>
      </c>
      <c r="P733" t="n">
        <v>0</v>
      </c>
      <c r="Q733" t="n">
        <v>0</v>
      </c>
      <c r="R733" s="2" t="inlineStr"/>
    </row>
    <row r="734" ht="15" customHeight="1">
      <c r="A734" t="inlineStr">
        <is>
          <t>A 19749-2025</t>
        </is>
      </c>
      <c r="B734" s="1" t="n">
        <v>45771.38582175926</v>
      </c>
      <c r="C734" s="1" t="n">
        <v>45899</v>
      </c>
      <c r="D734" t="inlineStr">
        <is>
          <t>VÄSTERNORRLANDS LÄN</t>
        </is>
      </c>
      <c r="E734" t="inlineStr">
        <is>
          <t>SOLLEFTEÅ</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14975-2024</t>
        </is>
      </c>
      <c r="B735" s="1" t="n">
        <v>45398.94100694444</v>
      </c>
      <c r="C735" s="1" t="n">
        <v>45899</v>
      </c>
      <c r="D735" t="inlineStr">
        <is>
          <t>VÄSTERNORRLANDS LÄN</t>
        </is>
      </c>
      <c r="E735" t="inlineStr">
        <is>
          <t>SOLLEFTEÅ</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14983-2024</t>
        </is>
      </c>
      <c r="B736" s="1" t="n">
        <v>45398.94237268518</v>
      </c>
      <c r="C736" s="1" t="n">
        <v>45899</v>
      </c>
      <c r="D736" t="inlineStr">
        <is>
          <t>VÄSTERNORRLANDS LÄN</t>
        </is>
      </c>
      <c r="E736" t="inlineStr">
        <is>
          <t>SOLLEFTEÅ</t>
        </is>
      </c>
      <c r="F736" t="inlineStr">
        <is>
          <t>SCA</t>
        </is>
      </c>
      <c r="G736" t="n">
        <v>6.7</v>
      </c>
      <c r="H736" t="n">
        <v>0</v>
      </c>
      <c r="I736" t="n">
        <v>0</v>
      </c>
      <c r="J736" t="n">
        <v>0</v>
      </c>
      <c r="K736" t="n">
        <v>0</v>
      </c>
      <c r="L736" t="n">
        <v>0</v>
      </c>
      <c r="M736" t="n">
        <v>0</v>
      </c>
      <c r="N736" t="n">
        <v>0</v>
      </c>
      <c r="O736" t="n">
        <v>0</v>
      </c>
      <c r="P736" t="n">
        <v>0</v>
      </c>
      <c r="Q736" t="n">
        <v>0</v>
      </c>
      <c r="R736" s="2" t="inlineStr"/>
    </row>
    <row r="737" ht="15" customHeight="1">
      <c r="A737" t="inlineStr">
        <is>
          <t>A 20793-2025</t>
        </is>
      </c>
      <c r="B737" s="1" t="n">
        <v>45776</v>
      </c>
      <c r="C737" s="1" t="n">
        <v>45899</v>
      </c>
      <c r="D737" t="inlineStr">
        <is>
          <t>VÄSTERNORRLANDS LÄN</t>
        </is>
      </c>
      <c r="E737" t="inlineStr">
        <is>
          <t>SOLLEFTEÅ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62827-2023</t>
        </is>
      </c>
      <c r="B738" s="1" t="n">
        <v>45271.92690972222</v>
      </c>
      <c r="C738" s="1" t="n">
        <v>45899</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5036-2024</t>
        </is>
      </c>
      <c r="B739" s="1" t="n">
        <v>45329.87555555555</v>
      </c>
      <c r="C739" s="1" t="n">
        <v>45899</v>
      </c>
      <c r="D739" t="inlineStr">
        <is>
          <t>VÄSTERNORRLANDS LÄN</t>
        </is>
      </c>
      <c r="E739" t="inlineStr">
        <is>
          <t>SOLLEFTEÅ</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59583-2023</t>
        </is>
      </c>
      <c r="B740" s="1" t="n">
        <v>45254.60587962963</v>
      </c>
      <c r="C740" s="1" t="n">
        <v>45899</v>
      </c>
      <c r="D740" t="inlineStr">
        <is>
          <t>VÄSTERNORRLANDS LÄN</t>
        </is>
      </c>
      <c r="E740" t="inlineStr">
        <is>
          <t>SOLLEFTEÅ</t>
        </is>
      </c>
      <c r="F740" t="inlineStr">
        <is>
          <t>Holmen skog AB</t>
        </is>
      </c>
      <c r="G740" t="n">
        <v>0.5</v>
      </c>
      <c r="H740" t="n">
        <v>0</v>
      </c>
      <c r="I740" t="n">
        <v>0</v>
      </c>
      <c r="J740" t="n">
        <v>0</v>
      </c>
      <c r="K740" t="n">
        <v>0</v>
      </c>
      <c r="L740" t="n">
        <v>0</v>
      </c>
      <c r="M740" t="n">
        <v>0</v>
      </c>
      <c r="N740" t="n">
        <v>0</v>
      </c>
      <c r="O740" t="n">
        <v>0</v>
      </c>
      <c r="P740" t="n">
        <v>0</v>
      </c>
      <c r="Q740" t="n">
        <v>0</v>
      </c>
      <c r="R740" s="2" t="inlineStr"/>
    </row>
    <row r="741" ht="15" customHeight="1">
      <c r="A741" t="inlineStr">
        <is>
          <t>A 20867-2025</t>
        </is>
      </c>
      <c r="B741" s="1" t="n">
        <v>45777.34471064815</v>
      </c>
      <c r="C741" s="1" t="n">
        <v>45899</v>
      </c>
      <c r="D741" t="inlineStr">
        <is>
          <t>VÄSTERNORRLANDS LÄN</t>
        </is>
      </c>
      <c r="E741" t="inlineStr">
        <is>
          <t>SOLLEFTEÅ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33628-2024</t>
        </is>
      </c>
      <c r="B742" s="1" t="n">
        <v>45520.4302662037</v>
      </c>
      <c r="C742" s="1" t="n">
        <v>45899</v>
      </c>
      <c r="D742" t="inlineStr">
        <is>
          <t>VÄSTERNORRLANDS LÄN</t>
        </is>
      </c>
      <c r="E742" t="inlineStr">
        <is>
          <t>SOLLEFTEÅ</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16726-2024</t>
        </is>
      </c>
      <c r="B743" s="1" t="n">
        <v>45409.98535879629</v>
      </c>
      <c r="C743" s="1" t="n">
        <v>45899</v>
      </c>
      <c r="D743" t="inlineStr">
        <is>
          <t>VÄSTERNORRLANDS LÄN</t>
        </is>
      </c>
      <c r="E743" t="inlineStr">
        <is>
          <t>SOLLEFTEÅ</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21088-2025</t>
        </is>
      </c>
      <c r="B744" s="1" t="n">
        <v>45777.61498842593</v>
      </c>
      <c r="C744" s="1" t="n">
        <v>45899</v>
      </c>
      <c r="D744" t="inlineStr">
        <is>
          <t>VÄSTERNORRLANDS LÄN</t>
        </is>
      </c>
      <c r="E744" t="inlineStr">
        <is>
          <t>SOLLEFTEÅ</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53524-2021</t>
        </is>
      </c>
      <c r="B745" s="1" t="n">
        <v>44468</v>
      </c>
      <c r="C745" s="1" t="n">
        <v>45899</v>
      </c>
      <c r="D745" t="inlineStr">
        <is>
          <t>VÄSTERNORRLANDS LÄN</t>
        </is>
      </c>
      <c r="E745" t="inlineStr">
        <is>
          <t>SOLLEFTEÅ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4857-2024</t>
        </is>
      </c>
      <c r="B746" s="1" t="n">
        <v>45329</v>
      </c>
      <c r="C746" s="1" t="n">
        <v>45899</v>
      </c>
      <c r="D746" t="inlineStr">
        <is>
          <t>VÄSTERNORRLANDS LÄN</t>
        </is>
      </c>
      <c r="E746" t="inlineStr">
        <is>
          <t>SOLLEFTEÅ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21109-2025</t>
        </is>
      </c>
      <c r="B747" s="1" t="n">
        <v>45777.67744212963</v>
      </c>
      <c r="C747" s="1" t="n">
        <v>45899</v>
      </c>
      <c r="D747" t="inlineStr">
        <is>
          <t>VÄSTERNORRLANDS LÄN</t>
        </is>
      </c>
      <c r="E747" t="inlineStr">
        <is>
          <t>SOLLEFTEÅ</t>
        </is>
      </c>
      <c r="F747" t="inlineStr">
        <is>
          <t>SCA</t>
        </is>
      </c>
      <c r="G747" t="n">
        <v>38.2</v>
      </c>
      <c r="H747" t="n">
        <v>0</v>
      </c>
      <c r="I747" t="n">
        <v>0</v>
      </c>
      <c r="J747" t="n">
        <v>0</v>
      </c>
      <c r="K747" t="n">
        <v>0</v>
      </c>
      <c r="L747" t="n">
        <v>0</v>
      </c>
      <c r="M747" t="n">
        <v>0</v>
      </c>
      <c r="N747" t="n">
        <v>0</v>
      </c>
      <c r="O747" t="n">
        <v>0</v>
      </c>
      <c r="P747" t="n">
        <v>0</v>
      </c>
      <c r="Q747" t="n">
        <v>0</v>
      </c>
      <c r="R747" s="2" t="inlineStr"/>
    </row>
    <row r="748" ht="15" customHeight="1">
      <c r="A748" t="inlineStr">
        <is>
          <t>A 40355-2024</t>
        </is>
      </c>
      <c r="B748" s="1" t="n">
        <v>45555.36541666667</v>
      </c>
      <c r="C748" s="1" t="n">
        <v>45899</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3990-2024</t>
        </is>
      </c>
      <c r="B749" s="1" t="n">
        <v>45322.94880787037</v>
      </c>
      <c r="C749" s="1" t="n">
        <v>45899</v>
      </c>
      <c r="D749" t="inlineStr">
        <is>
          <t>VÄSTERNORRLANDS LÄN</t>
        </is>
      </c>
      <c r="E749" t="inlineStr">
        <is>
          <t>SOLLEFTEÅ</t>
        </is>
      </c>
      <c r="F749" t="inlineStr">
        <is>
          <t>SCA</t>
        </is>
      </c>
      <c r="G749" t="n">
        <v>6.3</v>
      </c>
      <c r="H749" t="n">
        <v>0</v>
      </c>
      <c r="I749" t="n">
        <v>0</v>
      </c>
      <c r="J749" t="n">
        <v>0</v>
      </c>
      <c r="K749" t="n">
        <v>0</v>
      </c>
      <c r="L749" t="n">
        <v>0</v>
      </c>
      <c r="M749" t="n">
        <v>0</v>
      </c>
      <c r="N749" t="n">
        <v>0</v>
      </c>
      <c r="O749" t="n">
        <v>0</v>
      </c>
      <c r="P749" t="n">
        <v>0</v>
      </c>
      <c r="Q749" t="n">
        <v>0</v>
      </c>
      <c r="R749" s="2" t="inlineStr"/>
    </row>
    <row r="750" ht="15" customHeight="1">
      <c r="A750" t="inlineStr">
        <is>
          <t>A 52087-2023</t>
        </is>
      </c>
      <c r="B750" s="1" t="n">
        <v>45223</v>
      </c>
      <c r="C750" s="1" t="n">
        <v>45899</v>
      </c>
      <c r="D750" t="inlineStr">
        <is>
          <t>VÄSTERNORRLANDS LÄN</t>
        </is>
      </c>
      <c r="E750" t="inlineStr">
        <is>
          <t>SOLLEFTEÅ</t>
        </is>
      </c>
      <c r="G750" t="n">
        <v>10.7</v>
      </c>
      <c r="H750" t="n">
        <v>0</v>
      </c>
      <c r="I750" t="n">
        <v>0</v>
      </c>
      <c r="J750" t="n">
        <v>0</v>
      </c>
      <c r="K750" t="n">
        <v>0</v>
      </c>
      <c r="L750" t="n">
        <v>0</v>
      </c>
      <c r="M750" t="n">
        <v>0</v>
      </c>
      <c r="N750" t="n">
        <v>0</v>
      </c>
      <c r="O750" t="n">
        <v>0</v>
      </c>
      <c r="P750" t="n">
        <v>0</v>
      </c>
      <c r="Q750" t="n">
        <v>0</v>
      </c>
      <c r="R750" s="2" t="inlineStr"/>
    </row>
    <row r="751" ht="15" customHeight="1">
      <c r="A751" t="inlineStr">
        <is>
          <t>A 20133-2025</t>
        </is>
      </c>
      <c r="B751" s="1" t="n">
        <v>45772.51092592593</v>
      </c>
      <c r="C751" s="1" t="n">
        <v>45899</v>
      </c>
      <c r="D751" t="inlineStr">
        <is>
          <t>VÄSTERNORRLANDS LÄN</t>
        </is>
      </c>
      <c r="E751" t="inlineStr">
        <is>
          <t>SOLLEFTEÅ</t>
        </is>
      </c>
      <c r="F751" t="inlineStr">
        <is>
          <t>SCA</t>
        </is>
      </c>
      <c r="G751" t="n">
        <v>58.2</v>
      </c>
      <c r="H751" t="n">
        <v>0</v>
      </c>
      <c r="I751" t="n">
        <v>0</v>
      </c>
      <c r="J751" t="n">
        <v>0</v>
      </c>
      <c r="K751" t="n">
        <v>0</v>
      </c>
      <c r="L751" t="n">
        <v>0</v>
      </c>
      <c r="M751" t="n">
        <v>0</v>
      </c>
      <c r="N751" t="n">
        <v>0</v>
      </c>
      <c r="O751" t="n">
        <v>0</v>
      </c>
      <c r="P751" t="n">
        <v>0</v>
      </c>
      <c r="Q751" t="n">
        <v>0</v>
      </c>
      <c r="R751" s="2" t="inlineStr"/>
    </row>
    <row r="752" ht="15" customHeight="1">
      <c r="A752" t="inlineStr">
        <is>
          <t>A 20184-2025</t>
        </is>
      </c>
      <c r="B752" s="1" t="n">
        <v>45772.59458333333</v>
      </c>
      <c r="C752" s="1" t="n">
        <v>45899</v>
      </c>
      <c r="D752" t="inlineStr">
        <is>
          <t>VÄSTERNORRLANDS LÄN</t>
        </is>
      </c>
      <c r="E752" t="inlineStr">
        <is>
          <t>SOLLEFTEÅ</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19407-2025</t>
        </is>
      </c>
      <c r="B753" s="1" t="n">
        <v>45769.67832175926</v>
      </c>
      <c r="C753" s="1" t="n">
        <v>45899</v>
      </c>
      <c r="D753" t="inlineStr">
        <is>
          <t>VÄSTERNORRLANDS LÄN</t>
        </is>
      </c>
      <c r="E753" t="inlineStr">
        <is>
          <t>SOLLEFTEÅ</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21553-2025</t>
        </is>
      </c>
      <c r="B754" s="1" t="n">
        <v>45782.67805555555</v>
      </c>
      <c r="C754" s="1" t="n">
        <v>45899</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21555-2025</t>
        </is>
      </c>
      <c r="B755" s="1" t="n">
        <v>45782.67828703704</v>
      </c>
      <c r="C755" s="1" t="n">
        <v>45899</v>
      </c>
      <c r="D755" t="inlineStr">
        <is>
          <t>VÄSTERNORRLANDS LÄN</t>
        </is>
      </c>
      <c r="E755" t="inlineStr">
        <is>
          <t>SOLLEFTEÅ</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21564-2025</t>
        </is>
      </c>
      <c r="B756" s="1" t="n">
        <v>45782.69837962963</v>
      </c>
      <c r="C756" s="1" t="n">
        <v>45899</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21348-2025</t>
        </is>
      </c>
      <c r="B757" s="1" t="n">
        <v>45782.40679398148</v>
      </c>
      <c r="C757" s="1" t="n">
        <v>45899</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21346-2025</t>
        </is>
      </c>
      <c r="B758" s="1" t="n">
        <v>45782.40670138889</v>
      </c>
      <c r="C758" s="1" t="n">
        <v>45899</v>
      </c>
      <c r="D758" t="inlineStr">
        <is>
          <t>VÄSTERNORRLANDS LÄN</t>
        </is>
      </c>
      <c r="E758" t="inlineStr">
        <is>
          <t>SOLLEFTEÅ</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51006-2022</t>
        </is>
      </c>
      <c r="B759" s="1" t="n">
        <v>44867</v>
      </c>
      <c r="C759" s="1" t="n">
        <v>45899</v>
      </c>
      <c r="D759" t="inlineStr">
        <is>
          <t>VÄSTERNORRLANDS LÄN</t>
        </is>
      </c>
      <c r="E759" t="inlineStr">
        <is>
          <t>SOLLEFTEÅ</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21429-2025</t>
        </is>
      </c>
      <c r="B760" s="1" t="n">
        <v>45782.51084490741</v>
      </c>
      <c r="C760" s="1" t="n">
        <v>45899</v>
      </c>
      <c r="D760" t="inlineStr">
        <is>
          <t>VÄSTERNORRLANDS LÄN</t>
        </is>
      </c>
      <c r="E760" t="inlineStr">
        <is>
          <t>SOLLEFTEÅ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6058-2024</t>
        </is>
      </c>
      <c r="B761" s="1" t="n">
        <v>45336.75866898148</v>
      </c>
      <c r="C761" s="1" t="n">
        <v>45899</v>
      </c>
      <c r="D761" t="inlineStr">
        <is>
          <t>VÄSTERNORRLANDS LÄN</t>
        </is>
      </c>
      <c r="E761" t="inlineStr">
        <is>
          <t>SOLLEFTEÅ</t>
        </is>
      </c>
      <c r="F761" t="inlineStr">
        <is>
          <t>Övriga Aktiebolag</t>
        </is>
      </c>
      <c r="G761" t="n">
        <v>5.2</v>
      </c>
      <c r="H761" t="n">
        <v>0</v>
      </c>
      <c r="I761" t="n">
        <v>0</v>
      </c>
      <c r="J761" t="n">
        <v>0</v>
      </c>
      <c r="K761" t="n">
        <v>0</v>
      </c>
      <c r="L761" t="n">
        <v>0</v>
      </c>
      <c r="M761" t="n">
        <v>0</v>
      </c>
      <c r="N761" t="n">
        <v>0</v>
      </c>
      <c r="O761" t="n">
        <v>0</v>
      </c>
      <c r="P761" t="n">
        <v>0</v>
      </c>
      <c r="Q761" t="n">
        <v>0</v>
      </c>
      <c r="R761" s="2" t="inlineStr"/>
    </row>
    <row r="762" ht="15" customHeight="1">
      <c r="A762" t="inlineStr">
        <is>
          <t>A 21455-2025</t>
        </is>
      </c>
      <c r="B762" s="1" t="n">
        <v>45782.55332175926</v>
      </c>
      <c r="C762" s="1" t="n">
        <v>45899</v>
      </c>
      <c r="D762" t="inlineStr">
        <is>
          <t>VÄSTERNORRLANDS LÄN</t>
        </is>
      </c>
      <c r="E762" t="inlineStr">
        <is>
          <t>SOLLEFTEÅ</t>
        </is>
      </c>
      <c r="F762" t="inlineStr">
        <is>
          <t>SCA</t>
        </is>
      </c>
      <c r="G762" t="n">
        <v>10.5</v>
      </c>
      <c r="H762" t="n">
        <v>0</v>
      </c>
      <c r="I762" t="n">
        <v>0</v>
      </c>
      <c r="J762" t="n">
        <v>0</v>
      </c>
      <c r="K762" t="n">
        <v>0</v>
      </c>
      <c r="L762" t="n">
        <v>0</v>
      </c>
      <c r="M762" t="n">
        <v>0</v>
      </c>
      <c r="N762" t="n">
        <v>0</v>
      </c>
      <c r="O762" t="n">
        <v>0</v>
      </c>
      <c r="P762" t="n">
        <v>0</v>
      </c>
      <c r="Q762" t="n">
        <v>0</v>
      </c>
      <c r="R762" s="2" t="inlineStr"/>
    </row>
    <row r="763" ht="15" customHeight="1">
      <c r="A763" t="inlineStr">
        <is>
          <t>A 21491-2025</t>
        </is>
      </c>
      <c r="B763" s="1" t="n">
        <v>45782.59578703704</v>
      </c>
      <c r="C763" s="1" t="n">
        <v>45899</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57019-2022</t>
        </is>
      </c>
      <c r="B764" s="1" t="n">
        <v>44894.95877314815</v>
      </c>
      <c r="C764" s="1" t="n">
        <v>45899</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51527-2024</t>
        </is>
      </c>
      <c r="B765" s="1" t="n">
        <v>45604</v>
      </c>
      <c r="C765" s="1" t="n">
        <v>45899</v>
      </c>
      <c r="D765" t="inlineStr">
        <is>
          <t>VÄSTERNORRLANDS LÄN</t>
        </is>
      </c>
      <c r="E765" t="inlineStr">
        <is>
          <t>SOLLEFTEÅ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55912-2023</t>
        </is>
      </c>
      <c r="B766" s="1" t="n">
        <v>45239.92665509259</v>
      </c>
      <c r="C766" s="1" t="n">
        <v>45899</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21565-2025</t>
        </is>
      </c>
      <c r="B767" s="1" t="n">
        <v>45782</v>
      </c>
      <c r="C767" s="1" t="n">
        <v>45899</v>
      </c>
      <c r="D767" t="inlineStr">
        <is>
          <t>VÄSTERNORRLANDS LÄN</t>
        </is>
      </c>
      <c r="E767" t="inlineStr">
        <is>
          <t>SOLLEFTEÅ</t>
        </is>
      </c>
      <c r="F767" t="inlineStr">
        <is>
          <t>SCA</t>
        </is>
      </c>
      <c r="G767" t="n">
        <v>17.4</v>
      </c>
      <c r="H767" t="n">
        <v>0</v>
      </c>
      <c r="I767" t="n">
        <v>0</v>
      </c>
      <c r="J767" t="n">
        <v>0</v>
      </c>
      <c r="K767" t="n">
        <v>0</v>
      </c>
      <c r="L767" t="n">
        <v>0</v>
      </c>
      <c r="M767" t="n">
        <v>0</v>
      </c>
      <c r="N767" t="n">
        <v>0</v>
      </c>
      <c r="O767" t="n">
        <v>0</v>
      </c>
      <c r="P767" t="n">
        <v>0</v>
      </c>
      <c r="Q767" t="n">
        <v>0</v>
      </c>
      <c r="R767" s="2" t="inlineStr"/>
    </row>
    <row r="768" ht="15" customHeight="1">
      <c r="A768" t="inlineStr">
        <is>
          <t>A 45719-2022</t>
        </is>
      </c>
      <c r="B768" s="1" t="n">
        <v>44845.95533564815</v>
      </c>
      <c r="C768" s="1" t="n">
        <v>45899</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21481-2025</t>
        </is>
      </c>
      <c r="B769" s="1" t="n">
        <v>45782.59451388889</v>
      </c>
      <c r="C769" s="1" t="n">
        <v>45899</v>
      </c>
      <c r="D769" t="inlineStr">
        <is>
          <t>VÄSTERNORRLANDS LÄN</t>
        </is>
      </c>
      <c r="E769" t="inlineStr">
        <is>
          <t>SOLLEFTEÅ</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21489-2025</t>
        </is>
      </c>
      <c r="B770" s="1" t="n">
        <v>45782.59555555556</v>
      </c>
      <c r="C770" s="1" t="n">
        <v>45899</v>
      </c>
      <c r="D770" t="inlineStr">
        <is>
          <t>VÄSTERNORRLANDS LÄN</t>
        </is>
      </c>
      <c r="E770" t="inlineStr">
        <is>
          <t>SOLLEFTEÅ</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22668-2024</t>
        </is>
      </c>
      <c r="B771" s="1" t="n">
        <v>45447.94453703704</v>
      </c>
      <c r="C771" s="1" t="n">
        <v>45899</v>
      </c>
      <c r="D771" t="inlineStr">
        <is>
          <t>VÄSTERNORRLANDS LÄN</t>
        </is>
      </c>
      <c r="E771" t="inlineStr">
        <is>
          <t>SOLLEFTEÅ</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21166-2025</t>
        </is>
      </c>
      <c r="B772" s="1" t="n">
        <v>45779.40658564815</v>
      </c>
      <c r="C772" s="1" t="n">
        <v>45899</v>
      </c>
      <c r="D772" t="inlineStr">
        <is>
          <t>VÄSTERNORRLANDS LÄN</t>
        </is>
      </c>
      <c r="E772" t="inlineStr">
        <is>
          <t>SOLLEFTEÅ</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21269-2025</t>
        </is>
      </c>
      <c r="B773" s="1" t="n">
        <v>45779.62265046296</v>
      </c>
      <c r="C773" s="1" t="n">
        <v>45899</v>
      </c>
      <c r="D773" t="inlineStr">
        <is>
          <t>VÄSTERNORRLANDS LÄN</t>
        </is>
      </c>
      <c r="E773" t="inlineStr">
        <is>
          <t>SOLLEFTEÅ</t>
        </is>
      </c>
      <c r="G773" t="n">
        <v>3.7</v>
      </c>
      <c r="H773" t="n">
        <v>0</v>
      </c>
      <c r="I773" t="n">
        <v>0</v>
      </c>
      <c r="J773" t="n">
        <v>0</v>
      </c>
      <c r="K773" t="n">
        <v>0</v>
      </c>
      <c r="L773" t="n">
        <v>0</v>
      </c>
      <c r="M773" t="n">
        <v>0</v>
      </c>
      <c r="N773" t="n">
        <v>0</v>
      </c>
      <c r="O773" t="n">
        <v>0</v>
      </c>
      <c r="P773" t="n">
        <v>0</v>
      </c>
      <c r="Q773" t="n">
        <v>0</v>
      </c>
      <c r="R773" s="2" t="inlineStr"/>
    </row>
    <row r="774" ht="15" customHeight="1">
      <c r="A774" t="inlineStr">
        <is>
          <t>A 56260-2023</t>
        </is>
      </c>
      <c r="B774" s="1" t="n">
        <v>45240</v>
      </c>
      <c r="C774" s="1" t="n">
        <v>45899</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21897-2025</t>
        </is>
      </c>
      <c r="B775" s="1" t="n">
        <v>45784.45376157408</v>
      </c>
      <c r="C775" s="1" t="n">
        <v>45899</v>
      </c>
      <c r="D775" t="inlineStr">
        <is>
          <t>VÄSTERNORRLANDS LÄN</t>
        </is>
      </c>
      <c r="E775" t="inlineStr">
        <is>
          <t>SOLLEFTEÅ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27025-2024</t>
        </is>
      </c>
      <c r="B776" s="1" t="n">
        <v>45471.42071759259</v>
      </c>
      <c r="C776" s="1" t="n">
        <v>45899</v>
      </c>
      <c r="D776" t="inlineStr">
        <is>
          <t>VÄSTERNORRLANDS LÄN</t>
        </is>
      </c>
      <c r="E776" t="inlineStr">
        <is>
          <t>SOLLEFTEÅ</t>
        </is>
      </c>
      <c r="F776" t="inlineStr">
        <is>
          <t>Holmen skog AB</t>
        </is>
      </c>
      <c r="G776" t="n">
        <v>4.5</v>
      </c>
      <c r="H776" t="n">
        <v>0</v>
      </c>
      <c r="I776" t="n">
        <v>0</v>
      </c>
      <c r="J776" t="n">
        <v>0</v>
      </c>
      <c r="K776" t="n">
        <v>0</v>
      </c>
      <c r="L776" t="n">
        <v>0</v>
      </c>
      <c r="M776" t="n">
        <v>0</v>
      </c>
      <c r="N776" t="n">
        <v>0</v>
      </c>
      <c r="O776" t="n">
        <v>0</v>
      </c>
      <c r="P776" t="n">
        <v>0</v>
      </c>
      <c r="Q776" t="n">
        <v>0</v>
      </c>
      <c r="R776" s="2" t="inlineStr"/>
    </row>
    <row r="777" ht="15" customHeight="1">
      <c r="A777" t="inlineStr">
        <is>
          <t>A 8337-2025</t>
        </is>
      </c>
      <c r="B777" s="1" t="n">
        <v>45708.6597337963</v>
      </c>
      <c r="C777" s="1" t="n">
        <v>45899</v>
      </c>
      <c r="D777" t="inlineStr">
        <is>
          <t>VÄSTERNORRLANDS LÄN</t>
        </is>
      </c>
      <c r="E777" t="inlineStr">
        <is>
          <t>SOLLEFTEÅ</t>
        </is>
      </c>
      <c r="G777" t="n">
        <v>6.2</v>
      </c>
      <c r="H777" t="n">
        <v>0</v>
      </c>
      <c r="I777" t="n">
        <v>0</v>
      </c>
      <c r="J777" t="n">
        <v>0</v>
      </c>
      <c r="K777" t="n">
        <v>0</v>
      </c>
      <c r="L777" t="n">
        <v>0</v>
      </c>
      <c r="M777" t="n">
        <v>0</v>
      </c>
      <c r="N777" t="n">
        <v>0</v>
      </c>
      <c r="O777" t="n">
        <v>0</v>
      </c>
      <c r="P777" t="n">
        <v>0</v>
      </c>
      <c r="Q777" t="n">
        <v>0</v>
      </c>
      <c r="R777" s="2" t="inlineStr"/>
    </row>
    <row r="778" ht="15" customHeight="1">
      <c r="A778" t="inlineStr">
        <is>
          <t>A 39230-2021</t>
        </is>
      </c>
      <c r="B778" s="1" t="n">
        <v>44413.43902777778</v>
      </c>
      <c r="C778" s="1" t="n">
        <v>45899</v>
      </c>
      <c r="D778" t="inlineStr">
        <is>
          <t>VÄSTERNORRLANDS LÄN</t>
        </is>
      </c>
      <c r="E778" t="inlineStr">
        <is>
          <t>SOLLEFTEÅ</t>
        </is>
      </c>
      <c r="G778" t="n">
        <v>13.6</v>
      </c>
      <c r="H778" t="n">
        <v>0</v>
      </c>
      <c r="I778" t="n">
        <v>0</v>
      </c>
      <c r="J778" t="n">
        <v>0</v>
      </c>
      <c r="K778" t="n">
        <v>0</v>
      </c>
      <c r="L778" t="n">
        <v>0</v>
      </c>
      <c r="M778" t="n">
        <v>0</v>
      </c>
      <c r="N778" t="n">
        <v>0</v>
      </c>
      <c r="O778" t="n">
        <v>0</v>
      </c>
      <c r="P778" t="n">
        <v>0</v>
      </c>
      <c r="Q778" t="n">
        <v>0</v>
      </c>
      <c r="R778" s="2" t="inlineStr"/>
    </row>
    <row r="779" ht="15" customHeight="1">
      <c r="A779" t="inlineStr">
        <is>
          <t>A 13252-2023</t>
        </is>
      </c>
      <c r="B779" s="1" t="n">
        <v>45002</v>
      </c>
      <c r="C779" s="1" t="n">
        <v>45899</v>
      </c>
      <c r="D779" t="inlineStr">
        <is>
          <t>VÄSTERNORRLANDS LÄN</t>
        </is>
      </c>
      <c r="E779" t="inlineStr">
        <is>
          <t>SOLLEFTEÅ</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21983-2025</t>
        </is>
      </c>
      <c r="B780" s="1" t="n">
        <v>45784.65678240741</v>
      </c>
      <c r="C780" s="1" t="n">
        <v>45899</v>
      </c>
      <c r="D780" t="inlineStr">
        <is>
          <t>VÄSTERNORRLANDS LÄN</t>
        </is>
      </c>
      <c r="E780" t="inlineStr">
        <is>
          <t>SOLLEFTEÅ</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38102-2022</t>
        </is>
      </c>
      <c r="B781" s="1" t="n">
        <v>44811</v>
      </c>
      <c r="C781" s="1" t="n">
        <v>45899</v>
      </c>
      <c r="D781" t="inlineStr">
        <is>
          <t>VÄSTERNORRLANDS LÄN</t>
        </is>
      </c>
      <c r="E781" t="inlineStr">
        <is>
          <t>SOLLEFTEÅ</t>
        </is>
      </c>
      <c r="F781" t="inlineStr">
        <is>
          <t>SCA</t>
        </is>
      </c>
      <c r="G781" t="n">
        <v>4.9</v>
      </c>
      <c r="H781" t="n">
        <v>0</v>
      </c>
      <c r="I781" t="n">
        <v>0</v>
      </c>
      <c r="J781" t="n">
        <v>0</v>
      </c>
      <c r="K781" t="n">
        <v>0</v>
      </c>
      <c r="L781" t="n">
        <v>0</v>
      </c>
      <c r="M781" t="n">
        <v>0</v>
      </c>
      <c r="N781" t="n">
        <v>0</v>
      </c>
      <c r="O781" t="n">
        <v>0</v>
      </c>
      <c r="P781" t="n">
        <v>0</v>
      </c>
      <c r="Q781" t="n">
        <v>0</v>
      </c>
      <c r="R781" s="2" t="inlineStr"/>
      <c r="U781">
        <f>HYPERLINK("https://klasma.github.io/Logging_2283/knärot/A 38102-2022 karta knärot.png", "A 38102-2022")</f>
        <v/>
      </c>
      <c r="V781">
        <f>HYPERLINK("https://klasma.github.io/Logging_2283/klagomål/A 38102-2022 FSC-klagomål.docx", "A 38102-2022")</f>
        <v/>
      </c>
      <c r="W781">
        <f>HYPERLINK("https://klasma.github.io/Logging_2283/klagomålsmail/A 38102-2022 FSC-klagomål mail.docx", "A 38102-2022")</f>
        <v/>
      </c>
      <c r="X781">
        <f>HYPERLINK("https://klasma.github.io/Logging_2283/tillsyn/A 38102-2022 tillsynsbegäran.docx", "A 38102-2022")</f>
        <v/>
      </c>
      <c r="Y781">
        <f>HYPERLINK("https://klasma.github.io/Logging_2283/tillsynsmail/A 38102-2022 tillsynsbegäran mail.docx", "A 38102-2022")</f>
        <v/>
      </c>
    </row>
    <row r="782" ht="15" customHeight="1">
      <c r="A782" t="inlineStr">
        <is>
          <t>A 7107-2024</t>
        </is>
      </c>
      <c r="B782" s="1" t="n">
        <v>45343</v>
      </c>
      <c r="C782" s="1" t="n">
        <v>45899</v>
      </c>
      <c r="D782" t="inlineStr">
        <is>
          <t>VÄSTERNORRLANDS LÄN</t>
        </is>
      </c>
      <c r="E782" t="inlineStr">
        <is>
          <t>SOLLEFTEÅ</t>
        </is>
      </c>
      <c r="G782" t="n">
        <v>4.4</v>
      </c>
      <c r="H782" t="n">
        <v>0</v>
      </c>
      <c r="I782" t="n">
        <v>0</v>
      </c>
      <c r="J782" t="n">
        <v>0</v>
      </c>
      <c r="K782" t="n">
        <v>0</v>
      </c>
      <c r="L782" t="n">
        <v>0</v>
      </c>
      <c r="M782" t="n">
        <v>0</v>
      </c>
      <c r="N782" t="n">
        <v>0</v>
      </c>
      <c r="O782" t="n">
        <v>0</v>
      </c>
      <c r="P782" t="n">
        <v>0</v>
      </c>
      <c r="Q782" t="n">
        <v>0</v>
      </c>
      <c r="R782" s="2" t="inlineStr"/>
    </row>
    <row r="783" ht="15" customHeight="1">
      <c r="A783" t="inlineStr">
        <is>
          <t>A 21898-2025</t>
        </is>
      </c>
      <c r="B783" s="1" t="n">
        <v>45784.45386574074</v>
      </c>
      <c r="C783" s="1" t="n">
        <v>45899</v>
      </c>
      <c r="D783" t="inlineStr">
        <is>
          <t>VÄSTERNORRLANDS LÄN</t>
        </is>
      </c>
      <c r="E783" t="inlineStr">
        <is>
          <t>SOLLEFTEÅ</t>
        </is>
      </c>
      <c r="G783" t="n">
        <v>6.8</v>
      </c>
      <c r="H783" t="n">
        <v>0</v>
      </c>
      <c r="I783" t="n">
        <v>0</v>
      </c>
      <c r="J783" t="n">
        <v>0</v>
      </c>
      <c r="K783" t="n">
        <v>0</v>
      </c>
      <c r="L783" t="n">
        <v>0</v>
      </c>
      <c r="M783" t="n">
        <v>0</v>
      </c>
      <c r="N783" t="n">
        <v>0</v>
      </c>
      <c r="O783" t="n">
        <v>0</v>
      </c>
      <c r="P783" t="n">
        <v>0</v>
      </c>
      <c r="Q783" t="n">
        <v>0</v>
      </c>
      <c r="R783" s="2" t="inlineStr"/>
    </row>
    <row r="784" ht="15" customHeight="1">
      <c r="A784" t="inlineStr">
        <is>
          <t>A 60856-2022</t>
        </is>
      </c>
      <c r="B784" s="1" t="n">
        <v>44907</v>
      </c>
      <c r="C784" s="1" t="n">
        <v>45899</v>
      </c>
      <c r="D784" t="inlineStr">
        <is>
          <t>VÄSTERNORRLANDS LÄN</t>
        </is>
      </c>
      <c r="E784" t="inlineStr">
        <is>
          <t>SOLLEFTEÅ</t>
        </is>
      </c>
      <c r="G784" t="n">
        <v>3.1</v>
      </c>
      <c r="H784" t="n">
        <v>0</v>
      </c>
      <c r="I784" t="n">
        <v>0</v>
      </c>
      <c r="J784" t="n">
        <v>0</v>
      </c>
      <c r="K784" t="n">
        <v>0</v>
      </c>
      <c r="L784" t="n">
        <v>0</v>
      </c>
      <c r="M784" t="n">
        <v>0</v>
      </c>
      <c r="N784" t="n">
        <v>0</v>
      </c>
      <c r="O784" t="n">
        <v>0</v>
      </c>
      <c r="P784" t="n">
        <v>0</v>
      </c>
      <c r="Q784" t="n">
        <v>0</v>
      </c>
      <c r="R784" s="2" t="inlineStr"/>
    </row>
    <row r="785" ht="15" customHeight="1">
      <c r="A785" t="inlineStr">
        <is>
          <t>A 21896-2025</t>
        </is>
      </c>
      <c r="B785" s="1" t="n">
        <v>45784.45366898148</v>
      </c>
      <c r="C785" s="1" t="n">
        <v>45899</v>
      </c>
      <c r="D785" t="inlineStr">
        <is>
          <t>VÄSTERNORRLANDS LÄN</t>
        </is>
      </c>
      <c r="E785" t="inlineStr">
        <is>
          <t>SOLLEFTEÅ</t>
        </is>
      </c>
      <c r="G785" t="n">
        <v>16.1</v>
      </c>
      <c r="H785" t="n">
        <v>0</v>
      </c>
      <c r="I785" t="n">
        <v>0</v>
      </c>
      <c r="J785" t="n">
        <v>0</v>
      </c>
      <c r="K785" t="n">
        <v>0</v>
      </c>
      <c r="L785" t="n">
        <v>0</v>
      </c>
      <c r="M785" t="n">
        <v>0</v>
      </c>
      <c r="N785" t="n">
        <v>0</v>
      </c>
      <c r="O785" t="n">
        <v>0</v>
      </c>
      <c r="P785" t="n">
        <v>0</v>
      </c>
      <c r="Q785" t="n">
        <v>0</v>
      </c>
      <c r="R785" s="2" t="inlineStr"/>
    </row>
    <row r="786" ht="15" customHeight="1">
      <c r="A786" t="inlineStr">
        <is>
          <t>A 51847-2021</t>
        </is>
      </c>
      <c r="B786" s="1" t="n">
        <v>44462.69077546296</v>
      </c>
      <c r="C786" s="1" t="n">
        <v>45899</v>
      </c>
      <c r="D786" t="inlineStr">
        <is>
          <t>VÄSTERNORRLANDS LÄN</t>
        </is>
      </c>
      <c r="E786" t="inlineStr">
        <is>
          <t>SOLLEFTEÅ</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31179-2023</t>
        </is>
      </c>
      <c r="B787" s="1" t="n">
        <v>45113.92564814815</v>
      </c>
      <c r="C787" s="1" t="n">
        <v>45899</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2816-2024</t>
        </is>
      </c>
      <c r="B788" s="1" t="n">
        <v>45314</v>
      </c>
      <c r="C788" s="1" t="n">
        <v>45899</v>
      </c>
      <c r="D788" t="inlineStr">
        <is>
          <t>VÄSTERNORRLANDS LÄN</t>
        </is>
      </c>
      <c r="E788" t="inlineStr">
        <is>
          <t>SOLLEFTEÅ</t>
        </is>
      </c>
      <c r="F788" t="inlineStr">
        <is>
          <t>Holmen skog AB</t>
        </is>
      </c>
      <c r="G788" t="n">
        <v>5.2</v>
      </c>
      <c r="H788" t="n">
        <v>0</v>
      </c>
      <c r="I788" t="n">
        <v>0</v>
      </c>
      <c r="J788" t="n">
        <v>0</v>
      </c>
      <c r="K788" t="n">
        <v>0</v>
      </c>
      <c r="L788" t="n">
        <v>0</v>
      </c>
      <c r="M788" t="n">
        <v>0</v>
      </c>
      <c r="N788" t="n">
        <v>0</v>
      </c>
      <c r="O788" t="n">
        <v>0</v>
      </c>
      <c r="P788" t="n">
        <v>0</v>
      </c>
      <c r="Q788" t="n">
        <v>0</v>
      </c>
      <c r="R788" s="2" t="inlineStr"/>
    </row>
    <row r="789" ht="15" customHeight="1">
      <c r="A789" t="inlineStr">
        <is>
          <t>A 5134-2022</t>
        </is>
      </c>
      <c r="B789" s="1" t="n">
        <v>44594</v>
      </c>
      <c r="C789" s="1" t="n">
        <v>45899</v>
      </c>
      <c r="D789" t="inlineStr">
        <is>
          <t>VÄSTERNORRLANDS LÄN</t>
        </is>
      </c>
      <c r="E789" t="inlineStr">
        <is>
          <t>SOLLEFTEÅ</t>
        </is>
      </c>
      <c r="G789" t="n">
        <v>20.4</v>
      </c>
      <c r="H789" t="n">
        <v>0</v>
      </c>
      <c r="I789" t="n">
        <v>0</v>
      </c>
      <c r="J789" t="n">
        <v>0</v>
      </c>
      <c r="K789" t="n">
        <v>0</v>
      </c>
      <c r="L789" t="n">
        <v>0</v>
      </c>
      <c r="M789" t="n">
        <v>0</v>
      </c>
      <c r="N789" t="n">
        <v>0</v>
      </c>
      <c r="O789" t="n">
        <v>0</v>
      </c>
      <c r="P789" t="n">
        <v>0</v>
      </c>
      <c r="Q789" t="n">
        <v>0</v>
      </c>
      <c r="R789" s="2" t="inlineStr"/>
    </row>
    <row r="790" ht="15" customHeight="1">
      <c r="A790" t="inlineStr">
        <is>
          <t>A 16693-2024</t>
        </is>
      </c>
      <c r="B790" s="1" t="n">
        <v>45408</v>
      </c>
      <c r="C790" s="1" t="n">
        <v>45899</v>
      </c>
      <c r="D790" t="inlineStr">
        <is>
          <t>VÄSTERNORRLANDS LÄN</t>
        </is>
      </c>
      <c r="E790" t="inlineStr">
        <is>
          <t>SOLLEFTEÅ</t>
        </is>
      </c>
      <c r="G790" t="n">
        <v>2.1</v>
      </c>
      <c r="H790" t="n">
        <v>0</v>
      </c>
      <c r="I790" t="n">
        <v>0</v>
      </c>
      <c r="J790" t="n">
        <v>0</v>
      </c>
      <c r="K790" t="n">
        <v>0</v>
      </c>
      <c r="L790" t="n">
        <v>0</v>
      </c>
      <c r="M790" t="n">
        <v>0</v>
      </c>
      <c r="N790" t="n">
        <v>0</v>
      </c>
      <c r="O790" t="n">
        <v>0</v>
      </c>
      <c r="P790" t="n">
        <v>0</v>
      </c>
      <c r="Q790" t="n">
        <v>0</v>
      </c>
      <c r="R790" s="2" t="inlineStr"/>
    </row>
    <row r="791" ht="15" customHeight="1">
      <c r="A791" t="inlineStr">
        <is>
          <t>A 16710-2024</t>
        </is>
      </c>
      <c r="B791" s="1" t="n">
        <v>45409.07748842592</v>
      </c>
      <c r="C791" s="1" t="n">
        <v>45899</v>
      </c>
      <c r="D791" t="inlineStr">
        <is>
          <t>VÄSTERNORRLANDS LÄN</t>
        </is>
      </c>
      <c r="E791" t="inlineStr">
        <is>
          <t>SOLLEFTEÅ</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21863-2025</t>
        </is>
      </c>
      <c r="B792" s="1" t="n">
        <v>45784.36532407408</v>
      </c>
      <c r="C792" s="1" t="n">
        <v>45899</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21669-2025</t>
        </is>
      </c>
      <c r="B793" s="1" t="n">
        <v>45783.46905092592</v>
      </c>
      <c r="C793" s="1" t="n">
        <v>45899</v>
      </c>
      <c r="D793" t="inlineStr">
        <is>
          <t>VÄSTERNORRLANDS LÄN</t>
        </is>
      </c>
      <c r="E793" t="inlineStr">
        <is>
          <t>SOLLEFTEÅ</t>
        </is>
      </c>
      <c r="F793" t="inlineStr">
        <is>
          <t>SCA</t>
        </is>
      </c>
      <c r="G793" t="n">
        <v>7.8</v>
      </c>
      <c r="H793" t="n">
        <v>0</v>
      </c>
      <c r="I793" t="n">
        <v>0</v>
      </c>
      <c r="J793" t="n">
        <v>0</v>
      </c>
      <c r="K793" t="n">
        <v>0</v>
      </c>
      <c r="L793" t="n">
        <v>0</v>
      </c>
      <c r="M793" t="n">
        <v>0</v>
      </c>
      <c r="N793" t="n">
        <v>0</v>
      </c>
      <c r="O793" t="n">
        <v>0</v>
      </c>
      <c r="P793" t="n">
        <v>0</v>
      </c>
      <c r="Q793" t="n">
        <v>0</v>
      </c>
      <c r="R793" s="2" t="inlineStr"/>
    </row>
    <row r="794" ht="15" customHeight="1">
      <c r="A794" t="inlineStr">
        <is>
          <t>A 13567-2023</t>
        </is>
      </c>
      <c r="B794" s="1" t="n">
        <v>45005</v>
      </c>
      <c r="C794" s="1" t="n">
        <v>45899</v>
      </c>
      <c r="D794" t="inlineStr">
        <is>
          <t>VÄSTERNORRLANDS LÄN</t>
        </is>
      </c>
      <c r="E794" t="inlineStr">
        <is>
          <t>SOLLEFTEÅ</t>
        </is>
      </c>
      <c r="G794" t="n">
        <v>6.9</v>
      </c>
      <c r="H794" t="n">
        <v>0</v>
      </c>
      <c r="I794" t="n">
        <v>0</v>
      </c>
      <c r="J794" t="n">
        <v>0</v>
      </c>
      <c r="K794" t="n">
        <v>0</v>
      </c>
      <c r="L794" t="n">
        <v>0</v>
      </c>
      <c r="M794" t="n">
        <v>0</v>
      </c>
      <c r="N794" t="n">
        <v>0</v>
      </c>
      <c r="O794" t="n">
        <v>0</v>
      </c>
      <c r="P794" t="n">
        <v>0</v>
      </c>
      <c r="Q794" t="n">
        <v>0</v>
      </c>
      <c r="R794" s="2" t="inlineStr"/>
    </row>
    <row r="795" ht="15" customHeight="1">
      <c r="A795" t="inlineStr">
        <is>
          <t>A 13570-2023</t>
        </is>
      </c>
      <c r="B795" s="1" t="n">
        <v>45005</v>
      </c>
      <c r="C795" s="1" t="n">
        <v>45899</v>
      </c>
      <c r="D795" t="inlineStr">
        <is>
          <t>VÄSTERNORRLANDS LÄN</t>
        </is>
      </c>
      <c r="E795" t="inlineStr">
        <is>
          <t>SOLLEFTEÅ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51341-2024</t>
        </is>
      </c>
      <c r="B796" s="1" t="n">
        <v>45604.34481481482</v>
      </c>
      <c r="C796" s="1" t="n">
        <v>45899</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13942-2024</t>
        </is>
      </c>
      <c r="B797" s="1" t="n">
        <v>45391.9540162037</v>
      </c>
      <c r="C797" s="1" t="n">
        <v>45899</v>
      </c>
      <c r="D797" t="inlineStr">
        <is>
          <t>VÄSTERNORRLANDS LÄN</t>
        </is>
      </c>
      <c r="E797" t="inlineStr">
        <is>
          <t>SOLLEFTEÅ</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21364-2024</t>
        </is>
      </c>
      <c r="B798" s="1" t="n">
        <v>45440.95248842592</v>
      </c>
      <c r="C798" s="1" t="n">
        <v>45899</v>
      </c>
      <c r="D798" t="inlineStr">
        <is>
          <t>VÄSTERNORRLANDS LÄN</t>
        </is>
      </c>
      <c r="E798" t="inlineStr">
        <is>
          <t>SOLLEFTEÅ</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21687-2025</t>
        </is>
      </c>
      <c r="B799" s="1" t="n">
        <v>45783.49135416667</v>
      </c>
      <c r="C799" s="1" t="n">
        <v>45899</v>
      </c>
      <c r="D799" t="inlineStr">
        <is>
          <t>VÄSTERNORRLANDS LÄN</t>
        </is>
      </c>
      <c r="E799" t="inlineStr">
        <is>
          <t>SOLLEFTEÅ</t>
        </is>
      </c>
      <c r="G799" t="n">
        <v>4.1</v>
      </c>
      <c r="H799" t="n">
        <v>0</v>
      </c>
      <c r="I799" t="n">
        <v>0</v>
      </c>
      <c r="J799" t="n">
        <v>0</v>
      </c>
      <c r="K799" t="n">
        <v>0</v>
      </c>
      <c r="L799" t="n">
        <v>0</v>
      </c>
      <c r="M799" t="n">
        <v>0</v>
      </c>
      <c r="N799" t="n">
        <v>0</v>
      </c>
      <c r="O799" t="n">
        <v>0</v>
      </c>
      <c r="P799" t="n">
        <v>0</v>
      </c>
      <c r="Q799" t="n">
        <v>0</v>
      </c>
      <c r="R799" s="2" t="inlineStr"/>
    </row>
    <row r="800" ht="15" customHeight="1">
      <c r="A800" t="inlineStr">
        <is>
          <t>A 21985-2025</t>
        </is>
      </c>
      <c r="B800" s="1" t="n">
        <v>45784.65689814815</v>
      </c>
      <c r="C800" s="1" t="n">
        <v>45899</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10618-2024</t>
        </is>
      </c>
      <c r="B801" s="1" t="n">
        <v>45367</v>
      </c>
      <c r="C801" s="1" t="n">
        <v>45899</v>
      </c>
      <c r="D801" t="inlineStr">
        <is>
          <t>VÄSTERNORRLANDS LÄN</t>
        </is>
      </c>
      <c r="E801" t="inlineStr">
        <is>
          <t>SOLLEFTEÅ</t>
        </is>
      </c>
      <c r="F801" t="inlineStr">
        <is>
          <t>SCA</t>
        </is>
      </c>
      <c r="G801" t="n">
        <v>21.1</v>
      </c>
      <c r="H801" t="n">
        <v>0</v>
      </c>
      <c r="I801" t="n">
        <v>0</v>
      </c>
      <c r="J801" t="n">
        <v>0</v>
      </c>
      <c r="K801" t="n">
        <v>0</v>
      </c>
      <c r="L801" t="n">
        <v>0</v>
      </c>
      <c r="M801" t="n">
        <v>0</v>
      </c>
      <c r="N801" t="n">
        <v>0</v>
      </c>
      <c r="O801" t="n">
        <v>0</v>
      </c>
      <c r="P801" t="n">
        <v>0</v>
      </c>
      <c r="Q801" t="n">
        <v>0</v>
      </c>
      <c r="R801" s="2" t="inlineStr"/>
    </row>
    <row r="802" ht="15" customHeight="1">
      <c r="A802" t="inlineStr">
        <is>
          <t>A 46207-2023</t>
        </is>
      </c>
      <c r="B802" s="1" t="n">
        <v>45190</v>
      </c>
      <c r="C802" s="1" t="n">
        <v>45899</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56249-2024</t>
        </is>
      </c>
      <c r="B803" s="1" t="n">
        <v>45624.63584490741</v>
      </c>
      <c r="C803" s="1" t="n">
        <v>45899</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15154-2024</t>
        </is>
      </c>
      <c r="B804" s="1" t="n">
        <v>45399.94466435185</v>
      </c>
      <c r="C804" s="1" t="n">
        <v>45899</v>
      </c>
      <c r="D804" t="inlineStr">
        <is>
          <t>VÄSTERNORRLANDS LÄN</t>
        </is>
      </c>
      <c r="E804" t="inlineStr">
        <is>
          <t>SOLLEFTEÅ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22166-2025</t>
        </is>
      </c>
      <c r="B805" s="1" t="n">
        <v>45785.59480324074</v>
      </c>
      <c r="C805" s="1" t="n">
        <v>45899</v>
      </c>
      <c r="D805" t="inlineStr">
        <is>
          <t>VÄSTERNORRLANDS LÄN</t>
        </is>
      </c>
      <c r="E805" t="inlineStr">
        <is>
          <t>SOLLEFTEÅ</t>
        </is>
      </c>
      <c r="F805" t="inlineStr">
        <is>
          <t>SCA</t>
        </is>
      </c>
      <c r="G805" t="n">
        <v>10.8</v>
      </c>
      <c r="H805" t="n">
        <v>0</v>
      </c>
      <c r="I805" t="n">
        <v>0</v>
      </c>
      <c r="J805" t="n">
        <v>0</v>
      </c>
      <c r="K805" t="n">
        <v>0</v>
      </c>
      <c r="L805" t="n">
        <v>0</v>
      </c>
      <c r="M805" t="n">
        <v>0</v>
      </c>
      <c r="N805" t="n">
        <v>0</v>
      </c>
      <c r="O805" t="n">
        <v>0</v>
      </c>
      <c r="P805" t="n">
        <v>0</v>
      </c>
      <c r="Q805" t="n">
        <v>0</v>
      </c>
      <c r="R805" s="2" t="inlineStr"/>
    </row>
    <row r="806" ht="15" customHeight="1">
      <c r="A806" t="inlineStr">
        <is>
          <t>A 36211-2023</t>
        </is>
      </c>
      <c r="B806" s="1" t="n">
        <v>45149.95234953704</v>
      </c>
      <c r="C806" s="1" t="n">
        <v>45899</v>
      </c>
      <c r="D806" t="inlineStr">
        <is>
          <t>VÄSTERNORRLANDS LÄN</t>
        </is>
      </c>
      <c r="E806" t="inlineStr">
        <is>
          <t>SOLLEFTEÅ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12590-2024</t>
        </is>
      </c>
      <c r="B807" s="1" t="n">
        <v>45379.93686342592</v>
      </c>
      <c r="C807" s="1" t="n">
        <v>45899</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13521-2023</t>
        </is>
      </c>
      <c r="B808" s="1" t="n">
        <v>45005</v>
      </c>
      <c r="C808" s="1" t="n">
        <v>45899</v>
      </c>
      <c r="D808" t="inlineStr">
        <is>
          <t>VÄSTERNORRLANDS LÄN</t>
        </is>
      </c>
      <c r="E808" t="inlineStr">
        <is>
          <t>SOLLEFTEÅ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58179-2021</t>
        </is>
      </c>
      <c r="B809" s="1" t="n">
        <v>44487</v>
      </c>
      <c r="C809" s="1" t="n">
        <v>45899</v>
      </c>
      <c r="D809" t="inlineStr">
        <is>
          <t>VÄSTERNORRLANDS LÄN</t>
        </is>
      </c>
      <c r="E809" t="inlineStr">
        <is>
          <t>SOLLEFTEÅ</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29957-2023</t>
        </is>
      </c>
      <c r="B810" s="1" t="n">
        <v>45107</v>
      </c>
      <c r="C810" s="1" t="n">
        <v>45899</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13009-2023</t>
        </is>
      </c>
      <c r="B811" s="1" t="n">
        <v>45002.03643518518</v>
      </c>
      <c r="C811" s="1" t="n">
        <v>45899</v>
      </c>
      <c r="D811" t="inlineStr">
        <is>
          <t>VÄSTERNORRLANDS LÄN</t>
        </is>
      </c>
      <c r="E811" t="inlineStr">
        <is>
          <t>SOLLEFTEÅ</t>
        </is>
      </c>
      <c r="F811" t="inlineStr">
        <is>
          <t>SCA</t>
        </is>
      </c>
      <c r="G811" t="n">
        <v>7.9</v>
      </c>
      <c r="H811" t="n">
        <v>0</v>
      </c>
      <c r="I811" t="n">
        <v>0</v>
      </c>
      <c r="J811" t="n">
        <v>0</v>
      </c>
      <c r="K811" t="n">
        <v>0</v>
      </c>
      <c r="L811" t="n">
        <v>0</v>
      </c>
      <c r="M811" t="n">
        <v>0</v>
      </c>
      <c r="N811" t="n">
        <v>0</v>
      </c>
      <c r="O811" t="n">
        <v>0</v>
      </c>
      <c r="P811" t="n">
        <v>0</v>
      </c>
      <c r="Q811" t="n">
        <v>0</v>
      </c>
      <c r="R811" s="2" t="inlineStr"/>
    </row>
    <row r="812" ht="15" customHeight="1">
      <c r="A812" t="inlineStr">
        <is>
          <t>A 23287-2023</t>
        </is>
      </c>
      <c r="B812" s="1" t="n">
        <v>45075</v>
      </c>
      <c r="C812" s="1" t="n">
        <v>45899</v>
      </c>
      <c r="D812" t="inlineStr">
        <is>
          <t>VÄSTERNORRLANDS LÄN</t>
        </is>
      </c>
      <c r="E812" t="inlineStr">
        <is>
          <t>SOLLEFTEÅ</t>
        </is>
      </c>
      <c r="G812" t="n">
        <v>0.2</v>
      </c>
      <c r="H812" t="n">
        <v>0</v>
      </c>
      <c r="I812" t="n">
        <v>0</v>
      </c>
      <c r="J812" t="n">
        <v>0</v>
      </c>
      <c r="K812" t="n">
        <v>0</v>
      </c>
      <c r="L812" t="n">
        <v>0</v>
      </c>
      <c r="M812" t="n">
        <v>0</v>
      </c>
      <c r="N812" t="n">
        <v>0</v>
      </c>
      <c r="O812" t="n">
        <v>0</v>
      </c>
      <c r="P812" t="n">
        <v>0</v>
      </c>
      <c r="Q812" t="n">
        <v>0</v>
      </c>
      <c r="R812" s="2" t="inlineStr"/>
    </row>
    <row r="813" ht="15" customHeight="1">
      <c r="A813" t="inlineStr">
        <is>
          <t>A 57395-2023</t>
        </is>
      </c>
      <c r="B813" s="1" t="n">
        <v>45245.9678125</v>
      </c>
      <c r="C813" s="1" t="n">
        <v>45899</v>
      </c>
      <c r="D813" t="inlineStr">
        <is>
          <t>VÄSTERNORRLANDS LÄN</t>
        </is>
      </c>
      <c r="E813" t="inlineStr">
        <is>
          <t>SOLLEFTEÅ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22182-2025</t>
        </is>
      </c>
      <c r="B814" s="1" t="n">
        <v>45785.61640046296</v>
      </c>
      <c r="C814" s="1" t="n">
        <v>45899</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4838-2025</t>
        </is>
      </c>
      <c r="B815" s="1" t="n">
        <v>45688.67167824074</v>
      </c>
      <c r="C815" s="1" t="n">
        <v>45899</v>
      </c>
      <c r="D815" t="inlineStr">
        <is>
          <t>VÄSTERNORRLANDS LÄN</t>
        </is>
      </c>
      <c r="E815" t="inlineStr">
        <is>
          <t>SOLLEFTEÅ</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60389-2024</t>
        </is>
      </c>
      <c r="B816" s="1" t="n">
        <v>45643.48988425926</v>
      </c>
      <c r="C816" s="1" t="n">
        <v>45899</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46973-2024</t>
        </is>
      </c>
      <c r="B817" s="1" t="n">
        <v>45586.34424768519</v>
      </c>
      <c r="C817" s="1" t="n">
        <v>45899</v>
      </c>
      <c r="D817" t="inlineStr">
        <is>
          <t>VÄSTERNORRLANDS LÄN</t>
        </is>
      </c>
      <c r="E817" t="inlineStr">
        <is>
          <t>SOLLEFTEÅ</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60328-2023</t>
        </is>
      </c>
      <c r="B818" s="1" t="n">
        <v>45258</v>
      </c>
      <c r="C818" s="1" t="n">
        <v>45899</v>
      </c>
      <c r="D818" t="inlineStr">
        <is>
          <t>VÄSTERNORRLANDS LÄN</t>
        </is>
      </c>
      <c r="E818" t="inlineStr">
        <is>
          <t>SOLLEFTEÅ</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18623-2024</t>
        </is>
      </c>
      <c r="B819" s="1" t="n">
        <v>45425.96378472223</v>
      </c>
      <c r="C819" s="1" t="n">
        <v>45899</v>
      </c>
      <c r="D819" t="inlineStr">
        <is>
          <t>VÄSTERNORRLANDS LÄN</t>
        </is>
      </c>
      <c r="E819" t="inlineStr">
        <is>
          <t>SOLLEFTEÅ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42755-2022</t>
        </is>
      </c>
      <c r="B820" s="1" t="n">
        <v>44832</v>
      </c>
      <c r="C820" s="1" t="n">
        <v>45899</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50720-2024</t>
        </is>
      </c>
      <c r="B821" s="1" t="n">
        <v>45602.38631944444</v>
      </c>
      <c r="C821" s="1" t="n">
        <v>45899</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54617-2023</t>
        </is>
      </c>
      <c r="B822" s="1" t="n">
        <v>45233.95835648148</v>
      </c>
      <c r="C822" s="1" t="n">
        <v>45899</v>
      </c>
      <c r="D822" t="inlineStr">
        <is>
          <t>VÄSTERNORRLANDS LÄN</t>
        </is>
      </c>
      <c r="E822" t="inlineStr">
        <is>
          <t>SOLLEFTEÅ</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34397-2021</t>
        </is>
      </c>
      <c r="B823" s="1" t="n">
        <v>44379</v>
      </c>
      <c r="C823" s="1" t="n">
        <v>45899</v>
      </c>
      <c r="D823" t="inlineStr">
        <is>
          <t>VÄSTERNORRLANDS LÄN</t>
        </is>
      </c>
      <c r="E823" t="inlineStr">
        <is>
          <t>SOLLEFTEÅ</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3548-2022</t>
        </is>
      </c>
      <c r="B824" s="1" t="n">
        <v>44585.93784722222</v>
      </c>
      <c r="C824" s="1" t="n">
        <v>45899</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22390-2025</t>
        </is>
      </c>
      <c r="B825" s="1" t="n">
        <v>45786.51107638889</v>
      </c>
      <c r="C825" s="1" t="n">
        <v>45899</v>
      </c>
      <c r="D825" t="inlineStr">
        <is>
          <t>VÄSTERNORRLANDS LÄN</t>
        </is>
      </c>
      <c r="E825" t="inlineStr">
        <is>
          <t>SOLLEFTEÅ</t>
        </is>
      </c>
      <c r="G825" t="n">
        <v>8.6</v>
      </c>
      <c r="H825" t="n">
        <v>0</v>
      </c>
      <c r="I825" t="n">
        <v>0</v>
      </c>
      <c r="J825" t="n">
        <v>0</v>
      </c>
      <c r="K825" t="n">
        <v>0</v>
      </c>
      <c r="L825" t="n">
        <v>0</v>
      </c>
      <c r="M825" t="n">
        <v>0</v>
      </c>
      <c r="N825" t="n">
        <v>0</v>
      </c>
      <c r="O825" t="n">
        <v>0</v>
      </c>
      <c r="P825" t="n">
        <v>0</v>
      </c>
      <c r="Q825" t="n">
        <v>0</v>
      </c>
      <c r="R825" s="2" t="inlineStr"/>
    </row>
    <row r="826" ht="15" customHeight="1">
      <c r="A826" t="inlineStr">
        <is>
          <t>A 60420-2022</t>
        </is>
      </c>
      <c r="B826" s="1" t="n">
        <v>44910</v>
      </c>
      <c r="C826" s="1" t="n">
        <v>45899</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25847-2024</t>
        </is>
      </c>
      <c r="B827" s="1" t="n">
        <v>45467</v>
      </c>
      <c r="C827" s="1" t="n">
        <v>45899</v>
      </c>
      <c r="D827" t="inlineStr">
        <is>
          <t>VÄSTERNORRLANDS LÄN</t>
        </is>
      </c>
      <c r="E827" t="inlineStr">
        <is>
          <t>SOLLEFTEÅ</t>
        </is>
      </c>
      <c r="G827" t="n">
        <v>1.5</v>
      </c>
      <c r="H827" t="n">
        <v>0</v>
      </c>
      <c r="I827" t="n">
        <v>0</v>
      </c>
      <c r="J827" t="n">
        <v>0</v>
      </c>
      <c r="K827" t="n">
        <v>0</v>
      </c>
      <c r="L827" t="n">
        <v>0</v>
      </c>
      <c r="M827" t="n">
        <v>0</v>
      </c>
      <c r="N827" t="n">
        <v>0</v>
      </c>
      <c r="O827" t="n">
        <v>0</v>
      </c>
      <c r="P827" t="n">
        <v>0</v>
      </c>
      <c r="Q827" t="n">
        <v>0</v>
      </c>
      <c r="R827" s="2" t="inlineStr"/>
    </row>
    <row r="828" ht="15" customHeight="1">
      <c r="A828" t="inlineStr">
        <is>
          <t>A 25851-2024</t>
        </is>
      </c>
      <c r="B828" s="1" t="n">
        <v>45467.44688657407</v>
      </c>
      <c r="C828" s="1" t="n">
        <v>45899</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16562-2023</t>
        </is>
      </c>
      <c r="B829" s="1" t="n">
        <v>45029</v>
      </c>
      <c r="C829" s="1" t="n">
        <v>45899</v>
      </c>
      <c r="D829" t="inlineStr">
        <is>
          <t>VÄSTERNORRLANDS LÄN</t>
        </is>
      </c>
      <c r="E829" t="inlineStr">
        <is>
          <t>SOLLEFTEÅ</t>
        </is>
      </c>
      <c r="F829" t="inlineStr">
        <is>
          <t>SCA</t>
        </is>
      </c>
      <c r="G829" t="n">
        <v>7.9</v>
      </c>
      <c r="H829" t="n">
        <v>0</v>
      </c>
      <c r="I829" t="n">
        <v>0</v>
      </c>
      <c r="J829" t="n">
        <v>0</v>
      </c>
      <c r="K829" t="n">
        <v>0</v>
      </c>
      <c r="L829" t="n">
        <v>0</v>
      </c>
      <c r="M829" t="n">
        <v>0</v>
      </c>
      <c r="N829" t="n">
        <v>0</v>
      </c>
      <c r="O829" t="n">
        <v>0</v>
      </c>
      <c r="P829" t="n">
        <v>0</v>
      </c>
      <c r="Q829" t="n">
        <v>0</v>
      </c>
      <c r="R829" s="2" t="inlineStr"/>
    </row>
    <row r="830" ht="15" customHeight="1">
      <c r="A830" t="inlineStr">
        <is>
          <t>A 59339-2023</t>
        </is>
      </c>
      <c r="B830" s="1" t="n">
        <v>45253</v>
      </c>
      <c r="C830" s="1" t="n">
        <v>45899</v>
      </c>
      <c r="D830" t="inlineStr">
        <is>
          <t>VÄSTERNORRLANDS LÄN</t>
        </is>
      </c>
      <c r="E830" t="inlineStr">
        <is>
          <t>SOLLEFTEÅ</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22446-2025</t>
        </is>
      </c>
      <c r="B831" s="1" t="n">
        <v>45786.59439814815</v>
      </c>
      <c r="C831" s="1" t="n">
        <v>45899</v>
      </c>
      <c r="D831" t="inlineStr">
        <is>
          <t>VÄSTERNORRLANDS LÄN</t>
        </is>
      </c>
      <c r="E831" t="inlineStr">
        <is>
          <t>SOLLEFTEÅ</t>
        </is>
      </c>
      <c r="G831" t="n">
        <v>5.1</v>
      </c>
      <c r="H831" t="n">
        <v>0</v>
      </c>
      <c r="I831" t="n">
        <v>0</v>
      </c>
      <c r="J831" t="n">
        <v>0</v>
      </c>
      <c r="K831" t="n">
        <v>0</v>
      </c>
      <c r="L831" t="n">
        <v>0</v>
      </c>
      <c r="M831" t="n">
        <v>0</v>
      </c>
      <c r="N831" t="n">
        <v>0</v>
      </c>
      <c r="O831" t="n">
        <v>0</v>
      </c>
      <c r="P831" t="n">
        <v>0</v>
      </c>
      <c r="Q831" t="n">
        <v>0</v>
      </c>
      <c r="R831" s="2" t="inlineStr"/>
    </row>
    <row r="832" ht="15" customHeight="1">
      <c r="A832" t="inlineStr">
        <is>
          <t>A 40569-2024</t>
        </is>
      </c>
      <c r="B832" s="1" t="n">
        <v>45555.67744212963</v>
      </c>
      <c r="C832" s="1" t="n">
        <v>45899</v>
      </c>
      <c r="D832" t="inlineStr">
        <is>
          <t>VÄSTERNORRLANDS LÄN</t>
        </is>
      </c>
      <c r="E832" t="inlineStr">
        <is>
          <t>SOLLEFTEÅ</t>
        </is>
      </c>
      <c r="F832" t="inlineStr">
        <is>
          <t>SCA</t>
        </is>
      </c>
      <c r="G832" t="n">
        <v>0.2</v>
      </c>
      <c r="H832" t="n">
        <v>0</v>
      </c>
      <c r="I832" t="n">
        <v>0</v>
      </c>
      <c r="J832" t="n">
        <v>0</v>
      </c>
      <c r="K832" t="n">
        <v>0</v>
      </c>
      <c r="L832" t="n">
        <v>0</v>
      </c>
      <c r="M832" t="n">
        <v>0</v>
      </c>
      <c r="N832" t="n">
        <v>0</v>
      </c>
      <c r="O832" t="n">
        <v>0</v>
      </c>
      <c r="P832" t="n">
        <v>0</v>
      </c>
      <c r="Q832" t="n">
        <v>0</v>
      </c>
      <c r="R832" s="2" t="inlineStr"/>
    </row>
    <row r="833" ht="15" customHeight="1">
      <c r="A833" t="inlineStr">
        <is>
          <t>A 21099-2024</t>
        </is>
      </c>
      <c r="B833" s="1" t="n">
        <v>45439</v>
      </c>
      <c r="C833" s="1" t="n">
        <v>45899</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60361-2024</t>
        </is>
      </c>
      <c r="B834" s="1" t="n">
        <v>45643.44851851852</v>
      </c>
      <c r="C834" s="1" t="n">
        <v>45899</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44554-2024</t>
        </is>
      </c>
      <c r="B835" s="1" t="n">
        <v>45574.46940972222</v>
      </c>
      <c r="C835" s="1" t="n">
        <v>45899</v>
      </c>
      <c r="D835" t="inlineStr">
        <is>
          <t>VÄSTERNORRLANDS LÄN</t>
        </is>
      </c>
      <c r="E835" t="inlineStr">
        <is>
          <t>SOLLEFTEÅ</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44591-2024</t>
        </is>
      </c>
      <c r="B836" s="1" t="n">
        <v>45574</v>
      </c>
      <c r="C836" s="1" t="n">
        <v>45899</v>
      </c>
      <c r="D836" t="inlineStr">
        <is>
          <t>VÄSTERNORRLANDS LÄN</t>
        </is>
      </c>
      <c r="E836" t="inlineStr">
        <is>
          <t>SOLLEFTEÅ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31916-2023</t>
        </is>
      </c>
      <c r="B837" s="1" t="n">
        <v>45118.93978009259</v>
      </c>
      <c r="C837" s="1" t="n">
        <v>45899</v>
      </c>
      <c r="D837" t="inlineStr">
        <is>
          <t>VÄSTERNORRLANDS LÄN</t>
        </is>
      </c>
      <c r="E837" t="inlineStr">
        <is>
          <t>SOLLEFTEÅ</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31919-2023</t>
        </is>
      </c>
      <c r="B838" s="1" t="n">
        <v>45118</v>
      </c>
      <c r="C838" s="1" t="n">
        <v>45899</v>
      </c>
      <c r="D838" t="inlineStr">
        <is>
          <t>VÄSTERNORRLANDS LÄN</t>
        </is>
      </c>
      <c r="E838" t="inlineStr">
        <is>
          <t>SOLLEFTEÅ</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37197-2024</t>
        </is>
      </c>
      <c r="B839" s="1" t="n">
        <v>45539</v>
      </c>
      <c r="C839" s="1" t="n">
        <v>45899</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22666-2024</t>
        </is>
      </c>
      <c r="B840" s="1" t="n">
        <v>45447</v>
      </c>
      <c r="C840" s="1" t="n">
        <v>45899</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22675-2024</t>
        </is>
      </c>
      <c r="B841" s="1" t="n">
        <v>45447.94508101852</v>
      </c>
      <c r="C841" s="1" t="n">
        <v>45899</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22184-2025</t>
        </is>
      </c>
      <c r="B842" s="1" t="n">
        <v>45785.61679398148</v>
      </c>
      <c r="C842" s="1" t="n">
        <v>45899</v>
      </c>
      <c r="D842" t="inlineStr">
        <is>
          <t>VÄSTERNORRLANDS LÄN</t>
        </is>
      </c>
      <c r="E842" t="inlineStr">
        <is>
          <t>SOLLEFTEÅ</t>
        </is>
      </c>
      <c r="F842" t="inlineStr">
        <is>
          <t>SCA</t>
        </is>
      </c>
      <c r="G842" t="n">
        <v>7.4</v>
      </c>
      <c r="H842" t="n">
        <v>0</v>
      </c>
      <c r="I842" t="n">
        <v>0</v>
      </c>
      <c r="J842" t="n">
        <v>0</v>
      </c>
      <c r="K842" t="n">
        <v>0</v>
      </c>
      <c r="L842" t="n">
        <v>0</v>
      </c>
      <c r="M842" t="n">
        <v>0</v>
      </c>
      <c r="N842" t="n">
        <v>0</v>
      </c>
      <c r="O842" t="n">
        <v>0</v>
      </c>
      <c r="P842" t="n">
        <v>0</v>
      </c>
      <c r="Q842" t="n">
        <v>0</v>
      </c>
      <c r="R842" s="2" t="inlineStr"/>
    </row>
    <row r="843" ht="15" customHeight="1">
      <c r="A843" t="inlineStr">
        <is>
          <t>A 22215-2025</t>
        </is>
      </c>
      <c r="B843" s="1" t="n">
        <v>45785.65803240741</v>
      </c>
      <c r="C843" s="1" t="n">
        <v>45899</v>
      </c>
      <c r="D843" t="inlineStr">
        <is>
          <t>VÄSTERNORRLANDS LÄN</t>
        </is>
      </c>
      <c r="E843" t="inlineStr">
        <is>
          <t>SOLLEFTEÅ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22211-2025</t>
        </is>
      </c>
      <c r="B844" s="1" t="n">
        <v>45785.65752314815</v>
      </c>
      <c r="C844" s="1" t="n">
        <v>45899</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22036-2025</t>
        </is>
      </c>
      <c r="B845" s="1" t="n">
        <v>45785.31820601852</v>
      </c>
      <c r="C845" s="1" t="n">
        <v>45899</v>
      </c>
      <c r="D845" t="inlineStr">
        <is>
          <t>VÄSTERNORRLANDS LÄN</t>
        </is>
      </c>
      <c r="E845" t="inlineStr">
        <is>
          <t>SOLLEFTEÅ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62750-2022</t>
        </is>
      </c>
      <c r="B846" s="1" t="n">
        <v>44925.93922453704</v>
      </c>
      <c r="C846" s="1" t="n">
        <v>45899</v>
      </c>
      <c r="D846" t="inlineStr">
        <is>
          <t>VÄSTERNORRLANDS LÄN</t>
        </is>
      </c>
      <c r="E846" t="inlineStr">
        <is>
          <t>SOLLEFTEÅ</t>
        </is>
      </c>
      <c r="G846" t="n">
        <v>1.6</v>
      </c>
      <c r="H846" t="n">
        <v>0</v>
      </c>
      <c r="I846" t="n">
        <v>0</v>
      </c>
      <c r="J846" t="n">
        <v>0</v>
      </c>
      <c r="K846" t="n">
        <v>0</v>
      </c>
      <c r="L846" t="n">
        <v>0</v>
      </c>
      <c r="M846" t="n">
        <v>0</v>
      </c>
      <c r="N846" t="n">
        <v>0</v>
      </c>
      <c r="O846" t="n">
        <v>0</v>
      </c>
      <c r="P846" t="n">
        <v>0</v>
      </c>
      <c r="Q846" t="n">
        <v>0</v>
      </c>
      <c r="R846" s="2" t="inlineStr"/>
    </row>
    <row r="847" ht="15" customHeight="1">
      <c r="A847" t="inlineStr">
        <is>
          <t>A 46772-2024</t>
        </is>
      </c>
      <c r="B847" s="1" t="n">
        <v>45583.49666666667</v>
      </c>
      <c r="C847" s="1" t="n">
        <v>45899</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22205-2025</t>
        </is>
      </c>
      <c r="B848" s="1" t="n">
        <v>45785.65686342592</v>
      </c>
      <c r="C848" s="1" t="n">
        <v>45899</v>
      </c>
      <c r="D848" t="inlineStr">
        <is>
          <t>VÄSTERNORRLANDS LÄN</t>
        </is>
      </c>
      <c r="E848" t="inlineStr">
        <is>
          <t>SOLLEFTEÅ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22207-2025</t>
        </is>
      </c>
      <c r="B849" s="1" t="n">
        <v>45785.65710648148</v>
      </c>
      <c r="C849" s="1" t="n">
        <v>45899</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22217-2025</t>
        </is>
      </c>
      <c r="B850" s="1" t="n">
        <v>45785.65828703704</v>
      </c>
      <c r="C850" s="1" t="n">
        <v>45899</v>
      </c>
      <c r="D850" t="inlineStr">
        <is>
          <t>VÄSTERNORRLANDS LÄN</t>
        </is>
      </c>
      <c r="E850" t="inlineStr">
        <is>
          <t>SOLLEFTEÅ</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22218-2025</t>
        </is>
      </c>
      <c r="B851" s="1" t="n">
        <v>45785.65840277778</v>
      </c>
      <c r="C851" s="1" t="n">
        <v>45899</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25703-2024</t>
        </is>
      </c>
      <c r="B852" s="1" t="n">
        <v>45463</v>
      </c>
      <c r="C852" s="1" t="n">
        <v>45899</v>
      </c>
      <c r="D852" t="inlineStr">
        <is>
          <t>VÄSTERNORRLANDS LÄN</t>
        </is>
      </c>
      <c r="E852" t="inlineStr">
        <is>
          <t>SOLLEFTEÅ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25704-2024</t>
        </is>
      </c>
      <c r="B853" s="1" t="n">
        <v>45463.94270833334</v>
      </c>
      <c r="C853" s="1" t="n">
        <v>45899</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50864-2024</t>
        </is>
      </c>
      <c r="B854" s="1" t="n">
        <v>45602.63653935185</v>
      </c>
      <c r="C854" s="1" t="n">
        <v>45899</v>
      </c>
      <c r="D854" t="inlineStr">
        <is>
          <t>VÄSTERNORRLANDS LÄN</t>
        </is>
      </c>
      <c r="E854" t="inlineStr">
        <is>
          <t>SOLLEFTEÅ</t>
        </is>
      </c>
      <c r="G854" t="n">
        <v>9.5</v>
      </c>
      <c r="H854" t="n">
        <v>0</v>
      </c>
      <c r="I854" t="n">
        <v>0</v>
      </c>
      <c r="J854" t="n">
        <v>0</v>
      </c>
      <c r="K854" t="n">
        <v>0</v>
      </c>
      <c r="L854" t="n">
        <v>0</v>
      </c>
      <c r="M854" t="n">
        <v>0</v>
      </c>
      <c r="N854" t="n">
        <v>0</v>
      </c>
      <c r="O854" t="n">
        <v>0</v>
      </c>
      <c r="P854" t="n">
        <v>0</v>
      </c>
      <c r="Q854" t="n">
        <v>0</v>
      </c>
      <c r="R854" s="2" t="inlineStr"/>
    </row>
    <row r="855" ht="15" customHeight="1">
      <c r="A855" t="inlineStr">
        <is>
          <t>A 35417-2024</t>
        </is>
      </c>
      <c r="B855" s="1" t="n">
        <v>45531.40851851852</v>
      </c>
      <c r="C855" s="1" t="n">
        <v>45899</v>
      </c>
      <c r="D855" t="inlineStr">
        <is>
          <t>VÄSTERNORRLANDS LÄN</t>
        </is>
      </c>
      <c r="E855" t="inlineStr">
        <is>
          <t>SOLLEFTEÅ</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35420-2024</t>
        </is>
      </c>
      <c r="B856" s="1" t="n">
        <v>45531</v>
      </c>
      <c r="C856" s="1" t="n">
        <v>45899</v>
      </c>
      <c r="D856" t="inlineStr">
        <is>
          <t>VÄSTERNORRLANDS LÄN</t>
        </is>
      </c>
      <c r="E856" t="inlineStr">
        <is>
          <t>SOLLEFTEÅ</t>
        </is>
      </c>
      <c r="F856" t="inlineStr">
        <is>
          <t>SCA</t>
        </is>
      </c>
      <c r="G856" t="n">
        <v>9.1</v>
      </c>
      <c r="H856" t="n">
        <v>0</v>
      </c>
      <c r="I856" t="n">
        <v>0</v>
      </c>
      <c r="J856" t="n">
        <v>0</v>
      </c>
      <c r="K856" t="n">
        <v>0</v>
      </c>
      <c r="L856" t="n">
        <v>0</v>
      </c>
      <c r="M856" t="n">
        <v>0</v>
      </c>
      <c r="N856" t="n">
        <v>0</v>
      </c>
      <c r="O856" t="n">
        <v>0</v>
      </c>
      <c r="P856" t="n">
        <v>0</v>
      </c>
      <c r="Q856" t="n">
        <v>0</v>
      </c>
      <c r="R856" s="2" t="inlineStr"/>
    </row>
    <row r="857" ht="15" customHeight="1">
      <c r="A857" t="inlineStr">
        <is>
          <t>A 25363-2024</t>
        </is>
      </c>
      <c r="B857" s="1" t="n">
        <v>45462.95833333334</v>
      </c>
      <c r="C857" s="1" t="n">
        <v>45899</v>
      </c>
      <c r="D857" t="inlineStr">
        <is>
          <t>VÄSTERNORRLANDS LÄN</t>
        </is>
      </c>
      <c r="E857" t="inlineStr">
        <is>
          <t>SOLLEFTEÅ</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25384-2024</t>
        </is>
      </c>
      <c r="B858" s="1" t="n">
        <v>45462.96334490741</v>
      </c>
      <c r="C858" s="1" t="n">
        <v>45899</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61480-2021</t>
        </is>
      </c>
      <c r="B859" s="1" t="n">
        <v>44500</v>
      </c>
      <c r="C859" s="1" t="n">
        <v>45899</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56176-2022</t>
        </is>
      </c>
      <c r="B860" s="1" t="n">
        <v>44889.94862268519</v>
      </c>
      <c r="C860" s="1" t="n">
        <v>45899</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34765-2024</t>
        </is>
      </c>
      <c r="B861" s="1" t="n">
        <v>45526</v>
      </c>
      <c r="C861" s="1" t="n">
        <v>45899</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23542-2024</t>
        </is>
      </c>
      <c r="B862" s="1" t="n">
        <v>45453.95262731481</v>
      </c>
      <c r="C862" s="1" t="n">
        <v>45899</v>
      </c>
      <c r="D862" t="inlineStr">
        <is>
          <t>VÄSTERNORRLANDS LÄN</t>
        </is>
      </c>
      <c r="E862" t="inlineStr">
        <is>
          <t>SOLLEFTEÅ</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48720-2024</t>
        </is>
      </c>
      <c r="B863" s="1" t="n">
        <v>45593.54666666667</v>
      </c>
      <c r="C863" s="1" t="n">
        <v>45899</v>
      </c>
      <c r="D863" t="inlineStr">
        <is>
          <t>VÄSTERNORRLANDS LÄN</t>
        </is>
      </c>
      <c r="E863" t="inlineStr">
        <is>
          <t>SOLLEFTEÅ</t>
        </is>
      </c>
      <c r="G863" t="n">
        <v>3.9</v>
      </c>
      <c r="H863" t="n">
        <v>0</v>
      </c>
      <c r="I863" t="n">
        <v>0</v>
      </c>
      <c r="J863" t="n">
        <v>0</v>
      </c>
      <c r="K863" t="n">
        <v>0</v>
      </c>
      <c r="L863" t="n">
        <v>0</v>
      </c>
      <c r="M863" t="n">
        <v>0</v>
      </c>
      <c r="N863" t="n">
        <v>0</v>
      </c>
      <c r="O863" t="n">
        <v>0</v>
      </c>
      <c r="P863" t="n">
        <v>0</v>
      </c>
      <c r="Q863" t="n">
        <v>0</v>
      </c>
      <c r="R863" s="2" t="inlineStr"/>
    </row>
    <row r="864" ht="15" customHeight="1">
      <c r="A864" t="inlineStr">
        <is>
          <t>A 22046-2025</t>
        </is>
      </c>
      <c r="B864" s="1" t="n">
        <v>45785.34412037037</v>
      </c>
      <c r="C864" s="1" t="n">
        <v>45899</v>
      </c>
      <c r="D864" t="inlineStr">
        <is>
          <t>VÄSTERNORRLANDS LÄN</t>
        </is>
      </c>
      <c r="E864" t="inlineStr">
        <is>
          <t>SOLLEFTEÅ</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22106-2025</t>
        </is>
      </c>
      <c r="B865" s="1" t="n">
        <v>45785.48988425926</v>
      </c>
      <c r="C865" s="1" t="n">
        <v>45899</v>
      </c>
      <c r="D865" t="inlineStr">
        <is>
          <t>VÄSTERNORRLANDS LÄN</t>
        </is>
      </c>
      <c r="E865" t="inlineStr">
        <is>
          <t>SOLLEFTEÅ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22704-2025</t>
        </is>
      </c>
      <c r="B866" s="1" t="n">
        <v>45789.55251157407</v>
      </c>
      <c r="C866" s="1" t="n">
        <v>45899</v>
      </c>
      <c r="D866" t="inlineStr">
        <is>
          <t>VÄSTERNORRLANDS LÄN</t>
        </is>
      </c>
      <c r="E866" t="inlineStr">
        <is>
          <t>SOLLEFTEÅ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26172-2024</t>
        </is>
      </c>
      <c r="B867" s="1" t="n">
        <v>45468</v>
      </c>
      <c r="C867" s="1" t="n">
        <v>45899</v>
      </c>
      <c r="D867" t="inlineStr">
        <is>
          <t>VÄSTERNORRLANDS LÄN</t>
        </is>
      </c>
      <c r="E867" t="inlineStr">
        <is>
          <t>SOLLEFTEÅ</t>
        </is>
      </c>
      <c r="G867" t="n">
        <v>4.4</v>
      </c>
      <c r="H867" t="n">
        <v>0</v>
      </c>
      <c r="I867" t="n">
        <v>0</v>
      </c>
      <c r="J867" t="n">
        <v>0</v>
      </c>
      <c r="K867" t="n">
        <v>0</v>
      </c>
      <c r="L867" t="n">
        <v>0</v>
      </c>
      <c r="M867" t="n">
        <v>0</v>
      </c>
      <c r="N867" t="n">
        <v>0</v>
      </c>
      <c r="O867" t="n">
        <v>0</v>
      </c>
      <c r="P867" t="n">
        <v>0</v>
      </c>
      <c r="Q867" t="n">
        <v>0</v>
      </c>
      <c r="R867" s="2" t="inlineStr"/>
    </row>
    <row r="868" ht="15" customHeight="1">
      <c r="A868" t="inlineStr">
        <is>
          <t>A 47272-2022</t>
        </is>
      </c>
      <c r="B868" s="1" t="n">
        <v>44852.95016203704</v>
      </c>
      <c r="C868" s="1" t="n">
        <v>45899</v>
      </c>
      <c r="D868" t="inlineStr">
        <is>
          <t>VÄSTERNORRLANDS LÄN</t>
        </is>
      </c>
      <c r="E868" t="inlineStr">
        <is>
          <t>SOLLEFTEÅ</t>
        </is>
      </c>
      <c r="G868" t="n">
        <v>12.2</v>
      </c>
      <c r="H868" t="n">
        <v>0</v>
      </c>
      <c r="I868" t="n">
        <v>0</v>
      </c>
      <c r="J868" t="n">
        <v>0</v>
      </c>
      <c r="K868" t="n">
        <v>0</v>
      </c>
      <c r="L868" t="n">
        <v>0</v>
      </c>
      <c r="M868" t="n">
        <v>0</v>
      </c>
      <c r="N868" t="n">
        <v>0</v>
      </c>
      <c r="O868" t="n">
        <v>0</v>
      </c>
      <c r="P868" t="n">
        <v>0</v>
      </c>
      <c r="Q868" t="n">
        <v>0</v>
      </c>
      <c r="R868" s="2" t="inlineStr"/>
    </row>
    <row r="869" ht="15" customHeight="1">
      <c r="A869" t="inlineStr">
        <is>
          <t>A 22208-2024</t>
        </is>
      </c>
      <c r="B869" s="1" t="n">
        <v>45446.38181712963</v>
      </c>
      <c r="C869" s="1" t="n">
        <v>45899</v>
      </c>
      <c r="D869" t="inlineStr">
        <is>
          <t>VÄSTERNORRLANDS LÄN</t>
        </is>
      </c>
      <c r="E869" t="inlineStr">
        <is>
          <t>SOLLEFTEÅ</t>
        </is>
      </c>
      <c r="G869" t="n">
        <v>2.2</v>
      </c>
      <c r="H869" t="n">
        <v>0</v>
      </c>
      <c r="I869" t="n">
        <v>0</v>
      </c>
      <c r="J869" t="n">
        <v>0</v>
      </c>
      <c r="K869" t="n">
        <v>0</v>
      </c>
      <c r="L869" t="n">
        <v>0</v>
      </c>
      <c r="M869" t="n">
        <v>0</v>
      </c>
      <c r="N869" t="n">
        <v>0</v>
      </c>
      <c r="O869" t="n">
        <v>0</v>
      </c>
      <c r="P869" t="n">
        <v>0</v>
      </c>
      <c r="Q869" t="n">
        <v>0</v>
      </c>
      <c r="R869" s="2" t="inlineStr"/>
    </row>
    <row r="870" ht="15" customHeight="1">
      <c r="A870" t="inlineStr">
        <is>
          <t>A 27314-2024</t>
        </is>
      </c>
      <c r="B870" s="1" t="n">
        <v>45471.94633101852</v>
      </c>
      <c r="C870" s="1" t="n">
        <v>45899</v>
      </c>
      <c r="D870" t="inlineStr">
        <is>
          <t>VÄSTERNORRLANDS LÄN</t>
        </is>
      </c>
      <c r="E870" t="inlineStr">
        <is>
          <t>SOLLEFTEÅ</t>
        </is>
      </c>
      <c r="G870" t="n">
        <v>3.8</v>
      </c>
      <c r="H870" t="n">
        <v>0</v>
      </c>
      <c r="I870" t="n">
        <v>0</v>
      </c>
      <c r="J870" t="n">
        <v>0</v>
      </c>
      <c r="K870" t="n">
        <v>0</v>
      </c>
      <c r="L870" t="n">
        <v>0</v>
      </c>
      <c r="M870" t="n">
        <v>0</v>
      </c>
      <c r="N870" t="n">
        <v>0</v>
      </c>
      <c r="O870" t="n">
        <v>0</v>
      </c>
      <c r="P870" t="n">
        <v>0</v>
      </c>
      <c r="Q870" t="n">
        <v>0</v>
      </c>
      <c r="R870" s="2" t="inlineStr"/>
      <c r="U870">
        <f>HYPERLINK("https://klasma.github.io/Logging_2283/knärot/A 27314-2024 karta knärot.png", "A 27314-2024")</f>
        <v/>
      </c>
      <c r="V870">
        <f>HYPERLINK("https://klasma.github.io/Logging_2283/klagomål/A 27314-2024 FSC-klagomål.docx", "A 27314-2024")</f>
        <v/>
      </c>
      <c r="W870">
        <f>HYPERLINK("https://klasma.github.io/Logging_2283/klagomålsmail/A 27314-2024 FSC-klagomål mail.docx", "A 27314-2024")</f>
        <v/>
      </c>
      <c r="X870">
        <f>HYPERLINK("https://klasma.github.io/Logging_2283/tillsyn/A 27314-2024 tillsynsbegäran.docx", "A 27314-2024")</f>
        <v/>
      </c>
      <c r="Y870">
        <f>HYPERLINK("https://klasma.github.io/Logging_2283/tillsynsmail/A 27314-2024 tillsynsbegäran mail.docx", "A 27314-2024")</f>
        <v/>
      </c>
    </row>
    <row r="871" ht="15" customHeight="1">
      <c r="A871" t="inlineStr">
        <is>
          <t>A 49665-2022</t>
        </is>
      </c>
      <c r="B871" s="1" t="n">
        <v>44862</v>
      </c>
      <c r="C871" s="1" t="n">
        <v>45899</v>
      </c>
      <c r="D871" t="inlineStr">
        <is>
          <t>VÄSTERNORRLANDS LÄN</t>
        </is>
      </c>
      <c r="E871" t="inlineStr">
        <is>
          <t>SOLLEFTEÅ</t>
        </is>
      </c>
      <c r="F871" t="inlineStr">
        <is>
          <t>Holmen skog AB</t>
        </is>
      </c>
      <c r="G871" t="n">
        <v>3</v>
      </c>
      <c r="H871" t="n">
        <v>0</v>
      </c>
      <c r="I871" t="n">
        <v>0</v>
      </c>
      <c r="J871" t="n">
        <v>0</v>
      </c>
      <c r="K871" t="n">
        <v>0</v>
      </c>
      <c r="L871" t="n">
        <v>0</v>
      </c>
      <c r="M871" t="n">
        <v>0</v>
      </c>
      <c r="N871" t="n">
        <v>0</v>
      </c>
      <c r="O871" t="n">
        <v>0</v>
      </c>
      <c r="P871" t="n">
        <v>0</v>
      </c>
      <c r="Q871" t="n">
        <v>0</v>
      </c>
      <c r="R871" s="2" t="inlineStr"/>
    </row>
    <row r="872" ht="15" customHeight="1">
      <c r="A872" t="inlineStr">
        <is>
          <t>A 25702-2024</t>
        </is>
      </c>
      <c r="B872" s="1" t="n">
        <v>45463</v>
      </c>
      <c r="C872" s="1" t="n">
        <v>45899</v>
      </c>
      <c r="D872" t="inlineStr">
        <is>
          <t>VÄSTERNORRLANDS LÄN</t>
        </is>
      </c>
      <c r="E872" t="inlineStr">
        <is>
          <t>SOLLEFTEÅ</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25711-2024</t>
        </is>
      </c>
      <c r="B873" s="1" t="n">
        <v>45463</v>
      </c>
      <c r="C873" s="1" t="n">
        <v>45899</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35673-2024</t>
        </is>
      </c>
      <c r="B874" s="1" t="n">
        <v>45532.39119212963</v>
      </c>
      <c r="C874" s="1" t="n">
        <v>45899</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22615-2025</t>
        </is>
      </c>
      <c r="B875" s="1" t="n">
        <v>45789.42741898148</v>
      </c>
      <c r="C875" s="1" t="n">
        <v>45899</v>
      </c>
      <c r="D875" t="inlineStr">
        <is>
          <t>VÄSTERNORRLANDS LÄN</t>
        </is>
      </c>
      <c r="E875" t="inlineStr">
        <is>
          <t>SOLLEFTEÅ</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24731-2021</t>
        </is>
      </c>
      <c r="B876" s="1" t="n">
        <v>44340</v>
      </c>
      <c r="C876" s="1" t="n">
        <v>45899</v>
      </c>
      <c r="D876" t="inlineStr">
        <is>
          <t>VÄSTERNORRLANDS LÄN</t>
        </is>
      </c>
      <c r="E876" t="inlineStr">
        <is>
          <t>SOLLEFTEÅ</t>
        </is>
      </c>
      <c r="G876" t="n">
        <v>5.3</v>
      </c>
      <c r="H876" t="n">
        <v>0</v>
      </c>
      <c r="I876" t="n">
        <v>0</v>
      </c>
      <c r="J876" t="n">
        <v>0</v>
      </c>
      <c r="K876" t="n">
        <v>0</v>
      </c>
      <c r="L876" t="n">
        <v>0</v>
      </c>
      <c r="M876" t="n">
        <v>0</v>
      </c>
      <c r="N876" t="n">
        <v>0</v>
      </c>
      <c r="O876" t="n">
        <v>0</v>
      </c>
      <c r="P876" t="n">
        <v>0</v>
      </c>
      <c r="Q876" t="n">
        <v>0</v>
      </c>
      <c r="R876" s="2" t="inlineStr"/>
    </row>
    <row r="877" ht="15" customHeight="1">
      <c r="A877" t="inlineStr">
        <is>
          <t>A 34284-2023</t>
        </is>
      </c>
      <c r="B877" s="1" t="n">
        <v>45128</v>
      </c>
      <c r="C877" s="1" t="n">
        <v>45899</v>
      </c>
      <c r="D877" t="inlineStr">
        <is>
          <t>VÄSTERNORRLANDS LÄN</t>
        </is>
      </c>
      <c r="E877" t="inlineStr">
        <is>
          <t>SOLLEFTEÅ</t>
        </is>
      </c>
      <c r="G877" t="n">
        <v>6.6</v>
      </c>
      <c r="H877" t="n">
        <v>0</v>
      </c>
      <c r="I877" t="n">
        <v>0</v>
      </c>
      <c r="J877" t="n">
        <v>0</v>
      </c>
      <c r="K877" t="n">
        <v>0</v>
      </c>
      <c r="L877" t="n">
        <v>0</v>
      </c>
      <c r="M877" t="n">
        <v>0</v>
      </c>
      <c r="N877" t="n">
        <v>0</v>
      </c>
      <c r="O877" t="n">
        <v>0</v>
      </c>
      <c r="P877" t="n">
        <v>0</v>
      </c>
      <c r="Q877" t="n">
        <v>0</v>
      </c>
      <c r="R877" s="2" t="inlineStr"/>
    </row>
    <row r="878" ht="15" customHeight="1">
      <c r="A878" t="inlineStr">
        <is>
          <t>A 34311-2023</t>
        </is>
      </c>
      <c r="B878" s="1" t="n">
        <v>45138.92317129629</v>
      </c>
      <c r="C878" s="1" t="n">
        <v>45899</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34329-2023</t>
        </is>
      </c>
      <c r="B879" s="1" t="n">
        <v>45138.94997685185</v>
      </c>
      <c r="C879" s="1" t="n">
        <v>45899</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41028-2024</t>
        </is>
      </c>
      <c r="B880" s="1" t="n">
        <v>45559.34466435185</v>
      </c>
      <c r="C880" s="1" t="n">
        <v>45899</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24199-2024</t>
        </is>
      </c>
      <c r="B881" s="1" t="n">
        <v>45456.96634259259</v>
      </c>
      <c r="C881" s="1" t="n">
        <v>45899</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64133-2023</t>
        </is>
      </c>
      <c r="B882" s="1" t="n">
        <v>45279</v>
      </c>
      <c r="C882" s="1" t="n">
        <v>45899</v>
      </c>
      <c r="D882" t="inlineStr">
        <is>
          <t>VÄSTERNORRLANDS LÄN</t>
        </is>
      </c>
      <c r="E882" t="inlineStr">
        <is>
          <t>SOLLEFTEÅ</t>
        </is>
      </c>
      <c r="G882" t="n">
        <v>3.7</v>
      </c>
      <c r="H882" t="n">
        <v>0</v>
      </c>
      <c r="I882" t="n">
        <v>0</v>
      </c>
      <c r="J882" t="n">
        <v>0</v>
      </c>
      <c r="K882" t="n">
        <v>0</v>
      </c>
      <c r="L882" t="n">
        <v>0</v>
      </c>
      <c r="M882" t="n">
        <v>0</v>
      </c>
      <c r="N882" t="n">
        <v>0</v>
      </c>
      <c r="O882" t="n">
        <v>0</v>
      </c>
      <c r="P882" t="n">
        <v>0</v>
      </c>
      <c r="Q882" t="n">
        <v>0</v>
      </c>
      <c r="R882" s="2" t="inlineStr"/>
    </row>
    <row r="883" ht="15" customHeight="1">
      <c r="A883" t="inlineStr">
        <is>
          <t>A 25799-2024</t>
        </is>
      </c>
      <c r="B883" s="1" t="n">
        <v>45463</v>
      </c>
      <c r="C883" s="1" t="n">
        <v>45899</v>
      </c>
      <c r="D883" t="inlineStr">
        <is>
          <t>VÄSTERNORRLANDS LÄN</t>
        </is>
      </c>
      <c r="E883" t="inlineStr">
        <is>
          <t>SOLLEFTEÅ</t>
        </is>
      </c>
      <c r="F883" t="inlineStr">
        <is>
          <t>Kommuner</t>
        </is>
      </c>
      <c r="G883" t="n">
        <v>1.2</v>
      </c>
      <c r="H883" t="n">
        <v>0</v>
      </c>
      <c r="I883" t="n">
        <v>0</v>
      </c>
      <c r="J883" t="n">
        <v>0</v>
      </c>
      <c r="K883" t="n">
        <v>0</v>
      </c>
      <c r="L883" t="n">
        <v>0</v>
      </c>
      <c r="M883" t="n">
        <v>0</v>
      </c>
      <c r="N883" t="n">
        <v>0</v>
      </c>
      <c r="O883" t="n">
        <v>0</v>
      </c>
      <c r="P883" t="n">
        <v>0</v>
      </c>
      <c r="Q883" t="n">
        <v>0</v>
      </c>
      <c r="R883" s="2" t="inlineStr"/>
    </row>
    <row r="884" ht="15" customHeight="1">
      <c r="A884" t="inlineStr">
        <is>
          <t>A 22767-2025</t>
        </is>
      </c>
      <c r="B884" s="1" t="n">
        <v>45789.63309027778</v>
      </c>
      <c r="C884" s="1" t="n">
        <v>45899</v>
      </c>
      <c r="D884" t="inlineStr">
        <is>
          <t>VÄSTERNORRLANDS LÄN</t>
        </is>
      </c>
      <c r="E884" t="inlineStr">
        <is>
          <t>SOLLEFTEÅ</t>
        </is>
      </c>
      <c r="G884" t="n">
        <v>5.8</v>
      </c>
      <c r="H884" t="n">
        <v>0</v>
      </c>
      <c r="I884" t="n">
        <v>0</v>
      </c>
      <c r="J884" t="n">
        <v>0</v>
      </c>
      <c r="K884" t="n">
        <v>0</v>
      </c>
      <c r="L884" t="n">
        <v>0</v>
      </c>
      <c r="M884" t="n">
        <v>0</v>
      </c>
      <c r="N884" t="n">
        <v>0</v>
      </c>
      <c r="O884" t="n">
        <v>0</v>
      </c>
      <c r="P884" t="n">
        <v>0</v>
      </c>
      <c r="Q884" t="n">
        <v>0</v>
      </c>
      <c r="R884" s="2" t="inlineStr"/>
    </row>
    <row r="885" ht="15" customHeight="1">
      <c r="A885" t="inlineStr">
        <is>
          <t>A 22815-2025</t>
        </is>
      </c>
      <c r="B885" s="1" t="n">
        <v>45789.69826388889</v>
      </c>
      <c r="C885" s="1" t="n">
        <v>45899</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55643-2021</t>
        </is>
      </c>
      <c r="B886" s="1" t="n">
        <v>44475</v>
      </c>
      <c r="C886" s="1" t="n">
        <v>45899</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42963-2024</t>
        </is>
      </c>
      <c r="B887" s="1" t="n">
        <v>45567.37240740741</v>
      </c>
      <c r="C887" s="1" t="n">
        <v>45899</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22737-2025</t>
        </is>
      </c>
      <c r="B888" s="1" t="n">
        <v>45789.59130787037</v>
      </c>
      <c r="C888" s="1" t="n">
        <v>45899</v>
      </c>
      <c r="D888" t="inlineStr">
        <is>
          <t>VÄSTERNORRLANDS LÄN</t>
        </is>
      </c>
      <c r="E888" t="inlineStr">
        <is>
          <t>SOLLEFTEÅ</t>
        </is>
      </c>
      <c r="G888" t="n">
        <v>15.6</v>
      </c>
      <c r="H888" t="n">
        <v>0</v>
      </c>
      <c r="I888" t="n">
        <v>0</v>
      </c>
      <c r="J888" t="n">
        <v>0</v>
      </c>
      <c r="K888" t="n">
        <v>0</v>
      </c>
      <c r="L888" t="n">
        <v>0</v>
      </c>
      <c r="M888" t="n">
        <v>0</v>
      </c>
      <c r="N888" t="n">
        <v>0</v>
      </c>
      <c r="O888" t="n">
        <v>0</v>
      </c>
      <c r="P888" t="n">
        <v>0</v>
      </c>
      <c r="Q888" t="n">
        <v>0</v>
      </c>
      <c r="R888" s="2" t="inlineStr"/>
    </row>
    <row r="889" ht="15" customHeight="1">
      <c r="A889" t="inlineStr">
        <is>
          <t>A 22287-2025</t>
        </is>
      </c>
      <c r="B889" s="1" t="n">
        <v>45786.34409722222</v>
      </c>
      <c r="C889" s="1" t="n">
        <v>45899</v>
      </c>
      <c r="D889" t="inlineStr">
        <is>
          <t>VÄSTERNORRLANDS LÄN</t>
        </is>
      </c>
      <c r="E889" t="inlineStr">
        <is>
          <t>SOLLEFTEÅ</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10549-2023</t>
        </is>
      </c>
      <c r="B890" s="1" t="n">
        <v>44987</v>
      </c>
      <c r="C890" s="1" t="n">
        <v>45899</v>
      </c>
      <c r="D890" t="inlineStr">
        <is>
          <t>VÄSTERNORRLANDS LÄN</t>
        </is>
      </c>
      <c r="E890" t="inlineStr">
        <is>
          <t>SOLLEFTEÅ</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22810-2025</t>
        </is>
      </c>
      <c r="B891" s="1" t="n">
        <v>45789.68076388889</v>
      </c>
      <c r="C891" s="1" t="n">
        <v>45899</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22854-2025</t>
        </is>
      </c>
      <c r="B892" s="1" t="n">
        <v>45790.34457175926</v>
      </c>
      <c r="C892" s="1" t="n">
        <v>45899</v>
      </c>
      <c r="D892" t="inlineStr">
        <is>
          <t>VÄSTERNORRLANDS LÄN</t>
        </is>
      </c>
      <c r="E892" t="inlineStr">
        <is>
          <t>SOLLEFTEÅ</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10438-2025</t>
        </is>
      </c>
      <c r="B893" s="1" t="n">
        <v>45720.67761574074</v>
      </c>
      <c r="C893" s="1" t="n">
        <v>45899</v>
      </c>
      <c r="D893" t="inlineStr">
        <is>
          <t>VÄSTERNORRLANDS LÄN</t>
        </is>
      </c>
      <c r="E893" t="inlineStr">
        <is>
          <t>SOLLEFTEÅ</t>
        </is>
      </c>
      <c r="F893" t="inlineStr">
        <is>
          <t>SCA</t>
        </is>
      </c>
      <c r="G893" t="n">
        <v>14.6</v>
      </c>
      <c r="H893" t="n">
        <v>0</v>
      </c>
      <c r="I893" t="n">
        <v>0</v>
      </c>
      <c r="J893" t="n">
        <v>0</v>
      </c>
      <c r="K893" t="n">
        <v>0</v>
      </c>
      <c r="L893" t="n">
        <v>0</v>
      </c>
      <c r="M893" t="n">
        <v>0</v>
      </c>
      <c r="N893" t="n">
        <v>0</v>
      </c>
      <c r="O893" t="n">
        <v>0</v>
      </c>
      <c r="P893" t="n">
        <v>0</v>
      </c>
      <c r="Q893" t="n">
        <v>0</v>
      </c>
      <c r="R893" s="2" t="inlineStr"/>
    </row>
    <row r="894" ht="15" customHeight="1">
      <c r="A894" t="inlineStr">
        <is>
          <t>A 21089-2025</t>
        </is>
      </c>
      <c r="B894" s="1" t="n">
        <v>45777</v>
      </c>
      <c r="C894" s="1" t="n">
        <v>45899</v>
      </c>
      <c r="D894" t="inlineStr">
        <is>
          <t>VÄSTERNORRLANDS LÄN</t>
        </is>
      </c>
      <c r="E894" t="inlineStr">
        <is>
          <t>SOLLEFTEÅ</t>
        </is>
      </c>
      <c r="F894" t="inlineStr">
        <is>
          <t>SCA</t>
        </is>
      </c>
      <c r="G894" t="n">
        <v>19.9</v>
      </c>
      <c r="H894" t="n">
        <v>0</v>
      </c>
      <c r="I894" t="n">
        <v>0</v>
      </c>
      <c r="J894" t="n">
        <v>0</v>
      </c>
      <c r="K894" t="n">
        <v>0</v>
      </c>
      <c r="L894" t="n">
        <v>0</v>
      </c>
      <c r="M894" t="n">
        <v>0</v>
      </c>
      <c r="N894" t="n">
        <v>0</v>
      </c>
      <c r="O894" t="n">
        <v>0</v>
      </c>
      <c r="P894" t="n">
        <v>0</v>
      </c>
      <c r="Q894" t="n">
        <v>0</v>
      </c>
      <c r="R894" s="2" t="inlineStr"/>
    </row>
    <row r="895" ht="15" customHeight="1">
      <c r="A895" t="inlineStr">
        <is>
          <t>A 8851-2025</t>
        </is>
      </c>
      <c r="B895" s="1" t="n">
        <v>45713.34465277778</v>
      </c>
      <c r="C895" s="1" t="n">
        <v>45899</v>
      </c>
      <c r="D895" t="inlineStr">
        <is>
          <t>VÄSTERNORRLANDS LÄN</t>
        </is>
      </c>
      <c r="E895" t="inlineStr">
        <is>
          <t>SOLLEFTEÅ</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20389-2025</t>
        </is>
      </c>
      <c r="B896" s="1" t="n">
        <v>45775</v>
      </c>
      <c r="C896" s="1" t="n">
        <v>45899</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967-2025</t>
        </is>
      </c>
      <c r="B897" s="1" t="n">
        <v>45666</v>
      </c>
      <c r="C897" s="1" t="n">
        <v>45899</v>
      </c>
      <c r="D897" t="inlineStr">
        <is>
          <t>VÄSTERNORRLANDS LÄN</t>
        </is>
      </c>
      <c r="E897" t="inlineStr">
        <is>
          <t>SOLLEFTEÅ</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17258-2025</t>
        </is>
      </c>
      <c r="B898" s="1" t="n">
        <v>45756.53278935186</v>
      </c>
      <c r="C898" s="1" t="n">
        <v>45899</v>
      </c>
      <c r="D898" t="inlineStr">
        <is>
          <t>VÄSTERNORRLANDS LÄN</t>
        </is>
      </c>
      <c r="E898" t="inlineStr">
        <is>
          <t>SOLLEFTEÅ</t>
        </is>
      </c>
      <c r="G898" t="n">
        <v>6.8</v>
      </c>
      <c r="H898" t="n">
        <v>0</v>
      </c>
      <c r="I898" t="n">
        <v>0</v>
      </c>
      <c r="J898" t="n">
        <v>0</v>
      </c>
      <c r="K898" t="n">
        <v>0</v>
      </c>
      <c r="L898" t="n">
        <v>0</v>
      </c>
      <c r="M898" t="n">
        <v>0</v>
      </c>
      <c r="N898" t="n">
        <v>0</v>
      </c>
      <c r="O898" t="n">
        <v>0</v>
      </c>
      <c r="P898" t="n">
        <v>0</v>
      </c>
      <c r="Q898" t="n">
        <v>0</v>
      </c>
      <c r="R898" s="2" t="inlineStr"/>
    </row>
    <row r="899" ht="15" customHeight="1">
      <c r="A899" t="inlineStr">
        <is>
          <t>A 55859-2023</t>
        </is>
      </c>
      <c r="B899" s="1" t="n">
        <v>45239</v>
      </c>
      <c r="C899" s="1" t="n">
        <v>45899</v>
      </c>
      <c r="D899" t="inlineStr">
        <is>
          <t>VÄSTERNORRLANDS LÄN</t>
        </is>
      </c>
      <c r="E899" t="inlineStr">
        <is>
          <t>SOLLEFTEÅ</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18100-2025</t>
        </is>
      </c>
      <c r="B900" s="1" t="n">
        <v>45761.55240740741</v>
      </c>
      <c r="C900" s="1" t="n">
        <v>45899</v>
      </c>
      <c r="D900" t="inlineStr">
        <is>
          <t>VÄSTERNORRLANDS LÄN</t>
        </is>
      </c>
      <c r="E900" t="inlineStr">
        <is>
          <t>SOLLEFTEÅ</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22866-2025</t>
        </is>
      </c>
      <c r="B901" s="1" t="n">
        <v>45790.36519675926</v>
      </c>
      <c r="C901" s="1" t="n">
        <v>45899</v>
      </c>
      <c r="D901" t="inlineStr">
        <is>
          <t>VÄSTERNORRLANDS LÄN</t>
        </is>
      </c>
      <c r="E901" t="inlineStr">
        <is>
          <t>SOLLEFTEÅ</t>
        </is>
      </c>
      <c r="F901" t="inlineStr">
        <is>
          <t>SCA</t>
        </is>
      </c>
      <c r="G901" t="n">
        <v>16.2</v>
      </c>
      <c r="H901" t="n">
        <v>0</v>
      </c>
      <c r="I901" t="n">
        <v>0</v>
      </c>
      <c r="J901" t="n">
        <v>0</v>
      </c>
      <c r="K901" t="n">
        <v>0</v>
      </c>
      <c r="L901" t="n">
        <v>0</v>
      </c>
      <c r="M901" t="n">
        <v>0</v>
      </c>
      <c r="N901" t="n">
        <v>0</v>
      </c>
      <c r="O901" t="n">
        <v>0</v>
      </c>
      <c r="P901" t="n">
        <v>0</v>
      </c>
      <c r="Q901" t="n">
        <v>0</v>
      </c>
      <c r="R901" s="2" t="inlineStr"/>
    </row>
    <row r="902" ht="15" customHeight="1">
      <c r="A902" t="inlineStr">
        <is>
          <t>A 22562-2025</t>
        </is>
      </c>
      <c r="B902" s="1" t="n">
        <v>45789.34736111111</v>
      </c>
      <c r="C902" s="1" t="n">
        <v>45899</v>
      </c>
      <c r="D902" t="inlineStr">
        <is>
          <t>VÄSTERNORRLANDS LÄN</t>
        </is>
      </c>
      <c r="E902" t="inlineStr">
        <is>
          <t>SOLLEFTEÅ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12632-2025</t>
        </is>
      </c>
      <c r="B903" s="1" t="n">
        <v>45733.37693287037</v>
      </c>
      <c r="C903" s="1" t="n">
        <v>45899</v>
      </c>
      <c r="D903" t="inlineStr">
        <is>
          <t>VÄSTERNORRLANDS LÄN</t>
        </is>
      </c>
      <c r="E903" t="inlineStr">
        <is>
          <t>SOLLEFTEÅ</t>
        </is>
      </c>
      <c r="G903" t="n">
        <v>2.3</v>
      </c>
      <c r="H903" t="n">
        <v>0</v>
      </c>
      <c r="I903" t="n">
        <v>0</v>
      </c>
      <c r="J903" t="n">
        <v>0</v>
      </c>
      <c r="K903" t="n">
        <v>0</v>
      </c>
      <c r="L903" t="n">
        <v>0</v>
      </c>
      <c r="M903" t="n">
        <v>0</v>
      </c>
      <c r="N903" t="n">
        <v>0</v>
      </c>
      <c r="O903" t="n">
        <v>0</v>
      </c>
      <c r="P903" t="n">
        <v>0</v>
      </c>
      <c r="Q903" t="n">
        <v>0</v>
      </c>
      <c r="R903" s="2" t="inlineStr"/>
    </row>
    <row r="904" ht="15" customHeight="1">
      <c r="A904" t="inlineStr">
        <is>
          <t>A 57010-2023</t>
        </is>
      </c>
      <c r="B904" s="1" t="n">
        <v>45239</v>
      </c>
      <c r="C904" s="1" t="n">
        <v>45899</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c r="U904">
        <f>HYPERLINK("https://klasma.github.io/Logging_2283/knärot/A 57010-2023 karta knärot.png", "A 57010-2023")</f>
        <v/>
      </c>
      <c r="V904">
        <f>HYPERLINK("https://klasma.github.io/Logging_2283/klagomål/A 57010-2023 FSC-klagomål.docx", "A 57010-2023")</f>
        <v/>
      </c>
      <c r="W904">
        <f>HYPERLINK("https://klasma.github.io/Logging_2283/klagomålsmail/A 57010-2023 FSC-klagomål mail.docx", "A 57010-2023")</f>
        <v/>
      </c>
      <c r="X904">
        <f>HYPERLINK("https://klasma.github.io/Logging_2283/tillsyn/A 57010-2023 tillsynsbegäran.docx", "A 57010-2023")</f>
        <v/>
      </c>
      <c r="Y904">
        <f>HYPERLINK("https://klasma.github.io/Logging_2283/tillsynsmail/A 57010-2023 tillsynsbegäran mail.docx", "A 57010-2023")</f>
        <v/>
      </c>
    </row>
    <row r="905" ht="15" customHeight="1">
      <c r="A905" t="inlineStr">
        <is>
          <t>A 14470-2025</t>
        </is>
      </c>
      <c r="B905" s="1" t="n">
        <v>45741.57372685185</v>
      </c>
      <c r="C905" s="1" t="n">
        <v>45899</v>
      </c>
      <c r="D905" t="inlineStr">
        <is>
          <t>VÄSTERNORRLANDS LÄN</t>
        </is>
      </c>
      <c r="E905" t="inlineStr">
        <is>
          <t>SOLLEFTEÅ</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14134-2023</t>
        </is>
      </c>
      <c r="B906" s="1" t="n">
        <v>45008</v>
      </c>
      <c r="C906" s="1" t="n">
        <v>45899</v>
      </c>
      <c r="D906" t="inlineStr">
        <is>
          <t>VÄSTERNORRLANDS LÄN</t>
        </is>
      </c>
      <c r="E906" t="inlineStr">
        <is>
          <t>SOLLEFTEÅ</t>
        </is>
      </c>
      <c r="F906" t="inlineStr">
        <is>
          <t>Övriga Aktiebolag</t>
        </is>
      </c>
      <c r="G906" t="n">
        <v>1.1</v>
      </c>
      <c r="H906" t="n">
        <v>0</v>
      </c>
      <c r="I906" t="n">
        <v>0</v>
      </c>
      <c r="J906" t="n">
        <v>0</v>
      </c>
      <c r="K906" t="n">
        <v>0</v>
      </c>
      <c r="L906" t="n">
        <v>0</v>
      </c>
      <c r="M906" t="n">
        <v>0</v>
      </c>
      <c r="N906" t="n">
        <v>0</v>
      </c>
      <c r="O906" t="n">
        <v>0</v>
      </c>
      <c r="P906" t="n">
        <v>0</v>
      </c>
      <c r="Q906" t="n">
        <v>0</v>
      </c>
      <c r="R906" s="2" t="inlineStr"/>
    </row>
    <row r="907" ht="15" customHeight="1">
      <c r="A907" t="inlineStr">
        <is>
          <t>A 22803-2025</t>
        </is>
      </c>
      <c r="B907" s="1" t="n">
        <v>45789</v>
      </c>
      <c r="C907" s="1" t="n">
        <v>45899</v>
      </c>
      <c r="D907" t="inlineStr">
        <is>
          <t>VÄSTERNORRLANDS LÄN</t>
        </is>
      </c>
      <c r="E907" t="inlineStr">
        <is>
          <t>SOLLEFTEÅ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22853-2025</t>
        </is>
      </c>
      <c r="B908" s="1" t="n">
        <v>45790.34443287037</v>
      </c>
      <c r="C908" s="1" t="n">
        <v>45899</v>
      </c>
      <c r="D908" t="inlineStr">
        <is>
          <t>VÄSTERNORRLANDS LÄN</t>
        </is>
      </c>
      <c r="E908" t="inlineStr">
        <is>
          <t>SOLLEFTEÅ</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22569-2025</t>
        </is>
      </c>
      <c r="B909" s="1" t="n">
        <v>45789.36363425926</v>
      </c>
      <c r="C909" s="1" t="n">
        <v>45899</v>
      </c>
      <c r="D909" t="inlineStr">
        <is>
          <t>VÄSTERNORRLANDS LÄN</t>
        </is>
      </c>
      <c r="E909" t="inlineStr">
        <is>
          <t>SOLLEFTEÅ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51314-2022</t>
        </is>
      </c>
      <c r="B910" s="1" t="n">
        <v>44868.950625</v>
      </c>
      <c r="C910" s="1" t="n">
        <v>45899</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54233-2024</t>
        </is>
      </c>
      <c r="B911" s="1" t="n">
        <v>45616.67791666667</v>
      </c>
      <c r="C911" s="1" t="n">
        <v>45899</v>
      </c>
      <c r="D911" t="inlineStr">
        <is>
          <t>VÄSTERNORRLANDS LÄN</t>
        </is>
      </c>
      <c r="E911" t="inlineStr">
        <is>
          <t>SOLLEFTEÅ</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54235-2024</t>
        </is>
      </c>
      <c r="B912" s="1" t="n">
        <v>45616.67806712963</v>
      </c>
      <c r="C912" s="1" t="n">
        <v>45899</v>
      </c>
      <c r="D912" t="inlineStr">
        <is>
          <t>VÄSTERNORRLANDS LÄN</t>
        </is>
      </c>
      <c r="E912" t="inlineStr">
        <is>
          <t>SOLLEFTEÅ</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7257-2024</t>
        </is>
      </c>
      <c r="B913" s="1" t="n">
        <v>45344.7371412037</v>
      </c>
      <c r="C913" s="1" t="n">
        <v>45899</v>
      </c>
      <c r="D913" t="inlineStr">
        <is>
          <t>VÄSTERNORRLANDS LÄN</t>
        </is>
      </c>
      <c r="E913" t="inlineStr">
        <is>
          <t>SOLLEFTEÅ</t>
        </is>
      </c>
      <c r="G913" t="n">
        <v>9.1</v>
      </c>
      <c r="H913" t="n">
        <v>0</v>
      </c>
      <c r="I913" t="n">
        <v>0</v>
      </c>
      <c r="J913" t="n">
        <v>0</v>
      </c>
      <c r="K913" t="n">
        <v>0</v>
      </c>
      <c r="L913" t="n">
        <v>0</v>
      </c>
      <c r="M913" t="n">
        <v>0</v>
      </c>
      <c r="N913" t="n">
        <v>0</v>
      </c>
      <c r="O913" t="n">
        <v>0</v>
      </c>
      <c r="P913" t="n">
        <v>0</v>
      </c>
      <c r="Q913" t="n">
        <v>0</v>
      </c>
      <c r="R913" s="2" t="inlineStr"/>
    </row>
    <row r="914" ht="15" customHeight="1">
      <c r="A914" t="inlineStr">
        <is>
          <t>A 23522-2025</t>
        </is>
      </c>
      <c r="B914" s="1" t="n">
        <v>45792.51415509259</v>
      </c>
      <c r="C914" s="1" t="n">
        <v>45899</v>
      </c>
      <c r="D914" t="inlineStr">
        <is>
          <t>VÄSTERNORRLANDS LÄN</t>
        </is>
      </c>
      <c r="E914" t="inlineStr">
        <is>
          <t>SOLLEFTEÅ</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48785-2024</t>
        </is>
      </c>
      <c r="B915" s="1" t="n">
        <v>45593</v>
      </c>
      <c r="C915" s="1" t="n">
        <v>45899</v>
      </c>
      <c r="D915" t="inlineStr">
        <is>
          <t>VÄSTERNORRLANDS LÄN</t>
        </is>
      </c>
      <c r="E915" t="inlineStr">
        <is>
          <t>SOLLEFTEÅ</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61784-2023</t>
        </is>
      </c>
      <c r="B916" s="1" t="n">
        <v>45265</v>
      </c>
      <c r="C916" s="1" t="n">
        <v>45899</v>
      </c>
      <c r="D916" t="inlineStr">
        <is>
          <t>VÄSTERNORRLANDS LÄN</t>
        </is>
      </c>
      <c r="E916" t="inlineStr">
        <is>
          <t>SOLLEFTEÅ</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15978-2023</t>
        </is>
      </c>
      <c r="B917" s="1" t="n">
        <v>45022.94188657407</v>
      </c>
      <c r="C917" s="1" t="n">
        <v>45899</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23634-2025</t>
        </is>
      </c>
      <c r="B918" s="1" t="n">
        <v>45792.67803240741</v>
      </c>
      <c r="C918" s="1" t="n">
        <v>45899</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9950-2025</t>
        </is>
      </c>
      <c r="B919" s="1" t="n">
        <v>45719.34416666667</v>
      </c>
      <c r="C919" s="1" t="n">
        <v>45899</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23478-2025</t>
        </is>
      </c>
      <c r="B920" s="1" t="n">
        <v>45792</v>
      </c>
      <c r="C920" s="1" t="n">
        <v>45899</v>
      </c>
      <c r="D920" t="inlineStr">
        <is>
          <t>VÄSTERNORRLANDS LÄN</t>
        </is>
      </c>
      <c r="E920" t="inlineStr">
        <is>
          <t>SOLLEFTEÅ</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38234-2024</t>
        </is>
      </c>
      <c r="B921" s="1" t="n">
        <v>45545.56025462963</v>
      </c>
      <c r="C921" s="1" t="n">
        <v>45899</v>
      </c>
      <c r="D921" t="inlineStr">
        <is>
          <t>VÄSTERNORRLANDS LÄN</t>
        </is>
      </c>
      <c r="E921" t="inlineStr">
        <is>
          <t>SOLLEFTEÅ</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9966-2025</t>
        </is>
      </c>
      <c r="B922" s="1" t="n">
        <v>45719</v>
      </c>
      <c r="C922" s="1" t="n">
        <v>45899</v>
      </c>
      <c r="D922" t="inlineStr">
        <is>
          <t>VÄSTERNORRLANDS LÄN</t>
        </is>
      </c>
      <c r="E922" t="inlineStr">
        <is>
          <t>SOLLEFTEÅ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34313-2024</t>
        </is>
      </c>
      <c r="B923" s="1" t="n">
        <v>45524</v>
      </c>
      <c r="C923" s="1" t="n">
        <v>45899</v>
      </c>
      <c r="D923" t="inlineStr">
        <is>
          <t>VÄSTERNORRLANDS LÄN</t>
        </is>
      </c>
      <c r="E923" t="inlineStr">
        <is>
          <t>SOLLEFTEÅ</t>
        </is>
      </c>
      <c r="F923" t="inlineStr">
        <is>
          <t>Övriga statliga verk och myndigheter</t>
        </is>
      </c>
      <c r="G923" t="n">
        <v>0.6</v>
      </c>
      <c r="H923" t="n">
        <v>0</v>
      </c>
      <c r="I923" t="n">
        <v>0</v>
      </c>
      <c r="J923" t="n">
        <v>0</v>
      </c>
      <c r="K923" t="n">
        <v>0</v>
      </c>
      <c r="L923" t="n">
        <v>0</v>
      </c>
      <c r="M923" t="n">
        <v>0</v>
      </c>
      <c r="N923" t="n">
        <v>0</v>
      </c>
      <c r="O923" t="n">
        <v>0</v>
      </c>
      <c r="P923" t="n">
        <v>0</v>
      </c>
      <c r="Q923" t="n">
        <v>0</v>
      </c>
      <c r="R923" s="2" t="inlineStr"/>
    </row>
    <row r="924" ht="15" customHeight="1">
      <c r="A924" t="inlineStr">
        <is>
          <t>A 34318-2024</t>
        </is>
      </c>
      <c r="B924" s="1" t="n">
        <v>45524</v>
      </c>
      <c r="C924" s="1" t="n">
        <v>45899</v>
      </c>
      <c r="D924" t="inlineStr">
        <is>
          <t>VÄSTERNORRLANDS LÄN</t>
        </is>
      </c>
      <c r="E924" t="inlineStr">
        <is>
          <t>SOLLEFTEÅ</t>
        </is>
      </c>
      <c r="F924" t="inlineStr">
        <is>
          <t>Övriga statliga verk och myndigheter</t>
        </is>
      </c>
      <c r="G924" t="n">
        <v>0.3</v>
      </c>
      <c r="H924" t="n">
        <v>0</v>
      </c>
      <c r="I924" t="n">
        <v>0</v>
      </c>
      <c r="J924" t="n">
        <v>0</v>
      </c>
      <c r="K924" t="n">
        <v>0</v>
      </c>
      <c r="L924" t="n">
        <v>0</v>
      </c>
      <c r="M924" t="n">
        <v>0</v>
      </c>
      <c r="N924" t="n">
        <v>0</v>
      </c>
      <c r="O924" t="n">
        <v>0</v>
      </c>
      <c r="P924" t="n">
        <v>0</v>
      </c>
      <c r="Q924" t="n">
        <v>0</v>
      </c>
      <c r="R924" s="2" t="inlineStr"/>
    </row>
    <row r="925" ht="15" customHeight="1">
      <c r="A925" t="inlineStr">
        <is>
          <t>A 41655-2023</t>
        </is>
      </c>
      <c r="B925" s="1" t="n">
        <v>45175.95751157407</v>
      </c>
      <c r="C925" s="1" t="n">
        <v>45899</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19556-2024</t>
        </is>
      </c>
      <c r="B926" s="1" t="n">
        <v>45429</v>
      </c>
      <c r="C926" s="1" t="n">
        <v>45899</v>
      </c>
      <c r="D926" t="inlineStr">
        <is>
          <t>VÄSTERNORRLANDS LÄN</t>
        </is>
      </c>
      <c r="E926" t="inlineStr">
        <is>
          <t>SOLLEFTEÅ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23515-2025</t>
        </is>
      </c>
      <c r="B927" s="1" t="n">
        <v>45792</v>
      </c>
      <c r="C927" s="1" t="n">
        <v>45899</v>
      </c>
      <c r="D927" t="inlineStr">
        <is>
          <t>VÄSTERNORRLANDS LÄN</t>
        </is>
      </c>
      <c r="E927" t="inlineStr">
        <is>
          <t>SOLLEFTEÅ</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8221-2022</t>
        </is>
      </c>
      <c r="B928" s="1" t="n">
        <v>44609.93001157408</v>
      </c>
      <c r="C928" s="1" t="n">
        <v>45899</v>
      </c>
      <c r="D928" t="inlineStr">
        <is>
          <t>VÄSTERNORRLANDS LÄN</t>
        </is>
      </c>
      <c r="E928" t="inlineStr">
        <is>
          <t>SOLLEFTEÅ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33709-2023</t>
        </is>
      </c>
      <c r="B929" s="1" t="n">
        <v>45132.92300925926</v>
      </c>
      <c r="C929" s="1" t="n">
        <v>45899</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23633-2025</t>
        </is>
      </c>
      <c r="B930" s="1" t="n">
        <v>45792.67792824074</v>
      </c>
      <c r="C930" s="1" t="n">
        <v>45899</v>
      </c>
      <c r="D930" t="inlineStr">
        <is>
          <t>VÄSTERNORRLANDS LÄN</t>
        </is>
      </c>
      <c r="E930" t="inlineStr">
        <is>
          <t>SOLLEFTEÅ</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42915-2024</t>
        </is>
      </c>
      <c r="B931" s="1" t="n">
        <v>45566</v>
      </c>
      <c r="C931" s="1" t="n">
        <v>45899</v>
      </c>
      <c r="D931" t="inlineStr">
        <is>
          <t>VÄSTERNORRLANDS LÄN</t>
        </is>
      </c>
      <c r="E931" t="inlineStr">
        <is>
          <t>SOLLEFTEÅ</t>
        </is>
      </c>
      <c r="G931" t="n">
        <v>1.9</v>
      </c>
      <c r="H931" t="n">
        <v>0</v>
      </c>
      <c r="I931" t="n">
        <v>0</v>
      </c>
      <c r="J931" t="n">
        <v>0</v>
      </c>
      <c r="K931" t="n">
        <v>0</v>
      </c>
      <c r="L931" t="n">
        <v>0</v>
      </c>
      <c r="M931" t="n">
        <v>0</v>
      </c>
      <c r="N931" t="n">
        <v>0</v>
      </c>
      <c r="O931" t="n">
        <v>0</v>
      </c>
      <c r="P931" t="n">
        <v>0</v>
      </c>
      <c r="Q931" t="n">
        <v>0</v>
      </c>
      <c r="R931" s="2" t="inlineStr"/>
    </row>
    <row r="932" ht="15" customHeight="1">
      <c r="A932" t="inlineStr">
        <is>
          <t>A 23409-2025</t>
        </is>
      </c>
      <c r="B932" s="1" t="n">
        <v>45792.34560185186</v>
      </c>
      <c r="C932" s="1" t="n">
        <v>45899</v>
      </c>
      <c r="D932" t="inlineStr">
        <is>
          <t>VÄSTERNORRLANDS LÄN</t>
        </is>
      </c>
      <c r="E932" t="inlineStr">
        <is>
          <t>SOLLEFTEÅ</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47175-2024</t>
        </is>
      </c>
      <c r="B933" s="1" t="n">
        <v>45586</v>
      </c>
      <c r="C933" s="1" t="n">
        <v>45899</v>
      </c>
      <c r="D933" t="inlineStr">
        <is>
          <t>VÄSTERNORRLANDS LÄN</t>
        </is>
      </c>
      <c r="E933" t="inlineStr">
        <is>
          <t>SOLLEFTEÅ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47179-2024</t>
        </is>
      </c>
      <c r="B934" s="1" t="n">
        <v>45586.61634259259</v>
      </c>
      <c r="C934" s="1" t="n">
        <v>45899</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23160-2025</t>
        </is>
      </c>
      <c r="B935" s="1" t="n">
        <v>45791.40760416666</v>
      </c>
      <c r="C935" s="1" t="n">
        <v>45899</v>
      </c>
      <c r="D935" t="inlineStr">
        <is>
          <t>VÄSTERNORRLANDS LÄN</t>
        </is>
      </c>
      <c r="E935" t="inlineStr">
        <is>
          <t>SOLLEFTEÅ</t>
        </is>
      </c>
      <c r="F935" t="inlineStr">
        <is>
          <t>SCA</t>
        </is>
      </c>
      <c r="G935" t="n">
        <v>4.9</v>
      </c>
      <c r="H935" t="n">
        <v>0</v>
      </c>
      <c r="I935" t="n">
        <v>0</v>
      </c>
      <c r="J935" t="n">
        <v>0</v>
      </c>
      <c r="K935" t="n">
        <v>0</v>
      </c>
      <c r="L935" t="n">
        <v>0</v>
      </c>
      <c r="M935" t="n">
        <v>0</v>
      </c>
      <c r="N935" t="n">
        <v>0</v>
      </c>
      <c r="O935" t="n">
        <v>0</v>
      </c>
      <c r="P935" t="n">
        <v>0</v>
      </c>
      <c r="Q935" t="n">
        <v>0</v>
      </c>
      <c r="R935" s="2" t="inlineStr"/>
    </row>
    <row r="936" ht="15" customHeight="1">
      <c r="A936" t="inlineStr">
        <is>
          <t>A 31547-2024</t>
        </is>
      </c>
      <c r="B936" s="1" t="n">
        <v>45505.96362268519</v>
      </c>
      <c r="C936" s="1" t="n">
        <v>45899</v>
      </c>
      <c r="D936" t="inlineStr">
        <is>
          <t>VÄSTERNORRLANDS LÄN</t>
        </is>
      </c>
      <c r="E936" t="inlineStr">
        <is>
          <t>SOLLEFTEÅ</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31562-2024</t>
        </is>
      </c>
      <c r="B937" s="1" t="n">
        <v>45505</v>
      </c>
      <c r="C937" s="1" t="n">
        <v>45899</v>
      </c>
      <c r="D937" t="inlineStr">
        <is>
          <t>VÄSTERNORRLANDS LÄN</t>
        </is>
      </c>
      <c r="E937" t="inlineStr">
        <is>
          <t>SOLLEFTEÅ</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60177-2024</t>
        </is>
      </c>
      <c r="B938" s="1" t="n">
        <v>45642.63850694444</v>
      </c>
      <c r="C938" s="1" t="n">
        <v>45899</v>
      </c>
      <c r="D938" t="inlineStr">
        <is>
          <t>VÄSTERNORRLANDS LÄN</t>
        </is>
      </c>
      <c r="E938" t="inlineStr">
        <is>
          <t>SOLLEFTEÅ</t>
        </is>
      </c>
      <c r="G938" t="n">
        <v>3.2</v>
      </c>
      <c r="H938" t="n">
        <v>0</v>
      </c>
      <c r="I938" t="n">
        <v>0</v>
      </c>
      <c r="J938" t="n">
        <v>0</v>
      </c>
      <c r="K938" t="n">
        <v>0</v>
      </c>
      <c r="L938" t="n">
        <v>0</v>
      </c>
      <c r="M938" t="n">
        <v>0</v>
      </c>
      <c r="N938" t="n">
        <v>0</v>
      </c>
      <c r="O938" t="n">
        <v>0</v>
      </c>
      <c r="P938" t="n">
        <v>0</v>
      </c>
      <c r="Q938" t="n">
        <v>0</v>
      </c>
      <c r="R938" s="2" t="inlineStr"/>
    </row>
    <row r="939" ht="15" customHeight="1">
      <c r="A939" t="inlineStr">
        <is>
          <t>A 25338-2022</t>
        </is>
      </c>
      <c r="B939" s="1" t="n">
        <v>44731</v>
      </c>
      <c r="C939" s="1" t="n">
        <v>45899</v>
      </c>
      <c r="D939" t="inlineStr">
        <is>
          <t>VÄSTERNORRLANDS LÄN</t>
        </is>
      </c>
      <c r="E939" t="inlineStr">
        <is>
          <t>SOLLEFTEÅ</t>
        </is>
      </c>
      <c r="F939" t="inlineStr">
        <is>
          <t>SCA</t>
        </is>
      </c>
      <c r="G939" t="n">
        <v>4.3</v>
      </c>
      <c r="H939" t="n">
        <v>0</v>
      </c>
      <c r="I939" t="n">
        <v>0</v>
      </c>
      <c r="J939" t="n">
        <v>0</v>
      </c>
      <c r="K939" t="n">
        <v>0</v>
      </c>
      <c r="L939" t="n">
        <v>0</v>
      </c>
      <c r="M939" t="n">
        <v>0</v>
      </c>
      <c r="N939" t="n">
        <v>0</v>
      </c>
      <c r="O939" t="n">
        <v>0</v>
      </c>
      <c r="P939" t="n">
        <v>0</v>
      </c>
      <c r="Q939" t="n">
        <v>0</v>
      </c>
      <c r="R939" s="2" t="inlineStr"/>
    </row>
    <row r="940" ht="15" customHeight="1">
      <c r="A940" t="inlineStr">
        <is>
          <t>A 23090-2025</t>
        </is>
      </c>
      <c r="B940" s="1" t="n">
        <v>45791.34443287037</v>
      </c>
      <c r="C940" s="1" t="n">
        <v>45899</v>
      </c>
      <c r="D940" t="inlineStr">
        <is>
          <t>VÄSTERNORRLANDS LÄN</t>
        </is>
      </c>
      <c r="E940" t="inlineStr">
        <is>
          <t>SOLLEFTEÅ</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4261-2025</t>
        </is>
      </c>
      <c r="B941" s="1" t="n">
        <v>45685.61785879629</v>
      </c>
      <c r="C941" s="1" t="n">
        <v>45899</v>
      </c>
      <c r="D941" t="inlineStr">
        <is>
          <t>VÄSTERNORRLANDS LÄN</t>
        </is>
      </c>
      <c r="E941" t="inlineStr">
        <is>
          <t>SOLLEFTEÅ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12834-2025</t>
        </is>
      </c>
      <c r="B942" s="1" t="n">
        <v>45733.63612268519</v>
      </c>
      <c r="C942" s="1" t="n">
        <v>45899</v>
      </c>
      <c r="D942" t="inlineStr">
        <is>
          <t>VÄSTERNORRLANDS LÄN</t>
        </is>
      </c>
      <c r="E942" t="inlineStr">
        <is>
          <t>SOLLEFTEÅ</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2536-2022</t>
        </is>
      </c>
      <c r="B943" s="1" t="n">
        <v>44579</v>
      </c>
      <c r="C943" s="1" t="n">
        <v>45899</v>
      </c>
      <c r="D943" t="inlineStr">
        <is>
          <t>VÄSTERNORRLANDS LÄN</t>
        </is>
      </c>
      <c r="E943" t="inlineStr">
        <is>
          <t>SOLLEFTEÅ</t>
        </is>
      </c>
      <c r="F943" t="inlineStr">
        <is>
          <t>Övriga Aktiebolag</t>
        </is>
      </c>
      <c r="G943" t="n">
        <v>0.8</v>
      </c>
      <c r="H943" t="n">
        <v>0</v>
      </c>
      <c r="I943" t="n">
        <v>0</v>
      </c>
      <c r="J943" t="n">
        <v>0</v>
      </c>
      <c r="K943" t="n">
        <v>0</v>
      </c>
      <c r="L943" t="n">
        <v>0</v>
      </c>
      <c r="M943" t="n">
        <v>0</v>
      </c>
      <c r="N943" t="n">
        <v>0</v>
      </c>
      <c r="O943" t="n">
        <v>0</v>
      </c>
      <c r="P943" t="n">
        <v>0</v>
      </c>
      <c r="Q943" t="n">
        <v>0</v>
      </c>
      <c r="R943" s="2" t="inlineStr"/>
    </row>
    <row r="944" ht="15" customHeight="1">
      <c r="A944" t="inlineStr">
        <is>
          <t>A 36771-2023</t>
        </is>
      </c>
      <c r="B944" s="1" t="n">
        <v>45153</v>
      </c>
      <c r="C944" s="1" t="n">
        <v>45899</v>
      </c>
      <c r="D944" t="inlineStr">
        <is>
          <t>VÄSTERNORRLANDS LÄN</t>
        </is>
      </c>
      <c r="E944" t="inlineStr">
        <is>
          <t>SOLLEFTEÅ</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35276-2023</t>
        </is>
      </c>
      <c r="B945" s="1" t="n">
        <v>45145.95409722222</v>
      </c>
      <c r="C945" s="1" t="n">
        <v>45899</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10428-2023</t>
        </is>
      </c>
      <c r="B946" s="1" t="n">
        <v>44981</v>
      </c>
      <c r="C946" s="1" t="n">
        <v>45899</v>
      </c>
      <c r="D946" t="inlineStr">
        <is>
          <t>VÄSTERNORRLANDS LÄN</t>
        </is>
      </c>
      <c r="E946" t="inlineStr">
        <is>
          <t>SOLLEFTEÅ</t>
        </is>
      </c>
      <c r="G946" t="n">
        <v>4.3</v>
      </c>
      <c r="H946" t="n">
        <v>0</v>
      </c>
      <c r="I946" t="n">
        <v>0</v>
      </c>
      <c r="J946" t="n">
        <v>0</v>
      </c>
      <c r="K946" t="n">
        <v>0</v>
      </c>
      <c r="L946" t="n">
        <v>0</v>
      </c>
      <c r="M946" t="n">
        <v>0</v>
      </c>
      <c r="N946" t="n">
        <v>0</v>
      </c>
      <c r="O946" t="n">
        <v>0</v>
      </c>
      <c r="P946" t="n">
        <v>0</v>
      </c>
      <c r="Q946" t="n">
        <v>0</v>
      </c>
      <c r="R946" s="2" t="inlineStr"/>
    </row>
    <row r="947" ht="15" customHeight="1">
      <c r="A947" t="inlineStr">
        <is>
          <t>A 32733-2023</t>
        </is>
      </c>
      <c r="B947" s="1" t="n">
        <v>45121</v>
      </c>
      <c r="C947" s="1" t="n">
        <v>45899</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38231-2024</t>
        </is>
      </c>
      <c r="B948" s="1" t="n">
        <v>45545.55601851852</v>
      </c>
      <c r="C948" s="1" t="n">
        <v>45899</v>
      </c>
      <c r="D948" t="inlineStr">
        <is>
          <t>VÄSTERNORRLANDS LÄN</t>
        </is>
      </c>
      <c r="E948" t="inlineStr">
        <is>
          <t>SOLLEFTEÅ</t>
        </is>
      </c>
      <c r="G948" t="n">
        <v>2.4</v>
      </c>
      <c r="H948" t="n">
        <v>0</v>
      </c>
      <c r="I948" t="n">
        <v>0</v>
      </c>
      <c r="J948" t="n">
        <v>0</v>
      </c>
      <c r="K948" t="n">
        <v>0</v>
      </c>
      <c r="L948" t="n">
        <v>0</v>
      </c>
      <c r="M948" t="n">
        <v>0</v>
      </c>
      <c r="N948" t="n">
        <v>0</v>
      </c>
      <c r="O948" t="n">
        <v>0</v>
      </c>
      <c r="P948" t="n">
        <v>0</v>
      </c>
      <c r="Q948" t="n">
        <v>0</v>
      </c>
      <c r="R948" s="2" t="inlineStr"/>
    </row>
    <row r="949" ht="15" customHeight="1">
      <c r="A949" t="inlineStr">
        <is>
          <t>A 918-2023</t>
        </is>
      </c>
      <c r="B949" s="1" t="n">
        <v>44931.95329861111</v>
      </c>
      <c r="C949" s="1" t="n">
        <v>45899</v>
      </c>
      <c r="D949" t="inlineStr">
        <is>
          <t>VÄSTERNORRLANDS LÄN</t>
        </is>
      </c>
      <c r="E949" t="inlineStr">
        <is>
          <t>SOLLEFTEÅ</t>
        </is>
      </c>
      <c r="F949" t="inlineStr">
        <is>
          <t>SCA</t>
        </is>
      </c>
      <c r="G949" t="n">
        <v>7.1</v>
      </c>
      <c r="H949" t="n">
        <v>0</v>
      </c>
      <c r="I949" t="n">
        <v>0</v>
      </c>
      <c r="J949" t="n">
        <v>0</v>
      </c>
      <c r="K949" t="n">
        <v>0</v>
      </c>
      <c r="L949" t="n">
        <v>0</v>
      </c>
      <c r="M949" t="n">
        <v>0</v>
      </c>
      <c r="N949" t="n">
        <v>0</v>
      </c>
      <c r="O949" t="n">
        <v>0</v>
      </c>
      <c r="P949" t="n">
        <v>0</v>
      </c>
      <c r="Q949" t="n">
        <v>0</v>
      </c>
      <c r="R949" s="2" t="inlineStr"/>
    </row>
    <row r="950" ht="15" customHeight="1">
      <c r="A950" t="inlineStr">
        <is>
          <t>A 42631-2024</t>
        </is>
      </c>
      <c r="B950" s="1" t="n">
        <v>45565</v>
      </c>
      <c r="C950" s="1" t="n">
        <v>45899</v>
      </c>
      <c r="D950" t="inlineStr">
        <is>
          <t>VÄSTERNORRLANDS LÄN</t>
        </is>
      </c>
      <c r="E950" t="inlineStr">
        <is>
          <t>SOLLEFTEÅ</t>
        </is>
      </c>
      <c r="F950" t="inlineStr">
        <is>
          <t>Holmen skog AB</t>
        </is>
      </c>
      <c r="G950" t="n">
        <v>6.6</v>
      </c>
      <c r="H950" t="n">
        <v>0</v>
      </c>
      <c r="I950" t="n">
        <v>0</v>
      </c>
      <c r="J950" t="n">
        <v>0</v>
      </c>
      <c r="K950" t="n">
        <v>0</v>
      </c>
      <c r="L950" t="n">
        <v>0</v>
      </c>
      <c r="M950" t="n">
        <v>0</v>
      </c>
      <c r="N950" t="n">
        <v>0</v>
      </c>
      <c r="O950" t="n">
        <v>0</v>
      </c>
      <c r="P950" t="n">
        <v>0</v>
      </c>
      <c r="Q950" t="n">
        <v>0</v>
      </c>
      <c r="R950" s="2" t="inlineStr"/>
    </row>
    <row r="951" ht="15" customHeight="1">
      <c r="A951" t="inlineStr">
        <is>
          <t>A 9124-2022</t>
        </is>
      </c>
      <c r="B951" s="1" t="n">
        <v>44615.58287037037</v>
      </c>
      <c r="C951" s="1" t="n">
        <v>45899</v>
      </c>
      <c r="D951" t="inlineStr">
        <is>
          <t>VÄSTERNORRLANDS LÄN</t>
        </is>
      </c>
      <c r="E951" t="inlineStr">
        <is>
          <t>SOLLEFTEÅ</t>
        </is>
      </c>
      <c r="G951" t="n">
        <v>20.2</v>
      </c>
      <c r="H951" t="n">
        <v>0</v>
      </c>
      <c r="I951" t="n">
        <v>0</v>
      </c>
      <c r="J951" t="n">
        <v>0</v>
      </c>
      <c r="K951" t="n">
        <v>0</v>
      </c>
      <c r="L951" t="n">
        <v>0</v>
      </c>
      <c r="M951" t="n">
        <v>0</v>
      </c>
      <c r="N951" t="n">
        <v>0</v>
      </c>
      <c r="O951" t="n">
        <v>0</v>
      </c>
      <c r="P951" t="n">
        <v>0</v>
      </c>
      <c r="Q951" t="n">
        <v>0</v>
      </c>
      <c r="R951" s="2" t="inlineStr"/>
    </row>
    <row r="952" ht="15" customHeight="1">
      <c r="A952" t="inlineStr">
        <is>
          <t>A 63413-2023</t>
        </is>
      </c>
      <c r="B952" s="1" t="n">
        <v>45274</v>
      </c>
      <c r="C952" s="1" t="n">
        <v>45899</v>
      </c>
      <c r="D952" t="inlineStr">
        <is>
          <t>VÄSTERNORRLANDS LÄN</t>
        </is>
      </c>
      <c r="E952" t="inlineStr">
        <is>
          <t>SOLLEFTEÅ</t>
        </is>
      </c>
      <c r="G952" t="n">
        <v>3.4</v>
      </c>
      <c r="H952" t="n">
        <v>0</v>
      </c>
      <c r="I952" t="n">
        <v>0</v>
      </c>
      <c r="J952" t="n">
        <v>0</v>
      </c>
      <c r="K952" t="n">
        <v>0</v>
      </c>
      <c r="L952" t="n">
        <v>0</v>
      </c>
      <c r="M952" t="n">
        <v>0</v>
      </c>
      <c r="N952" t="n">
        <v>0</v>
      </c>
      <c r="O952" t="n">
        <v>0</v>
      </c>
      <c r="P952" t="n">
        <v>0</v>
      </c>
      <c r="Q952" t="n">
        <v>0</v>
      </c>
      <c r="R952" s="2" t="inlineStr"/>
    </row>
    <row r="953" ht="15" customHeight="1">
      <c r="A953" t="inlineStr">
        <is>
          <t>A 63422-2023</t>
        </is>
      </c>
      <c r="B953" s="1" t="n">
        <v>45274</v>
      </c>
      <c r="C953" s="1" t="n">
        <v>45899</v>
      </c>
      <c r="D953" t="inlineStr">
        <is>
          <t>VÄSTERNORRLANDS LÄN</t>
        </is>
      </c>
      <c r="E953" t="inlineStr">
        <is>
          <t>SOLLEFTEÅ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35470-2023</t>
        </is>
      </c>
      <c r="B954" s="1" t="n">
        <v>45146</v>
      </c>
      <c r="C954" s="1" t="n">
        <v>45899</v>
      </c>
      <c r="D954" t="inlineStr">
        <is>
          <t>VÄSTERNORRLANDS LÄN</t>
        </is>
      </c>
      <c r="E954" t="inlineStr">
        <is>
          <t>SOLLEFTEÅ</t>
        </is>
      </c>
      <c r="G954" t="n">
        <v>7.5</v>
      </c>
      <c r="H954" t="n">
        <v>0</v>
      </c>
      <c r="I954" t="n">
        <v>0</v>
      </c>
      <c r="J954" t="n">
        <v>0</v>
      </c>
      <c r="K954" t="n">
        <v>0</v>
      </c>
      <c r="L954" t="n">
        <v>0</v>
      </c>
      <c r="M954" t="n">
        <v>0</v>
      </c>
      <c r="N954" t="n">
        <v>0</v>
      </c>
      <c r="O954" t="n">
        <v>0</v>
      </c>
      <c r="P954" t="n">
        <v>0</v>
      </c>
      <c r="Q954" t="n">
        <v>0</v>
      </c>
      <c r="R954" s="2" t="inlineStr"/>
    </row>
    <row r="955" ht="15" customHeight="1">
      <c r="A955" t="inlineStr">
        <is>
          <t>A 15080-2023</t>
        </is>
      </c>
      <c r="B955" s="1" t="n">
        <v>45016.07525462963</v>
      </c>
      <c r="C955" s="1" t="n">
        <v>45899</v>
      </c>
      <c r="D955" t="inlineStr">
        <is>
          <t>VÄSTERNORRLANDS LÄN</t>
        </is>
      </c>
      <c r="E955" t="inlineStr">
        <is>
          <t>SOLLEFTEÅ</t>
        </is>
      </c>
      <c r="F955" t="inlineStr">
        <is>
          <t>SCA</t>
        </is>
      </c>
      <c r="G955" t="n">
        <v>33.6</v>
      </c>
      <c r="H955" t="n">
        <v>0</v>
      </c>
      <c r="I955" t="n">
        <v>0</v>
      </c>
      <c r="J955" t="n">
        <v>0</v>
      </c>
      <c r="K955" t="n">
        <v>0</v>
      </c>
      <c r="L955" t="n">
        <v>0</v>
      </c>
      <c r="M955" t="n">
        <v>0</v>
      </c>
      <c r="N955" t="n">
        <v>0</v>
      </c>
      <c r="O955" t="n">
        <v>0</v>
      </c>
      <c r="P955" t="n">
        <v>0</v>
      </c>
      <c r="Q955" t="n">
        <v>0</v>
      </c>
      <c r="R955" s="2" t="inlineStr"/>
    </row>
    <row r="956" ht="15" customHeight="1">
      <c r="A956" t="inlineStr">
        <is>
          <t>A 22514-2025</t>
        </is>
      </c>
      <c r="B956" s="1" t="n">
        <v>45786.67755787037</v>
      </c>
      <c r="C956" s="1" t="n">
        <v>45899</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23339-2025</t>
        </is>
      </c>
      <c r="B957" s="1" t="n">
        <v>45791.65577546296</v>
      </c>
      <c r="C957" s="1" t="n">
        <v>45899</v>
      </c>
      <c r="D957" t="inlineStr">
        <is>
          <t>VÄSTERNORRLANDS LÄN</t>
        </is>
      </c>
      <c r="E957" t="inlineStr">
        <is>
          <t>SOLLEFTEÅ</t>
        </is>
      </c>
      <c r="G957" t="n">
        <v>3.9</v>
      </c>
      <c r="H957" t="n">
        <v>0</v>
      </c>
      <c r="I957" t="n">
        <v>0</v>
      </c>
      <c r="J957" t="n">
        <v>0</v>
      </c>
      <c r="K957" t="n">
        <v>0</v>
      </c>
      <c r="L957" t="n">
        <v>0</v>
      </c>
      <c r="M957" t="n">
        <v>0</v>
      </c>
      <c r="N957" t="n">
        <v>0</v>
      </c>
      <c r="O957" t="n">
        <v>0</v>
      </c>
      <c r="P957" t="n">
        <v>0</v>
      </c>
      <c r="Q957" t="n">
        <v>0</v>
      </c>
      <c r="R957" s="2" t="inlineStr"/>
    </row>
    <row r="958" ht="15" customHeight="1">
      <c r="A958" t="inlineStr">
        <is>
          <t>A 23542-2025</t>
        </is>
      </c>
      <c r="B958" s="1" t="n">
        <v>45792.56184027778</v>
      </c>
      <c r="C958" s="1" t="n">
        <v>45899</v>
      </c>
      <c r="D958" t="inlineStr">
        <is>
          <t>VÄSTERNORRLANDS LÄN</t>
        </is>
      </c>
      <c r="E958" t="inlineStr">
        <is>
          <t>SOLLEFTEÅ</t>
        </is>
      </c>
      <c r="F958" t="inlineStr">
        <is>
          <t>Holmen skog AB</t>
        </is>
      </c>
      <c r="G958" t="n">
        <v>2.9</v>
      </c>
      <c r="H958" t="n">
        <v>0</v>
      </c>
      <c r="I958" t="n">
        <v>0</v>
      </c>
      <c r="J958" t="n">
        <v>0</v>
      </c>
      <c r="K958" t="n">
        <v>0</v>
      </c>
      <c r="L958" t="n">
        <v>0</v>
      </c>
      <c r="M958" t="n">
        <v>0</v>
      </c>
      <c r="N958" t="n">
        <v>0</v>
      </c>
      <c r="O958" t="n">
        <v>0</v>
      </c>
      <c r="P958" t="n">
        <v>0</v>
      </c>
      <c r="Q958" t="n">
        <v>0</v>
      </c>
      <c r="R958" s="2" t="inlineStr"/>
    </row>
    <row r="959" ht="15" customHeight="1">
      <c r="A959" t="inlineStr">
        <is>
          <t>A 23564-2025</t>
        </is>
      </c>
      <c r="B959" s="1" t="n">
        <v>45792.58840277778</v>
      </c>
      <c r="C959" s="1" t="n">
        <v>45899</v>
      </c>
      <c r="D959" t="inlineStr">
        <is>
          <t>VÄSTERNORRLANDS LÄN</t>
        </is>
      </c>
      <c r="E959" t="inlineStr">
        <is>
          <t>SOLLEFTEÅ</t>
        </is>
      </c>
      <c r="F959" t="inlineStr">
        <is>
          <t>Holmen skog AB</t>
        </is>
      </c>
      <c r="G959" t="n">
        <v>2.6</v>
      </c>
      <c r="H959" t="n">
        <v>0</v>
      </c>
      <c r="I959" t="n">
        <v>0</v>
      </c>
      <c r="J959" t="n">
        <v>0</v>
      </c>
      <c r="K959" t="n">
        <v>0</v>
      </c>
      <c r="L959" t="n">
        <v>0</v>
      </c>
      <c r="M959" t="n">
        <v>0</v>
      </c>
      <c r="N959" t="n">
        <v>0</v>
      </c>
      <c r="O959" t="n">
        <v>0</v>
      </c>
      <c r="P959" t="n">
        <v>0</v>
      </c>
      <c r="Q959" t="n">
        <v>0</v>
      </c>
      <c r="R959" s="2" t="inlineStr"/>
    </row>
    <row r="960" ht="15" customHeight="1">
      <c r="A960" t="inlineStr">
        <is>
          <t>A 57078-2024</t>
        </is>
      </c>
      <c r="B960" s="1" t="n">
        <v>45629.35518518519</v>
      </c>
      <c r="C960" s="1" t="n">
        <v>45899</v>
      </c>
      <c r="D960" t="inlineStr">
        <is>
          <t>VÄSTERNORRLANDS LÄN</t>
        </is>
      </c>
      <c r="E960" t="inlineStr">
        <is>
          <t>SOLLEFTEÅ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47471-2024</t>
        </is>
      </c>
      <c r="B961" s="1" t="n">
        <v>45587.57324074074</v>
      </c>
      <c r="C961" s="1" t="n">
        <v>45899</v>
      </c>
      <c r="D961" t="inlineStr">
        <is>
          <t>VÄSTERNORRLANDS LÄN</t>
        </is>
      </c>
      <c r="E961" t="inlineStr">
        <is>
          <t>SOLLEFTEÅ</t>
        </is>
      </c>
      <c r="F961" t="inlineStr">
        <is>
          <t>SCA</t>
        </is>
      </c>
      <c r="G961" t="n">
        <v>3.8</v>
      </c>
      <c r="H961" t="n">
        <v>0</v>
      </c>
      <c r="I961" t="n">
        <v>0</v>
      </c>
      <c r="J961" t="n">
        <v>0</v>
      </c>
      <c r="K961" t="n">
        <v>0</v>
      </c>
      <c r="L961" t="n">
        <v>0</v>
      </c>
      <c r="M961" t="n">
        <v>0</v>
      </c>
      <c r="N961" t="n">
        <v>0</v>
      </c>
      <c r="O961" t="n">
        <v>0</v>
      </c>
      <c r="P961" t="n">
        <v>0</v>
      </c>
      <c r="Q961" t="n">
        <v>0</v>
      </c>
      <c r="R961" s="2" t="inlineStr"/>
    </row>
    <row r="962" ht="15" customHeight="1">
      <c r="A962" t="inlineStr">
        <is>
          <t>A 50721-2024</t>
        </is>
      </c>
      <c r="B962" s="1" t="n">
        <v>45602.3863425926</v>
      </c>
      <c r="C962" s="1" t="n">
        <v>45899</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656-2024</t>
        </is>
      </c>
      <c r="B963" s="1" t="n">
        <v>45299</v>
      </c>
      <c r="C963" s="1" t="n">
        <v>45899</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9253-2025</t>
        </is>
      </c>
      <c r="B964" s="1" t="n">
        <v>45714.59430555555</v>
      </c>
      <c r="C964" s="1" t="n">
        <v>45899</v>
      </c>
      <c r="D964" t="inlineStr">
        <is>
          <t>VÄSTERNORRLANDS LÄN</t>
        </is>
      </c>
      <c r="E964" t="inlineStr">
        <is>
          <t>SOLLEFTEÅ</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45940-2024</t>
        </is>
      </c>
      <c r="B965" s="1" t="n">
        <v>45580.53167824074</v>
      </c>
      <c r="C965" s="1" t="n">
        <v>45899</v>
      </c>
      <c r="D965" t="inlineStr">
        <is>
          <t>VÄSTERNORRLANDS LÄN</t>
        </is>
      </c>
      <c r="E965" t="inlineStr">
        <is>
          <t>SOLLEFTEÅ</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58155-2023</t>
        </is>
      </c>
      <c r="B966" s="1" t="n">
        <v>45250</v>
      </c>
      <c r="C966" s="1" t="n">
        <v>45899</v>
      </c>
      <c r="D966" t="inlineStr">
        <is>
          <t>VÄSTERNORRLANDS LÄN</t>
        </is>
      </c>
      <c r="E966" t="inlineStr">
        <is>
          <t>SOLLEFTEÅ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45975-2024</t>
        </is>
      </c>
      <c r="B967" s="1" t="n">
        <v>45580.59425925926</v>
      </c>
      <c r="C967" s="1" t="n">
        <v>45899</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48021-2024</t>
        </is>
      </c>
      <c r="B968" s="1" t="n">
        <v>45589.47032407407</v>
      </c>
      <c r="C968" s="1" t="n">
        <v>45899</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33110-2024</t>
        </is>
      </c>
      <c r="B969" s="1" t="n">
        <v>45517</v>
      </c>
      <c r="C969" s="1" t="n">
        <v>45899</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23974-2025</t>
        </is>
      </c>
      <c r="B970" s="1" t="n">
        <v>45796.38594907407</v>
      </c>
      <c r="C970" s="1" t="n">
        <v>45899</v>
      </c>
      <c r="D970" t="inlineStr">
        <is>
          <t>VÄSTERNORRLANDS LÄN</t>
        </is>
      </c>
      <c r="E970" t="inlineStr">
        <is>
          <t>SOLLEFTEÅ</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59346-2023</t>
        </is>
      </c>
      <c r="B971" s="1" t="n">
        <v>45253</v>
      </c>
      <c r="C971" s="1" t="n">
        <v>45899</v>
      </c>
      <c r="D971" t="inlineStr">
        <is>
          <t>VÄSTERNORRLANDS LÄN</t>
        </is>
      </c>
      <c r="E971" t="inlineStr">
        <is>
          <t>SOLLEFTEÅ</t>
        </is>
      </c>
      <c r="F971" t="inlineStr">
        <is>
          <t>Holmen skog AB</t>
        </is>
      </c>
      <c r="G971" t="n">
        <v>6.3</v>
      </c>
      <c r="H971" t="n">
        <v>0</v>
      </c>
      <c r="I971" t="n">
        <v>0</v>
      </c>
      <c r="J971" t="n">
        <v>0</v>
      </c>
      <c r="K971" t="n">
        <v>0</v>
      </c>
      <c r="L971" t="n">
        <v>0</v>
      </c>
      <c r="M971" t="n">
        <v>0</v>
      </c>
      <c r="N971" t="n">
        <v>0</v>
      </c>
      <c r="O971" t="n">
        <v>0</v>
      </c>
      <c r="P971" t="n">
        <v>0</v>
      </c>
      <c r="Q971" t="n">
        <v>0</v>
      </c>
      <c r="R971" s="2" t="inlineStr"/>
    </row>
    <row r="972" ht="15" customHeight="1">
      <c r="A972" t="inlineStr">
        <is>
          <t>A 58463-2024</t>
        </is>
      </c>
      <c r="B972" s="1" t="n">
        <v>45635.36650462963</v>
      </c>
      <c r="C972" s="1" t="n">
        <v>45899</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56684-2023</t>
        </is>
      </c>
      <c r="B973" s="1" t="n">
        <v>45243.96592592593</v>
      </c>
      <c r="C973" s="1" t="n">
        <v>45899</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55610-2021</t>
        </is>
      </c>
      <c r="B974" s="1" t="n">
        <v>44475.94237268518</v>
      </c>
      <c r="C974" s="1" t="n">
        <v>45899</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63712-2023</t>
        </is>
      </c>
      <c r="B975" s="1" t="n">
        <v>45275.95094907407</v>
      </c>
      <c r="C975" s="1" t="n">
        <v>45899</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31886-2024</t>
        </is>
      </c>
      <c r="B976" s="1" t="n">
        <v>45509.95780092593</v>
      </c>
      <c r="C976" s="1" t="n">
        <v>45899</v>
      </c>
      <c r="D976" t="inlineStr">
        <is>
          <t>VÄSTERNORRLANDS LÄN</t>
        </is>
      </c>
      <c r="E976" t="inlineStr">
        <is>
          <t>SOLLEFTEÅ</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62523-2023</t>
        </is>
      </c>
      <c r="B977" s="1" t="n">
        <v>45267</v>
      </c>
      <c r="C977" s="1" t="n">
        <v>45899</v>
      </c>
      <c r="D977" t="inlineStr">
        <is>
          <t>VÄSTERNORRLANDS LÄN</t>
        </is>
      </c>
      <c r="E977" t="inlineStr">
        <is>
          <t>SOLLEFTEÅ</t>
        </is>
      </c>
      <c r="G977" t="n">
        <v>33.6</v>
      </c>
      <c r="H977" t="n">
        <v>0</v>
      </c>
      <c r="I977" t="n">
        <v>0</v>
      </c>
      <c r="J977" t="n">
        <v>0</v>
      </c>
      <c r="K977" t="n">
        <v>0</v>
      </c>
      <c r="L977" t="n">
        <v>0</v>
      </c>
      <c r="M977" t="n">
        <v>0</v>
      </c>
      <c r="N977" t="n">
        <v>0</v>
      </c>
      <c r="O977" t="n">
        <v>0</v>
      </c>
      <c r="P977" t="n">
        <v>0</v>
      </c>
      <c r="Q977" t="n">
        <v>0</v>
      </c>
      <c r="R977" s="2" t="inlineStr"/>
    </row>
    <row r="978" ht="15" customHeight="1">
      <c r="A978" t="inlineStr">
        <is>
          <t>A 3555-2022</t>
        </is>
      </c>
      <c r="B978" s="1" t="n">
        <v>44585.93820601852</v>
      </c>
      <c r="C978" s="1" t="n">
        <v>45899</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23889-2025</t>
        </is>
      </c>
      <c r="B979" s="1" t="n">
        <v>45793.79209490741</v>
      </c>
      <c r="C979" s="1" t="n">
        <v>45899</v>
      </c>
      <c r="D979" t="inlineStr">
        <is>
          <t>VÄSTERNORRLANDS LÄN</t>
        </is>
      </c>
      <c r="E979" t="inlineStr">
        <is>
          <t>SOLLEFTEÅ</t>
        </is>
      </c>
      <c r="G979" t="n">
        <v>6.3</v>
      </c>
      <c r="H979" t="n">
        <v>0</v>
      </c>
      <c r="I979" t="n">
        <v>0</v>
      </c>
      <c r="J979" t="n">
        <v>0</v>
      </c>
      <c r="K979" t="n">
        <v>0</v>
      </c>
      <c r="L979" t="n">
        <v>0</v>
      </c>
      <c r="M979" t="n">
        <v>0</v>
      </c>
      <c r="N979" t="n">
        <v>0</v>
      </c>
      <c r="O979" t="n">
        <v>0</v>
      </c>
      <c r="P979" t="n">
        <v>0</v>
      </c>
      <c r="Q979" t="n">
        <v>0</v>
      </c>
      <c r="R979" s="2" t="inlineStr"/>
    </row>
    <row r="980" ht="15" customHeight="1">
      <c r="A980" t="inlineStr">
        <is>
          <t>A 35905-2024</t>
        </is>
      </c>
      <c r="B980" s="1" t="n">
        <v>45533.40674768519</v>
      </c>
      <c r="C980" s="1" t="n">
        <v>45899</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34983-2023</t>
        </is>
      </c>
      <c r="B981" s="1" t="n">
        <v>45141</v>
      </c>
      <c r="C981" s="1" t="n">
        <v>45899</v>
      </c>
      <c r="D981" t="inlineStr">
        <is>
          <t>VÄSTERNORRLANDS LÄN</t>
        </is>
      </c>
      <c r="E981" t="inlineStr">
        <is>
          <t>SOLLEFTEÅ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22471-2024</t>
        </is>
      </c>
      <c r="B982" s="1" t="n">
        <v>45446</v>
      </c>
      <c r="C982" s="1" t="n">
        <v>45899</v>
      </c>
      <c r="D982" t="inlineStr">
        <is>
          <t>VÄSTERNORRLANDS LÄN</t>
        </is>
      </c>
      <c r="E982" t="inlineStr">
        <is>
          <t>SOLLEFTEÅ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37648-2021</t>
        </is>
      </c>
      <c r="B983" s="1" t="n">
        <v>44400</v>
      </c>
      <c r="C983" s="1" t="n">
        <v>45899</v>
      </c>
      <c r="D983" t="inlineStr">
        <is>
          <t>VÄSTERNORRLANDS LÄN</t>
        </is>
      </c>
      <c r="E983" t="inlineStr">
        <is>
          <t>SOLLEFTEÅ</t>
        </is>
      </c>
      <c r="G983" t="n">
        <v>33.6</v>
      </c>
      <c r="H983" t="n">
        <v>0</v>
      </c>
      <c r="I983" t="n">
        <v>0</v>
      </c>
      <c r="J983" t="n">
        <v>0</v>
      </c>
      <c r="K983" t="n">
        <v>0</v>
      </c>
      <c r="L983" t="n">
        <v>0</v>
      </c>
      <c r="M983" t="n">
        <v>0</v>
      </c>
      <c r="N983" t="n">
        <v>0</v>
      </c>
      <c r="O983" t="n">
        <v>0</v>
      </c>
      <c r="P983" t="n">
        <v>0</v>
      </c>
      <c r="Q983" t="n">
        <v>0</v>
      </c>
      <c r="R983" s="2" t="inlineStr"/>
    </row>
    <row r="984" ht="15" customHeight="1">
      <c r="A984" t="inlineStr">
        <is>
          <t>A 51872-2024</t>
        </is>
      </c>
      <c r="B984" s="1" t="n">
        <v>45607.55359953704</v>
      </c>
      <c r="C984" s="1" t="n">
        <v>45899</v>
      </c>
      <c r="D984" t="inlineStr">
        <is>
          <t>VÄSTERNORRLANDS LÄN</t>
        </is>
      </c>
      <c r="E984" t="inlineStr">
        <is>
          <t>SOLLEFTEÅ</t>
        </is>
      </c>
      <c r="F984" t="inlineStr">
        <is>
          <t>SCA</t>
        </is>
      </c>
      <c r="G984" t="n">
        <v>5.5</v>
      </c>
      <c r="H984" t="n">
        <v>0</v>
      </c>
      <c r="I984" t="n">
        <v>0</v>
      </c>
      <c r="J984" t="n">
        <v>0</v>
      </c>
      <c r="K984" t="n">
        <v>0</v>
      </c>
      <c r="L984" t="n">
        <v>0</v>
      </c>
      <c r="M984" t="n">
        <v>0</v>
      </c>
      <c r="N984" t="n">
        <v>0</v>
      </c>
      <c r="O984" t="n">
        <v>0</v>
      </c>
      <c r="P984" t="n">
        <v>0</v>
      </c>
      <c r="Q984" t="n">
        <v>0</v>
      </c>
      <c r="R984" s="2" t="inlineStr"/>
    </row>
    <row r="985" ht="15" customHeight="1">
      <c r="A985" t="inlineStr">
        <is>
          <t>A 20066-2024</t>
        </is>
      </c>
      <c r="B985" s="1" t="n">
        <v>45434</v>
      </c>
      <c r="C985" s="1" t="n">
        <v>45899</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2699-2025</t>
        </is>
      </c>
      <c r="B986" s="1" t="n">
        <v>45677.40665509259</v>
      </c>
      <c r="C986" s="1" t="n">
        <v>45899</v>
      </c>
      <c r="D986" t="inlineStr">
        <is>
          <t>VÄSTERNORRLANDS LÄN</t>
        </is>
      </c>
      <c r="E986" t="inlineStr">
        <is>
          <t>SOLLEFTEÅ</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52602-2024</t>
        </is>
      </c>
      <c r="B987" s="1" t="n">
        <v>45609</v>
      </c>
      <c r="C987" s="1" t="n">
        <v>45899</v>
      </c>
      <c r="D987" t="inlineStr">
        <is>
          <t>VÄSTERNORRLANDS LÄN</t>
        </is>
      </c>
      <c r="E987" t="inlineStr">
        <is>
          <t>SOLLEFTEÅ</t>
        </is>
      </c>
      <c r="G987" t="n">
        <v>10.8</v>
      </c>
      <c r="H987" t="n">
        <v>0</v>
      </c>
      <c r="I987" t="n">
        <v>0</v>
      </c>
      <c r="J987" t="n">
        <v>0</v>
      </c>
      <c r="K987" t="n">
        <v>0</v>
      </c>
      <c r="L987" t="n">
        <v>0</v>
      </c>
      <c r="M987" t="n">
        <v>0</v>
      </c>
      <c r="N987" t="n">
        <v>0</v>
      </c>
      <c r="O987" t="n">
        <v>0</v>
      </c>
      <c r="P987" t="n">
        <v>0</v>
      </c>
      <c r="Q987" t="n">
        <v>0</v>
      </c>
      <c r="R987" s="2" t="inlineStr"/>
    </row>
    <row r="988" ht="15" customHeight="1">
      <c r="A988" t="inlineStr">
        <is>
          <t>A 41787-2024</t>
        </is>
      </c>
      <c r="B988" s="1" t="n">
        <v>45561.34986111111</v>
      </c>
      <c r="C988" s="1" t="n">
        <v>45899</v>
      </c>
      <c r="D988" t="inlineStr">
        <is>
          <t>VÄSTERNORRLANDS LÄN</t>
        </is>
      </c>
      <c r="E988" t="inlineStr">
        <is>
          <t>SOLLEFTEÅ</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27908-2024</t>
        </is>
      </c>
      <c r="B989" s="1" t="n">
        <v>45475.94615740741</v>
      </c>
      <c r="C989" s="1" t="n">
        <v>45899</v>
      </c>
      <c r="D989" t="inlineStr">
        <is>
          <t>VÄSTERNORRLANDS LÄN</t>
        </is>
      </c>
      <c r="E989" t="inlineStr">
        <is>
          <t>SOLLEFTEÅ</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41146-2023</t>
        </is>
      </c>
      <c r="B990" s="1" t="n">
        <v>45173.94277777777</v>
      </c>
      <c r="C990" s="1" t="n">
        <v>45899</v>
      </c>
      <c r="D990" t="inlineStr">
        <is>
          <t>VÄSTERNORRLANDS LÄN</t>
        </is>
      </c>
      <c r="E990" t="inlineStr">
        <is>
          <t>SOLLEFTEÅ</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13639-2025</t>
        </is>
      </c>
      <c r="B991" s="1" t="n">
        <v>45736.65710648148</v>
      </c>
      <c r="C991" s="1" t="n">
        <v>45899</v>
      </c>
      <c r="D991" t="inlineStr">
        <is>
          <t>VÄSTERNORRLANDS LÄN</t>
        </is>
      </c>
      <c r="E991" t="inlineStr">
        <is>
          <t>SOLLEFTEÅ</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23735-2025</t>
        </is>
      </c>
      <c r="B992" s="1" t="n">
        <v>45793.42777777778</v>
      </c>
      <c r="C992" s="1" t="n">
        <v>45899</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31554-2024</t>
        </is>
      </c>
      <c r="B993" s="1" t="n">
        <v>45505.96472222222</v>
      </c>
      <c r="C993" s="1" t="n">
        <v>45899</v>
      </c>
      <c r="D993" t="inlineStr">
        <is>
          <t>VÄSTERNORRLANDS LÄN</t>
        </is>
      </c>
      <c r="E993" t="inlineStr">
        <is>
          <t>SOLLEFTEÅ</t>
        </is>
      </c>
      <c r="F993" t="inlineStr">
        <is>
          <t>SCA</t>
        </is>
      </c>
      <c r="G993" t="n">
        <v>7.4</v>
      </c>
      <c r="H993" t="n">
        <v>0</v>
      </c>
      <c r="I993" t="n">
        <v>0</v>
      </c>
      <c r="J993" t="n">
        <v>0</v>
      </c>
      <c r="K993" t="n">
        <v>0</v>
      </c>
      <c r="L993" t="n">
        <v>0</v>
      </c>
      <c r="M993" t="n">
        <v>0</v>
      </c>
      <c r="N993" t="n">
        <v>0</v>
      </c>
      <c r="O993" t="n">
        <v>0</v>
      </c>
      <c r="P993" t="n">
        <v>0</v>
      </c>
      <c r="Q993" t="n">
        <v>0</v>
      </c>
      <c r="R993" s="2" t="inlineStr"/>
    </row>
    <row r="994" ht="15" customHeight="1">
      <c r="A994" t="inlineStr">
        <is>
          <t>A 31556-2024</t>
        </is>
      </c>
      <c r="B994" s="1" t="n">
        <v>45505</v>
      </c>
      <c r="C994" s="1" t="n">
        <v>45899</v>
      </c>
      <c r="D994" t="inlineStr">
        <is>
          <t>VÄSTERNORRLANDS LÄN</t>
        </is>
      </c>
      <c r="E994" t="inlineStr">
        <is>
          <t>SOLLEFTEÅ</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28290-2024</t>
        </is>
      </c>
      <c r="B995" s="1" t="n">
        <v>45477.46743055555</v>
      </c>
      <c r="C995" s="1" t="n">
        <v>45899</v>
      </c>
      <c r="D995" t="inlineStr">
        <is>
          <t>VÄSTERNORRLANDS LÄN</t>
        </is>
      </c>
      <c r="E995" t="inlineStr">
        <is>
          <t>SOLLEFTEÅ</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35358-2021</t>
        </is>
      </c>
      <c r="B996" s="1" t="n">
        <v>44384.93591435185</v>
      </c>
      <c r="C996" s="1" t="n">
        <v>45899</v>
      </c>
      <c r="D996" t="inlineStr">
        <is>
          <t>VÄSTERNORRLANDS LÄN</t>
        </is>
      </c>
      <c r="E996" t="inlineStr">
        <is>
          <t>SOLLEFTEÅ</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23977-2025</t>
        </is>
      </c>
      <c r="B997" s="1" t="n">
        <v>45796.38637731481</v>
      </c>
      <c r="C997" s="1" t="n">
        <v>45899</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23997-2025</t>
        </is>
      </c>
      <c r="B998" s="1" t="n">
        <v>45796.42061342593</v>
      </c>
      <c r="C998" s="1" t="n">
        <v>45899</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29869-2024</t>
        </is>
      </c>
      <c r="B999" s="1" t="n">
        <v>45485.94493055555</v>
      </c>
      <c r="C999" s="1" t="n">
        <v>45899</v>
      </c>
      <c r="D999" t="inlineStr">
        <is>
          <t>VÄSTERNORRLANDS LÄN</t>
        </is>
      </c>
      <c r="E999" t="inlineStr">
        <is>
          <t>SOLLEFTEÅ</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51573-2024</t>
        </is>
      </c>
      <c r="B1000" s="1" t="n">
        <v>45604</v>
      </c>
      <c r="C1000" s="1" t="n">
        <v>45899</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23738-2025</t>
        </is>
      </c>
      <c r="B1001" s="1" t="n">
        <v>45793.42819444444</v>
      </c>
      <c r="C1001" s="1" t="n">
        <v>45899</v>
      </c>
      <c r="D1001" t="inlineStr">
        <is>
          <t>VÄSTERNORRLANDS LÄN</t>
        </is>
      </c>
      <c r="E1001" t="inlineStr">
        <is>
          <t>SOLLEFTEÅ</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23871-2025</t>
        </is>
      </c>
      <c r="B1002" s="1" t="n">
        <v>45793.67741898148</v>
      </c>
      <c r="C1002" s="1" t="n">
        <v>45899</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1268-2024</t>
        </is>
      </c>
      <c r="B1003" s="1" t="n">
        <v>45302</v>
      </c>
      <c r="C1003" s="1" t="n">
        <v>45899</v>
      </c>
      <c r="D1003" t="inlineStr">
        <is>
          <t>VÄSTERNORRLANDS LÄN</t>
        </is>
      </c>
      <c r="E1003" t="inlineStr">
        <is>
          <t>SOLLEFTEÅ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21100-2024</t>
        </is>
      </c>
      <c r="B1004" s="1" t="n">
        <v>45439.95072916667</v>
      </c>
      <c r="C1004" s="1" t="n">
        <v>45899</v>
      </c>
      <c r="D1004" t="inlineStr">
        <is>
          <t>VÄSTERNORRLANDS LÄN</t>
        </is>
      </c>
      <c r="E1004" t="inlineStr">
        <is>
          <t>SOLLEFTEÅ</t>
        </is>
      </c>
      <c r="F1004" t="inlineStr">
        <is>
          <t>SCA</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35793-2024</t>
        </is>
      </c>
      <c r="B1005" s="1" t="n">
        <v>45532</v>
      </c>
      <c r="C1005" s="1" t="n">
        <v>45899</v>
      </c>
      <c r="D1005" t="inlineStr">
        <is>
          <t>VÄSTERNORRLANDS LÄN</t>
        </is>
      </c>
      <c r="E1005" t="inlineStr">
        <is>
          <t>SOLLEFTEÅ</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35794-2024</t>
        </is>
      </c>
      <c r="B1006" s="1" t="n">
        <v>45532.62974537037</v>
      </c>
      <c r="C1006" s="1" t="n">
        <v>45899</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35795-2024</t>
        </is>
      </c>
      <c r="B1007" s="1" t="n">
        <v>45532</v>
      </c>
      <c r="C1007" s="1" t="n">
        <v>45899</v>
      </c>
      <c r="D1007" t="inlineStr">
        <is>
          <t>VÄSTERNORRLANDS LÄN</t>
        </is>
      </c>
      <c r="E1007" t="inlineStr">
        <is>
          <t>SOLLEFTEÅ</t>
        </is>
      </c>
      <c r="F1007" t="inlineStr">
        <is>
          <t>SCA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35803-2024</t>
        </is>
      </c>
      <c r="B1008" s="1" t="n">
        <v>45532.64506944444</v>
      </c>
      <c r="C1008" s="1" t="n">
        <v>45899</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16365-2022</t>
        </is>
      </c>
      <c r="B1009" s="1" t="n">
        <v>44670.9406712963</v>
      </c>
      <c r="C1009" s="1" t="n">
        <v>45899</v>
      </c>
      <c r="D1009" t="inlineStr">
        <is>
          <t>VÄSTERNORRLANDS LÄN</t>
        </is>
      </c>
      <c r="E1009" t="inlineStr">
        <is>
          <t>SOLLEFTEÅ</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38100-2023</t>
        </is>
      </c>
      <c r="B1010" s="1" t="n">
        <v>45160.9647800926</v>
      </c>
      <c r="C1010" s="1" t="n">
        <v>45899</v>
      </c>
      <c r="D1010" t="inlineStr">
        <is>
          <t>VÄSTERNORRLANDS LÄN</t>
        </is>
      </c>
      <c r="E1010" t="inlineStr">
        <is>
          <t>SOLLEFTEÅ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218-2025</t>
        </is>
      </c>
      <c r="B1011" s="1" t="n">
        <v>45660</v>
      </c>
      <c r="C1011" s="1" t="n">
        <v>45899</v>
      </c>
      <c r="D1011" t="inlineStr">
        <is>
          <t>VÄSTERNORRLANDS LÄN</t>
        </is>
      </c>
      <c r="E1011" t="inlineStr">
        <is>
          <t>SOLLEFTEÅ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23734-2025</t>
        </is>
      </c>
      <c r="B1012" s="1" t="n">
        <v>45793.4275462963</v>
      </c>
      <c r="C1012" s="1" t="n">
        <v>45899</v>
      </c>
      <c r="D1012" t="inlineStr">
        <is>
          <t>VÄSTERNORRLANDS LÄN</t>
        </is>
      </c>
      <c r="E1012" t="inlineStr">
        <is>
          <t>SOLLEFTEÅ</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6059-2024</t>
        </is>
      </c>
      <c r="B1013" s="1" t="n">
        <v>45336</v>
      </c>
      <c r="C1013" s="1" t="n">
        <v>45899</v>
      </c>
      <c r="D1013" t="inlineStr">
        <is>
          <t>VÄSTERNORRLANDS LÄN</t>
        </is>
      </c>
      <c r="E1013" t="inlineStr">
        <is>
          <t>SOLLEFTEÅ</t>
        </is>
      </c>
      <c r="F1013" t="inlineStr">
        <is>
          <t>Övriga Aktiebolag</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8729-2024</t>
        </is>
      </c>
      <c r="B1014" s="1" t="n">
        <v>45356.43958333333</v>
      </c>
      <c r="C1014" s="1" t="n">
        <v>45899</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27377-2024</t>
        </is>
      </c>
      <c r="B1015" s="1" t="n">
        <v>45473.88317129629</v>
      </c>
      <c r="C1015" s="1" t="n">
        <v>45899</v>
      </c>
      <c r="D1015" t="inlineStr">
        <is>
          <t>VÄSTERNORRLANDS LÄN</t>
        </is>
      </c>
      <c r="E1015" t="inlineStr">
        <is>
          <t>SOLLEFTEÅ</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17919-2025</t>
        </is>
      </c>
      <c r="B1016" s="1" t="n">
        <v>45758.85070601852</v>
      </c>
      <c r="C1016" s="1" t="n">
        <v>45899</v>
      </c>
      <c r="D1016" t="inlineStr">
        <is>
          <t>VÄSTERNORRLANDS LÄN</t>
        </is>
      </c>
      <c r="E1016" t="inlineStr">
        <is>
          <t>SOLLEFTEÅ</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27916-2024</t>
        </is>
      </c>
      <c r="B1017" s="1" t="n">
        <v>45475.94834490741</v>
      </c>
      <c r="C1017" s="1" t="n">
        <v>45899</v>
      </c>
      <c r="D1017" t="inlineStr">
        <is>
          <t>VÄSTERNORRLANDS LÄN</t>
        </is>
      </c>
      <c r="E1017" t="inlineStr">
        <is>
          <t>SOLLEFTEÅ</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13292-2023</t>
        </is>
      </c>
      <c r="B1018" s="1" t="n">
        <v>45004</v>
      </c>
      <c r="C1018" s="1" t="n">
        <v>45899</v>
      </c>
      <c r="D1018" t="inlineStr">
        <is>
          <t>VÄSTERNORRLANDS LÄN</t>
        </is>
      </c>
      <c r="E1018" t="inlineStr">
        <is>
          <t>SOLLEFTEÅ</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7942-2025</t>
        </is>
      </c>
      <c r="B1019" s="1" t="n">
        <v>45707</v>
      </c>
      <c r="C1019" s="1" t="n">
        <v>45899</v>
      </c>
      <c r="D1019" t="inlineStr">
        <is>
          <t>VÄSTERNORRLANDS LÄN</t>
        </is>
      </c>
      <c r="E1019" t="inlineStr">
        <is>
          <t>SOLLEFTEÅ</t>
        </is>
      </c>
      <c r="F1019" t="inlineStr">
        <is>
          <t>SCA</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24693-2025</t>
        </is>
      </c>
      <c r="B1020" s="1" t="n">
        <v>45798.6775462963</v>
      </c>
      <c r="C1020" s="1" t="n">
        <v>45899</v>
      </c>
      <c r="D1020" t="inlineStr">
        <is>
          <t>VÄSTERNORRLANDS LÄN</t>
        </is>
      </c>
      <c r="E1020" t="inlineStr">
        <is>
          <t>SOLLEFTEÅ</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1997-2022</t>
        </is>
      </c>
      <c r="B1021" s="1" t="n">
        <v>44575</v>
      </c>
      <c r="C1021" s="1" t="n">
        <v>45899</v>
      </c>
      <c r="D1021" t="inlineStr">
        <is>
          <t>VÄSTERNORRLANDS LÄN</t>
        </is>
      </c>
      <c r="E1021" t="inlineStr">
        <is>
          <t>SOLLEFTEÅ</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24488-2025</t>
        </is>
      </c>
      <c r="B1022" s="1" t="n">
        <v>45798.38576388889</v>
      </c>
      <c r="C1022" s="1" t="n">
        <v>45899</v>
      </c>
      <c r="D1022" t="inlineStr">
        <is>
          <t>VÄSTERNORRLANDS LÄN</t>
        </is>
      </c>
      <c r="E1022" t="inlineStr">
        <is>
          <t>SOLLEFTEÅ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24393-2025</t>
        </is>
      </c>
      <c r="B1023" s="1" t="n">
        <v>45797.63653935185</v>
      </c>
      <c r="C1023" s="1" t="n">
        <v>45899</v>
      </c>
      <c r="D1023" t="inlineStr">
        <is>
          <t>VÄSTERNORRLANDS LÄN</t>
        </is>
      </c>
      <c r="E1023" t="inlineStr">
        <is>
          <t>SOLLEFTEÅ</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5035-2024</t>
        </is>
      </c>
      <c r="B1024" s="1" t="n">
        <v>45329.86893518519</v>
      </c>
      <c r="C1024" s="1" t="n">
        <v>45899</v>
      </c>
      <c r="D1024" t="inlineStr">
        <is>
          <t>VÄSTERNORRLANDS LÄN</t>
        </is>
      </c>
      <c r="E1024" t="inlineStr">
        <is>
          <t>SOLLEFTEÅ</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5059-2024</t>
        </is>
      </c>
      <c r="B1025" s="1" t="n">
        <v>45329</v>
      </c>
      <c r="C1025" s="1" t="n">
        <v>45899</v>
      </c>
      <c r="D1025" t="inlineStr">
        <is>
          <t>VÄSTERNORRLANDS LÄN</t>
        </is>
      </c>
      <c r="E1025" t="inlineStr">
        <is>
          <t>SOLLEFTEÅ</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1465-2025</t>
        </is>
      </c>
      <c r="B1026" s="1" t="n">
        <v>45670.36513888889</v>
      </c>
      <c r="C1026" s="1" t="n">
        <v>45899</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7330-2023</t>
        </is>
      </c>
      <c r="B1027" s="1" t="n">
        <v>44970.97920138889</v>
      </c>
      <c r="C1027" s="1" t="n">
        <v>45899</v>
      </c>
      <c r="D1027" t="inlineStr">
        <is>
          <t>VÄSTERNORRLANDS LÄN</t>
        </is>
      </c>
      <c r="E1027" t="inlineStr">
        <is>
          <t>SOLLEFTEÅ</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7333-2023</t>
        </is>
      </c>
      <c r="B1028" s="1" t="n">
        <v>44970.97947916666</v>
      </c>
      <c r="C1028" s="1" t="n">
        <v>45899</v>
      </c>
      <c r="D1028" t="inlineStr">
        <is>
          <t>VÄSTERNORRLANDS LÄN</t>
        </is>
      </c>
      <c r="E1028" t="inlineStr">
        <is>
          <t>SOLLEFTEÅ</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58276-2021</t>
        </is>
      </c>
      <c r="B1029" s="1" t="n">
        <v>44487.94453703704</v>
      </c>
      <c r="C1029" s="1" t="n">
        <v>45899</v>
      </c>
      <c r="D1029" t="inlineStr">
        <is>
          <t>VÄSTERNORRLANDS LÄN</t>
        </is>
      </c>
      <c r="E1029" t="inlineStr">
        <is>
          <t>SOLLEFTEÅ</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6066-2024</t>
        </is>
      </c>
      <c r="B1030" s="1" t="n">
        <v>45336.88386574074</v>
      </c>
      <c r="C1030" s="1" t="n">
        <v>45899</v>
      </c>
      <c r="D1030" t="inlineStr">
        <is>
          <t>VÄSTERNORRLANDS LÄN</t>
        </is>
      </c>
      <c r="E1030" t="inlineStr">
        <is>
          <t>SOLLEFTEÅ</t>
        </is>
      </c>
      <c r="F1030" t="inlineStr">
        <is>
          <t>Övriga Aktiebolag</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24552-2025</t>
        </is>
      </c>
      <c r="B1031" s="1" t="n">
        <v>45798.44865740741</v>
      </c>
      <c r="C1031" s="1" t="n">
        <v>45899</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24532-2025</t>
        </is>
      </c>
      <c r="B1032" s="1" t="n">
        <v>45798.42820601852</v>
      </c>
      <c r="C1032" s="1" t="n">
        <v>45899</v>
      </c>
      <c r="D1032" t="inlineStr">
        <is>
          <t>VÄSTERNORRLANDS LÄN</t>
        </is>
      </c>
      <c r="E1032" t="inlineStr">
        <is>
          <t>SOLLEFTEÅ</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12355-2025</t>
        </is>
      </c>
      <c r="B1033" s="1" t="n">
        <v>45730.36490740741</v>
      </c>
      <c r="C1033" s="1" t="n">
        <v>45899</v>
      </c>
      <c r="D1033" t="inlineStr">
        <is>
          <t>VÄSTERNORRLANDS LÄN</t>
        </is>
      </c>
      <c r="E1033" t="inlineStr">
        <is>
          <t>SOLLEFTEÅ</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27572-2022</t>
        </is>
      </c>
      <c r="B1034" s="1" t="n">
        <v>44742.94329861111</v>
      </c>
      <c r="C1034" s="1" t="n">
        <v>45899</v>
      </c>
      <c r="D1034" t="inlineStr">
        <is>
          <t>VÄSTERNORRLANDS LÄN</t>
        </is>
      </c>
      <c r="E1034" t="inlineStr">
        <is>
          <t>SOLLEFTEÅ</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282-2023</t>
        </is>
      </c>
      <c r="B1035" s="1" t="n">
        <v>44928</v>
      </c>
      <c r="C1035" s="1" t="n">
        <v>45899</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24420-2025</t>
        </is>
      </c>
      <c r="B1036" s="1" t="n">
        <v>45797.67771990741</v>
      </c>
      <c r="C1036" s="1" t="n">
        <v>45899</v>
      </c>
      <c r="D1036" t="inlineStr">
        <is>
          <t>VÄSTERNORRLANDS LÄN</t>
        </is>
      </c>
      <c r="E1036" t="inlineStr">
        <is>
          <t>SOLLEFTEÅ</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24530-2025</t>
        </is>
      </c>
      <c r="B1037" s="1" t="n">
        <v>45798.42799768518</v>
      </c>
      <c r="C1037" s="1" t="n">
        <v>45899</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8703-2025</t>
        </is>
      </c>
      <c r="B1038" s="1" t="n">
        <v>45712.48630787037</v>
      </c>
      <c r="C1038" s="1" t="n">
        <v>45899</v>
      </c>
      <c r="D1038" t="inlineStr">
        <is>
          <t>VÄSTERNORRLANDS LÄN</t>
        </is>
      </c>
      <c r="E1038" t="inlineStr">
        <is>
          <t>SOLLEFTEÅ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24531-2025</t>
        </is>
      </c>
      <c r="B1039" s="1" t="n">
        <v>45798.42810185185</v>
      </c>
      <c r="C1039" s="1" t="n">
        <v>45899</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50674-2023</t>
        </is>
      </c>
      <c r="B1040" s="1" t="n">
        <v>45210</v>
      </c>
      <c r="C1040" s="1" t="n">
        <v>45899</v>
      </c>
      <c r="D1040" t="inlineStr">
        <is>
          <t>VÄSTERNORRLANDS LÄN</t>
        </is>
      </c>
      <c r="E1040" t="inlineStr">
        <is>
          <t>SOLLEFTEÅ</t>
        </is>
      </c>
      <c r="G1040" t="n">
        <v>11.8</v>
      </c>
      <c r="H1040" t="n">
        <v>0</v>
      </c>
      <c r="I1040" t="n">
        <v>0</v>
      </c>
      <c r="J1040" t="n">
        <v>0</v>
      </c>
      <c r="K1040" t="n">
        <v>0</v>
      </c>
      <c r="L1040" t="n">
        <v>0</v>
      </c>
      <c r="M1040" t="n">
        <v>0</v>
      </c>
      <c r="N1040" t="n">
        <v>0</v>
      </c>
      <c r="O1040" t="n">
        <v>0</v>
      </c>
      <c r="P1040" t="n">
        <v>0</v>
      </c>
      <c r="Q1040" t="n">
        <v>0</v>
      </c>
      <c r="R1040" s="2" t="inlineStr"/>
    </row>
    <row r="1041" ht="15" customHeight="1">
      <c r="A1041" t="inlineStr">
        <is>
          <t>A 50688-2023</t>
        </is>
      </c>
      <c r="B1041" s="1" t="n">
        <v>45210</v>
      </c>
      <c r="C1041" s="1" t="n">
        <v>45899</v>
      </c>
      <c r="D1041" t="inlineStr">
        <is>
          <t>VÄSTERNORRLANDS LÄN</t>
        </is>
      </c>
      <c r="E1041" t="inlineStr">
        <is>
          <t>SOLLEFTEÅ</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50745-2023</t>
        </is>
      </c>
      <c r="B1042" s="1" t="n">
        <v>45210</v>
      </c>
      <c r="C1042" s="1" t="n">
        <v>45899</v>
      </c>
      <c r="D1042" t="inlineStr">
        <is>
          <t>VÄSTERNORRLANDS LÄN</t>
        </is>
      </c>
      <c r="E1042" t="inlineStr">
        <is>
          <t>SOLLEFTEÅ</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26955-2024</t>
        </is>
      </c>
      <c r="B1043" s="1" t="n">
        <v>45470.97040509259</v>
      </c>
      <c r="C1043" s="1" t="n">
        <v>45899</v>
      </c>
      <c r="D1043" t="inlineStr">
        <is>
          <t>VÄSTERNORRLANDS LÄN</t>
        </is>
      </c>
      <c r="E1043" t="inlineStr">
        <is>
          <t>SOLLEFTEÅ</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3081-2025</t>
        </is>
      </c>
      <c r="B1044" s="1" t="n">
        <v>45678.644375</v>
      </c>
      <c r="C1044" s="1" t="n">
        <v>45899</v>
      </c>
      <c r="D1044" t="inlineStr">
        <is>
          <t>VÄSTERNORRLANDS LÄN</t>
        </is>
      </c>
      <c r="E1044" t="inlineStr">
        <is>
          <t>SOLLEFTEÅ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25313-2025</t>
        </is>
      </c>
      <c r="B1045" s="1" t="n">
        <v>45799</v>
      </c>
      <c r="C1045" s="1" t="n">
        <v>45899</v>
      </c>
      <c r="D1045" t="inlineStr">
        <is>
          <t>VÄSTERNORRLANDS LÄN</t>
        </is>
      </c>
      <c r="E1045" t="inlineStr">
        <is>
          <t>SOLLEFTEÅ</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19892-2025</t>
        </is>
      </c>
      <c r="B1046" s="1" t="n">
        <v>45771.57461805556</v>
      </c>
      <c r="C1046" s="1" t="n">
        <v>45899</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11117-2022</t>
        </is>
      </c>
      <c r="B1047" s="1" t="n">
        <v>44628.94248842593</v>
      </c>
      <c r="C1047" s="1" t="n">
        <v>45899</v>
      </c>
      <c r="D1047" t="inlineStr">
        <is>
          <t>VÄSTERNORRLANDS LÄN</t>
        </is>
      </c>
      <c r="E1047" t="inlineStr">
        <is>
          <t>SOLLEFTEÅ</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51029-2021</t>
        </is>
      </c>
      <c r="B1048" s="1" t="n">
        <v>44460.94086805556</v>
      </c>
      <c r="C1048" s="1" t="n">
        <v>45899</v>
      </c>
      <c r="D1048" t="inlineStr">
        <is>
          <t>VÄSTERNORRLANDS LÄN</t>
        </is>
      </c>
      <c r="E1048" t="inlineStr">
        <is>
          <t>SOLLEFTEÅ</t>
        </is>
      </c>
      <c r="F1048" t="inlineStr">
        <is>
          <t>SCA</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32140-2024</t>
        </is>
      </c>
      <c r="B1049" s="1" t="n">
        <v>45511.54391203704</v>
      </c>
      <c r="C1049" s="1" t="n">
        <v>45899</v>
      </c>
      <c r="D1049" t="inlineStr">
        <is>
          <t>VÄSTERNORRLANDS LÄN</t>
        </is>
      </c>
      <c r="E1049" t="inlineStr">
        <is>
          <t>SOLLEFTEÅ</t>
        </is>
      </c>
      <c r="F1049" t="inlineStr">
        <is>
          <t>Holmen skog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24730-2025</t>
        </is>
      </c>
      <c r="B1050" s="1" t="n">
        <v>45799.34150462963</v>
      </c>
      <c r="C1050" s="1" t="n">
        <v>45899</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19326-2024</t>
        </is>
      </c>
      <c r="B1051" s="1" t="n">
        <v>45428</v>
      </c>
      <c r="C1051" s="1" t="n">
        <v>45899</v>
      </c>
      <c r="D1051" t="inlineStr">
        <is>
          <t>VÄSTERNORRLANDS LÄN</t>
        </is>
      </c>
      <c r="E1051" t="inlineStr">
        <is>
          <t>SOLLEFTEÅ</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55440-2024</t>
        </is>
      </c>
      <c r="B1052" s="1" t="n">
        <v>45622.40679398148</v>
      </c>
      <c r="C1052" s="1" t="n">
        <v>45899</v>
      </c>
      <c r="D1052" t="inlineStr">
        <is>
          <t>VÄSTERNORRLANDS LÄN</t>
        </is>
      </c>
      <c r="E1052" t="inlineStr">
        <is>
          <t>SOLLEFTEÅ</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25181-2025</t>
        </is>
      </c>
      <c r="B1053" s="1" t="n">
        <v>45800.44900462963</v>
      </c>
      <c r="C1053" s="1" t="n">
        <v>45899</v>
      </c>
      <c r="D1053" t="inlineStr">
        <is>
          <t>VÄSTERNORRLANDS LÄN</t>
        </is>
      </c>
      <c r="E1053" t="inlineStr">
        <is>
          <t>SOLLEFTEÅ</t>
        </is>
      </c>
      <c r="G1053" t="n">
        <v>15.6</v>
      </c>
      <c r="H1053" t="n">
        <v>0</v>
      </c>
      <c r="I1053" t="n">
        <v>0</v>
      </c>
      <c r="J1053" t="n">
        <v>0</v>
      </c>
      <c r="K1053" t="n">
        <v>0</v>
      </c>
      <c r="L1053" t="n">
        <v>0</v>
      </c>
      <c r="M1053" t="n">
        <v>0</v>
      </c>
      <c r="N1053" t="n">
        <v>0</v>
      </c>
      <c r="O1053" t="n">
        <v>0</v>
      </c>
      <c r="P1053" t="n">
        <v>0</v>
      </c>
      <c r="Q1053" t="n">
        <v>0</v>
      </c>
      <c r="R1053" s="2" t="inlineStr"/>
    </row>
    <row r="1054" ht="15" customHeight="1">
      <c r="A1054" t="inlineStr">
        <is>
          <t>A 25207-2025</t>
        </is>
      </c>
      <c r="B1054" s="1" t="n">
        <v>45800.46914351852</v>
      </c>
      <c r="C1054" s="1" t="n">
        <v>45899</v>
      </c>
      <c r="D1054" t="inlineStr">
        <is>
          <t>VÄSTERNORRLANDS LÄN</t>
        </is>
      </c>
      <c r="E1054" t="inlineStr">
        <is>
          <t>SOLLEFTEÅ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25238-2025</t>
        </is>
      </c>
      <c r="B1055" s="1" t="n">
        <v>45800.49016203704</v>
      </c>
      <c r="C1055" s="1" t="n">
        <v>45899</v>
      </c>
      <c r="D1055" t="inlineStr">
        <is>
          <t>VÄSTERNORRLANDS LÄN</t>
        </is>
      </c>
      <c r="E1055" t="inlineStr">
        <is>
          <t>SOLLEFTEÅ</t>
        </is>
      </c>
      <c r="F1055" t="inlineStr">
        <is>
          <t>SCA</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25243-2025</t>
        </is>
      </c>
      <c r="B1056" s="1" t="n">
        <v>45800.49063657408</v>
      </c>
      <c r="C1056" s="1" t="n">
        <v>45899</v>
      </c>
      <c r="D1056" t="inlineStr">
        <is>
          <t>VÄSTERNORRLANDS LÄN</t>
        </is>
      </c>
      <c r="E1056" t="inlineStr">
        <is>
          <t>SOLLEFTEÅ</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58694-2024</t>
        </is>
      </c>
      <c r="B1057" s="1" t="n">
        <v>45635.63575231482</v>
      </c>
      <c r="C1057" s="1" t="n">
        <v>45899</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25132-2025</t>
        </is>
      </c>
      <c r="B1058" s="1" t="n">
        <v>45800</v>
      </c>
      <c r="C1058" s="1" t="n">
        <v>45899</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44045-2022</t>
        </is>
      </c>
      <c r="B1059" s="1" t="n">
        <v>44838</v>
      </c>
      <c r="C1059" s="1" t="n">
        <v>45899</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25297-2025</t>
        </is>
      </c>
      <c r="B1060" s="1" t="n">
        <v>45800.5684837963</v>
      </c>
      <c r="C1060" s="1" t="n">
        <v>45899</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25242-2025</t>
        </is>
      </c>
      <c r="B1061" s="1" t="n">
        <v>45800.49059027778</v>
      </c>
      <c r="C1061" s="1" t="n">
        <v>45899</v>
      </c>
      <c r="D1061" t="inlineStr">
        <is>
          <t>VÄSTERNORRLANDS LÄN</t>
        </is>
      </c>
      <c r="E1061" t="inlineStr">
        <is>
          <t>SOLLEFTEÅ</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10240-2025</t>
        </is>
      </c>
      <c r="B1062" s="1" t="n">
        <v>45720.34508101852</v>
      </c>
      <c r="C1062" s="1" t="n">
        <v>45899</v>
      </c>
      <c r="D1062" t="inlineStr">
        <is>
          <t>VÄSTERNORRLANDS LÄN</t>
        </is>
      </c>
      <c r="E1062" t="inlineStr">
        <is>
          <t>SOLLEFTEÅ</t>
        </is>
      </c>
      <c r="F1062" t="inlineStr">
        <is>
          <t>SCA</t>
        </is>
      </c>
      <c r="G1062" t="n">
        <v>18.8</v>
      </c>
      <c r="H1062" t="n">
        <v>0</v>
      </c>
      <c r="I1062" t="n">
        <v>0</v>
      </c>
      <c r="J1062" t="n">
        <v>0</v>
      </c>
      <c r="K1062" t="n">
        <v>0</v>
      </c>
      <c r="L1062" t="n">
        <v>0</v>
      </c>
      <c r="M1062" t="n">
        <v>0</v>
      </c>
      <c r="N1062" t="n">
        <v>0</v>
      </c>
      <c r="O1062" t="n">
        <v>0</v>
      </c>
      <c r="P1062" t="n">
        <v>0</v>
      </c>
      <c r="Q1062" t="n">
        <v>0</v>
      </c>
      <c r="R1062" s="2" t="inlineStr"/>
    </row>
    <row r="1063" ht="15" customHeight="1">
      <c r="A1063" t="inlineStr">
        <is>
          <t>A 60170-2022</t>
        </is>
      </c>
      <c r="B1063" s="1" t="n">
        <v>44909</v>
      </c>
      <c r="C1063" s="1" t="n">
        <v>45899</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24759-2025</t>
        </is>
      </c>
      <c r="B1064" s="1" t="n">
        <v>45799.38284722222</v>
      </c>
      <c r="C1064" s="1" t="n">
        <v>45899</v>
      </c>
      <c r="D1064" t="inlineStr">
        <is>
          <t>VÄSTERNORRLANDS LÄN</t>
        </is>
      </c>
      <c r="E1064" t="inlineStr">
        <is>
          <t>SOLLEFTEÅ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24760-2025</t>
        </is>
      </c>
      <c r="B1065" s="1" t="n">
        <v>45799</v>
      </c>
      <c r="C1065" s="1" t="n">
        <v>45899</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44393-2023</t>
        </is>
      </c>
      <c r="B1066" s="1" t="n">
        <v>45188.94534722222</v>
      </c>
      <c r="C1066" s="1" t="n">
        <v>45899</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32157-2024</t>
        </is>
      </c>
      <c r="B1067" s="1" t="n">
        <v>45511.57340277778</v>
      </c>
      <c r="C1067" s="1" t="n">
        <v>45899</v>
      </c>
      <c r="D1067" t="inlineStr">
        <is>
          <t>VÄSTERNORRLANDS LÄN</t>
        </is>
      </c>
      <c r="E1067" t="inlineStr">
        <is>
          <t>SOLLEFTEÅ</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52035-2022</t>
        </is>
      </c>
      <c r="B1068" s="1" t="n">
        <v>44872</v>
      </c>
      <c r="C1068" s="1" t="n">
        <v>45899</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6282-2024</t>
        </is>
      </c>
      <c r="B1069" s="1" t="n">
        <v>45337</v>
      </c>
      <c r="C1069" s="1" t="n">
        <v>45899</v>
      </c>
      <c r="D1069" t="inlineStr">
        <is>
          <t>VÄSTERNORRLANDS LÄN</t>
        </is>
      </c>
      <c r="E1069" t="inlineStr">
        <is>
          <t>SOLLEFTEÅ</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57800-2024</t>
        </is>
      </c>
      <c r="B1070" s="1" t="n">
        <v>45631</v>
      </c>
      <c r="C1070" s="1" t="n">
        <v>45899</v>
      </c>
      <c r="D1070" t="inlineStr">
        <is>
          <t>VÄSTERNORRLANDS LÄN</t>
        </is>
      </c>
      <c r="E1070" t="inlineStr">
        <is>
          <t>SOLLEFTEÅ</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37381-2023</t>
        </is>
      </c>
      <c r="B1071" s="1" t="n">
        <v>45155</v>
      </c>
      <c r="C1071" s="1" t="n">
        <v>45899</v>
      </c>
      <c r="D1071" t="inlineStr">
        <is>
          <t>VÄSTERNORRLANDS LÄN</t>
        </is>
      </c>
      <c r="E1071" t="inlineStr">
        <is>
          <t>SOLLEFTEÅ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35509-2024</t>
        </is>
      </c>
      <c r="B1072" s="1" t="n">
        <v>45531</v>
      </c>
      <c r="C1072" s="1" t="n">
        <v>45899</v>
      </c>
      <c r="D1072" t="inlineStr">
        <is>
          <t>VÄSTERNORRLANDS LÄN</t>
        </is>
      </c>
      <c r="E1072" t="inlineStr">
        <is>
          <t>SOLLEFTEÅ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35513-2024</t>
        </is>
      </c>
      <c r="B1073" s="1" t="n">
        <v>45531</v>
      </c>
      <c r="C1073" s="1" t="n">
        <v>45899</v>
      </c>
      <c r="D1073" t="inlineStr">
        <is>
          <t>VÄSTERNORRLANDS LÄN</t>
        </is>
      </c>
      <c r="E1073" t="inlineStr">
        <is>
          <t>SOLLEFTEÅ</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8914-2025</t>
        </is>
      </c>
      <c r="B1074" s="1" t="n">
        <v>45713.42743055556</v>
      </c>
      <c r="C1074" s="1" t="n">
        <v>45899</v>
      </c>
      <c r="D1074" t="inlineStr">
        <is>
          <t>VÄSTERNORRLANDS LÄN</t>
        </is>
      </c>
      <c r="E1074" t="inlineStr">
        <is>
          <t>SOLLEFTEÅ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25145-2025</t>
        </is>
      </c>
      <c r="B1075" s="1" t="n">
        <v>45800</v>
      </c>
      <c r="C1075" s="1" t="n">
        <v>45899</v>
      </c>
      <c r="D1075" t="inlineStr">
        <is>
          <t>VÄSTERNORRLANDS LÄN</t>
        </is>
      </c>
      <c r="E1075" t="inlineStr">
        <is>
          <t>SOLLEFTEÅ</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24787-2025</t>
        </is>
      </c>
      <c r="B1076" s="1" t="n">
        <v>45799.42791666667</v>
      </c>
      <c r="C1076" s="1" t="n">
        <v>45899</v>
      </c>
      <c r="D1076" t="inlineStr">
        <is>
          <t>VÄSTERNORRLANDS LÄN</t>
        </is>
      </c>
      <c r="E1076" t="inlineStr">
        <is>
          <t>SOLLEFTEÅ</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3633-2024</t>
        </is>
      </c>
      <c r="B1077" s="1" t="n">
        <v>45320</v>
      </c>
      <c r="C1077" s="1" t="n">
        <v>45899</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59371-2022</t>
        </is>
      </c>
      <c r="B1078" s="1" t="n">
        <v>44904</v>
      </c>
      <c r="C1078" s="1" t="n">
        <v>45899</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3556-2022</t>
        </is>
      </c>
      <c r="B1079" s="1" t="n">
        <v>44585</v>
      </c>
      <c r="C1079" s="1" t="n">
        <v>45899</v>
      </c>
      <c r="D1079" t="inlineStr">
        <is>
          <t>VÄSTERNORRLANDS LÄN</t>
        </is>
      </c>
      <c r="E1079" t="inlineStr">
        <is>
          <t>SOLLEFTEÅ</t>
        </is>
      </c>
      <c r="F1079" t="inlineStr">
        <is>
          <t>SCA</t>
        </is>
      </c>
      <c r="G1079" t="n">
        <v>18.2</v>
      </c>
      <c r="H1079" t="n">
        <v>0</v>
      </c>
      <c r="I1079" t="n">
        <v>0</v>
      </c>
      <c r="J1079" t="n">
        <v>0</v>
      </c>
      <c r="K1079" t="n">
        <v>0</v>
      </c>
      <c r="L1079" t="n">
        <v>0</v>
      </c>
      <c r="M1079" t="n">
        <v>0</v>
      </c>
      <c r="N1079" t="n">
        <v>0</v>
      </c>
      <c r="O1079" t="n">
        <v>0</v>
      </c>
      <c r="P1079" t="n">
        <v>0</v>
      </c>
      <c r="Q1079" t="n">
        <v>0</v>
      </c>
      <c r="R1079" s="2" t="inlineStr"/>
    </row>
    <row r="1080" ht="15" customHeight="1">
      <c r="A1080" t="inlineStr">
        <is>
          <t>A 40921-2024</t>
        </is>
      </c>
      <c r="B1080" s="1" t="n">
        <v>45558.6358912037</v>
      </c>
      <c r="C1080" s="1" t="n">
        <v>45899</v>
      </c>
      <c r="D1080" t="inlineStr">
        <is>
          <t>VÄSTERNORRLANDS LÄN</t>
        </is>
      </c>
      <c r="E1080" t="inlineStr">
        <is>
          <t>SOLLEFTEÅ</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25939-2025</t>
        </is>
      </c>
      <c r="B1081" s="1" t="n">
        <v>45804.5943287037</v>
      </c>
      <c r="C1081" s="1" t="n">
        <v>45899</v>
      </c>
      <c r="D1081" t="inlineStr">
        <is>
          <t>VÄSTERNORRLANDS LÄN</t>
        </is>
      </c>
      <c r="E1081" t="inlineStr">
        <is>
          <t>SOLLEFTEÅ</t>
        </is>
      </c>
      <c r="F1081" t="inlineStr">
        <is>
          <t>SCA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61997-2022</t>
        </is>
      </c>
      <c r="B1082" s="1" t="n">
        <v>44914</v>
      </c>
      <c r="C1082" s="1" t="n">
        <v>45899</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20799-2024</t>
        </is>
      </c>
      <c r="B1083" s="1" t="n">
        <v>45438</v>
      </c>
      <c r="C1083" s="1" t="n">
        <v>45899</v>
      </c>
      <c r="D1083" t="inlineStr">
        <is>
          <t>VÄSTERNORRLANDS LÄN</t>
        </is>
      </c>
      <c r="E1083" t="inlineStr">
        <is>
          <t>SOLLEFTEÅ</t>
        </is>
      </c>
      <c r="F1083" t="inlineStr">
        <is>
          <t>SCA</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39446-2024</t>
        </is>
      </c>
      <c r="B1084" s="1" t="n">
        <v>45551</v>
      </c>
      <c r="C1084" s="1" t="n">
        <v>45899</v>
      </c>
      <c r="D1084" t="inlineStr">
        <is>
          <t>VÄSTERNORRLANDS LÄN</t>
        </is>
      </c>
      <c r="E1084" t="inlineStr">
        <is>
          <t>SOLLEFTEÅ</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25517-2025</t>
        </is>
      </c>
      <c r="B1085" s="1" t="n">
        <v>45803.37570601852</v>
      </c>
      <c r="C1085" s="1" t="n">
        <v>45899</v>
      </c>
      <c r="D1085" t="inlineStr">
        <is>
          <t>VÄSTERNORRLANDS LÄN</t>
        </is>
      </c>
      <c r="E1085" t="inlineStr">
        <is>
          <t>SOLLEFTEÅ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25833-2025</t>
        </is>
      </c>
      <c r="B1086" s="1" t="n">
        <v>45804.44827546296</v>
      </c>
      <c r="C1086" s="1" t="n">
        <v>45899</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25856-2025</t>
        </is>
      </c>
      <c r="B1087" s="1" t="n">
        <v>45804.46944444445</v>
      </c>
      <c r="C1087" s="1" t="n">
        <v>45899</v>
      </c>
      <c r="D1087" t="inlineStr">
        <is>
          <t>VÄSTERNORRLANDS LÄN</t>
        </is>
      </c>
      <c r="E1087" t="inlineStr">
        <is>
          <t>SOLLEFTEÅ</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25963-2025</t>
        </is>
      </c>
      <c r="B1088" s="1" t="n">
        <v>45804.61568287037</v>
      </c>
      <c r="C1088" s="1" t="n">
        <v>45899</v>
      </c>
      <c r="D1088" t="inlineStr">
        <is>
          <t>VÄSTERNORRLANDS LÄN</t>
        </is>
      </c>
      <c r="E1088" t="inlineStr">
        <is>
          <t>SOLLEFTEÅ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30060-2024</t>
        </is>
      </c>
      <c r="B1089" s="1" t="n">
        <v>45488.94813657407</v>
      </c>
      <c r="C1089" s="1" t="n">
        <v>45899</v>
      </c>
      <c r="D1089" t="inlineStr">
        <is>
          <t>VÄSTERNORRLANDS LÄN</t>
        </is>
      </c>
      <c r="E1089" t="inlineStr">
        <is>
          <t>SOLLEFTEÅ</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23285-2023</t>
        </is>
      </c>
      <c r="B1090" s="1" t="n">
        <v>45075</v>
      </c>
      <c r="C1090" s="1" t="n">
        <v>45899</v>
      </c>
      <c r="D1090" t="inlineStr">
        <is>
          <t>VÄSTERNORRLANDS LÄN</t>
        </is>
      </c>
      <c r="E1090" t="inlineStr">
        <is>
          <t>SOLLEFTEÅ</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27789-2024</t>
        </is>
      </c>
      <c r="B1091" s="1" t="n">
        <v>45475</v>
      </c>
      <c r="C1091" s="1" t="n">
        <v>45899</v>
      </c>
      <c r="D1091" t="inlineStr">
        <is>
          <t>VÄSTERNORRLANDS LÄN</t>
        </is>
      </c>
      <c r="E1091" t="inlineStr">
        <is>
          <t>SOLLEFTEÅ</t>
        </is>
      </c>
      <c r="F1091" t="inlineStr">
        <is>
          <t>SCA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59474-2024</t>
        </is>
      </c>
      <c r="B1092" s="1" t="n">
        <v>45638.504375</v>
      </c>
      <c r="C1092" s="1" t="n">
        <v>45899</v>
      </c>
      <c r="D1092" t="inlineStr">
        <is>
          <t>VÄSTERNORRLANDS LÄN</t>
        </is>
      </c>
      <c r="E1092" t="inlineStr">
        <is>
          <t>SOLLEFTEÅ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25903-2025</t>
        </is>
      </c>
      <c r="B1093" s="1" t="n">
        <v>45804.55240740741</v>
      </c>
      <c r="C1093" s="1" t="n">
        <v>45899</v>
      </c>
      <c r="D1093" t="inlineStr">
        <is>
          <t>VÄSTERNORRLANDS LÄN</t>
        </is>
      </c>
      <c r="E1093" t="inlineStr">
        <is>
          <t>SOLLEFTEÅ</t>
        </is>
      </c>
      <c r="F1093" t="inlineStr">
        <is>
          <t>SCA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25790-2025</t>
        </is>
      </c>
      <c r="B1094" s="1" t="n">
        <v>45804.38574074074</v>
      </c>
      <c r="C1094" s="1" t="n">
        <v>45899</v>
      </c>
      <c r="D1094" t="inlineStr">
        <is>
          <t>VÄSTERNORRLANDS LÄN</t>
        </is>
      </c>
      <c r="E1094" t="inlineStr">
        <is>
          <t>SOLLEFTEÅ</t>
        </is>
      </c>
      <c r="F1094" t="inlineStr">
        <is>
          <t>SCA</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59563-2024</t>
        </is>
      </c>
      <c r="B1095" s="1" t="n">
        <v>45638.63733796297</v>
      </c>
      <c r="C1095" s="1" t="n">
        <v>45899</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18621-2024</t>
        </is>
      </c>
      <c r="B1096" s="1" t="n">
        <v>45425</v>
      </c>
      <c r="C1096" s="1" t="n">
        <v>45899</v>
      </c>
      <c r="D1096" t="inlineStr">
        <is>
          <t>VÄSTERNORRLANDS LÄN</t>
        </is>
      </c>
      <c r="E1096" t="inlineStr">
        <is>
          <t>SOLLEFTEÅ</t>
        </is>
      </c>
      <c r="F1096" t="inlineStr">
        <is>
          <t>SCA</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18622-2024</t>
        </is>
      </c>
      <c r="B1097" s="1" t="n">
        <v>45425.96364583333</v>
      </c>
      <c r="C1097" s="1" t="n">
        <v>45899</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25855-2025</t>
        </is>
      </c>
      <c r="B1098" s="1" t="n">
        <v>45804.46934027778</v>
      </c>
      <c r="C1098" s="1" t="n">
        <v>45899</v>
      </c>
      <c r="D1098" t="inlineStr">
        <is>
          <t>VÄSTERNORRLANDS LÄN</t>
        </is>
      </c>
      <c r="E1098" t="inlineStr">
        <is>
          <t>SOLLEFTEÅ</t>
        </is>
      </c>
      <c r="F1098" t="inlineStr">
        <is>
          <t>SCA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25857-2025</t>
        </is>
      </c>
      <c r="B1099" s="1" t="n">
        <v>45804.46956018519</v>
      </c>
      <c r="C1099" s="1" t="n">
        <v>45899</v>
      </c>
      <c r="D1099" t="inlineStr">
        <is>
          <t>VÄSTERNORRLANDS LÄN</t>
        </is>
      </c>
      <c r="E1099" t="inlineStr">
        <is>
          <t>SOLLEFTEÅ</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33134-2024</t>
        </is>
      </c>
      <c r="B1100" s="1" t="n">
        <v>45518</v>
      </c>
      <c r="C1100" s="1" t="n">
        <v>45899</v>
      </c>
      <c r="D1100" t="inlineStr">
        <is>
          <t>VÄSTERNORRLANDS LÄN</t>
        </is>
      </c>
      <c r="E1100" t="inlineStr">
        <is>
          <t>SOLLEFTEÅ</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33141-2024</t>
        </is>
      </c>
      <c r="B1101" s="1" t="n">
        <v>45518</v>
      </c>
      <c r="C1101" s="1" t="n">
        <v>45899</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600-2025</t>
        </is>
      </c>
      <c r="B1102" s="1" t="n">
        <v>45664.59428240741</v>
      </c>
      <c r="C1102" s="1" t="n">
        <v>45899</v>
      </c>
      <c r="D1102" t="inlineStr">
        <is>
          <t>VÄSTERNORRLANDS LÄN</t>
        </is>
      </c>
      <c r="E1102" t="inlineStr">
        <is>
          <t>SOLLEFTEÅ</t>
        </is>
      </c>
      <c r="F1102" t="inlineStr">
        <is>
          <t>SCA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43177-2023</t>
        </is>
      </c>
      <c r="B1103" s="1" t="n">
        <v>45181</v>
      </c>
      <c r="C1103" s="1" t="n">
        <v>45899</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48477-2020</t>
        </is>
      </c>
      <c r="B1104" s="1" t="n">
        <v>44102</v>
      </c>
      <c r="C1104" s="1" t="n">
        <v>45899</v>
      </c>
      <c r="D1104" t="inlineStr">
        <is>
          <t>VÄSTERNORRLANDS LÄN</t>
        </is>
      </c>
      <c r="E1104" t="inlineStr">
        <is>
          <t>SOLLEFTEÅ</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33312-2024</t>
        </is>
      </c>
      <c r="B1105" s="1" t="n">
        <v>45518.97113425926</v>
      </c>
      <c r="C1105" s="1" t="n">
        <v>45899</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25854-2025</t>
        </is>
      </c>
      <c r="B1106" s="1" t="n">
        <v>45804.46920138889</v>
      </c>
      <c r="C1106" s="1" t="n">
        <v>45899</v>
      </c>
      <c r="D1106" t="inlineStr">
        <is>
          <t>VÄSTERNORRLANDS LÄN</t>
        </is>
      </c>
      <c r="E1106" t="inlineStr">
        <is>
          <t>SOLLEFTEÅ</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279-2023</t>
        </is>
      </c>
      <c r="B1107" s="1" t="n">
        <v>44928</v>
      </c>
      <c r="C1107" s="1" t="n">
        <v>45899</v>
      </c>
      <c r="D1107" t="inlineStr">
        <is>
          <t>VÄSTERNORRLANDS LÄN</t>
        </is>
      </c>
      <c r="E1107" t="inlineStr">
        <is>
          <t>SOLLEFTEÅ</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2431-2025</t>
        </is>
      </c>
      <c r="B1108" s="1" t="n">
        <v>45674.40692129629</v>
      </c>
      <c r="C1108" s="1" t="n">
        <v>45899</v>
      </c>
      <c r="D1108" t="inlineStr">
        <is>
          <t>VÄSTERNORRLANDS LÄN</t>
        </is>
      </c>
      <c r="E1108" t="inlineStr">
        <is>
          <t>SOLLEFTEÅ</t>
        </is>
      </c>
      <c r="F1108" t="inlineStr">
        <is>
          <t>SCA</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42950-2024</t>
        </is>
      </c>
      <c r="B1109" s="1" t="n">
        <v>45567.36657407408</v>
      </c>
      <c r="C1109" s="1" t="n">
        <v>45899</v>
      </c>
      <c r="D1109" t="inlineStr">
        <is>
          <t>VÄSTERNORRLANDS LÄN</t>
        </is>
      </c>
      <c r="E1109" t="inlineStr">
        <is>
          <t>SOLLEFTEÅ</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40354-2024</t>
        </is>
      </c>
      <c r="B1110" s="1" t="n">
        <v>45555.36525462963</v>
      </c>
      <c r="C1110" s="1" t="n">
        <v>45899</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56387-2024</t>
        </is>
      </c>
      <c r="B1111" s="1" t="n">
        <v>45625.34434027778</v>
      </c>
      <c r="C1111" s="1" t="n">
        <v>45899</v>
      </c>
      <c r="D1111" t="inlineStr">
        <is>
          <t>VÄSTERNORRLANDS LÄN</t>
        </is>
      </c>
      <c r="E1111" t="inlineStr">
        <is>
          <t>SOLLEFTEÅ</t>
        </is>
      </c>
      <c r="F1111" t="inlineStr">
        <is>
          <t>SCA</t>
        </is>
      </c>
      <c r="G1111" t="n">
        <v>10.6</v>
      </c>
      <c r="H1111" t="n">
        <v>0</v>
      </c>
      <c r="I1111" t="n">
        <v>0</v>
      </c>
      <c r="J1111" t="n">
        <v>0</v>
      </c>
      <c r="K1111" t="n">
        <v>0</v>
      </c>
      <c r="L1111" t="n">
        <v>0</v>
      </c>
      <c r="M1111" t="n">
        <v>0</v>
      </c>
      <c r="N1111" t="n">
        <v>0</v>
      </c>
      <c r="O1111" t="n">
        <v>0</v>
      </c>
      <c r="P1111" t="n">
        <v>0</v>
      </c>
      <c r="Q1111" t="n">
        <v>0</v>
      </c>
      <c r="R1111" s="2" t="inlineStr"/>
    </row>
    <row r="1112" ht="15" customHeight="1">
      <c r="A1112" t="inlineStr">
        <is>
          <t>A 56390-2024</t>
        </is>
      </c>
      <c r="B1112" s="1" t="n">
        <v>45625.34476851852</v>
      </c>
      <c r="C1112" s="1" t="n">
        <v>45899</v>
      </c>
      <c r="D1112" t="inlineStr">
        <is>
          <t>VÄSTERNORRLANDS LÄN</t>
        </is>
      </c>
      <c r="E1112" t="inlineStr">
        <is>
          <t>SOLLEFTEÅ</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11551-2023</t>
        </is>
      </c>
      <c r="B1113" s="1" t="n">
        <v>44993</v>
      </c>
      <c r="C1113" s="1" t="n">
        <v>45899</v>
      </c>
      <c r="D1113" t="inlineStr">
        <is>
          <t>VÄSTERNORRLANDS LÄN</t>
        </is>
      </c>
      <c r="E1113" t="inlineStr">
        <is>
          <t>SOLLEFTEÅ</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10093-2023</t>
        </is>
      </c>
      <c r="B1114" s="1" t="n">
        <v>44985</v>
      </c>
      <c r="C1114" s="1" t="n">
        <v>45899</v>
      </c>
      <c r="D1114" t="inlineStr">
        <is>
          <t>VÄSTERNORRLANDS LÄN</t>
        </is>
      </c>
      <c r="E1114" t="inlineStr">
        <is>
          <t>SOLLEFTEÅ</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10094-2023</t>
        </is>
      </c>
      <c r="B1115" s="1" t="n">
        <v>44985</v>
      </c>
      <c r="C1115" s="1" t="n">
        <v>45899</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60171-2022</t>
        </is>
      </c>
      <c r="B1116" s="1" t="n">
        <v>44909</v>
      </c>
      <c r="C1116" s="1" t="n">
        <v>45899</v>
      </c>
      <c r="D1116" t="inlineStr">
        <is>
          <t>VÄSTERNORRLANDS LÄN</t>
        </is>
      </c>
      <c r="E1116" t="inlineStr">
        <is>
          <t>SOLLEFTEÅ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52718-2022</t>
        </is>
      </c>
      <c r="B1117" s="1" t="n">
        <v>44874</v>
      </c>
      <c r="C1117" s="1" t="n">
        <v>45899</v>
      </c>
      <c r="D1117" t="inlineStr">
        <is>
          <t>VÄSTERNORRLANDS LÄN</t>
        </is>
      </c>
      <c r="E1117" t="inlineStr">
        <is>
          <t>SOLLEFTEÅ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3234-2024</t>
        </is>
      </c>
      <c r="B1118" s="1" t="n">
        <v>45316.94708333333</v>
      </c>
      <c r="C1118" s="1" t="n">
        <v>45899</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27293-2024</t>
        </is>
      </c>
      <c r="B1119" s="1" t="n">
        <v>45471.94259259259</v>
      </c>
      <c r="C1119" s="1" t="n">
        <v>45899</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55692-2024</t>
        </is>
      </c>
      <c r="B1120" s="1" t="n">
        <v>45622</v>
      </c>
      <c r="C1120" s="1" t="n">
        <v>45899</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55792-2024</t>
        </is>
      </c>
      <c r="B1121" s="1" t="n">
        <v>45623</v>
      </c>
      <c r="C1121" s="1" t="n">
        <v>45899</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3001-2022</t>
        </is>
      </c>
      <c r="B1122" s="1" t="n">
        <v>44581</v>
      </c>
      <c r="C1122" s="1" t="n">
        <v>45899</v>
      </c>
      <c r="D1122" t="inlineStr">
        <is>
          <t>VÄSTERNORRLANDS LÄN</t>
        </is>
      </c>
      <c r="E1122" t="inlineStr">
        <is>
          <t>SOLLEFTEÅ</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23527-2023</t>
        </is>
      </c>
      <c r="B1123" s="1" t="n">
        <v>45076</v>
      </c>
      <c r="C1123" s="1" t="n">
        <v>45899</v>
      </c>
      <c r="D1123" t="inlineStr">
        <is>
          <t>VÄSTERNORRLANDS LÄN</t>
        </is>
      </c>
      <c r="E1123" t="inlineStr">
        <is>
          <t>SOLLEFTEÅ</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61611-2024</t>
        </is>
      </c>
      <c r="B1124" s="1" t="n">
        <v>45645</v>
      </c>
      <c r="C1124" s="1" t="n">
        <v>45899</v>
      </c>
      <c r="D1124" t="inlineStr">
        <is>
          <t>VÄSTERNORRLANDS LÄN</t>
        </is>
      </c>
      <c r="E1124" t="inlineStr">
        <is>
          <t>SOLLEFTEÅ</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73367-2021</t>
        </is>
      </c>
      <c r="B1125" s="1" t="n">
        <v>44550</v>
      </c>
      <c r="C1125" s="1" t="n">
        <v>45899</v>
      </c>
      <c r="D1125" t="inlineStr">
        <is>
          <t>VÄSTERNORRLANDS LÄN</t>
        </is>
      </c>
      <c r="E1125" t="inlineStr">
        <is>
          <t>SOLLEFTEÅ</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24461-2024</t>
        </is>
      </c>
      <c r="B1126" s="1" t="n">
        <v>45457.96806712963</v>
      </c>
      <c r="C1126" s="1" t="n">
        <v>45899</v>
      </c>
      <c r="D1126" t="inlineStr">
        <is>
          <t>VÄSTERNORRLANDS LÄN</t>
        </is>
      </c>
      <c r="E1126" t="inlineStr">
        <is>
          <t>SOLLEFTEÅ</t>
        </is>
      </c>
      <c r="F1126" t="inlineStr">
        <is>
          <t>SCA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31670-2024</t>
        </is>
      </c>
      <c r="B1127" s="1" t="n">
        <v>45506.94805555556</v>
      </c>
      <c r="C1127" s="1" t="n">
        <v>45899</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31681-2024</t>
        </is>
      </c>
      <c r="B1128" s="1" t="n">
        <v>45506.94902777778</v>
      </c>
      <c r="C1128" s="1" t="n">
        <v>45899</v>
      </c>
      <c r="D1128" t="inlineStr">
        <is>
          <t>VÄSTERNORRLANDS LÄN</t>
        </is>
      </c>
      <c r="E1128" t="inlineStr">
        <is>
          <t>SOLLEFTEÅ</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38053-2024</t>
        </is>
      </c>
      <c r="B1129" s="1" t="n">
        <v>45544.71903935185</v>
      </c>
      <c r="C1129" s="1" t="n">
        <v>45899</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26088-2025</t>
        </is>
      </c>
      <c r="B1130" s="1" t="n">
        <v>45805.34497685185</v>
      </c>
      <c r="C1130" s="1" t="n">
        <v>45899</v>
      </c>
      <c r="D1130" t="inlineStr">
        <is>
          <t>VÄSTERNORRLANDS LÄN</t>
        </is>
      </c>
      <c r="E1130" t="inlineStr">
        <is>
          <t>SOLLEFTEÅ</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57487-2024</t>
        </is>
      </c>
      <c r="B1131" s="1" t="n">
        <v>45630.36166666666</v>
      </c>
      <c r="C1131" s="1" t="n">
        <v>45899</v>
      </c>
      <c r="D1131" t="inlineStr">
        <is>
          <t>VÄSTERNORRLANDS LÄN</t>
        </is>
      </c>
      <c r="E1131" t="inlineStr">
        <is>
          <t>SOLLEFTEÅ</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26338-2025</t>
        </is>
      </c>
      <c r="B1132" s="1" t="n">
        <v>45805.69841435185</v>
      </c>
      <c r="C1132" s="1" t="n">
        <v>45899</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26341-2025</t>
        </is>
      </c>
      <c r="B1133" s="1" t="n">
        <v>45805.69878472222</v>
      </c>
      <c r="C1133" s="1" t="n">
        <v>45899</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38768-2024</t>
        </is>
      </c>
      <c r="B1134" s="1" t="n">
        <v>45547.44892361111</v>
      </c>
      <c r="C1134" s="1" t="n">
        <v>45899</v>
      </c>
      <c r="D1134" t="inlineStr">
        <is>
          <t>VÄSTERNORRLANDS LÄN</t>
        </is>
      </c>
      <c r="E1134" t="inlineStr">
        <is>
          <t>SOLLEFTEÅ</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30464-2024</t>
        </is>
      </c>
      <c r="B1135" s="1" t="n">
        <v>45491.94599537037</v>
      </c>
      <c r="C1135" s="1" t="n">
        <v>45899</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30466-2024</t>
        </is>
      </c>
      <c r="B1136" s="1" t="n">
        <v>45491.94641203704</v>
      </c>
      <c r="C1136" s="1" t="n">
        <v>45899</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73564-2021</t>
        </is>
      </c>
      <c r="B1137" s="1" t="n">
        <v>44551.9409375</v>
      </c>
      <c r="C1137" s="1" t="n">
        <v>45899</v>
      </c>
      <c r="D1137" t="inlineStr">
        <is>
          <t>VÄSTERNORRLANDS LÄN</t>
        </is>
      </c>
      <c r="E1137" t="inlineStr">
        <is>
          <t>SOLLEFTEÅ</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26478-2025</t>
        </is>
      </c>
      <c r="B1138" s="1" t="n">
        <v>45807.47013888889</v>
      </c>
      <c r="C1138" s="1" t="n">
        <v>45899</v>
      </c>
      <c r="D1138" t="inlineStr">
        <is>
          <t>VÄSTERNORRLANDS LÄN</t>
        </is>
      </c>
      <c r="E1138" t="inlineStr">
        <is>
          <t>SOLLEFTEÅ</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48396-2024</t>
        </is>
      </c>
      <c r="B1139" s="1" t="n">
        <v>45590.61503472222</v>
      </c>
      <c r="C1139" s="1" t="n">
        <v>45899</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40211-2024</t>
        </is>
      </c>
      <c r="B1140" s="1" t="n">
        <v>45554.59435185185</v>
      </c>
      <c r="C1140" s="1" t="n">
        <v>45899</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15872-2024</t>
        </is>
      </c>
      <c r="B1141" s="1" t="n">
        <v>45405</v>
      </c>
      <c r="C1141" s="1" t="n">
        <v>45899</v>
      </c>
      <c r="D1141" t="inlineStr">
        <is>
          <t>VÄSTERNORRLANDS LÄN</t>
        </is>
      </c>
      <c r="E1141" t="inlineStr">
        <is>
          <t>SOLLEFTEÅ</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10554-2022</t>
        </is>
      </c>
      <c r="B1142" s="1" t="n">
        <v>44623.93775462963</v>
      </c>
      <c r="C1142" s="1" t="n">
        <v>45899</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1858-2021</t>
        </is>
      </c>
      <c r="B1143" s="1" t="n">
        <v>44210</v>
      </c>
      <c r="C1143" s="1" t="n">
        <v>45899</v>
      </c>
      <c r="D1143" t="inlineStr">
        <is>
          <t>VÄSTERNORRLANDS LÄN</t>
        </is>
      </c>
      <c r="E1143" t="inlineStr">
        <is>
          <t>SOLLEFTEÅ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59038-2022</t>
        </is>
      </c>
      <c r="B1144" s="1" t="n">
        <v>44903.9496412037</v>
      </c>
      <c r="C1144" s="1" t="n">
        <v>45899</v>
      </c>
      <c r="D1144" t="inlineStr">
        <is>
          <t>VÄSTERNORRLANDS LÄN</t>
        </is>
      </c>
      <c r="E1144" t="inlineStr">
        <is>
          <t>SOLLEFTEÅ</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40429-2024</t>
        </is>
      </c>
      <c r="B1145" s="1" t="n">
        <v>45555</v>
      </c>
      <c r="C1145" s="1" t="n">
        <v>45899</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34560-2024</t>
        </is>
      </c>
      <c r="B1146" s="1" t="n">
        <v>45526.31116898148</v>
      </c>
      <c r="C1146" s="1" t="n">
        <v>45899</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26426-2025</t>
        </is>
      </c>
      <c r="B1147" s="1" t="n">
        <v>45807.38574074074</v>
      </c>
      <c r="C1147" s="1" t="n">
        <v>45899</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44410-2023</t>
        </is>
      </c>
      <c r="B1148" s="1" t="n">
        <v>45188.94677083333</v>
      </c>
      <c r="C1148" s="1" t="n">
        <v>45899</v>
      </c>
      <c r="D1148" t="inlineStr">
        <is>
          <t>VÄSTERNORRLANDS LÄN</t>
        </is>
      </c>
      <c r="E1148" t="inlineStr">
        <is>
          <t>SOLLEFTEÅ</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2044-2025</t>
        </is>
      </c>
      <c r="B1149" s="1" t="n">
        <v>45672</v>
      </c>
      <c r="C1149" s="1" t="n">
        <v>45899</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13492-2022</t>
        </is>
      </c>
      <c r="B1150" s="1" t="n">
        <v>44646.92120370371</v>
      </c>
      <c r="C1150" s="1" t="n">
        <v>45899</v>
      </c>
      <c r="D1150" t="inlineStr">
        <is>
          <t>VÄSTERNORRLANDS LÄN</t>
        </is>
      </c>
      <c r="E1150" t="inlineStr">
        <is>
          <t>SOLLEFTEÅ</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46212-2023</t>
        </is>
      </c>
      <c r="B1151" s="1" t="n">
        <v>45190</v>
      </c>
      <c r="C1151" s="1" t="n">
        <v>45899</v>
      </c>
      <c r="D1151" t="inlineStr">
        <is>
          <t>VÄSTERNORRLANDS LÄN</t>
        </is>
      </c>
      <c r="E1151" t="inlineStr">
        <is>
          <t>SOLLEFTEÅ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26570-2025</t>
        </is>
      </c>
      <c r="B1152" s="1" t="n">
        <v>45807.67743055556</v>
      </c>
      <c r="C1152" s="1" t="n">
        <v>45899</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2456-2025</t>
        </is>
      </c>
      <c r="B1153" s="1" t="n">
        <v>45673</v>
      </c>
      <c r="C1153" s="1" t="n">
        <v>45899</v>
      </c>
      <c r="D1153" t="inlineStr">
        <is>
          <t>VÄSTERNORRLANDS LÄN</t>
        </is>
      </c>
      <c r="E1153" t="inlineStr">
        <is>
          <t>SOLLEFTEÅ</t>
        </is>
      </c>
      <c r="F1153" t="inlineStr">
        <is>
          <t>Kommuner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1464-2025</t>
        </is>
      </c>
      <c r="B1154" s="1" t="n">
        <v>45670.365</v>
      </c>
      <c r="C1154" s="1" t="n">
        <v>45899</v>
      </c>
      <c r="D1154" t="inlineStr">
        <is>
          <t>VÄSTERNORRLANDS LÄN</t>
        </is>
      </c>
      <c r="E1154" t="inlineStr">
        <is>
          <t>SOLLEFTEÅ</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31453-2022</t>
        </is>
      </c>
      <c r="B1155" s="1" t="n">
        <v>44774.94159722222</v>
      </c>
      <c r="C1155" s="1" t="n">
        <v>45899</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22473-2024</t>
        </is>
      </c>
      <c r="B1156" s="1" t="n">
        <v>45446</v>
      </c>
      <c r="C1156" s="1" t="n">
        <v>45899</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26642-2025</t>
        </is>
      </c>
      <c r="B1157" s="1" t="n">
        <v>45810.36521990741</v>
      </c>
      <c r="C1157" s="1" t="n">
        <v>45899</v>
      </c>
      <c r="D1157" t="inlineStr">
        <is>
          <t>VÄSTERNORRLANDS LÄN</t>
        </is>
      </c>
      <c r="E1157" t="inlineStr">
        <is>
          <t>SOLLEFTEÅ</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26409-2025</t>
        </is>
      </c>
      <c r="B1158" s="1" t="n">
        <v>45807.344375</v>
      </c>
      <c r="C1158" s="1" t="n">
        <v>45899</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26477-2025</t>
        </is>
      </c>
      <c r="B1159" s="1" t="n">
        <v>45807.47011574074</v>
      </c>
      <c r="C1159" s="1" t="n">
        <v>45899</v>
      </c>
      <c r="D1159" t="inlineStr">
        <is>
          <t>VÄSTERNORRLANDS LÄN</t>
        </is>
      </c>
      <c r="E1159" t="inlineStr">
        <is>
          <t>SOLLEFTEÅ</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8656-2024</t>
        </is>
      </c>
      <c r="B1160" s="1" t="n">
        <v>45356</v>
      </c>
      <c r="C1160" s="1" t="n">
        <v>45899</v>
      </c>
      <c r="D1160" t="inlineStr">
        <is>
          <t>VÄSTERNORRLANDS LÄN</t>
        </is>
      </c>
      <c r="E1160" t="inlineStr">
        <is>
          <t>SOLLEFTEÅ</t>
        </is>
      </c>
      <c r="F1160" t="inlineStr">
        <is>
          <t>SCA</t>
        </is>
      </c>
      <c r="G1160" t="n">
        <v>18.4</v>
      </c>
      <c r="H1160" t="n">
        <v>0</v>
      </c>
      <c r="I1160" t="n">
        <v>0</v>
      </c>
      <c r="J1160" t="n">
        <v>0</v>
      </c>
      <c r="K1160" t="n">
        <v>0</v>
      </c>
      <c r="L1160" t="n">
        <v>0</v>
      </c>
      <c r="M1160" t="n">
        <v>0</v>
      </c>
      <c r="N1160" t="n">
        <v>0</v>
      </c>
      <c r="O1160" t="n">
        <v>0</v>
      </c>
      <c r="P1160" t="n">
        <v>0</v>
      </c>
      <c r="Q1160" t="n">
        <v>0</v>
      </c>
      <c r="R1160" s="2" t="inlineStr"/>
    </row>
    <row r="1161" ht="15" customHeight="1">
      <c r="A1161" t="inlineStr">
        <is>
          <t>A 20628-2023</t>
        </is>
      </c>
      <c r="B1161" s="1" t="n">
        <v>45057.94373842593</v>
      </c>
      <c r="C1161" s="1" t="n">
        <v>45899</v>
      </c>
      <c r="D1161" t="inlineStr">
        <is>
          <t>VÄSTERNORRLANDS LÄN</t>
        </is>
      </c>
      <c r="E1161" t="inlineStr">
        <is>
          <t>SOLLEFTEÅ</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19295-2022</t>
        </is>
      </c>
      <c r="B1162" s="1" t="n">
        <v>44692</v>
      </c>
      <c r="C1162" s="1" t="n">
        <v>45899</v>
      </c>
      <c r="D1162" t="inlineStr">
        <is>
          <t>VÄSTERNORRLANDS LÄN</t>
        </is>
      </c>
      <c r="E1162" t="inlineStr">
        <is>
          <t>SOLLEFTEÅ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26641-2025</t>
        </is>
      </c>
      <c r="B1163" s="1" t="n">
        <v>45810.36509259259</v>
      </c>
      <c r="C1163" s="1" t="n">
        <v>45899</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1986-2025</t>
        </is>
      </c>
      <c r="B1164" s="1" t="n">
        <v>45672.40684027778</v>
      </c>
      <c r="C1164" s="1" t="n">
        <v>45899</v>
      </c>
      <c r="D1164" t="inlineStr">
        <is>
          <t>VÄSTERNORRLANDS LÄN</t>
        </is>
      </c>
      <c r="E1164" t="inlineStr">
        <is>
          <t>SOLLEFTEÅ</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55272-2024</t>
        </is>
      </c>
      <c r="B1165" s="1" t="n">
        <v>45621</v>
      </c>
      <c r="C1165" s="1" t="n">
        <v>45899</v>
      </c>
      <c r="D1165" t="inlineStr">
        <is>
          <t>VÄSTERNORRLANDS LÄN</t>
        </is>
      </c>
      <c r="E1165" t="inlineStr">
        <is>
          <t>SOLLEFTEÅ</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5359-2025</t>
        </is>
      </c>
      <c r="B1166" s="1" t="n">
        <v>45692</v>
      </c>
      <c r="C1166" s="1" t="n">
        <v>45899</v>
      </c>
      <c r="D1166" t="inlineStr">
        <is>
          <t>VÄSTERNORRLANDS LÄN</t>
        </is>
      </c>
      <c r="E1166" t="inlineStr">
        <is>
          <t>SOLLEFTEÅ</t>
        </is>
      </c>
      <c r="F1166" t="inlineStr">
        <is>
          <t>Övriga statliga verk och myndigheter</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51942-2024</t>
        </is>
      </c>
      <c r="B1167" s="1" t="n">
        <v>45607.63592592593</v>
      </c>
      <c r="C1167" s="1" t="n">
        <v>45899</v>
      </c>
      <c r="D1167" t="inlineStr">
        <is>
          <t>VÄSTERNORRLANDS LÄN</t>
        </is>
      </c>
      <c r="E1167" t="inlineStr">
        <is>
          <t>SOLLEFTEÅ</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26733-2025</t>
        </is>
      </c>
      <c r="B1168" s="1" t="n">
        <v>45810.51078703703</v>
      </c>
      <c r="C1168" s="1" t="n">
        <v>45899</v>
      </c>
      <c r="D1168" t="inlineStr">
        <is>
          <t>VÄSTERNORRLANDS LÄN</t>
        </is>
      </c>
      <c r="E1168" t="inlineStr">
        <is>
          <t>SOLLEFTEÅ</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59434-2024</t>
        </is>
      </c>
      <c r="B1169" s="1" t="n">
        <v>45638.43040509259</v>
      </c>
      <c r="C1169" s="1" t="n">
        <v>45899</v>
      </c>
      <c r="D1169" t="inlineStr">
        <is>
          <t>VÄSTERNORRLANDS LÄN</t>
        </is>
      </c>
      <c r="E1169" t="inlineStr">
        <is>
          <t>SOLLEFTEÅ</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7258-2024</t>
        </is>
      </c>
      <c r="B1170" s="1" t="n">
        <v>45344.74564814815</v>
      </c>
      <c r="C1170" s="1" t="n">
        <v>45899</v>
      </c>
      <c r="D1170" t="inlineStr">
        <is>
          <t>VÄSTERNORRLANDS LÄN</t>
        </is>
      </c>
      <c r="E1170" t="inlineStr">
        <is>
          <t>SOLLEFTEÅ</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34388-2024</t>
        </is>
      </c>
      <c r="B1171" s="1" t="n">
        <v>45525</v>
      </c>
      <c r="C1171" s="1" t="n">
        <v>45899</v>
      </c>
      <c r="D1171" t="inlineStr">
        <is>
          <t>VÄSTERNORRLANDS LÄN</t>
        </is>
      </c>
      <c r="E1171" t="inlineStr">
        <is>
          <t>SOLLEFTEÅ</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33241-2024</t>
        </is>
      </c>
      <c r="B1172" s="1" t="n">
        <v>45518.60484953703</v>
      </c>
      <c r="C1172" s="1" t="n">
        <v>45899</v>
      </c>
      <c r="D1172" t="inlineStr">
        <is>
          <t>VÄSTERNORRLANDS LÄN</t>
        </is>
      </c>
      <c r="E1172" t="inlineStr">
        <is>
          <t>SOLLEFTEÅ</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26937-2025</t>
        </is>
      </c>
      <c r="B1173" s="1" t="n">
        <v>45811.40989583333</v>
      </c>
      <c r="C1173" s="1" t="n">
        <v>45899</v>
      </c>
      <c r="D1173" t="inlineStr">
        <is>
          <t>VÄSTERNORRLANDS LÄN</t>
        </is>
      </c>
      <c r="E1173" t="inlineStr">
        <is>
          <t>SOLLEFTEÅ</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50226-2023</t>
        </is>
      </c>
      <c r="B1174" s="1" t="n">
        <v>45215.94767361111</v>
      </c>
      <c r="C1174" s="1" t="n">
        <v>45899</v>
      </c>
      <c r="D1174" t="inlineStr">
        <is>
          <t>VÄSTERNORRLANDS LÄN</t>
        </is>
      </c>
      <c r="E1174" t="inlineStr">
        <is>
          <t>SOLLEFTEÅ</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31614-2024</t>
        </is>
      </c>
      <c r="B1175" s="1" t="n">
        <v>45506</v>
      </c>
      <c r="C1175" s="1" t="n">
        <v>45899</v>
      </c>
      <c r="D1175" t="inlineStr">
        <is>
          <t>VÄSTERNORRLANDS LÄN</t>
        </is>
      </c>
      <c r="E1175" t="inlineStr">
        <is>
          <t>SOLLEFTEÅ</t>
        </is>
      </c>
      <c r="F1175" t="inlineStr">
        <is>
          <t>Kommuner</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49629-2024</t>
        </is>
      </c>
      <c r="B1176" s="1" t="n">
        <v>45596</v>
      </c>
      <c r="C1176" s="1" t="n">
        <v>45899</v>
      </c>
      <c r="D1176" t="inlineStr">
        <is>
          <t>VÄSTERNORRLANDS LÄN</t>
        </is>
      </c>
      <c r="E1176" t="inlineStr">
        <is>
          <t>SOLLEFTEÅ</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31662-2024</t>
        </is>
      </c>
      <c r="B1177" s="1" t="n">
        <v>45506.92857638889</v>
      </c>
      <c r="C1177" s="1" t="n">
        <v>45899</v>
      </c>
      <c r="D1177" t="inlineStr">
        <is>
          <t>VÄSTERNORRLANDS LÄN</t>
        </is>
      </c>
      <c r="E1177" t="inlineStr">
        <is>
          <t>SOLLEFTEÅ</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27288-2025</t>
        </is>
      </c>
      <c r="B1178" s="1" t="n">
        <v>45812.55234953704</v>
      </c>
      <c r="C1178" s="1" t="n">
        <v>45899</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12064-2025</t>
        </is>
      </c>
      <c r="B1179" s="1" t="n">
        <v>45728.69861111111</v>
      </c>
      <c r="C1179" s="1" t="n">
        <v>45899</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27045-2025</t>
        </is>
      </c>
      <c r="B1180" s="1" t="n">
        <v>45811.61508101852</v>
      </c>
      <c r="C1180" s="1" t="n">
        <v>45899</v>
      </c>
      <c r="D1180" t="inlineStr">
        <is>
          <t>VÄSTERNORRLANDS LÄN</t>
        </is>
      </c>
      <c r="E1180" t="inlineStr">
        <is>
          <t>SOLLEFTEÅ</t>
        </is>
      </c>
      <c r="F1180" t="inlineStr">
        <is>
          <t>SCA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26921-2025</t>
        </is>
      </c>
      <c r="B1181" s="1" t="n">
        <v>45811.38575231482</v>
      </c>
      <c r="C1181" s="1" t="n">
        <v>45899</v>
      </c>
      <c r="D1181" t="inlineStr">
        <is>
          <t>VÄSTERNORRLANDS LÄN</t>
        </is>
      </c>
      <c r="E1181" t="inlineStr">
        <is>
          <t>SOLLEFTEÅ</t>
        </is>
      </c>
      <c r="F1181" t="inlineStr">
        <is>
          <t>SCA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56416-2023</t>
        </is>
      </c>
      <c r="B1182" s="1" t="n">
        <v>45237</v>
      </c>
      <c r="C1182" s="1" t="n">
        <v>45899</v>
      </c>
      <c r="D1182" t="inlineStr">
        <is>
          <t>VÄSTERNORRLANDS LÄN</t>
        </is>
      </c>
      <c r="E1182" t="inlineStr">
        <is>
          <t>SOLLEFTEÅ</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26953-2025</t>
        </is>
      </c>
      <c r="B1183" s="1" t="n">
        <v>45811.44856481482</v>
      </c>
      <c r="C1183" s="1" t="n">
        <v>45899</v>
      </c>
      <c r="D1183" t="inlineStr">
        <is>
          <t>VÄSTERNORRLANDS LÄN</t>
        </is>
      </c>
      <c r="E1183" t="inlineStr">
        <is>
          <t>SOLLEFTEÅ</t>
        </is>
      </c>
      <c r="F1183" t="inlineStr">
        <is>
          <t>SCA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26935-2025</t>
        </is>
      </c>
      <c r="B1184" s="1" t="n">
        <v>45811.40413194444</v>
      </c>
      <c r="C1184" s="1" t="n">
        <v>45899</v>
      </c>
      <c r="D1184" t="inlineStr">
        <is>
          <t>VÄSTERNORRLANDS LÄN</t>
        </is>
      </c>
      <c r="E1184" t="inlineStr">
        <is>
          <t>SOLLEFTEÅ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26938-2025</t>
        </is>
      </c>
      <c r="B1185" s="1" t="n">
        <v>45811.41346064815</v>
      </c>
      <c r="C1185" s="1" t="n">
        <v>45899</v>
      </c>
      <c r="D1185" t="inlineStr">
        <is>
          <t>VÄSTERNORRLANDS LÄN</t>
        </is>
      </c>
      <c r="E1185" t="inlineStr">
        <is>
          <t>SOLLEFTEÅ</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26952-2025</t>
        </is>
      </c>
      <c r="B1186" s="1" t="n">
        <v>45811.4484375</v>
      </c>
      <c r="C1186" s="1" t="n">
        <v>45899</v>
      </c>
      <c r="D1186" t="inlineStr">
        <is>
          <t>VÄSTERNORRLANDS LÄN</t>
        </is>
      </c>
      <c r="E1186" t="inlineStr">
        <is>
          <t>SOLLEFTEÅ</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50698-2023</t>
        </is>
      </c>
      <c r="B1187" s="1" t="n">
        <v>45210</v>
      </c>
      <c r="C1187" s="1" t="n">
        <v>45899</v>
      </c>
      <c r="D1187" t="inlineStr">
        <is>
          <t>VÄSTERNORRLANDS LÄN</t>
        </is>
      </c>
      <c r="E1187" t="inlineStr">
        <is>
          <t>SOLLEFTEÅ</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59407-2024</t>
        </is>
      </c>
      <c r="B1188" s="1" t="n">
        <v>45638.38917824074</v>
      </c>
      <c r="C1188" s="1" t="n">
        <v>45899</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59424-2024</t>
        </is>
      </c>
      <c r="B1189" s="1" t="n">
        <v>45638</v>
      </c>
      <c r="C1189" s="1" t="n">
        <v>45899</v>
      </c>
      <c r="D1189" t="inlineStr">
        <is>
          <t>VÄSTERNORRLANDS LÄN</t>
        </is>
      </c>
      <c r="E1189" t="inlineStr">
        <is>
          <t>SOLLEFTEÅ</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52709-2024</t>
        </is>
      </c>
      <c r="B1190" s="1" t="n">
        <v>45610.42753472222</v>
      </c>
      <c r="C1190" s="1" t="n">
        <v>45899</v>
      </c>
      <c r="D1190" t="inlineStr">
        <is>
          <t>VÄSTERNORRLANDS LÄN</t>
        </is>
      </c>
      <c r="E1190" t="inlineStr">
        <is>
          <t>SOLLEFTEÅ</t>
        </is>
      </c>
      <c r="F1190" t="inlineStr">
        <is>
          <t>SCA</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45644-2023</t>
        </is>
      </c>
      <c r="B1191" s="1" t="n">
        <v>45188</v>
      </c>
      <c r="C1191" s="1" t="n">
        <v>45899</v>
      </c>
      <c r="D1191" t="inlineStr">
        <is>
          <t>VÄSTERNORRLANDS LÄN</t>
        </is>
      </c>
      <c r="E1191" t="inlineStr">
        <is>
          <t>SOLLEFTEÅ</t>
        </is>
      </c>
      <c r="F1191" t="inlineStr">
        <is>
          <t>SCA</t>
        </is>
      </c>
      <c r="G1191" t="n">
        <v>1</v>
      </c>
      <c r="H1191" t="n">
        <v>0</v>
      </c>
      <c r="I1191" t="n">
        <v>0</v>
      </c>
      <c r="J1191" t="n">
        <v>0</v>
      </c>
      <c r="K1191" t="n">
        <v>0</v>
      </c>
      <c r="L1191" t="n">
        <v>0</v>
      </c>
      <c r="M1191" t="n">
        <v>0</v>
      </c>
      <c r="N1191" t="n">
        <v>0</v>
      </c>
      <c r="O1191" t="n">
        <v>0</v>
      </c>
      <c r="P1191" t="n">
        <v>0</v>
      </c>
      <c r="Q1191" t="n">
        <v>0</v>
      </c>
      <c r="R1191" s="2" t="inlineStr"/>
      <c r="U1191">
        <f>HYPERLINK("https://klasma.github.io/Logging_2283/knärot/A 45644-2023 karta knärot.png", "A 45644-2023")</f>
        <v/>
      </c>
      <c r="V1191">
        <f>HYPERLINK("https://klasma.github.io/Logging_2283/klagomål/A 45644-2023 FSC-klagomål.docx", "A 45644-2023")</f>
        <v/>
      </c>
      <c r="W1191">
        <f>HYPERLINK("https://klasma.github.io/Logging_2283/klagomålsmail/A 45644-2023 FSC-klagomål mail.docx", "A 45644-2023")</f>
        <v/>
      </c>
      <c r="X1191">
        <f>HYPERLINK("https://klasma.github.io/Logging_2283/tillsyn/A 45644-2023 tillsynsbegäran.docx", "A 45644-2023")</f>
        <v/>
      </c>
      <c r="Y1191">
        <f>HYPERLINK("https://klasma.github.io/Logging_2283/tillsynsmail/A 45644-2023 tillsynsbegäran mail.docx", "A 45644-2023")</f>
        <v/>
      </c>
    </row>
    <row r="1192" ht="15" customHeight="1">
      <c r="A1192" t="inlineStr">
        <is>
          <t>A 14612-2025</t>
        </is>
      </c>
      <c r="B1192" s="1" t="n">
        <v>45742</v>
      </c>
      <c r="C1192" s="1" t="n">
        <v>45899</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27167-2025</t>
        </is>
      </c>
      <c r="B1193" s="1" t="n">
        <v>45812.34465277778</v>
      </c>
      <c r="C1193" s="1" t="n">
        <v>45899</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14656-2025</t>
        </is>
      </c>
      <c r="B1194" s="1" t="n">
        <v>45742.51074074074</v>
      </c>
      <c r="C1194" s="1" t="n">
        <v>45899</v>
      </c>
      <c r="D1194" t="inlineStr">
        <is>
          <t>VÄSTERNORRLANDS LÄN</t>
        </is>
      </c>
      <c r="E1194" t="inlineStr">
        <is>
          <t>SOLLEFTEÅ</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26916-2025</t>
        </is>
      </c>
      <c r="B1195" s="1" t="n">
        <v>45811.37184027778</v>
      </c>
      <c r="C1195" s="1" t="n">
        <v>45899</v>
      </c>
      <c r="D1195" t="inlineStr">
        <is>
          <t>VÄSTERNORRLANDS LÄN</t>
        </is>
      </c>
      <c r="E1195" t="inlineStr">
        <is>
          <t>SOLLEFTEÅ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14109-2023</t>
        </is>
      </c>
      <c r="B1196" s="1" t="n">
        <v>45008</v>
      </c>
      <c r="C1196" s="1" t="n">
        <v>45899</v>
      </c>
      <c r="D1196" t="inlineStr">
        <is>
          <t>VÄSTERNORRLANDS LÄN</t>
        </is>
      </c>
      <c r="E1196" t="inlineStr">
        <is>
          <t>SOLLEFTEÅ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39449-2024</t>
        </is>
      </c>
      <c r="B1197" s="1" t="n">
        <v>45551.61609953704</v>
      </c>
      <c r="C1197" s="1" t="n">
        <v>45899</v>
      </c>
      <c r="D1197" t="inlineStr">
        <is>
          <t>VÄSTERNORRLANDS LÄN</t>
        </is>
      </c>
      <c r="E1197" t="inlineStr">
        <is>
          <t>SOLLEFTEÅ</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27407-2025</t>
        </is>
      </c>
      <c r="B1198" s="1" t="n">
        <v>45812.74519675926</v>
      </c>
      <c r="C1198" s="1" t="n">
        <v>45899</v>
      </c>
      <c r="D1198" t="inlineStr">
        <is>
          <t>VÄSTERNORRLANDS LÄN</t>
        </is>
      </c>
      <c r="E1198" t="inlineStr">
        <is>
          <t>SOLLEFTEÅ</t>
        </is>
      </c>
      <c r="G1198" t="n">
        <v>23.2</v>
      </c>
      <c r="H1198" t="n">
        <v>0</v>
      </c>
      <c r="I1198" t="n">
        <v>0</v>
      </c>
      <c r="J1198" t="n">
        <v>0</v>
      </c>
      <c r="K1198" t="n">
        <v>0</v>
      </c>
      <c r="L1198" t="n">
        <v>0</v>
      </c>
      <c r="M1198" t="n">
        <v>0</v>
      </c>
      <c r="N1198" t="n">
        <v>0</v>
      </c>
      <c r="O1198" t="n">
        <v>0</v>
      </c>
      <c r="P1198" t="n">
        <v>0</v>
      </c>
      <c r="Q1198" t="n">
        <v>0</v>
      </c>
      <c r="R1198" s="2" t="inlineStr"/>
    </row>
    <row r="1199" ht="15" customHeight="1">
      <c r="A1199" t="inlineStr">
        <is>
          <t>A 42987-2024</t>
        </is>
      </c>
      <c r="B1199" s="1" t="n">
        <v>45567</v>
      </c>
      <c r="C1199" s="1" t="n">
        <v>45899</v>
      </c>
      <c r="D1199" t="inlineStr">
        <is>
          <t>VÄSTERNORRLANDS LÄN</t>
        </is>
      </c>
      <c r="E1199" t="inlineStr">
        <is>
          <t>SOLLEFTEÅ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51544-2022</t>
        </is>
      </c>
      <c r="B1200" s="1" t="n">
        <v>44869</v>
      </c>
      <c r="C1200" s="1" t="n">
        <v>45899</v>
      </c>
      <c r="D1200" t="inlineStr">
        <is>
          <t>VÄSTERNORRLANDS LÄN</t>
        </is>
      </c>
      <c r="E1200" t="inlineStr">
        <is>
          <t>SOLLEFTEÅ</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48083-2023</t>
        </is>
      </c>
      <c r="B1201" s="1" t="n">
        <v>45204</v>
      </c>
      <c r="C1201" s="1" t="n">
        <v>45899</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40115-2023</t>
        </is>
      </c>
      <c r="B1202" s="1" t="n">
        <v>45168.93859953704</v>
      </c>
      <c r="C1202" s="1" t="n">
        <v>45899</v>
      </c>
      <c r="D1202" t="inlineStr">
        <is>
          <t>VÄSTERNORRLANDS LÄN</t>
        </is>
      </c>
      <c r="E1202" t="inlineStr">
        <is>
          <t>SOLLEFTEÅ</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32071-2024</t>
        </is>
      </c>
      <c r="B1203" s="1" t="n">
        <v>45510.97246527778</v>
      </c>
      <c r="C1203" s="1" t="n">
        <v>45899</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40679-2024</t>
        </is>
      </c>
      <c r="B1204" s="1" t="n">
        <v>45558</v>
      </c>
      <c r="C1204" s="1" t="n">
        <v>45899</v>
      </c>
      <c r="D1204" t="inlineStr">
        <is>
          <t>VÄSTERNORRLANDS LÄN</t>
        </is>
      </c>
      <c r="E1204" t="inlineStr">
        <is>
          <t>SOLLEFTEÅ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52461-2024</t>
        </is>
      </c>
      <c r="B1205" s="1" t="n">
        <v>45609.51947916667</v>
      </c>
      <c r="C1205" s="1" t="n">
        <v>45899</v>
      </c>
      <c r="D1205" t="inlineStr">
        <is>
          <t>VÄSTERNORRLANDS LÄN</t>
        </is>
      </c>
      <c r="E1205" t="inlineStr">
        <is>
          <t>SOLLEFTEÅ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27142-2025</t>
        </is>
      </c>
      <c r="B1206" s="1" t="n">
        <v>45812.28087962963</v>
      </c>
      <c r="C1206" s="1" t="n">
        <v>45899</v>
      </c>
      <c r="D1206" t="inlineStr">
        <is>
          <t>VÄSTERNORRLANDS LÄN</t>
        </is>
      </c>
      <c r="E1206" t="inlineStr">
        <is>
          <t>SOLLEFTEÅ</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26896-2025</t>
        </is>
      </c>
      <c r="B1207" s="1" t="n">
        <v>45811.33834490741</v>
      </c>
      <c r="C1207" s="1" t="n">
        <v>45899</v>
      </c>
      <c r="D1207" t="inlineStr">
        <is>
          <t>VÄSTERNORRLANDS LÄN</t>
        </is>
      </c>
      <c r="E1207" t="inlineStr">
        <is>
          <t>SOLLEFTEÅ</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7157-2025</t>
        </is>
      </c>
      <c r="B1208" s="1" t="n">
        <v>45702.38637731481</v>
      </c>
      <c r="C1208" s="1" t="n">
        <v>45899</v>
      </c>
      <c r="D1208" t="inlineStr">
        <is>
          <t>VÄSTERNORRLANDS LÄN</t>
        </is>
      </c>
      <c r="E1208" t="inlineStr">
        <is>
          <t>SOLLEFTEÅ</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31925-2023</t>
        </is>
      </c>
      <c r="B1209" s="1" t="n">
        <v>45118</v>
      </c>
      <c r="C1209" s="1" t="n">
        <v>45899</v>
      </c>
      <c r="D1209" t="inlineStr">
        <is>
          <t>VÄSTERNORRLANDS LÄN</t>
        </is>
      </c>
      <c r="E1209" t="inlineStr">
        <is>
          <t>SOLLEFTEÅ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27519-2025</t>
        </is>
      </c>
      <c r="B1210" s="1" t="n">
        <v>45813.44186342593</v>
      </c>
      <c r="C1210" s="1" t="n">
        <v>45899</v>
      </c>
      <c r="D1210" t="inlineStr">
        <is>
          <t>VÄSTERNORRLANDS LÄN</t>
        </is>
      </c>
      <c r="E1210" t="inlineStr">
        <is>
          <t>SOLLEFTEÅ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12164-2023</t>
        </is>
      </c>
      <c r="B1211" s="1" t="n">
        <v>44995</v>
      </c>
      <c r="C1211" s="1" t="n">
        <v>45899</v>
      </c>
      <c r="D1211" t="inlineStr">
        <is>
          <t>VÄSTERNORRLANDS LÄN</t>
        </is>
      </c>
      <c r="E1211" t="inlineStr">
        <is>
          <t>SOLLEFTEÅ</t>
        </is>
      </c>
      <c r="G1211" t="n">
        <v>18.3</v>
      </c>
      <c r="H1211" t="n">
        <v>0</v>
      </c>
      <c r="I1211" t="n">
        <v>0</v>
      </c>
      <c r="J1211" t="n">
        <v>0</v>
      </c>
      <c r="K1211" t="n">
        <v>0</v>
      </c>
      <c r="L1211" t="n">
        <v>0</v>
      </c>
      <c r="M1211" t="n">
        <v>0</v>
      </c>
      <c r="N1211" t="n">
        <v>0</v>
      </c>
      <c r="O1211" t="n">
        <v>0</v>
      </c>
      <c r="P1211" t="n">
        <v>0</v>
      </c>
      <c r="Q1211" t="n">
        <v>0</v>
      </c>
      <c r="R1211" s="2" t="inlineStr"/>
    </row>
    <row r="1212" ht="15" customHeight="1">
      <c r="A1212" t="inlineStr">
        <is>
          <t>A 2114-2023</t>
        </is>
      </c>
      <c r="B1212" s="1" t="n">
        <v>44939.93809027778</v>
      </c>
      <c r="C1212" s="1" t="n">
        <v>45899</v>
      </c>
      <c r="D1212" t="inlineStr">
        <is>
          <t>VÄSTERNORRLANDS LÄN</t>
        </is>
      </c>
      <c r="E1212" t="inlineStr">
        <is>
          <t>SOLLEFTEÅ</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30329-2024</t>
        </is>
      </c>
      <c r="B1213" s="1" t="n">
        <v>45490.95304398148</v>
      </c>
      <c r="C1213" s="1" t="n">
        <v>45899</v>
      </c>
      <c r="D1213" t="inlineStr">
        <is>
          <t>VÄSTERNORRLANDS LÄN</t>
        </is>
      </c>
      <c r="E1213" t="inlineStr">
        <is>
          <t>SOLLEFTEÅ</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66844-2020</t>
        </is>
      </c>
      <c r="B1214" s="1" t="n">
        <v>44179</v>
      </c>
      <c r="C1214" s="1" t="n">
        <v>45899</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4895-2025</t>
        </is>
      </c>
      <c r="B1215" s="1" t="n">
        <v>45688.67891203704</v>
      </c>
      <c r="C1215" s="1" t="n">
        <v>45899</v>
      </c>
      <c r="D1215" t="inlineStr">
        <is>
          <t>VÄSTERNORRLANDS LÄN</t>
        </is>
      </c>
      <c r="E1215" t="inlineStr">
        <is>
          <t>SOLLEFTEÅ</t>
        </is>
      </c>
      <c r="F1215" t="inlineStr">
        <is>
          <t>SCA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11318-2022</t>
        </is>
      </c>
      <c r="B1216" s="1" t="n">
        <v>44629.94743055556</v>
      </c>
      <c r="C1216" s="1" t="n">
        <v>45899</v>
      </c>
      <c r="D1216" t="inlineStr">
        <is>
          <t>VÄSTERNORRLANDS LÄN</t>
        </is>
      </c>
      <c r="E1216" t="inlineStr">
        <is>
          <t>SOLLEFTEÅ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9632-2025</t>
        </is>
      </c>
      <c r="B1217" s="1" t="n">
        <v>45715.71921296296</v>
      </c>
      <c r="C1217" s="1" t="n">
        <v>45899</v>
      </c>
      <c r="D1217" t="inlineStr">
        <is>
          <t>VÄSTERNORRLANDS LÄN</t>
        </is>
      </c>
      <c r="E1217" t="inlineStr">
        <is>
          <t>SOLLEFTEÅ</t>
        </is>
      </c>
      <c r="F1217" t="inlineStr">
        <is>
          <t>SCA</t>
        </is>
      </c>
      <c r="G1217" t="n">
        <v>21.6</v>
      </c>
      <c r="H1217" t="n">
        <v>0</v>
      </c>
      <c r="I1217" t="n">
        <v>0</v>
      </c>
      <c r="J1217" t="n">
        <v>0</v>
      </c>
      <c r="K1217" t="n">
        <v>0</v>
      </c>
      <c r="L1217" t="n">
        <v>0</v>
      </c>
      <c r="M1217" t="n">
        <v>0</v>
      </c>
      <c r="N1217" t="n">
        <v>0</v>
      </c>
      <c r="O1217" t="n">
        <v>0</v>
      </c>
      <c r="P1217" t="n">
        <v>0</v>
      </c>
      <c r="Q1217" t="n">
        <v>0</v>
      </c>
      <c r="R1217" s="2" t="inlineStr"/>
    </row>
    <row r="1218" ht="15" customHeight="1">
      <c r="A1218" t="inlineStr">
        <is>
          <t>A 40571-2024</t>
        </is>
      </c>
      <c r="B1218" s="1" t="n">
        <v>45555.67759259259</v>
      </c>
      <c r="C1218" s="1" t="n">
        <v>45899</v>
      </c>
      <c r="D1218" t="inlineStr">
        <is>
          <t>VÄSTERNORRLANDS LÄN</t>
        </is>
      </c>
      <c r="E1218" t="inlineStr">
        <is>
          <t>SOLLEFTEÅ</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27592-2025</t>
        </is>
      </c>
      <c r="B1219" s="1" t="n">
        <v>45813.5191550926</v>
      </c>
      <c r="C1219" s="1" t="n">
        <v>45899</v>
      </c>
      <c r="D1219" t="inlineStr">
        <is>
          <t>VÄSTERNORRLANDS LÄN</t>
        </is>
      </c>
      <c r="E1219" t="inlineStr">
        <is>
          <t>SOLLEFTEÅ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27660-2025</t>
        </is>
      </c>
      <c r="B1220" s="1" t="n">
        <v>45813.61490740741</v>
      </c>
      <c r="C1220" s="1" t="n">
        <v>45899</v>
      </c>
      <c r="D1220" t="inlineStr">
        <is>
          <t>VÄSTERNORRLANDS LÄN</t>
        </is>
      </c>
      <c r="E1220" t="inlineStr">
        <is>
          <t>SOLLEFTEÅ</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39744-2024</t>
        </is>
      </c>
      <c r="B1221" s="1" t="n">
        <v>45552.65653935185</v>
      </c>
      <c r="C1221" s="1" t="n">
        <v>45899</v>
      </c>
      <c r="D1221" t="inlineStr">
        <is>
          <t>VÄSTERNORRLANDS LÄN</t>
        </is>
      </c>
      <c r="E1221" t="inlineStr">
        <is>
          <t>SOLLEFTEÅ</t>
        </is>
      </c>
      <c r="F1221" t="inlineStr">
        <is>
          <t>SCA</t>
        </is>
      </c>
      <c r="G1221" t="n">
        <v>13.6</v>
      </c>
      <c r="H1221" t="n">
        <v>0</v>
      </c>
      <c r="I1221" t="n">
        <v>0</v>
      </c>
      <c r="J1221" t="n">
        <v>0</v>
      </c>
      <c r="K1221" t="n">
        <v>0</v>
      </c>
      <c r="L1221" t="n">
        <v>0</v>
      </c>
      <c r="M1221" t="n">
        <v>0</v>
      </c>
      <c r="N1221" t="n">
        <v>0</v>
      </c>
      <c r="O1221" t="n">
        <v>0</v>
      </c>
      <c r="P1221" t="n">
        <v>0</v>
      </c>
      <c r="Q1221" t="n">
        <v>0</v>
      </c>
      <c r="R1221" s="2" t="inlineStr"/>
    </row>
    <row r="1222" ht="15" customHeight="1">
      <c r="A1222" t="inlineStr">
        <is>
          <t>A 13138-2024</t>
        </is>
      </c>
      <c r="B1222" s="1" t="n">
        <v>45386</v>
      </c>
      <c r="C1222" s="1" t="n">
        <v>45899</v>
      </c>
      <c r="D1222" t="inlineStr">
        <is>
          <t>VÄSTERNORRLANDS LÄN</t>
        </is>
      </c>
      <c r="E1222" t="inlineStr">
        <is>
          <t>SOLLEFTEÅ</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72244-2021</t>
        </is>
      </c>
      <c r="B1223" s="1" t="n">
        <v>44544.9390162037</v>
      </c>
      <c r="C1223" s="1" t="n">
        <v>45899</v>
      </c>
      <c r="D1223" t="inlineStr">
        <is>
          <t>VÄSTERNORRLANDS LÄN</t>
        </is>
      </c>
      <c r="E1223" t="inlineStr">
        <is>
          <t>SOLLEFTEÅ</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12561-2022</t>
        </is>
      </c>
      <c r="B1224" s="1" t="n">
        <v>44638</v>
      </c>
      <c r="C1224" s="1" t="n">
        <v>45899</v>
      </c>
      <c r="D1224" t="inlineStr">
        <is>
          <t>VÄSTERNORRLANDS LÄN</t>
        </is>
      </c>
      <c r="E1224" t="inlineStr">
        <is>
          <t>SOLLEFTEÅ</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2677-2025</t>
        </is>
      </c>
      <c r="B1225" s="1" t="n">
        <v>45677</v>
      </c>
      <c r="C1225" s="1" t="n">
        <v>45899</v>
      </c>
      <c r="D1225" t="inlineStr">
        <is>
          <t>VÄSTERNORRLANDS LÄN</t>
        </is>
      </c>
      <c r="E1225" t="inlineStr">
        <is>
          <t>SOLLEFTEÅ</t>
        </is>
      </c>
      <c r="F1225" t="inlineStr">
        <is>
          <t>SCA</t>
        </is>
      </c>
      <c r="G1225" t="n">
        <v>11.9</v>
      </c>
      <c r="H1225" t="n">
        <v>0</v>
      </c>
      <c r="I1225" t="n">
        <v>0</v>
      </c>
      <c r="J1225" t="n">
        <v>0</v>
      </c>
      <c r="K1225" t="n">
        <v>0</v>
      </c>
      <c r="L1225" t="n">
        <v>0</v>
      </c>
      <c r="M1225" t="n">
        <v>0</v>
      </c>
      <c r="N1225" t="n">
        <v>0</v>
      </c>
      <c r="O1225" t="n">
        <v>0</v>
      </c>
      <c r="P1225" t="n">
        <v>0</v>
      </c>
      <c r="Q1225" t="n">
        <v>0</v>
      </c>
      <c r="R1225" s="2" t="inlineStr"/>
    </row>
    <row r="1226" ht="15" customHeight="1">
      <c r="A1226" t="inlineStr">
        <is>
          <t>A 41834-2024</t>
        </is>
      </c>
      <c r="B1226" s="1" t="n">
        <v>45561.4084375</v>
      </c>
      <c r="C1226" s="1" t="n">
        <v>45899</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27427-2025</t>
        </is>
      </c>
      <c r="B1227" s="1" t="n">
        <v>45813.28706018518</v>
      </c>
      <c r="C1227" s="1" t="n">
        <v>45899</v>
      </c>
      <c r="D1227" t="inlineStr">
        <is>
          <t>VÄSTERNORRLANDS LÄN</t>
        </is>
      </c>
      <c r="E1227" t="inlineStr">
        <is>
          <t>SOLLEFTEÅ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41975-2024</t>
        </is>
      </c>
      <c r="B1228" s="1" t="n">
        <v>45561</v>
      </c>
      <c r="C1228" s="1" t="n">
        <v>45899</v>
      </c>
      <c r="D1228" t="inlineStr">
        <is>
          <t>VÄSTERNORRLANDS LÄN</t>
        </is>
      </c>
      <c r="E1228" t="inlineStr">
        <is>
          <t>SOLLEFTEÅ</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23025-2024</t>
        </is>
      </c>
      <c r="B1229" s="1" t="n">
        <v>45450.36578703704</v>
      </c>
      <c r="C1229" s="1" t="n">
        <v>45899</v>
      </c>
      <c r="D1229" t="inlineStr">
        <is>
          <t>VÄSTERNORRLANDS LÄN</t>
        </is>
      </c>
      <c r="E1229" t="inlineStr">
        <is>
          <t>SOLLEFTEÅ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27392-2023</t>
        </is>
      </c>
      <c r="B1230" s="1" t="n">
        <v>45096.93997685185</v>
      </c>
      <c r="C1230" s="1" t="n">
        <v>45899</v>
      </c>
      <c r="D1230" t="inlineStr">
        <is>
          <t>VÄSTERNORRLANDS LÄN</t>
        </is>
      </c>
      <c r="E1230" t="inlineStr">
        <is>
          <t>SOLLEFTEÅ</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13300-2022</t>
        </is>
      </c>
      <c r="B1231" s="1" t="n">
        <v>44644</v>
      </c>
      <c r="C1231" s="1" t="n">
        <v>45899</v>
      </c>
      <c r="D1231" t="inlineStr">
        <is>
          <t>VÄSTERNORRLANDS LÄN</t>
        </is>
      </c>
      <c r="E1231" t="inlineStr">
        <is>
          <t>SOLLEFTEÅ</t>
        </is>
      </c>
      <c r="F1231" t="inlineStr">
        <is>
          <t>SCA</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36004-2024</t>
        </is>
      </c>
      <c r="B1232" s="1" t="n">
        <v>45533.54848379629</v>
      </c>
      <c r="C1232" s="1" t="n">
        <v>45899</v>
      </c>
      <c r="D1232" t="inlineStr">
        <is>
          <t>VÄSTERNORRLANDS LÄN</t>
        </is>
      </c>
      <c r="E1232" t="inlineStr">
        <is>
          <t>SOLLEFTEÅ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23394-2021</t>
        </is>
      </c>
      <c r="B1233" s="1" t="n">
        <v>44333</v>
      </c>
      <c r="C1233" s="1" t="n">
        <v>45899</v>
      </c>
      <c r="D1233" t="inlineStr">
        <is>
          <t>VÄSTERNORRLANDS LÄN</t>
        </is>
      </c>
      <c r="E1233" t="inlineStr">
        <is>
          <t>SOLLEFTEÅ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22750-2023</t>
        </is>
      </c>
      <c r="B1234" s="1" t="n">
        <v>45071.94090277778</v>
      </c>
      <c r="C1234" s="1" t="n">
        <v>45899</v>
      </c>
      <c r="D1234" t="inlineStr">
        <is>
          <t>VÄSTERNORRLANDS LÄN</t>
        </is>
      </c>
      <c r="E1234" t="inlineStr">
        <is>
          <t>SOLLEFTEÅ</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12617-2025</t>
        </is>
      </c>
      <c r="B1235" s="1" t="n">
        <v>45733.34895833334</v>
      </c>
      <c r="C1235" s="1" t="n">
        <v>45899</v>
      </c>
      <c r="D1235" t="inlineStr">
        <is>
          <t>VÄSTERNORRLANDS LÄN</t>
        </is>
      </c>
      <c r="E1235" t="inlineStr">
        <is>
          <t>SOLLEFTEÅ</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15429-2025</t>
        </is>
      </c>
      <c r="B1236" s="1" t="n">
        <v>45747.47</v>
      </c>
      <c r="C1236" s="1" t="n">
        <v>45899</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30069-2024</t>
        </is>
      </c>
      <c r="B1237" s="1" t="n">
        <v>45488.9489699074</v>
      </c>
      <c r="C1237" s="1" t="n">
        <v>45899</v>
      </c>
      <c r="D1237" t="inlineStr">
        <is>
          <t>VÄSTERNORRLANDS LÄN</t>
        </is>
      </c>
      <c r="E1237" t="inlineStr">
        <is>
          <t>SOLLEFTEÅ</t>
        </is>
      </c>
      <c r="F1237" t="inlineStr">
        <is>
          <t>SCA</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16312-2025</t>
        </is>
      </c>
      <c r="B1238" s="1" t="n">
        <v>45751.3474074074</v>
      </c>
      <c r="C1238" s="1" t="n">
        <v>45899</v>
      </c>
      <c r="D1238" t="inlineStr">
        <is>
          <t>VÄSTERNORRLANDS LÄN</t>
        </is>
      </c>
      <c r="E1238" t="inlineStr">
        <is>
          <t>SOLLEFTEÅ</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18442-2025</t>
        </is>
      </c>
      <c r="B1239" s="1" t="n">
        <v>45762.65658564815</v>
      </c>
      <c r="C1239" s="1" t="n">
        <v>45899</v>
      </c>
      <c r="D1239" t="inlineStr">
        <is>
          <t>VÄSTERNORRLANDS LÄN</t>
        </is>
      </c>
      <c r="E1239" t="inlineStr">
        <is>
          <t>SOLLEFTEÅ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33642-2023</t>
        </is>
      </c>
      <c r="B1240" s="1" t="n">
        <v>45119</v>
      </c>
      <c r="C1240" s="1" t="n">
        <v>45899</v>
      </c>
      <c r="D1240" t="inlineStr">
        <is>
          <t>VÄSTERNORRLANDS LÄN</t>
        </is>
      </c>
      <c r="E1240" t="inlineStr">
        <is>
          <t>SOLLEFTEÅ</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33713-2023</t>
        </is>
      </c>
      <c r="B1241" s="1" t="n">
        <v>45132.94952546297</v>
      </c>
      <c r="C1241" s="1" t="n">
        <v>45899</v>
      </c>
      <c r="D1241" t="inlineStr">
        <is>
          <t>VÄSTERNORRLANDS LÄN</t>
        </is>
      </c>
      <c r="E1241" t="inlineStr">
        <is>
          <t>SOLLEFTEÅ</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59388-2024</t>
        </is>
      </c>
      <c r="B1242" s="1" t="n">
        <v>45638.365</v>
      </c>
      <c r="C1242" s="1" t="n">
        <v>45899</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46261-2024</t>
        </is>
      </c>
      <c r="B1243" s="1" t="n">
        <v>45581.61048611111</v>
      </c>
      <c r="C1243" s="1" t="n">
        <v>45899</v>
      </c>
      <c r="D1243" t="inlineStr">
        <is>
          <t>VÄSTERNORRLANDS LÄN</t>
        </is>
      </c>
      <c r="E1243" t="inlineStr">
        <is>
          <t>SOLLEFTEÅ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35703-2025</t>
        </is>
      </c>
      <c r="B1244" s="1" t="n">
        <v>45860.36497685185</v>
      </c>
      <c r="C1244" s="1" t="n">
        <v>45899</v>
      </c>
      <c r="D1244" t="inlineStr">
        <is>
          <t>VÄSTERNORRLANDS LÄN</t>
        </is>
      </c>
      <c r="E1244" t="inlineStr">
        <is>
          <t>SOLLEFTEÅ</t>
        </is>
      </c>
      <c r="F1244" t="inlineStr">
        <is>
          <t>SCA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35704-2025</t>
        </is>
      </c>
      <c r="B1245" s="1" t="n">
        <v>45860.36518518518</v>
      </c>
      <c r="C1245" s="1" t="n">
        <v>45899</v>
      </c>
      <c r="D1245" t="inlineStr">
        <is>
          <t>VÄSTERNORRLANDS LÄN</t>
        </is>
      </c>
      <c r="E1245" t="inlineStr">
        <is>
          <t>SOLLEFTEÅ</t>
        </is>
      </c>
      <c r="F1245" t="inlineStr">
        <is>
          <t>SCA</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22694-2025</t>
        </is>
      </c>
      <c r="B1246" s="1" t="n">
        <v>45789</v>
      </c>
      <c r="C1246" s="1" t="n">
        <v>45899</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54532-2024</t>
        </is>
      </c>
      <c r="B1247" s="1" t="n">
        <v>45617.60480324074</v>
      </c>
      <c r="C1247" s="1" t="n">
        <v>45899</v>
      </c>
      <c r="D1247" t="inlineStr">
        <is>
          <t>VÄSTERNORRLANDS LÄN</t>
        </is>
      </c>
      <c r="E1247" t="inlineStr">
        <is>
          <t>SOLLEFTEÅ</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41595-2024</t>
        </is>
      </c>
      <c r="B1248" s="1" t="n">
        <v>45560.57378472222</v>
      </c>
      <c r="C1248" s="1" t="n">
        <v>45899</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43845-2024</t>
        </is>
      </c>
      <c r="B1249" s="1" t="n">
        <v>45572.34483796296</v>
      </c>
      <c r="C1249" s="1" t="n">
        <v>45899</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51505-2024</t>
        </is>
      </c>
      <c r="B1250" s="1" t="n">
        <v>45604</v>
      </c>
      <c r="C1250" s="1" t="n">
        <v>45899</v>
      </c>
      <c r="D1250" t="inlineStr">
        <is>
          <t>VÄSTERNORRLANDS LÄN</t>
        </is>
      </c>
      <c r="E1250" t="inlineStr">
        <is>
          <t>SOLLEFTEÅ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19633-2025</t>
        </is>
      </c>
      <c r="B1251" s="1" t="n">
        <v>45770.64655092593</v>
      </c>
      <c r="C1251" s="1" t="n">
        <v>45899</v>
      </c>
      <c r="D1251" t="inlineStr">
        <is>
          <t>VÄSTERNORRLANDS LÄN</t>
        </is>
      </c>
      <c r="E1251" t="inlineStr">
        <is>
          <t>SOLLEFTEÅ</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27956-2025</t>
        </is>
      </c>
      <c r="B1252" s="1" t="n">
        <v>45817.5344675926</v>
      </c>
      <c r="C1252" s="1" t="n">
        <v>45899</v>
      </c>
      <c r="D1252" t="inlineStr">
        <is>
          <t>VÄSTERNORRLANDS LÄN</t>
        </is>
      </c>
      <c r="E1252" t="inlineStr">
        <is>
          <t>SOLLEFTEÅ</t>
        </is>
      </c>
      <c r="F1252" t="inlineStr">
        <is>
          <t>Holmen skog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38275-2024</t>
        </is>
      </c>
      <c r="B1253" s="1" t="n">
        <v>45545</v>
      </c>
      <c r="C1253" s="1" t="n">
        <v>45899</v>
      </c>
      <c r="D1253" t="inlineStr">
        <is>
          <t>VÄSTERNORRLANDS LÄN</t>
        </is>
      </c>
      <c r="E1253" t="inlineStr">
        <is>
          <t>SOLLEFTEÅ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20515-2024</t>
        </is>
      </c>
      <c r="B1254" s="1" t="n">
        <v>45435</v>
      </c>
      <c r="C1254" s="1" t="n">
        <v>45899</v>
      </c>
      <c r="D1254" t="inlineStr">
        <is>
          <t>VÄSTERNORRLANDS LÄN</t>
        </is>
      </c>
      <c r="E1254" t="inlineStr">
        <is>
          <t>SOLLEFTEÅ</t>
        </is>
      </c>
      <c r="F1254" t="inlineStr">
        <is>
          <t>SCA</t>
        </is>
      </c>
      <c r="G1254" t="n">
        <v>18.8</v>
      </c>
      <c r="H1254" t="n">
        <v>0</v>
      </c>
      <c r="I1254" t="n">
        <v>0</v>
      </c>
      <c r="J1254" t="n">
        <v>0</v>
      </c>
      <c r="K1254" t="n">
        <v>0</v>
      </c>
      <c r="L1254" t="n">
        <v>0</v>
      </c>
      <c r="M1254" t="n">
        <v>0</v>
      </c>
      <c r="N1254" t="n">
        <v>0</v>
      </c>
      <c r="O1254" t="n">
        <v>0</v>
      </c>
      <c r="P1254" t="n">
        <v>0</v>
      </c>
      <c r="Q1254" t="n">
        <v>0</v>
      </c>
      <c r="R1254" s="2" t="inlineStr"/>
    </row>
    <row r="1255" ht="15" customHeight="1">
      <c r="A1255" t="inlineStr">
        <is>
          <t>A 21092-2024</t>
        </is>
      </c>
      <c r="B1255" s="1" t="n">
        <v>45439.95009259259</v>
      </c>
      <c r="C1255" s="1" t="n">
        <v>45899</v>
      </c>
      <c r="D1255" t="inlineStr">
        <is>
          <t>VÄSTERNORRLANDS LÄN</t>
        </is>
      </c>
      <c r="E1255" t="inlineStr">
        <is>
          <t>SOLLEFTEÅ</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28142-2025</t>
        </is>
      </c>
      <c r="B1256" s="1" t="n">
        <v>45818.34538194445</v>
      </c>
      <c r="C1256" s="1" t="n">
        <v>45899</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67702-2021</t>
        </is>
      </c>
      <c r="B1257" s="1" t="n">
        <v>44524.94660879629</v>
      </c>
      <c r="C1257" s="1" t="n">
        <v>45899</v>
      </c>
      <c r="D1257" t="inlineStr">
        <is>
          <t>VÄSTERNORRLANDS LÄN</t>
        </is>
      </c>
      <c r="E1257" t="inlineStr">
        <is>
          <t>SOLLEFTEÅ</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68034-2020</t>
        </is>
      </c>
      <c r="B1258" s="1" t="n">
        <v>44182</v>
      </c>
      <c r="C1258" s="1" t="n">
        <v>45899</v>
      </c>
      <c r="D1258" t="inlineStr">
        <is>
          <t>VÄSTERNORRLANDS LÄN</t>
        </is>
      </c>
      <c r="E1258" t="inlineStr">
        <is>
          <t>SOLLEFTEÅ</t>
        </is>
      </c>
      <c r="F1258" t="inlineStr">
        <is>
          <t>SCA</t>
        </is>
      </c>
      <c r="G1258" t="n">
        <v>17.1</v>
      </c>
      <c r="H1258" t="n">
        <v>0</v>
      </c>
      <c r="I1258" t="n">
        <v>0</v>
      </c>
      <c r="J1258" t="n">
        <v>0</v>
      </c>
      <c r="K1258" t="n">
        <v>0</v>
      </c>
      <c r="L1258" t="n">
        <v>0</v>
      </c>
      <c r="M1258" t="n">
        <v>0</v>
      </c>
      <c r="N1258" t="n">
        <v>0</v>
      </c>
      <c r="O1258" t="n">
        <v>0</v>
      </c>
      <c r="P1258" t="n">
        <v>0</v>
      </c>
      <c r="Q1258" t="n">
        <v>0</v>
      </c>
      <c r="R1258" s="2" t="inlineStr"/>
    </row>
    <row r="1259" ht="15" customHeight="1">
      <c r="A1259" t="inlineStr">
        <is>
          <t>A 10870-2024</t>
        </is>
      </c>
      <c r="B1259" s="1" t="n">
        <v>45370.02083333334</v>
      </c>
      <c r="C1259" s="1" t="n">
        <v>45899</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27748-2025</t>
        </is>
      </c>
      <c r="B1260" s="1" t="n">
        <v>45815.67740740741</v>
      </c>
      <c r="C1260" s="1" t="n">
        <v>45899</v>
      </c>
      <c r="D1260" t="inlineStr">
        <is>
          <t>VÄSTERNORRLANDS LÄN</t>
        </is>
      </c>
      <c r="E1260" t="inlineStr">
        <is>
          <t>SOLLEFTEÅ</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27822-2025</t>
        </is>
      </c>
      <c r="B1261" s="1" t="n">
        <v>45817.34410879629</v>
      </c>
      <c r="C1261" s="1" t="n">
        <v>45899</v>
      </c>
      <c r="D1261" t="inlineStr">
        <is>
          <t>VÄSTERNORRLANDS LÄN</t>
        </is>
      </c>
      <c r="E1261" t="inlineStr">
        <is>
          <t>SOLLEFTEÅ</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28195-2025</t>
        </is>
      </c>
      <c r="B1262" s="1" t="n">
        <v>45818</v>
      </c>
      <c r="C1262" s="1" t="n">
        <v>45899</v>
      </c>
      <c r="D1262" t="inlineStr">
        <is>
          <t>VÄSTERNORRLANDS LÄN</t>
        </is>
      </c>
      <c r="E1262" t="inlineStr">
        <is>
          <t>SOLLEFTEÅ</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58995-2024</t>
        </is>
      </c>
      <c r="B1263" s="1" t="n">
        <v>45636.63726851852</v>
      </c>
      <c r="C1263" s="1" t="n">
        <v>45899</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2346-2025</t>
        </is>
      </c>
      <c r="B1264" s="1" t="n">
        <v>45673.67767361111</v>
      </c>
      <c r="C1264" s="1" t="n">
        <v>45899</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35618-2025</t>
        </is>
      </c>
      <c r="B1265" s="1" t="n">
        <v>45859.41335648148</v>
      </c>
      <c r="C1265" s="1" t="n">
        <v>45899</v>
      </c>
      <c r="D1265" t="inlineStr">
        <is>
          <t>VÄSTERNORRLANDS LÄN</t>
        </is>
      </c>
      <c r="E1265" t="inlineStr">
        <is>
          <t>SOLLEFTEÅ</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4909-2025</t>
        </is>
      </c>
      <c r="B1266" s="1" t="n">
        <v>45688</v>
      </c>
      <c r="C1266" s="1" t="n">
        <v>45899</v>
      </c>
      <c r="D1266" t="inlineStr">
        <is>
          <t>VÄSTERNORRLANDS LÄN</t>
        </is>
      </c>
      <c r="E1266" t="inlineStr">
        <is>
          <t>SOLLEFTEÅ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35807-2025</t>
        </is>
      </c>
      <c r="B1267" s="1" t="n">
        <v>45861.40663194445</v>
      </c>
      <c r="C1267" s="1" t="n">
        <v>45899</v>
      </c>
      <c r="D1267" t="inlineStr">
        <is>
          <t>VÄSTERNORRLANDS LÄN</t>
        </is>
      </c>
      <c r="E1267" t="inlineStr">
        <is>
          <t>SOLLEFTEÅ</t>
        </is>
      </c>
      <c r="F1267" t="inlineStr">
        <is>
          <t>SCA</t>
        </is>
      </c>
      <c r="G1267" t="n">
        <v>16.7</v>
      </c>
      <c r="H1267" t="n">
        <v>0</v>
      </c>
      <c r="I1267" t="n">
        <v>0</v>
      </c>
      <c r="J1267" t="n">
        <v>0</v>
      </c>
      <c r="K1267" t="n">
        <v>0</v>
      </c>
      <c r="L1267" t="n">
        <v>0</v>
      </c>
      <c r="M1267" t="n">
        <v>0</v>
      </c>
      <c r="N1267" t="n">
        <v>0</v>
      </c>
      <c r="O1267" t="n">
        <v>0</v>
      </c>
      <c r="P1267" t="n">
        <v>0</v>
      </c>
      <c r="Q1267" t="n">
        <v>0</v>
      </c>
      <c r="R1267" s="2" t="inlineStr"/>
    </row>
    <row r="1268" ht="15" customHeight="1">
      <c r="A1268" t="inlineStr">
        <is>
          <t>A 56134-2023</t>
        </is>
      </c>
      <c r="B1268" s="1" t="n">
        <v>45240</v>
      </c>
      <c r="C1268" s="1" t="n">
        <v>45899</v>
      </c>
      <c r="D1268" t="inlineStr">
        <is>
          <t>VÄSTERNORRLANDS LÄN</t>
        </is>
      </c>
      <c r="E1268" t="inlineStr">
        <is>
          <t>SOLLEFTEÅ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56137-2023</t>
        </is>
      </c>
      <c r="B1269" s="1" t="n">
        <v>45240.59096064815</v>
      </c>
      <c r="C1269" s="1" t="n">
        <v>45899</v>
      </c>
      <c r="D1269" t="inlineStr">
        <is>
          <t>VÄSTERNORRLANDS LÄN</t>
        </is>
      </c>
      <c r="E1269" t="inlineStr">
        <is>
          <t>SOLLEFTEÅ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28579-2025</t>
        </is>
      </c>
      <c r="B1270" s="1" t="n">
        <v>45819.57334490741</v>
      </c>
      <c r="C1270" s="1" t="n">
        <v>45899</v>
      </c>
      <c r="D1270" t="inlineStr">
        <is>
          <t>VÄSTERNORRLANDS LÄN</t>
        </is>
      </c>
      <c r="E1270" t="inlineStr">
        <is>
          <t>SOLLEFTEÅ</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28686-2025</t>
        </is>
      </c>
      <c r="B1271" s="1" t="n">
        <v>45819</v>
      </c>
      <c r="C1271" s="1" t="n">
        <v>45899</v>
      </c>
      <c r="D1271" t="inlineStr">
        <is>
          <t>VÄSTERNORRLANDS LÄN</t>
        </is>
      </c>
      <c r="E1271" t="inlineStr">
        <is>
          <t>SOLLEFTEÅ</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2583-2025</t>
        </is>
      </c>
      <c r="B1272" s="1" t="n">
        <v>45674.67803240741</v>
      </c>
      <c r="C1272" s="1" t="n">
        <v>45899</v>
      </c>
      <c r="D1272" t="inlineStr">
        <is>
          <t>VÄSTERNORRLANDS LÄN</t>
        </is>
      </c>
      <c r="E1272" t="inlineStr">
        <is>
          <t>SOLLEFTEÅ</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22444-2025</t>
        </is>
      </c>
      <c r="B1273" s="1" t="n">
        <v>45786</v>
      </c>
      <c r="C1273" s="1" t="n">
        <v>45899</v>
      </c>
      <c r="D1273" t="inlineStr">
        <is>
          <t>VÄSTERNORRLANDS LÄN</t>
        </is>
      </c>
      <c r="E1273" t="inlineStr">
        <is>
          <t>SOLLEFTEÅ</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28743-2025</t>
        </is>
      </c>
      <c r="B1274" s="1" t="n">
        <v>45820.38586805556</v>
      </c>
      <c r="C1274" s="1" t="n">
        <v>45899</v>
      </c>
      <c r="D1274" t="inlineStr">
        <is>
          <t>VÄSTERNORRLANDS LÄN</t>
        </is>
      </c>
      <c r="E1274" t="inlineStr">
        <is>
          <t>SOLLEFTEÅ</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469-2025</t>
        </is>
      </c>
      <c r="B1275" s="1" t="n">
        <v>45664</v>
      </c>
      <c r="C1275" s="1" t="n">
        <v>45899</v>
      </c>
      <c r="D1275" t="inlineStr">
        <is>
          <t>VÄSTERNORRLANDS LÄN</t>
        </is>
      </c>
      <c r="E1275" t="inlineStr">
        <is>
          <t>SOLLEFTEÅ</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28715-2025</t>
        </is>
      </c>
      <c r="B1276" s="1" t="n">
        <v>45820</v>
      </c>
      <c r="C1276" s="1" t="n">
        <v>45899</v>
      </c>
      <c r="D1276" t="inlineStr">
        <is>
          <t>VÄSTERNORRLANDS LÄN</t>
        </is>
      </c>
      <c r="E1276" t="inlineStr">
        <is>
          <t>SOLLEFTEÅ</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28719-2025</t>
        </is>
      </c>
      <c r="B1277" s="1" t="n">
        <v>45820</v>
      </c>
      <c r="C1277" s="1" t="n">
        <v>45899</v>
      </c>
      <c r="D1277" t="inlineStr">
        <is>
          <t>VÄSTERNORRLANDS LÄN</t>
        </is>
      </c>
      <c r="E1277" t="inlineStr">
        <is>
          <t>SOLLEFTEÅ</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5867-2024</t>
        </is>
      </c>
      <c r="B1278" s="1" t="n">
        <v>45335.64733796296</v>
      </c>
      <c r="C1278" s="1" t="n">
        <v>45899</v>
      </c>
      <c r="D1278" t="inlineStr">
        <is>
          <t>VÄSTERNORRLANDS LÄN</t>
        </is>
      </c>
      <c r="E1278" t="inlineStr">
        <is>
          <t>SOLLEFTEÅ</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40575-2024</t>
        </is>
      </c>
      <c r="B1279" s="1" t="n">
        <v>45555</v>
      </c>
      <c r="C1279" s="1" t="n">
        <v>45899</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56249-2023</t>
        </is>
      </c>
      <c r="B1280" s="1" t="n">
        <v>45240.9468287037</v>
      </c>
      <c r="C1280" s="1" t="n">
        <v>45899</v>
      </c>
      <c r="D1280" t="inlineStr">
        <is>
          <t>VÄSTERNORRLANDS LÄN</t>
        </is>
      </c>
      <c r="E1280" t="inlineStr">
        <is>
          <t>SOLLEFTEÅ</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35924-2025</t>
        </is>
      </c>
      <c r="B1281" s="1" t="n">
        <v>45862.57326388889</v>
      </c>
      <c r="C1281" s="1" t="n">
        <v>45899</v>
      </c>
      <c r="D1281" t="inlineStr">
        <is>
          <t>VÄSTERNORRLANDS LÄN</t>
        </is>
      </c>
      <c r="E1281" t="inlineStr">
        <is>
          <t>SOLLEFTEÅ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8033-2024</t>
        </is>
      </c>
      <c r="B1282" s="1" t="n">
        <v>45350.95284722222</v>
      </c>
      <c r="C1282" s="1" t="n">
        <v>45899</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28698-2025</t>
        </is>
      </c>
      <c r="B1283" s="1" t="n">
        <v>45819.925625</v>
      </c>
      <c r="C1283" s="1" t="n">
        <v>45899</v>
      </c>
      <c r="D1283" t="inlineStr">
        <is>
          <t>VÄSTERNORRLANDS LÄN</t>
        </is>
      </c>
      <c r="E1283" t="inlineStr">
        <is>
          <t>SOLLEFTEÅ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8038-2024</t>
        </is>
      </c>
      <c r="B1284" s="1" t="n">
        <v>45350</v>
      </c>
      <c r="C1284" s="1" t="n">
        <v>45899</v>
      </c>
      <c r="D1284" t="inlineStr">
        <is>
          <t>VÄSTERNORRLANDS LÄN</t>
        </is>
      </c>
      <c r="E1284" t="inlineStr">
        <is>
          <t>SOLLEFTEÅ</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8039-2024</t>
        </is>
      </c>
      <c r="B1285" s="1" t="n">
        <v>45350</v>
      </c>
      <c r="C1285" s="1" t="n">
        <v>45899</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13008-2023</t>
        </is>
      </c>
      <c r="B1286" s="1" t="n">
        <v>45002</v>
      </c>
      <c r="C1286" s="1" t="n">
        <v>45899</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11009-2024</t>
        </is>
      </c>
      <c r="B1287" s="1" t="n">
        <v>45370</v>
      </c>
      <c r="C1287" s="1" t="n">
        <v>45899</v>
      </c>
      <c r="D1287" t="inlineStr">
        <is>
          <t>VÄSTERNORRLANDS LÄN</t>
        </is>
      </c>
      <c r="E1287" t="inlineStr">
        <is>
          <t>SOLLEFTEÅ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28672-2025</t>
        </is>
      </c>
      <c r="B1288" s="1" t="n">
        <v>45819.6754050926</v>
      </c>
      <c r="C1288" s="1" t="n">
        <v>45899</v>
      </c>
      <c r="D1288" t="inlineStr">
        <is>
          <t>VÄSTERNORRLANDS LÄN</t>
        </is>
      </c>
      <c r="E1288" t="inlineStr">
        <is>
          <t>SOLLEFTEÅ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5548-2025</t>
        </is>
      </c>
      <c r="B1289" s="1" t="n">
        <v>45693.46940972222</v>
      </c>
      <c r="C1289" s="1" t="n">
        <v>45899</v>
      </c>
      <c r="D1289" t="inlineStr">
        <is>
          <t>VÄSTERNORRLANDS LÄN</t>
        </is>
      </c>
      <c r="E1289" t="inlineStr">
        <is>
          <t>SOLLEFTEÅ</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8653-2024</t>
        </is>
      </c>
      <c r="B1290" s="1" t="n">
        <v>45356</v>
      </c>
      <c r="C1290" s="1" t="n">
        <v>45899</v>
      </c>
      <c r="D1290" t="inlineStr">
        <is>
          <t>VÄSTERNORRLANDS LÄN</t>
        </is>
      </c>
      <c r="E1290" t="inlineStr">
        <is>
          <t>SOLLEFTEÅ</t>
        </is>
      </c>
      <c r="F1290" t="inlineStr">
        <is>
          <t>SCA</t>
        </is>
      </c>
      <c r="G1290" t="n">
        <v>67.8</v>
      </c>
      <c r="H1290" t="n">
        <v>0</v>
      </c>
      <c r="I1290" t="n">
        <v>0</v>
      </c>
      <c r="J1290" t="n">
        <v>0</v>
      </c>
      <c r="K1290" t="n">
        <v>0</v>
      </c>
      <c r="L1290" t="n">
        <v>0</v>
      </c>
      <c r="M1290" t="n">
        <v>0</v>
      </c>
      <c r="N1290" t="n">
        <v>0</v>
      </c>
      <c r="O1290" t="n">
        <v>0</v>
      </c>
      <c r="P1290" t="n">
        <v>0</v>
      </c>
      <c r="Q1290" t="n">
        <v>0</v>
      </c>
      <c r="R1290" s="2" t="inlineStr"/>
    </row>
    <row r="1291" ht="15" customHeight="1">
      <c r="A1291" t="inlineStr">
        <is>
          <t>A 21852-2024</t>
        </is>
      </c>
      <c r="B1291" s="1" t="n">
        <v>45442.9628125</v>
      </c>
      <c r="C1291" s="1" t="n">
        <v>45899</v>
      </c>
      <c r="D1291" t="inlineStr">
        <is>
          <t>VÄSTERNORRLANDS LÄN</t>
        </is>
      </c>
      <c r="E1291" t="inlineStr">
        <is>
          <t>SOLLEFTEÅ</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36095-2025</t>
        </is>
      </c>
      <c r="B1292" s="1" t="n">
        <v>45866.49006944444</v>
      </c>
      <c r="C1292" s="1" t="n">
        <v>45899</v>
      </c>
      <c r="D1292" t="inlineStr">
        <is>
          <t>VÄSTERNORRLANDS LÄN</t>
        </is>
      </c>
      <c r="E1292" t="inlineStr">
        <is>
          <t>SOLLEFTEÅ</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42164-2023</t>
        </is>
      </c>
      <c r="B1293" s="1" t="n">
        <v>45177.93747685185</v>
      </c>
      <c r="C1293" s="1" t="n">
        <v>45899</v>
      </c>
      <c r="D1293" t="inlineStr">
        <is>
          <t>VÄSTERNORRLANDS LÄN</t>
        </is>
      </c>
      <c r="E1293" t="inlineStr">
        <is>
          <t>SOLLEFTEÅ</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29309-2025</t>
        </is>
      </c>
      <c r="B1294" s="1" t="n">
        <v>45824.46333333333</v>
      </c>
      <c r="C1294" s="1" t="n">
        <v>45899</v>
      </c>
      <c r="D1294" t="inlineStr">
        <is>
          <t>VÄSTERNORRLANDS LÄN</t>
        </is>
      </c>
      <c r="E1294" t="inlineStr">
        <is>
          <t>SOLLEFTEÅ</t>
        </is>
      </c>
      <c r="F1294" t="inlineStr">
        <is>
          <t>Holmen skog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36135-2025</t>
        </is>
      </c>
      <c r="B1295" s="1" t="n">
        <v>45866.63594907407</v>
      </c>
      <c r="C1295" s="1" t="n">
        <v>45899</v>
      </c>
      <c r="D1295" t="inlineStr">
        <is>
          <t>VÄSTERNORRLANDS LÄN</t>
        </is>
      </c>
      <c r="E1295" t="inlineStr">
        <is>
          <t>SOLLEFTEÅ</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28995-2025</t>
        </is>
      </c>
      <c r="B1296" s="1" t="n">
        <v>45821.38596064815</v>
      </c>
      <c r="C1296" s="1" t="n">
        <v>45899</v>
      </c>
      <c r="D1296" t="inlineStr">
        <is>
          <t>VÄSTERNORRLANDS LÄN</t>
        </is>
      </c>
      <c r="E1296" t="inlineStr">
        <is>
          <t>SOLLEFTEÅ</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28998-2025</t>
        </is>
      </c>
      <c r="B1297" s="1" t="n">
        <v>45821.38626157407</v>
      </c>
      <c r="C1297" s="1" t="n">
        <v>45899</v>
      </c>
      <c r="D1297" t="inlineStr">
        <is>
          <t>VÄSTERNORRLANDS LÄN</t>
        </is>
      </c>
      <c r="E1297" t="inlineStr">
        <is>
          <t>SOLLEFTEÅ</t>
        </is>
      </c>
      <c r="F1297" t="inlineStr">
        <is>
          <t>SCA</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5394-2025</t>
        </is>
      </c>
      <c r="B1298" s="1" t="n">
        <v>45692.63591435185</v>
      </c>
      <c r="C1298" s="1" t="n">
        <v>45899</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29103-2025</t>
        </is>
      </c>
      <c r="B1299" s="1" t="n">
        <v>45821.57219907407</v>
      </c>
      <c r="C1299" s="1" t="n">
        <v>45899</v>
      </c>
      <c r="D1299" t="inlineStr">
        <is>
          <t>VÄSTERNORRLANDS LÄN</t>
        </is>
      </c>
      <c r="E1299" t="inlineStr">
        <is>
          <t>SOLLEFTEÅ</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29039-2025</t>
        </is>
      </c>
      <c r="B1300" s="1" t="n">
        <v>45821.44844907407</v>
      </c>
      <c r="C1300" s="1" t="n">
        <v>45899</v>
      </c>
      <c r="D1300" t="inlineStr">
        <is>
          <t>VÄSTERNORRLANDS LÄN</t>
        </is>
      </c>
      <c r="E1300" t="inlineStr">
        <is>
          <t>SOLLEFTEÅ</t>
        </is>
      </c>
      <c r="F1300" t="inlineStr">
        <is>
          <t>SCA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29435-2025</t>
        </is>
      </c>
      <c r="B1301" s="1" t="n">
        <v>45824.65762731482</v>
      </c>
      <c r="C1301" s="1" t="n">
        <v>45899</v>
      </c>
      <c r="D1301" t="inlineStr">
        <is>
          <t>VÄSTERNORRLANDS LÄN</t>
        </is>
      </c>
      <c r="E1301" t="inlineStr">
        <is>
          <t>SOLLEFTEÅ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48088-2023</t>
        </is>
      </c>
      <c r="B1302" s="1" t="n">
        <v>45204.94657407407</v>
      </c>
      <c r="C1302" s="1" t="n">
        <v>45899</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29011-2025</t>
        </is>
      </c>
      <c r="B1303" s="1" t="n">
        <v>45821.40659722222</v>
      </c>
      <c r="C1303" s="1" t="n">
        <v>45899</v>
      </c>
      <c r="D1303" t="inlineStr">
        <is>
          <t>VÄSTERNORRLANDS LÄN</t>
        </is>
      </c>
      <c r="E1303" t="inlineStr">
        <is>
          <t>SOLLEFTEÅ</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36068-2025</t>
        </is>
      </c>
      <c r="B1304" s="1" t="n">
        <v>45866.42752314815</v>
      </c>
      <c r="C1304" s="1" t="n">
        <v>45899</v>
      </c>
      <c r="D1304" t="inlineStr">
        <is>
          <t>VÄSTERNORRLANDS LÄN</t>
        </is>
      </c>
      <c r="E1304" t="inlineStr">
        <is>
          <t>SOLLEFTEÅ</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28994-2025</t>
        </is>
      </c>
      <c r="B1305" s="1" t="n">
        <v>45821.38587962963</v>
      </c>
      <c r="C1305" s="1" t="n">
        <v>45899</v>
      </c>
      <c r="D1305" t="inlineStr">
        <is>
          <t>VÄSTERNORRLANDS LÄN</t>
        </is>
      </c>
      <c r="E1305" t="inlineStr">
        <is>
          <t>SOLLEFTEÅ</t>
        </is>
      </c>
      <c r="F1305" t="inlineStr">
        <is>
          <t>SCA</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20335-2025</t>
        </is>
      </c>
      <c r="B1306" s="1" t="n">
        <v>45775.36510416667</v>
      </c>
      <c r="C1306" s="1" t="n">
        <v>45899</v>
      </c>
      <c r="D1306" t="inlineStr">
        <is>
          <t>VÄSTERNORRLANDS LÄN</t>
        </is>
      </c>
      <c r="E1306" t="inlineStr">
        <is>
          <t>SOLLEFTEÅ</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29273-2025</t>
        </is>
      </c>
      <c r="B1307" s="1" t="n">
        <v>45824.41125</v>
      </c>
      <c r="C1307" s="1" t="n">
        <v>45899</v>
      </c>
      <c r="D1307" t="inlineStr">
        <is>
          <t>VÄSTERNORRLANDS LÄN</t>
        </is>
      </c>
      <c r="E1307" t="inlineStr">
        <is>
          <t>SOLLEFTEÅ</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47329-2023</t>
        </is>
      </c>
      <c r="B1308" s="1" t="n">
        <v>45196</v>
      </c>
      <c r="C1308" s="1" t="n">
        <v>45899</v>
      </c>
      <c r="D1308" t="inlineStr">
        <is>
          <t>VÄSTERNORRLANDS LÄN</t>
        </is>
      </c>
      <c r="E1308" t="inlineStr">
        <is>
          <t>SOLLEFTEÅ</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20461-2023</t>
        </is>
      </c>
      <c r="B1309" s="1" t="n">
        <v>45056.95284722222</v>
      </c>
      <c r="C1309" s="1" t="n">
        <v>45899</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42983-2024</t>
        </is>
      </c>
      <c r="B1310" s="1" t="n">
        <v>45567.37471064815</v>
      </c>
      <c r="C1310" s="1" t="n">
        <v>45899</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42984-2024</t>
        </is>
      </c>
      <c r="B1311" s="1" t="n">
        <v>45567.37532407408</v>
      </c>
      <c r="C1311" s="1" t="n">
        <v>45899</v>
      </c>
      <c r="D1311" t="inlineStr">
        <is>
          <t>VÄSTERNORRLANDS LÄN</t>
        </is>
      </c>
      <c r="E1311" t="inlineStr">
        <is>
          <t>SOLLEFTEÅ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42985-2024</t>
        </is>
      </c>
      <c r="B1312" s="1" t="n">
        <v>45567.37533564815</v>
      </c>
      <c r="C1312" s="1" t="n">
        <v>45899</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28993-2025</t>
        </is>
      </c>
      <c r="B1313" s="1" t="n">
        <v>45821.38574074074</v>
      </c>
      <c r="C1313" s="1" t="n">
        <v>45899</v>
      </c>
      <c r="D1313" t="inlineStr">
        <is>
          <t>VÄSTERNORRLANDS LÄN</t>
        </is>
      </c>
      <c r="E1313" t="inlineStr">
        <is>
          <t>SOLLEFTEÅ</t>
        </is>
      </c>
      <c r="F1313" t="inlineStr">
        <is>
          <t>SCA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29142-2025</t>
        </is>
      </c>
      <c r="B1314" s="1" t="n">
        <v>45821.61518518518</v>
      </c>
      <c r="C1314" s="1" t="n">
        <v>45899</v>
      </c>
      <c r="D1314" t="inlineStr">
        <is>
          <t>VÄSTERNORRLANDS LÄN</t>
        </is>
      </c>
      <c r="E1314" t="inlineStr">
        <is>
          <t>SOLLEFTEÅ</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58357-2024</t>
        </is>
      </c>
      <c r="B1315" s="1" t="n">
        <v>45632</v>
      </c>
      <c r="C1315" s="1" t="n">
        <v>45899</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58360-2024</t>
        </is>
      </c>
      <c r="B1316" s="1" t="n">
        <v>45632</v>
      </c>
      <c r="C1316" s="1" t="n">
        <v>45899</v>
      </c>
      <c r="D1316" t="inlineStr">
        <is>
          <t>VÄSTERNORRLANDS LÄN</t>
        </is>
      </c>
      <c r="E1316" t="inlineStr">
        <is>
          <t>SOLLEFTEÅ</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41478-2022</t>
        </is>
      </c>
      <c r="B1317" s="1" t="n">
        <v>44826.94892361111</v>
      </c>
      <c r="C1317" s="1" t="n">
        <v>45899</v>
      </c>
      <c r="D1317" t="inlineStr">
        <is>
          <t>VÄSTERNORRLANDS LÄN</t>
        </is>
      </c>
      <c r="E1317" t="inlineStr">
        <is>
          <t>SOLLEFTEÅ</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29445-2025</t>
        </is>
      </c>
      <c r="B1318" s="1" t="n">
        <v>45824.66322916667</v>
      </c>
      <c r="C1318" s="1" t="n">
        <v>45899</v>
      </c>
      <c r="D1318" t="inlineStr">
        <is>
          <t>VÄSTERNORRLANDS LÄN</t>
        </is>
      </c>
      <c r="E1318" t="inlineStr">
        <is>
          <t>SOLLEFTEÅ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29125-2025</t>
        </is>
      </c>
      <c r="B1319" s="1" t="n">
        <v>45821.59459490741</v>
      </c>
      <c r="C1319" s="1" t="n">
        <v>45899</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29436-2025</t>
        </is>
      </c>
      <c r="B1320" s="1" t="n">
        <v>45824.65766203704</v>
      </c>
      <c r="C1320" s="1" t="n">
        <v>45899</v>
      </c>
      <c r="D1320" t="inlineStr">
        <is>
          <t>VÄSTERNORRLANDS LÄN</t>
        </is>
      </c>
      <c r="E1320" t="inlineStr">
        <is>
          <t>SOLLEFTEÅ</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24596-2023</t>
        </is>
      </c>
      <c r="B1321" s="1" t="n">
        <v>45083.94011574074</v>
      </c>
      <c r="C1321" s="1" t="n">
        <v>45899</v>
      </c>
      <c r="D1321" t="inlineStr">
        <is>
          <t>VÄSTERNORRLANDS LÄN</t>
        </is>
      </c>
      <c r="E1321" t="inlineStr">
        <is>
          <t>SOLLEFTEÅ</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58845-2024</t>
        </is>
      </c>
      <c r="B1322" s="1" t="n">
        <v>45636.3862037037</v>
      </c>
      <c r="C1322" s="1" t="n">
        <v>45899</v>
      </c>
      <c r="D1322" t="inlineStr">
        <is>
          <t>VÄSTERNORRLANDS LÄN</t>
        </is>
      </c>
      <c r="E1322" t="inlineStr">
        <is>
          <t>SOLLEFTEÅ</t>
        </is>
      </c>
      <c r="F1322" t="inlineStr">
        <is>
          <t>SCA</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5258-2025</t>
        </is>
      </c>
      <c r="B1323" s="1" t="n">
        <v>45692</v>
      </c>
      <c r="C1323" s="1" t="n">
        <v>45899</v>
      </c>
      <c r="D1323" t="inlineStr">
        <is>
          <t>VÄSTERNORRLANDS LÄN</t>
        </is>
      </c>
      <c r="E1323" t="inlineStr">
        <is>
          <t>SOLLEFTEÅ</t>
        </is>
      </c>
      <c r="F1323" t="inlineStr">
        <is>
          <t>SCA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29444-2025</t>
        </is>
      </c>
      <c r="B1324" s="1" t="n">
        <v>45824.66177083334</v>
      </c>
      <c r="C1324" s="1" t="n">
        <v>45899</v>
      </c>
      <c r="D1324" t="inlineStr">
        <is>
          <t>VÄSTERNORRLANDS LÄN</t>
        </is>
      </c>
      <c r="E1324" t="inlineStr">
        <is>
          <t>SOLLEFTEÅ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7009-2023</t>
        </is>
      </c>
      <c r="B1325" s="1" t="n">
        <v>44967.92959490741</v>
      </c>
      <c r="C1325" s="1" t="n">
        <v>45899</v>
      </c>
      <c r="D1325" t="inlineStr">
        <is>
          <t>VÄSTERNORRLANDS LÄN</t>
        </is>
      </c>
      <c r="E1325" t="inlineStr">
        <is>
          <t>SOLLEFTEÅ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29860-2025</t>
        </is>
      </c>
      <c r="B1326" s="1" t="n">
        <v>45826.34638888889</v>
      </c>
      <c r="C1326" s="1" t="n">
        <v>45899</v>
      </c>
      <c r="D1326" t="inlineStr">
        <is>
          <t>VÄSTERNORRLANDS LÄN</t>
        </is>
      </c>
      <c r="E1326" t="inlineStr">
        <is>
          <t>SOLLEFTEÅ</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17889-2025</t>
        </is>
      </c>
      <c r="B1327" s="1" t="n">
        <v>45758.67746527777</v>
      </c>
      <c r="C1327" s="1" t="n">
        <v>45899</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34638-2024</t>
        </is>
      </c>
      <c r="B1328" s="1" t="n">
        <v>45526</v>
      </c>
      <c r="C1328" s="1" t="n">
        <v>45899</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c r="U1328">
        <f>HYPERLINK("https://klasma.github.io/Logging_2283/knärot/A 34638-2024 karta knärot.png", "A 34638-2024")</f>
        <v/>
      </c>
      <c r="V1328">
        <f>HYPERLINK("https://klasma.github.io/Logging_2283/klagomål/A 34638-2024 FSC-klagomål.docx", "A 34638-2024")</f>
        <v/>
      </c>
      <c r="W1328">
        <f>HYPERLINK("https://klasma.github.io/Logging_2283/klagomålsmail/A 34638-2024 FSC-klagomål mail.docx", "A 34638-2024")</f>
        <v/>
      </c>
      <c r="X1328">
        <f>HYPERLINK("https://klasma.github.io/Logging_2283/tillsyn/A 34638-2024 tillsynsbegäran.docx", "A 34638-2024")</f>
        <v/>
      </c>
      <c r="Y1328">
        <f>HYPERLINK("https://klasma.github.io/Logging_2283/tillsynsmail/A 34638-2024 tillsynsbegäran mail.docx", "A 34638-2024")</f>
        <v/>
      </c>
    </row>
    <row r="1329" ht="15" customHeight="1">
      <c r="A1329" t="inlineStr">
        <is>
          <t>A 29760-2025</t>
        </is>
      </c>
      <c r="B1329" s="1" t="n">
        <v>45825.61805555555</v>
      </c>
      <c r="C1329" s="1" t="n">
        <v>45899</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29769-2025</t>
        </is>
      </c>
      <c r="B1330" s="1" t="n">
        <v>45825.62796296296</v>
      </c>
      <c r="C1330" s="1" t="n">
        <v>45899</v>
      </c>
      <c r="D1330" t="inlineStr">
        <is>
          <t>VÄSTERNORRLANDS LÄN</t>
        </is>
      </c>
      <c r="E1330" t="inlineStr">
        <is>
          <t>SOLLEFTEÅ</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20458-2025</t>
        </is>
      </c>
      <c r="B1331" s="1" t="n">
        <v>45775.52623842593</v>
      </c>
      <c r="C1331" s="1" t="n">
        <v>45899</v>
      </c>
      <c r="D1331" t="inlineStr">
        <is>
          <t>VÄSTERNORRLANDS LÄN</t>
        </is>
      </c>
      <c r="E1331" t="inlineStr">
        <is>
          <t>SOLLEFTEÅ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36313-2025</t>
        </is>
      </c>
      <c r="B1332" s="1" t="n">
        <v>45868.34456018519</v>
      </c>
      <c r="C1332" s="1" t="n">
        <v>45899</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56261-2023</t>
        </is>
      </c>
      <c r="B1333" s="1" t="n">
        <v>45240</v>
      </c>
      <c r="C1333" s="1" t="n">
        <v>45899</v>
      </c>
      <c r="D1333" t="inlineStr">
        <is>
          <t>VÄSTERNORRLANDS LÄN</t>
        </is>
      </c>
      <c r="E1333" t="inlineStr">
        <is>
          <t>SOLLEFTEÅ</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29761-2025</t>
        </is>
      </c>
      <c r="B1334" s="1" t="n">
        <v>45825.61815972222</v>
      </c>
      <c r="C1334" s="1" t="n">
        <v>45899</v>
      </c>
      <c r="D1334" t="inlineStr">
        <is>
          <t>VÄSTERNORRLANDS LÄN</t>
        </is>
      </c>
      <c r="E1334" t="inlineStr">
        <is>
          <t>SOLLEFTEÅ</t>
        </is>
      </c>
      <c r="F1334" t="inlineStr">
        <is>
          <t>SCA</t>
        </is>
      </c>
      <c r="G1334" t="n">
        <v>13.8</v>
      </c>
      <c r="H1334" t="n">
        <v>0</v>
      </c>
      <c r="I1334" t="n">
        <v>0</v>
      </c>
      <c r="J1334" t="n">
        <v>0</v>
      </c>
      <c r="K1334" t="n">
        <v>0</v>
      </c>
      <c r="L1334" t="n">
        <v>0</v>
      </c>
      <c r="M1334" t="n">
        <v>0</v>
      </c>
      <c r="N1334" t="n">
        <v>0</v>
      </c>
      <c r="O1334" t="n">
        <v>0</v>
      </c>
      <c r="P1334" t="n">
        <v>0</v>
      </c>
      <c r="Q1334" t="n">
        <v>0</v>
      </c>
      <c r="R1334" s="2" t="inlineStr"/>
    </row>
    <row r="1335" ht="15" customHeight="1">
      <c r="A1335" t="inlineStr">
        <is>
          <t>A 29762-2025</t>
        </is>
      </c>
      <c r="B1335" s="1" t="n">
        <v>45825.61826388889</v>
      </c>
      <c r="C1335" s="1" t="n">
        <v>45899</v>
      </c>
      <c r="D1335" t="inlineStr">
        <is>
          <t>VÄSTERNORRLANDS LÄN</t>
        </is>
      </c>
      <c r="E1335" t="inlineStr">
        <is>
          <t>SOLLEFTEÅ</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35502-2024</t>
        </is>
      </c>
      <c r="B1336" s="1" t="n">
        <v>45531</v>
      </c>
      <c r="C1336" s="1" t="n">
        <v>45899</v>
      </c>
      <c r="D1336" t="inlineStr">
        <is>
          <t>VÄSTERNORRLANDS LÄN</t>
        </is>
      </c>
      <c r="E1336" t="inlineStr">
        <is>
          <t>SOLLEFTEÅ</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30073-2025</t>
        </is>
      </c>
      <c r="B1337" s="1" t="n">
        <v>45826.63643518519</v>
      </c>
      <c r="C1337" s="1" t="n">
        <v>45899</v>
      </c>
      <c r="D1337" t="inlineStr">
        <is>
          <t>VÄSTERNORRLANDS LÄN</t>
        </is>
      </c>
      <c r="E1337" t="inlineStr">
        <is>
          <t>SOLLEFTEÅ</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30018-2025</t>
        </is>
      </c>
      <c r="B1338" s="1" t="n">
        <v>45826.55332175926</v>
      </c>
      <c r="C1338" s="1" t="n">
        <v>45899</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30020-2025</t>
        </is>
      </c>
      <c r="B1339" s="1" t="n">
        <v>45826.55337962963</v>
      </c>
      <c r="C1339" s="1" t="n">
        <v>45899</v>
      </c>
      <c r="D1339" t="inlineStr">
        <is>
          <t>VÄSTERNORRLANDS LÄN</t>
        </is>
      </c>
      <c r="E1339" t="inlineStr">
        <is>
          <t>SOLLEFTEÅ</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20061-2022</t>
        </is>
      </c>
      <c r="B1340" s="1" t="n">
        <v>44697.94140046297</v>
      </c>
      <c r="C1340" s="1" t="n">
        <v>45899</v>
      </c>
      <c r="D1340" t="inlineStr">
        <is>
          <t>VÄSTERNORRLANDS LÄN</t>
        </is>
      </c>
      <c r="E1340" t="inlineStr">
        <is>
          <t>SOLLEFTEÅ</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20551-2022</t>
        </is>
      </c>
      <c r="B1341" s="1" t="n">
        <v>44699</v>
      </c>
      <c r="C1341" s="1" t="n">
        <v>45899</v>
      </c>
      <c r="D1341" t="inlineStr">
        <is>
          <t>VÄSTERNORRLANDS LÄN</t>
        </is>
      </c>
      <c r="E1341" t="inlineStr">
        <is>
          <t>SOLLEFTEÅ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35556-2023</t>
        </is>
      </c>
      <c r="B1342" s="1" t="n">
        <v>45147</v>
      </c>
      <c r="C1342" s="1" t="n">
        <v>45899</v>
      </c>
      <c r="D1342" t="inlineStr">
        <is>
          <t>VÄSTERNORRLANDS LÄN</t>
        </is>
      </c>
      <c r="E1342" t="inlineStr">
        <is>
          <t>SOLLEFTEÅ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36274-2025</t>
        </is>
      </c>
      <c r="B1343" s="1" t="n">
        <v>45867.63579861111</v>
      </c>
      <c r="C1343" s="1" t="n">
        <v>45899</v>
      </c>
      <c r="D1343" t="inlineStr">
        <is>
          <t>VÄSTERNORRLANDS LÄN</t>
        </is>
      </c>
      <c r="E1343" t="inlineStr">
        <is>
          <t>SOLLEFTEÅ</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36312-2025</t>
        </is>
      </c>
      <c r="B1344" s="1" t="n">
        <v>45868.34444444445</v>
      </c>
      <c r="C1344" s="1" t="n">
        <v>45899</v>
      </c>
      <c r="D1344" t="inlineStr">
        <is>
          <t>VÄSTERNORRLANDS LÄN</t>
        </is>
      </c>
      <c r="E1344" t="inlineStr">
        <is>
          <t>SOLLEFTEÅ</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36324-2025</t>
        </is>
      </c>
      <c r="B1345" s="1" t="n">
        <v>45868.40707175926</v>
      </c>
      <c r="C1345" s="1" t="n">
        <v>45899</v>
      </c>
      <c r="D1345" t="inlineStr">
        <is>
          <t>VÄSTERNORRLANDS LÄN</t>
        </is>
      </c>
      <c r="E1345" t="inlineStr">
        <is>
          <t>SOLLEFTEÅ</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30822-2023</t>
        </is>
      </c>
      <c r="B1346" s="1" t="n">
        <v>45112.94289351852</v>
      </c>
      <c r="C1346" s="1" t="n">
        <v>45899</v>
      </c>
      <c r="D1346" t="inlineStr">
        <is>
          <t>VÄSTERNORRLANDS LÄN</t>
        </is>
      </c>
      <c r="E1346" t="inlineStr">
        <is>
          <t>SOLLEFTEÅ</t>
        </is>
      </c>
      <c r="F1346" t="inlineStr">
        <is>
          <t>SCA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29562-2025</t>
        </is>
      </c>
      <c r="B1347" s="1" t="n">
        <v>45825</v>
      </c>
      <c r="C1347" s="1" t="n">
        <v>45899</v>
      </c>
      <c r="D1347" t="inlineStr">
        <is>
          <t>VÄSTERNORRLANDS LÄN</t>
        </is>
      </c>
      <c r="E1347" t="inlineStr">
        <is>
          <t>SOLLEFTEÅ</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36224-2025</t>
        </is>
      </c>
      <c r="B1348" s="1" t="n">
        <v>45867.51116898148</v>
      </c>
      <c r="C1348" s="1" t="n">
        <v>45899</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4623-2023</t>
        </is>
      </c>
      <c r="B1349" s="1" t="n">
        <v>44956.94013888889</v>
      </c>
      <c r="C1349" s="1" t="n">
        <v>45899</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49156-2024</t>
        </is>
      </c>
      <c r="B1350" s="1" t="n">
        <v>45594.834375</v>
      </c>
      <c r="C1350" s="1" t="n">
        <v>45899</v>
      </c>
      <c r="D1350" t="inlineStr">
        <is>
          <t>VÄSTERNORRLANDS LÄN</t>
        </is>
      </c>
      <c r="E1350" t="inlineStr">
        <is>
          <t>SOLLEFTEÅ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7721-2023</t>
        </is>
      </c>
      <c r="B1351" s="1" t="n">
        <v>44972.94123842593</v>
      </c>
      <c r="C1351" s="1" t="n">
        <v>45899</v>
      </c>
      <c r="D1351" t="inlineStr">
        <is>
          <t>VÄSTERNORRLANDS LÄN</t>
        </is>
      </c>
      <c r="E1351" t="inlineStr">
        <is>
          <t>SOLLEFTEÅ</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29535-2025</t>
        </is>
      </c>
      <c r="B1352" s="1" t="n">
        <v>45825.34486111111</v>
      </c>
      <c r="C1352" s="1" t="n">
        <v>45899</v>
      </c>
      <c r="D1352" t="inlineStr">
        <is>
          <t>VÄSTERNORRLANDS LÄN</t>
        </is>
      </c>
      <c r="E1352" t="inlineStr">
        <is>
          <t>SOLLEFTEÅ</t>
        </is>
      </c>
      <c r="F1352" t="inlineStr">
        <is>
          <t>SCA</t>
        </is>
      </c>
      <c r="G1352" t="n">
        <v>20.6</v>
      </c>
      <c r="H1352" t="n">
        <v>0</v>
      </c>
      <c r="I1352" t="n">
        <v>0</v>
      </c>
      <c r="J1352" t="n">
        <v>0</v>
      </c>
      <c r="K1352" t="n">
        <v>0</v>
      </c>
      <c r="L1352" t="n">
        <v>0</v>
      </c>
      <c r="M1352" t="n">
        <v>0</v>
      </c>
      <c r="N1352" t="n">
        <v>0</v>
      </c>
      <c r="O1352" t="n">
        <v>0</v>
      </c>
      <c r="P1352" t="n">
        <v>0</v>
      </c>
      <c r="Q1352" t="n">
        <v>0</v>
      </c>
      <c r="R1352" s="2" t="inlineStr"/>
    </row>
    <row r="1353" ht="15" customHeight="1">
      <c r="A1353" t="inlineStr">
        <is>
          <t>A 48038-2024</t>
        </is>
      </c>
      <c r="B1353" s="1" t="n">
        <v>45589.49350694445</v>
      </c>
      <c r="C1353" s="1" t="n">
        <v>45899</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29759-2025</t>
        </is>
      </c>
      <c r="B1354" s="1" t="n">
        <v>45825</v>
      </c>
      <c r="C1354" s="1" t="n">
        <v>45899</v>
      </c>
      <c r="D1354" t="inlineStr">
        <is>
          <t>VÄSTERNORRLANDS LÄN</t>
        </is>
      </c>
      <c r="E1354" t="inlineStr">
        <is>
          <t>SOLLEFTEÅ</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55439-2024</t>
        </is>
      </c>
      <c r="B1355" s="1" t="n">
        <v>45622.40663194445</v>
      </c>
      <c r="C1355" s="1" t="n">
        <v>45899</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4722-2025</t>
        </is>
      </c>
      <c r="B1356" s="1" t="n">
        <v>45688.41627314815</v>
      </c>
      <c r="C1356" s="1" t="n">
        <v>45899</v>
      </c>
      <c r="D1356" t="inlineStr">
        <is>
          <t>VÄSTERNORRLANDS LÄN</t>
        </is>
      </c>
      <c r="E1356" t="inlineStr">
        <is>
          <t>SOLLEFTEÅ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4726-2025</t>
        </is>
      </c>
      <c r="B1357" s="1" t="n">
        <v>45688</v>
      </c>
      <c r="C1357" s="1" t="n">
        <v>45899</v>
      </c>
      <c r="D1357" t="inlineStr">
        <is>
          <t>VÄSTERNORRLANDS LÄN</t>
        </is>
      </c>
      <c r="E1357" t="inlineStr">
        <is>
          <t>SOLLEFTEÅ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57492-2024</t>
        </is>
      </c>
      <c r="B1358" s="1" t="n">
        <v>45630.36827546296</v>
      </c>
      <c r="C1358" s="1" t="n">
        <v>45899</v>
      </c>
      <c r="D1358" t="inlineStr">
        <is>
          <t>VÄSTERNORRLANDS LÄN</t>
        </is>
      </c>
      <c r="E1358" t="inlineStr">
        <is>
          <t>SOLLEFTEÅ</t>
        </is>
      </c>
      <c r="F1358" t="inlineStr">
        <is>
          <t>Holmen skog AB</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58226-2024</t>
        </is>
      </c>
      <c r="B1359" s="1" t="n">
        <v>45632.51076388889</v>
      </c>
      <c r="C1359" s="1" t="n">
        <v>45899</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31481-2024</t>
        </is>
      </c>
      <c r="B1360" s="1" t="n">
        <v>45505</v>
      </c>
      <c r="C1360" s="1" t="n">
        <v>45899</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29884-2025</t>
        </is>
      </c>
      <c r="B1361" s="1" t="n">
        <v>45826.36582175926</v>
      </c>
      <c r="C1361" s="1" t="n">
        <v>45899</v>
      </c>
      <c r="D1361" t="inlineStr">
        <is>
          <t>VÄSTERNORRLANDS LÄN</t>
        </is>
      </c>
      <c r="E1361" t="inlineStr">
        <is>
          <t>SOLLEFTEÅ</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36373-2025</t>
        </is>
      </c>
      <c r="B1362" s="1" t="n">
        <v>45868.55256944444</v>
      </c>
      <c r="C1362" s="1" t="n">
        <v>45899</v>
      </c>
      <c r="D1362" t="inlineStr">
        <is>
          <t>VÄSTERNORRLANDS LÄN</t>
        </is>
      </c>
      <c r="E1362" t="inlineStr">
        <is>
          <t>SOLLEFTEÅ</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29793-2025</t>
        </is>
      </c>
      <c r="B1363" s="1" t="n">
        <v>45825</v>
      </c>
      <c r="C1363" s="1" t="n">
        <v>45899</v>
      </c>
      <c r="D1363" t="inlineStr">
        <is>
          <t>VÄSTERNORRLANDS LÄN</t>
        </is>
      </c>
      <c r="E1363" t="inlineStr">
        <is>
          <t>SOLLEFTEÅ</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26014-2025</t>
        </is>
      </c>
      <c r="B1364" s="1" t="n">
        <v>45804.67773148148</v>
      </c>
      <c r="C1364" s="1" t="n">
        <v>45899</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29883-2025</t>
        </is>
      </c>
      <c r="B1365" s="1" t="n">
        <v>45826.36568287037</v>
      </c>
      <c r="C1365" s="1" t="n">
        <v>45899</v>
      </c>
      <c r="D1365" t="inlineStr">
        <is>
          <t>VÄSTERNORRLANDS LÄN</t>
        </is>
      </c>
      <c r="E1365" t="inlineStr">
        <is>
          <t>SOLLEFTEÅ</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7184-2025</t>
        </is>
      </c>
      <c r="B1366" s="1" t="n">
        <v>45702</v>
      </c>
      <c r="C1366" s="1" t="n">
        <v>45899</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10725-2025</t>
        </is>
      </c>
      <c r="B1367" s="1" t="n">
        <v>45722</v>
      </c>
      <c r="C1367" s="1" t="n">
        <v>45899</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10737-2025</t>
        </is>
      </c>
      <c r="B1368" s="1" t="n">
        <v>45722</v>
      </c>
      <c r="C1368" s="1" t="n">
        <v>45899</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30311-2025</t>
        </is>
      </c>
      <c r="B1369" s="1" t="n">
        <v>45827.49015046296</v>
      </c>
      <c r="C1369" s="1" t="n">
        <v>45899</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30369-2025</t>
        </is>
      </c>
      <c r="B1370" s="1" t="n">
        <v>45827.55729166666</v>
      </c>
      <c r="C1370" s="1" t="n">
        <v>45899</v>
      </c>
      <c r="D1370" t="inlineStr">
        <is>
          <t>VÄSTERNORRLANDS LÄN</t>
        </is>
      </c>
      <c r="E1370" t="inlineStr">
        <is>
          <t>SOLLEFTEÅ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30389-2025</t>
        </is>
      </c>
      <c r="B1371" s="1" t="n">
        <v>45827.57356481482</v>
      </c>
      <c r="C1371" s="1" t="n">
        <v>45899</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36432-2025</t>
        </is>
      </c>
      <c r="B1372" s="1" t="n">
        <v>45869.36505787037</v>
      </c>
      <c r="C1372" s="1" t="n">
        <v>45899</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6896-2025</t>
        </is>
      </c>
      <c r="B1373" s="1" t="n">
        <v>45701.38577546296</v>
      </c>
      <c r="C1373" s="1" t="n">
        <v>45899</v>
      </c>
      <c r="D1373" t="inlineStr">
        <is>
          <t>VÄSTERNORRLANDS LÄN</t>
        </is>
      </c>
      <c r="E1373" t="inlineStr">
        <is>
          <t>SOLLEFTEÅ</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36545-2025</t>
        </is>
      </c>
      <c r="B1374" s="1" t="n">
        <v>45869.67761574074</v>
      </c>
      <c r="C1374" s="1" t="n">
        <v>45899</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48999-2023</t>
        </is>
      </c>
      <c r="B1375" s="1" t="n">
        <v>45209.66075231481</v>
      </c>
      <c r="C1375" s="1" t="n">
        <v>45899</v>
      </c>
      <c r="D1375" t="inlineStr">
        <is>
          <t>VÄSTERNORRLANDS LÄN</t>
        </is>
      </c>
      <c r="E1375" t="inlineStr">
        <is>
          <t>SOLLEFTEÅ</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30279-2025</t>
        </is>
      </c>
      <c r="B1376" s="1" t="n">
        <v>45827</v>
      </c>
      <c r="C1376" s="1" t="n">
        <v>45899</v>
      </c>
      <c r="D1376" t="inlineStr">
        <is>
          <t>VÄSTERNORRLANDS LÄN</t>
        </is>
      </c>
      <c r="E1376" t="inlineStr">
        <is>
          <t>SOLLEFTEÅ</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30401-2025</t>
        </is>
      </c>
      <c r="B1377" s="1" t="n">
        <v>45827.59135416667</v>
      </c>
      <c r="C1377" s="1" t="n">
        <v>45899</v>
      </c>
      <c r="D1377" t="inlineStr">
        <is>
          <t>VÄSTERNORRLANDS LÄN</t>
        </is>
      </c>
      <c r="E1377" t="inlineStr">
        <is>
          <t>SOLLEFTEÅ</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36567-2025</t>
        </is>
      </c>
      <c r="B1378" s="1" t="n">
        <v>45870.38320601852</v>
      </c>
      <c r="C1378" s="1" t="n">
        <v>45899</v>
      </c>
      <c r="D1378" t="inlineStr">
        <is>
          <t>VÄSTERNORRLANDS LÄN</t>
        </is>
      </c>
      <c r="E1378" t="inlineStr">
        <is>
          <t>SOLLEFTEÅ</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30478-2025</t>
        </is>
      </c>
      <c r="B1379" s="1" t="n">
        <v>45828.45866898148</v>
      </c>
      <c r="C1379" s="1" t="n">
        <v>45899</v>
      </c>
      <c r="D1379" t="inlineStr">
        <is>
          <t>VÄSTERNORRLANDS LÄN</t>
        </is>
      </c>
      <c r="E1379" t="inlineStr">
        <is>
          <t>SOLLEFTEÅ</t>
        </is>
      </c>
      <c r="G1379" t="n">
        <v>1.5</v>
      </c>
      <c r="H1379" t="n">
        <v>0</v>
      </c>
      <c r="I1379" t="n">
        <v>0</v>
      </c>
      <c r="J1379" t="n">
        <v>0</v>
      </c>
      <c r="K1379" t="n">
        <v>0</v>
      </c>
      <c r="L1379" t="n">
        <v>0</v>
      </c>
      <c r="M1379" t="n">
        <v>0</v>
      </c>
      <c r="N1379" t="n">
        <v>0</v>
      </c>
      <c r="O1379" t="n">
        <v>0</v>
      </c>
      <c r="P1379" t="n">
        <v>0</v>
      </c>
      <c r="Q1379" t="n">
        <v>0</v>
      </c>
      <c r="R1379" s="2" t="inlineStr"/>
      <c r="U1379">
        <f>HYPERLINK("https://klasma.github.io/Logging_2283/knärot/A 30478-2025 karta knärot.png", "A 30478-2025")</f>
        <v/>
      </c>
      <c r="V1379">
        <f>HYPERLINK("https://klasma.github.io/Logging_2283/klagomål/A 30478-2025 FSC-klagomål.docx", "A 30478-2025")</f>
        <v/>
      </c>
      <c r="W1379">
        <f>HYPERLINK("https://klasma.github.io/Logging_2283/klagomålsmail/A 30478-2025 FSC-klagomål mail.docx", "A 30478-2025")</f>
        <v/>
      </c>
      <c r="X1379">
        <f>HYPERLINK("https://klasma.github.io/Logging_2283/tillsyn/A 30478-2025 tillsynsbegäran.docx", "A 30478-2025")</f>
        <v/>
      </c>
      <c r="Y1379">
        <f>HYPERLINK("https://klasma.github.io/Logging_2283/tillsynsmail/A 30478-2025 tillsynsbegäran mail.docx", "A 30478-2025")</f>
        <v/>
      </c>
    </row>
    <row r="1380" ht="15" customHeight="1">
      <c r="A1380" t="inlineStr">
        <is>
          <t>A 46758-2024</t>
        </is>
      </c>
      <c r="B1380" s="1" t="n">
        <v>45583.49071759259</v>
      </c>
      <c r="C1380" s="1" t="n">
        <v>45899</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46759-2024</t>
        </is>
      </c>
      <c r="B1381" s="1" t="n">
        <v>45583.49101851852</v>
      </c>
      <c r="C1381" s="1" t="n">
        <v>45899</v>
      </c>
      <c r="D1381" t="inlineStr">
        <is>
          <t>VÄSTERNORRLANDS LÄN</t>
        </is>
      </c>
      <c r="E1381" t="inlineStr">
        <is>
          <t>SOLLEFTEÅ</t>
        </is>
      </c>
      <c r="F1381" t="inlineStr">
        <is>
          <t>SCA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48265-2024</t>
        </is>
      </c>
      <c r="B1382" s="1" t="n">
        <v>45590.42751157407</v>
      </c>
      <c r="C1382" s="1" t="n">
        <v>45899</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47631-2024</t>
        </is>
      </c>
      <c r="B1383" s="1" t="n">
        <v>45588.34465277778</v>
      </c>
      <c r="C1383" s="1" t="n">
        <v>45899</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36558-2025</t>
        </is>
      </c>
      <c r="B1384" s="1" t="n">
        <v>45870.35769675926</v>
      </c>
      <c r="C1384" s="1" t="n">
        <v>45899</v>
      </c>
      <c r="D1384" t="inlineStr">
        <is>
          <t>VÄSTERNORRLANDS LÄN</t>
        </is>
      </c>
      <c r="E1384" t="inlineStr">
        <is>
          <t>SOLLEFTEÅ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54575-2024</t>
        </is>
      </c>
      <c r="B1385" s="1" t="n">
        <v>45617.65232638889</v>
      </c>
      <c r="C1385" s="1" t="n">
        <v>45899</v>
      </c>
      <c r="D1385" t="inlineStr">
        <is>
          <t>VÄSTERNORRLANDS LÄN</t>
        </is>
      </c>
      <c r="E1385" t="inlineStr">
        <is>
          <t>SOLLEFTEÅ</t>
        </is>
      </c>
      <c r="F1385" t="inlineStr">
        <is>
          <t>Holmen skog AB</t>
        </is>
      </c>
      <c r="G1385" t="n">
        <v>1.7</v>
      </c>
      <c r="H1385" t="n">
        <v>0</v>
      </c>
      <c r="I1385" t="n">
        <v>0</v>
      </c>
      <c r="J1385" t="n">
        <v>0</v>
      </c>
      <c r="K1385" t="n">
        <v>0</v>
      </c>
      <c r="L1385" t="n">
        <v>0</v>
      </c>
      <c r="M1385" t="n">
        <v>0</v>
      </c>
      <c r="N1385" t="n">
        <v>0</v>
      </c>
      <c r="O1385" t="n">
        <v>0</v>
      </c>
      <c r="P1385" t="n">
        <v>0</v>
      </c>
      <c r="Q1385" t="n">
        <v>0</v>
      </c>
      <c r="R1385" s="2" t="inlineStr"/>
      <c r="U1385">
        <f>HYPERLINK("https://klasma.github.io/Logging_2283/knärot/A 54575-2024 karta knärot.png", "A 54575-2024")</f>
        <v/>
      </c>
      <c r="V1385">
        <f>HYPERLINK("https://klasma.github.io/Logging_2283/klagomål/A 54575-2024 FSC-klagomål.docx", "A 54575-2024")</f>
        <v/>
      </c>
      <c r="W1385">
        <f>HYPERLINK("https://klasma.github.io/Logging_2283/klagomålsmail/A 54575-2024 FSC-klagomål mail.docx", "A 54575-2024")</f>
        <v/>
      </c>
      <c r="X1385">
        <f>HYPERLINK("https://klasma.github.io/Logging_2283/tillsyn/A 54575-2024 tillsynsbegäran.docx", "A 54575-2024")</f>
        <v/>
      </c>
      <c r="Y1385">
        <f>HYPERLINK("https://klasma.github.io/Logging_2283/tillsynsmail/A 54575-2024 tillsynsbegäran mail.docx", "A 54575-2024")</f>
        <v/>
      </c>
    </row>
    <row r="1386" ht="15" customHeight="1">
      <c r="A1386" t="inlineStr">
        <is>
          <t>A 7036-2025</t>
        </is>
      </c>
      <c r="B1386" s="1" t="n">
        <v>45701.63597222222</v>
      </c>
      <c r="C1386" s="1" t="n">
        <v>45899</v>
      </c>
      <c r="D1386" t="inlineStr">
        <is>
          <t>VÄSTERNORRLANDS LÄN</t>
        </is>
      </c>
      <c r="E1386" t="inlineStr">
        <is>
          <t>SOLLEFTEÅ</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17422-2025</t>
        </is>
      </c>
      <c r="B1387" s="1" t="n">
        <v>45757.38570601852</v>
      </c>
      <c r="C1387" s="1" t="n">
        <v>45899</v>
      </c>
      <c r="D1387" t="inlineStr">
        <is>
          <t>VÄSTERNORRLANDS LÄN</t>
        </is>
      </c>
      <c r="E1387" t="inlineStr">
        <is>
          <t>SOLLEFTEÅ</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36571-2025</t>
        </is>
      </c>
      <c r="B1388" s="1" t="n">
        <v>45870.38778935185</v>
      </c>
      <c r="C1388" s="1" t="n">
        <v>45899</v>
      </c>
      <c r="D1388" t="inlineStr">
        <is>
          <t>VÄSTERNORRLANDS LÄN</t>
        </is>
      </c>
      <c r="E1388" t="inlineStr">
        <is>
          <t>SOLLEFTEÅ</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12627-2025</t>
        </is>
      </c>
      <c r="B1389" s="1" t="n">
        <v>45733.36728009259</v>
      </c>
      <c r="C1389" s="1" t="n">
        <v>45899</v>
      </c>
      <c r="D1389" t="inlineStr">
        <is>
          <t>VÄSTERNORRLANDS LÄN</t>
        </is>
      </c>
      <c r="E1389" t="inlineStr">
        <is>
          <t>SOLLEFTEÅ</t>
        </is>
      </c>
      <c r="G1389" t="n">
        <v>12.9</v>
      </c>
      <c r="H1389" t="n">
        <v>0</v>
      </c>
      <c r="I1389" t="n">
        <v>0</v>
      </c>
      <c r="J1389" t="n">
        <v>0</v>
      </c>
      <c r="K1389" t="n">
        <v>0</v>
      </c>
      <c r="L1389" t="n">
        <v>0</v>
      </c>
      <c r="M1389" t="n">
        <v>0</v>
      </c>
      <c r="N1389" t="n">
        <v>0</v>
      </c>
      <c r="O1389" t="n">
        <v>0</v>
      </c>
      <c r="P1389" t="n">
        <v>0</v>
      </c>
      <c r="Q1389" t="n">
        <v>0</v>
      </c>
      <c r="R1389" s="2" t="inlineStr"/>
    </row>
    <row r="1390" ht="15" customHeight="1">
      <c r="A1390" t="inlineStr">
        <is>
          <t>A 36561-2025</t>
        </is>
      </c>
      <c r="B1390" s="1" t="n">
        <v>45870.36722222222</v>
      </c>
      <c r="C1390" s="1" t="n">
        <v>45899</v>
      </c>
      <c r="D1390" t="inlineStr">
        <is>
          <t>VÄSTERNORRLANDS LÄN</t>
        </is>
      </c>
      <c r="E1390" t="inlineStr">
        <is>
          <t>SOLLEFTEÅ</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7261-2024</t>
        </is>
      </c>
      <c r="B1391" s="1" t="n">
        <v>45344</v>
      </c>
      <c r="C1391" s="1" t="n">
        <v>45899</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41925-2024</t>
        </is>
      </c>
      <c r="B1392" s="1" t="n">
        <v>45561</v>
      </c>
      <c r="C1392" s="1" t="n">
        <v>45899</v>
      </c>
      <c r="D1392" t="inlineStr">
        <is>
          <t>VÄSTERNORRLANDS LÄN</t>
        </is>
      </c>
      <c r="E1392" t="inlineStr">
        <is>
          <t>SOLLEFTEÅ</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3689-2023</t>
        </is>
      </c>
      <c r="B1393" s="1" t="n">
        <v>44950</v>
      </c>
      <c r="C1393" s="1" t="n">
        <v>45899</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30834-2025</t>
        </is>
      </c>
      <c r="B1394" s="1" t="n">
        <v>45831.6984837963</v>
      </c>
      <c r="C1394" s="1" t="n">
        <v>45899</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154-2025</t>
        </is>
      </c>
      <c r="B1395" s="1" t="n">
        <v>45659</v>
      </c>
      <c r="C1395" s="1" t="n">
        <v>45899</v>
      </c>
      <c r="D1395" t="inlineStr">
        <is>
          <t>VÄSTERNORRLANDS LÄN</t>
        </is>
      </c>
      <c r="E1395" t="inlineStr">
        <is>
          <t>SOLLEFTEÅ</t>
        </is>
      </c>
      <c r="F1395" t="inlineStr">
        <is>
          <t>Holmen skog AB</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31555-2024</t>
        </is>
      </c>
      <c r="B1396" s="1" t="n">
        <v>45505.96484953703</v>
      </c>
      <c r="C1396" s="1" t="n">
        <v>45899</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1114-2025</t>
        </is>
      </c>
      <c r="B1397" s="1" t="n">
        <v>45666.65664351852</v>
      </c>
      <c r="C1397" s="1" t="n">
        <v>45899</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36139-2024</t>
        </is>
      </c>
      <c r="B1398" s="1" t="n">
        <v>45534.35474537037</v>
      </c>
      <c r="C1398" s="1" t="n">
        <v>45899</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36144-2024</t>
        </is>
      </c>
      <c r="B1399" s="1" t="n">
        <v>45534.36309027778</v>
      </c>
      <c r="C1399" s="1" t="n">
        <v>45899</v>
      </c>
      <c r="D1399" t="inlineStr">
        <is>
          <t>VÄSTERNORRLANDS LÄN</t>
        </is>
      </c>
      <c r="E1399" t="inlineStr">
        <is>
          <t>SOLLEFTEÅ</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53855-2024</t>
        </is>
      </c>
      <c r="B1400" s="1" t="n">
        <v>45615.63724537037</v>
      </c>
      <c r="C1400" s="1" t="n">
        <v>45899</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49324-2023</t>
        </is>
      </c>
      <c r="B1401" s="1" t="n">
        <v>45210</v>
      </c>
      <c r="C1401" s="1" t="n">
        <v>45899</v>
      </c>
      <c r="D1401" t="inlineStr">
        <is>
          <t>VÄSTERNORRLANDS LÄN</t>
        </is>
      </c>
      <c r="E1401" t="inlineStr">
        <is>
          <t>SOLLEFTEÅ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12006-2022</t>
        </is>
      </c>
      <c r="B1402" s="1" t="n">
        <v>44635.92496527778</v>
      </c>
      <c r="C1402" s="1" t="n">
        <v>45899</v>
      </c>
      <c r="D1402" t="inlineStr">
        <is>
          <t>VÄSTERNORRLANDS LÄN</t>
        </is>
      </c>
      <c r="E1402" t="inlineStr">
        <is>
          <t>SOLLEFTEÅ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12022-2022</t>
        </is>
      </c>
      <c r="B1403" s="1" t="n">
        <v>44635.94396990741</v>
      </c>
      <c r="C1403" s="1" t="n">
        <v>45899</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22468-2024</t>
        </is>
      </c>
      <c r="B1404" s="1" t="n">
        <v>45446.95068287037</v>
      </c>
      <c r="C1404" s="1" t="n">
        <v>45899</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46765-2024</t>
        </is>
      </c>
      <c r="B1405" s="1" t="n">
        <v>45583.49491898148</v>
      </c>
      <c r="C1405" s="1" t="n">
        <v>45899</v>
      </c>
      <c r="D1405" t="inlineStr">
        <is>
          <t>VÄSTERNORRLANDS LÄN</t>
        </is>
      </c>
      <c r="E1405" t="inlineStr">
        <is>
          <t>SOLLEFTEÅ</t>
        </is>
      </c>
      <c r="F1405" t="inlineStr">
        <is>
          <t>SCA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46767-2024</t>
        </is>
      </c>
      <c r="B1406" s="1" t="n">
        <v>45583.49523148148</v>
      </c>
      <c r="C1406" s="1" t="n">
        <v>45899</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16463-2024</t>
        </is>
      </c>
      <c r="B1407" s="1" t="n">
        <v>45408.05027777778</v>
      </c>
      <c r="C1407" s="1" t="n">
        <v>45899</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17843-2025</t>
        </is>
      </c>
      <c r="B1408" s="1" t="n">
        <v>45758</v>
      </c>
      <c r="C1408" s="1" t="n">
        <v>45899</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25017-2022</t>
        </is>
      </c>
      <c r="B1409" s="1" t="n">
        <v>44728.94331018518</v>
      </c>
      <c r="C1409" s="1" t="n">
        <v>45899</v>
      </c>
      <c r="D1409" t="inlineStr">
        <is>
          <t>VÄSTERNORRLANDS LÄN</t>
        </is>
      </c>
      <c r="E1409" t="inlineStr">
        <is>
          <t>SOLLEFTEÅ</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10077-2023</t>
        </is>
      </c>
      <c r="B1410" s="1" t="n">
        <v>44985.94408564815</v>
      </c>
      <c r="C1410" s="1" t="n">
        <v>45899</v>
      </c>
      <c r="D1410" t="inlineStr">
        <is>
          <t>VÄSTERNORRLANDS LÄN</t>
        </is>
      </c>
      <c r="E1410" t="inlineStr">
        <is>
          <t>SOLLEFTEÅ</t>
        </is>
      </c>
      <c r="F1410" t="inlineStr">
        <is>
          <t>SCA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7589-2025</t>
        </is>
      </c>
      <c r="B1411" s="1" t="n">
        <v>45705.63597222222</v>
      </c>
      <c r="C1411" s="1" t="n">
        <v>45899</v>
      </c>
      <c r="D1411" t="inlineStr">
        <is>
          <t>VÄSTERNORRLANDS LÄN</t>
        </is>
      </c>
      <c r="E1411" t="inlineStr">
        <is>
          <t>SOLLEFTEÅ</t>
        </is>
      </c>
      <c r="F1411" t="inlineStr">
        <is>
          <t>SCA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30733-2025</t>
        </is>
      </c>
      <c r="B1412" s="1" t="n">
        <v>45831.57340277778</v>
      </c>
      <c r="C1412" s="1" t="n">
        <v>45899</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30734-2025</t>
        </is>
      </c>
      <c r="B1413" s="1" t="n">
        <v>45831.5734375</v>
      </c>
      <c r="C1413" s="1" t="n">
        <v>45899</v>
      </c>
      <c r="D1413" t="inlineStr">
        <is>
          <t>VÄSTERNORRLANDS LÄN</t>
        </is>
      </c>
      <c r="E1413" t="inlineStr">
        <is>
          <t>SOLLEFTEÅ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54330-2023</t>
        </is>
      </c>
      <c r="B1414" s="1" t="n">
        <v>45232.95814814815</v>
      </c>
      <c r="C1414" s="1" t="n">
        <v>45899</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55338-2023</t>
        </is>
      </c>
      <c r="B1415" s="1" t="n">
        <v>45237.97476851852</v>
      </c>
      <c r="C1415" s="1" t="n">
        <v>45899</v>
      </c>
      <c r="D1415" t="inlineStr">
        <is>
          <t>VÄSTERNORRLANDS LÄN</t>
        </is>
      </c>
      <c r="E1415" t="inlineStr">
        <is>
          <t>SOLLEFTEÅ</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6284-2025</t>
        </is>
      </c>
      <c r="B1416" s="1" t="n">
        <v>45698.63611111111</v>
      </c>
      <c r="C1416" s="1" t="n">
        <v>45899</v>
      </c>
      <c r="D1416" t="inlineStr">
        <is>
          <t>VÄSTERNORRLANDS LÄN</t>
        </is>
      </c>
      <c r="E1416" t="inlineStr">
        <is>
          <t>SOLLEFTEÅ</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62357-2023</t>
        </is>
      </c>
      <c r="B1417" s="1" t="n">
        <v>45267.95109953704</v>
      </c>
      <c r="C1417" s="1" t="n">
        <v>45899</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20516-2024</t>
        </is>
      </c>
      <c r="B1418" s="1" t="n">
        <v>45435</v>
      </c>
      <c r="C1418" s="1" t="n">
        <v>45899</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4031-2025</t>
        </is>
      </c>
      <c r="B1419" s="1" t="n">
        <v>45684.5978125</v>
      </c>
      <c r="C1419" s="1" t="n">
        <v>45899</v>
      </c>
      <c r="D1419" t="inlineStr">
        <is>
          <t>VÄSTERNORRLANDS LÄN</t>
        </is>
      </c>
      <c r="E1419" t="inlineStr">
        <is>
          <t>SOLLEFTEÅ</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28749-2023</t>
        </is>
      </c>
      <c r="B1420" s="1" t="n">
        <v>45103</v>
      </c>
      <c r="C1420" s="1" t="n">
        <v>45899</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36927-2025</t>
        </is>
      </c>
      <c r="B1421" s="1" t="n">
        <v>45874.55273148148</v>
      </c>
      <c r="C1421" s="1" t="n">
        <v>45899</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30964-2025</t>
        </is>
      </c>
      <c r="B1422" s="1" t="n">
        <v>45832.45111111111</v>
      </c>
      <c r="C1422" s="1" t="n">
        <v>45899</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11057-2025</t>
        </is>
      </c>
      <c r="B1423" s="1" t="n">
        <v>45723.51069444444</v>
      </c>
      <c r="C1423" s="1" t="n">
        <v>45899</v>
      </c>
      <c r="D1423" t="inlineStr">
        <is>
          <t>VÄSTERNORRLANDS LÄN</t>
        </is>
      </c>
      <c r="E1423" t="inlineStr">
        <is>
          <t>SOLLEFTEÅ</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42514-2023</t>
        </is>
      </c>
      <c r="B1424" s="1" t="n">
        <v>45180.95969907408</v>
      </c>
      <c r="C1424" s="1" t="n">
        <v>45899</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15147-2024</t>
        </is>
      </c>
      <c r="B1425" s="1" t="n">
        <v>45399.94372685185</v>
      </c>
      <c r="C1425" s="1" t="n">
        <v>45899</v>
      </c>
      <c r="D1425" t="inlineStr">
        <is>
          <t>VÄSTERNORRLANDS LÄN</t>
        </is>
      </c>
      <c r="E1425" t="inlineStr">
        <is>
          <t>SOLLEFTEÅ</t>
        </is>
      </c>
      <c r="F1425" t="inlineStr">
        <is>
          <t>SCA</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31183-2025</t>
        </is>
      </c>
      <c r="B1426" s="1" t="n">
        <v>45832.67774305555</v>
      </c>
      <c r="C1426" s="1" t="n">
        <v>45899</v>
      </c>
      <c r="D1426" t="inlineStr">
        <is>
          <t>VÄSTERNORRLANDS LÄN</t>
        </is>
      </c>
      <c r="E1426" t="inlineStr">
        <is>
          <t>SOLLEFTEÅ</t>
        </is>
      </c>
      <c r="F1426" t="inlineStr">
        <is>
          <t>SCA</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41924-2023</t>
        </is>
      </c>
      <c r="B1427" s="1" t="n">
        <v>45176</v>
      </c>
      <c r="C1427" s="1" t="n">
        <v>45899</v>
      </c>
      <c r="D1427" t="inlineStr">
        <is>
          <t>VÄSTERNORRLANDS LÄN</t>
        </is>
      </c>
      <c r="E1427" t="inlineStr">
        <is>
          <t>SOLLEFTEÅ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37019-2025</t>
        </is>
      </c>
      <c r="B1428" s="1" t="n">
        <v>45874</v>
      </c>
      <c r="C1428" s="1" t="n">
        <v>45899</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15859-2024</t>
        </is>
      </c>
      <c r="B1429" s="1" t="n">
        <v>45404.99732638889</v>
      </c>
      <c r="C1429" s="1" t="n">
        <v>45899</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36968-2025</t>
        </is>
      </c>
      <c r="B1430" s="1" t="n">
        <v>45874.63667824074</v>
      </c>
      <c r="C1430" s="1" t="n">
        <v>45899</v>
      </c>
      <c r="D1430" t="inlineStr">
        <is>
          <t>VÄSTERNORRLANDS LÄN</t>
        </is>
      </c>
      <c r="E1430" t="inlineStr">
        <is>
          <t>SOLLEFTEÅ</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37018-2025</t>
        </is>
      </c>
      <c r="B1431" s="1" t="n">
        <v>45874</v>
      </c>
      <c r="C1431" s="1" t="n">
        <v>45899</v>
      </c>
      <c r="D1431" t="inlineStr">
        <is>
          <t>VÄSTERNORRLANDS LÄN</t>
        </is>
      </c>
      <c r="E1431" t="inlineStr">
        <is>
          <t>SOLLEFTEÅ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53831-2024</t>
        </is>
      </c>
      <c r="B1432" s="1" t="n">
        <v>45615.61575231481</v>
      </c>
      <c r="C1432" s="1" t="n">
        <v>45899</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36966-2025</t>
        </is>
      </c>
      <c r="B1433" s="1" t="n">
        <v>45874.63614583333</v>
      </c>
      <c r="C1433" s="1" t="n">
        <v>45899</v>
      </c>
      <c r="D1433" t="inlineStr">
        <is>
          <t>VÄSTERNORRLANDS LÄN</t>
        </is>
      </c>
      <c r="E1433" t="inlineStr">
        <is>
          <t>SOLLEFTEÅ</t>
        </is>
      </c>
      <c r="F1433" t="inlineStr">
        <is>
          <t>SCA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36967-2025</t>
        </is>
      </c>
      <c r="B1434" s="1" t="n">
        <v>45874.63642361111</v>
      </c>
      <c r="C1434" s="1" t="n">
        <v>45899</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45435-2024</t>
        </is>
      </c>
      <c r="B1435" s="1" t="n">
        <v>45576.61538194444</v>
      </c>
      <c r="C1435" s="1" t="n">
        <v>45899</v>
      </c>
      <c r="D1435" t="inlineStr">
        <is>
          <t>VÄSTERNORRLANDS LÄN</t>
        </is>
      </c>
      <c r="E1435" t="inlineStr">
        <is>
          <t>SOLLEFTEÅ</t>
        </is>
      </c>
      <c r="F1435" t="inlineStr">
        <is>
          <t>SCA</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30889-2025</t>
        </is>
      </c>
      <c r="B1436" s="1" t="n">
        <v>45832.34618055556</v>
      </c>
      <c r="C1436" s="1" t="n">
        <v>45899</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43585-2024</t>
        </is>
      </c>
      <c r="B1437" s="1" t="n">
        <v>45569.42770833334</v>
      </c>
      <c r="C1437" s="1" t="n">
        <v>45899</v>
      </c>
      <c r="D1437" t="inlineStr">
        <is>
          <t>VÄSTERNORRLANDS LÄN</t>
        </is>
      </c>
      <c r="E1437" t="inlineStr">
        <is>
          <t>SOLLEFTEÅ</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30750-2025</t>
        </is>
      </c>
      <c r="B1438" s="1" t="n">
        <v>45831.58900462963</v>
      </c>
      <c r="C1438" s="1" t="n">
        <v>45899</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30754-2025</t>
        </is>
      </c>
      <c r="B1439" s="1" t="n">
        <v>45831.59417824074</v>
      </c>
      <c r="C1439" s="1" t="n">
        <v>45899</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30774-2025</t>
        </is>
      </c>
      <c r="B1440" s="1" t="n">
        <v>45831.61501157407</v>
      </c>
      <c r="C1440" s="1" t="n">
        <v>45899</v>
      </c>
      <c r="D1440" t="inlineStr">
        <is>
          <t>VÄSTERNORRLANDS LÄN</t>
        </is>
      </c>
      <c r="E1440" t="inlineStr">
        <is>
          <t>SOLLEFTEÅ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52438-2024</t>
        </is>
      </c>
      <c r="B1441" s="1" t="n">
        <v>45609.48300925926</v>
      </c>
      <c r="C1441" s="1" t="n">
        <v>45899</v>
      </c>
      <c r="D1441" t="inlineStr">
        <is>
          <t>VÄSTERNORRLANDS LÄN</t>
        </is>
      </c>
      <c r="E1441" t="inlineStr">
        <is>
          <t>SOLLEFTEÅ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12311-2023</t>
        </is>
      </c>
      <c r="B1442" s="1" t="n">
        <v>44995</v>
      </c>
      <c r="C1442" s="1" t="n">
        <v>45899</v>
      </c>
      <c r="D1442" t="inlineStr">
        <is>
          <t>VÄSTERNORRLANDS LÄN</t>
        </is>
      </c>
      <c r="E1442" t="inlineStr">
        <is>
          <t>SOLLEFTEÅ</t>
        </is>
      </c>
      <c r="G1442" t="n">
        <v>16.8</v>
      </c>
      <c r="H1442" t="n">
        <v>0</v>
      </c>
      <c r="I1442" t="n">
        <v>0</v>
      </c>
      <c r="J1442" t="n">
        <v>0</v>
      </c>
      <c r="K1442" t="n">
        <v>0</v>
      </c>
      <c r="L1442" t="n">
        <v>0</v>
      </c>
      <c r="M1442" t="n">
        <v>0</v>
      </c>
      <c r="N1442" t="n">
        <v>0</v>
      </c>
      <c r="O1442" t="n">
        <v>0</v>
      </c>
      <c r="P1442" t="n">
        <v>0</v>
      </c>
      <c r="Q1442" t="n">
        <v>0</v>
      </c>
      <c r="R1442" s="2" t="inlineStr"/>
    </row>
    <row r="1443" ht="15" customHeight="1">
      <c r="A1443" t="inlineStr">
        <is>
          <t>A 12764-2022</t>
        </is>
      </c>
      <c r="B1443" s="1" t="n">
        <v>44641.93445601852</v>
      </c>
      <c r="C1443" s="1" t="n">
        <v>45899</v>
      </c>
      <c r="D1443" t="inlineStr">
        <is>
          <t>VÄSTERNORRLANDS LÄN</t>
        </is>
      </c>
      <c r="E1443" t="inlineStr">
        <is>
          <t>SOLLEFTEÅ</t>
        </is>
      </c>
      <c r="F1443" t="inlineStr">
        <is>
          <t>SCA</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36850-2025</t>
        </is>
      </c>
      <c r="B1444" s="1" t="n">
        <v>45874.39098379629</v>
      </c>
      <c r="C1444" s="1" t="n">
        <v>45899</v>
      </c>
      <c r="D1444" t="inlineStr">
        <is>
          <t>VÄSTERNORRLANDS LÄN</t>
        </is>
      </c>
      <c r="E1444" t="inlineStr">
        <is>
          <t>SOLLEFTEÅ</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18691-2025</t>
        </is>
      </c>
      <c r="B1445" s="1" t="n">
        <v>45763.61511574074</v>
      </c>
      <c r="C1445" s="1" t="n">
        <v>45899</v>
      </c>
      <c r="D1445" t="inlineStr">
        <is>
          <t>VÄSTERNORRLANDS LÄN</t>
        </is>
      </c>
      <c r="E1445" t="inlineStr">
        <is>
          <t>SOLLEFTEÅ</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50008-2024</t>
        </is>
      </c>
      <c r="B1446" s="1" t="n">
        <v>45598.57908564815</v>
      </c>
      <c r="C1446" s="1" t="n">
        <v>45899</v>
      </c>
      <c r="D1446" t="inlineStr">
        <is>
          <t>VÄSTERNORRLANDS LÄN</t>
        </is>
      </c>
      <c r="E1446" t="inlineStr">
        <is>
          <t>SOLLEFTEÅ</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37053-2025</t>
        </is>
      </c>
      <c r="B1447" s="1" t="n">
        <v>45875.36493055556</v>
      </c>
      <c r="C1447" s="1" t="n">
        <v>45899</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18951-2025</t>
        </is>
      </c>
      <c r="B1448" s="1" t="n">
        <v>45764.51086805556</v>
      </c>
      <c r="C1448" s="1" t="n">
        <v>45899</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17999-2022</t>
        </is>
      </c>
      <c r="B1449" s="1" t="n">
        <v>44683</v>
      </c>
      <c r="C1449" s="1" t="n">
        <v>45899</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37242-2025</t>
        </is>
      </c>
      <c r="B1450" s="1" t="n">
        <v>45876.38614583333</v>
      </c>
      <c r="C1450" s="1" t="n">
        <v>45899</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31396-2025</t>
        </is>
      </c>
      <c r="B1451" s="1" t="n">
        <v>45833.4658912037</v>
      </c>
      <c r="C1451" s="1" t="n">
        <v>45899</v>
      </c>
      <c r="D1451" t="inlineStr">
        <is>
          <t>VÄSTERNORRLANDS LÄN</t>
        </is>
      </c>
      <c r="E1451" t="inlineStr">
        <is>
          <t>SOLLEFTEÅ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36513-2023</t>
        </is>
      </c>
      <c r="B1452" s="1" t="n">
        <v>45152.9537037037</v>
      </c>
      <c r="C1452" s="1" t="n">
        <v>45899</v>
      </c>
      <c r="D1452" t="inlineStr">
        <is>
          <t>VÄSTERNORRLANDS LÄN</t>
        </is>
      </c>
      <c r="E1452" t="inlineStr">
        <is>
          <t>SOLLEFTEÅ</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27943-2022</t>
        </is>
      </c>
      <c r="B1453" s="1" t="n">
        <v>44743</v>
      </c>
      <c r="C1453" s="1" t="n">
        <v>45899</v>
      </c>
      <c r="D1453" t="inlineStr">
        <is>
          <t>VÄSTERNORRLANDS LÄN</t>
        </is>
      </c>
      <c r="E1453" t="inlineStr">
        <is>
          <t>SOLLEFTEÅ</t>
        </is>
      </c>
      <c r="F1453" t="inlineStr">
        <is>
          <t>SCA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31423-2025</t>
        </is>
      </c>
      <c r="B1454" s="1" t="n">
        <v>45833.48957175926</v>
      </c>
      <c r="C1454" s="1" t="n">
        <v>45899</v>
      </c>
      <c r="D1454" t="inlineStr">
        <is>
          <t>VÄSTERNORRLANDS LÄN</t>
        </is>
      </c>
      <c r="E1454" t="inlineStr">
        <is>
          <t>SOLLEFTEÅ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31435-2025</t>
        </is>
      </c>
      <c r="B1455" s="1" t="n">
        <v>45833.49708333334</v>
      </c>
      <c r="C1455" s="1" t="n">
        <v>45899</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15809-2022</t>
        </is>
      </c>
      <c r="B1456" s="1" t="n">
        <v>44663</v>
      </c>
      <c r="C1456" s="1" t="n">
        <v>45899</v>
      </c>
      <c r="D1456" t="inlineStr">
        <is>
          <t>VÄSTERNORRLANDS LÄN</t>
        </is>
      </c>
      <c r="E1456" t="inlineStr">
        <is>
          <t>SOLLEFTEÅ</t>
        </is>
      </c>
      <c r="F1456" t="inlineStr">
        <is>
          <t>SCA</t>
        </is>
      </c>
      <c r="G1456" t="n">
        <v>16.3</v>
      </c>
      <c r="H1456" t="n">
        <v>0</v>
      </c>
      <c r="I1456" t="n">
        <v>0</v>
      </c>
      <c r="J1456" t="n">
        <v>0</v>
      </c>
      <c r="K1456" t="n">
        <v>0</v>
      </c>
      <c r="L1456" t="n">
        <v>0</v>
      </c>
      <c r="M1456" t="n">
        <v>0</v>
      </c>
      <c r="N1456" t="n">
        <v>0</v>
      </c>
      <c r="O1456" t="n">
        <v>0</v>
      </c>
      <c r="P1456" t="n">
        <v>0</v>
      </c>
      <c r="Q1456" t="n">
        <v>0</v>
      </c>
      <c r="R1456" s="2" t="inlineStr"/>
    </row>
    <row r="1457" ht="15" customHeight="1">
      <c r="A1457" t="inlineStr">
        <is>
          <t>A 31345-2025</t>
        </is>
      </c>
      <c r="B1457" s="1" t="n">
        <v>45833.42854166667</v>
      </c>
      <c r="C1457" s="1" t="n">
        <v>45899</v>
      </c>
      <c r="D1457" t="inlineStr">
        <is>
          <t>VÄSTERNORRLANDS LÄN</t>
        </is>
      </c>
      <c r="E1457" t="inlineStr">
        <is>
          <t>SOLLEFTEÅ</t>
        </is>
      </c>
      <c r="F1457" t="inlineStr">
        <is>
          <t>SCA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31347-2025</t>
        </is>
      </c>
      <c r="B1458" s="1" t="n">
        <v>45833</v>
      </c>
      <c r="C1458" s="1" t="n">
        <v>45899</v>
      </c>
      <c r="D1458" t="inlineStr">
        <is>
          <t>VÄSTERNORRLANDS LÄN</t>
        </is>
      </c>
      <c r="E1458" t="inlineStr">
        <is>
          <t>SOLLEFTEÅ</t>
        </is>
      </c>
      <c r="F1458" t="inlineStr">
        <is>
          <t>SCA</t>
        </is>
      </c>
      <c r="G1458" t="n">
        <v>19.5</v>
      </c>
      <c r="H1458" t="n">
        <v>0</v>
      </c>
      <c r="I1458" t="n">
        <v>0</v>
      </c>
      <c r="J1458" t="n">
        <v>0</v>
      </c>
      <c r="K1458" t="n">
        <v>0</v>
      </c>
      <c r="L1458" t="n">
        <v>0</v>
      </c>
      <c r="M1458" t="n">
        <v>0</v>
      </c>
      <c r="N1458" t="n">
        <v>0</v>
      </c>
      <c r="O1458" t="n">
        <v>0</v>
      </c>
      <c r="P1458" t="n">
        <v>0</v>
      </c>
      <c r="Q1458" t="n">
        <v>0</v>
      </c>
      <c r="R1458" s="2" t="inlineStr"/>
    </row>
    <row r="1459" ht="15" customHeight="1">
      <c r="A1459" t="inlineStr">
        <is>
          <t>A 19053-2022</t>
        </is>
      </c>
      <c r="B1459" s="1" t="n">
        <v>44691.41626157407</v>
      </c>
      <c r="C1459" s="1" t="n">
        <v>45899</v>
      </c>
      <c r="D1459" t="inlineStr">
        <is>
          <t>VÄSTERNORRLANDS LÄN</t>
        </is>
      </c>
      <c r="E1459" t="inlineStr">
        <is>
          <t>SOLLEFTEÅ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32969-2022</t>
        </is>
      </c>
      <c r="B1460" s="1" t="n">
        <v>44784.9402662037</v>
      </c>
      <c r="C1460" s="1" t="n">
        <v>45899</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14448-2022</t>
        </is>
      </c>
      <c r="B1461" s="1" t="n">
        <v>44652</v>
      </c>
      <c r="C1461" s="1" t="n">
        <v>45899</v>
      </c>
      <c r="D1461" t="inlineStr">
        <is>
          <t>VÄSTERNORRLANDS LÄN</t>
        </is>
      </c>
      <c r="E1461" t="inlineStr">
        <is>
          <t>SOLLEFTEÅ</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36928-2025</t>
        </is>
      </c>
      <c r="B1462" s="1" t="n">
        <v>45874.55299768518</v>
      </c>
      <c r="C1462" s="1" t="n">
        <v>45899</v>
      </c>
      <c r="D1462" t="inlineStr">
        <is>
          <t>VÄSTERNORRLANDS LÄN</t>
        </is>
      </c>
      <c r="E1462" t="inlineStr">
        <is>
          <t>SOLLEFTEÅ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37065-2025</t>
        </is>
      </c>
      <c r="B1463" s="1" t="n">
        <v>45875.38619212963</v>
      </c>
      <c r="C1463" s="1" t="n">
        <v>45899</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37073-2025</t>
        </is>
      </c>
      <c r="B1464" s="1" t="n">
        <v>45875.40703703704</v>
      </c>
      <c r="C1464" s="1" t="n">
        <v>45899</v>
      </c>
      <c r="D1464" t="inlineStr">
        <is>
          <t>VÄSTERNORRLANDS LÄN</t>
        </is>
      </c>
      <c r="E1464" t="inlineStr">
        <is>
          <t>SOLLEFTEÅ</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31306-2025</t>
        </is>
      </c>
      <c r="B1465" s="1" t="n">
        <v>45833</v>
      </c>
      <c r="C1465" s="1" t="n">
        <v>45899</v>
      </c>
      <c r="D1465" t="inlineStr">
        <is>
          <t>VÄSTERNORRLANDS LÄN</t>
        </is>
      </c>
      <c r="E1465" t="inlineStr">
        <is>
          <t>SOLLEFTEÅ</t>
        </is>
      </c>
      <c r="F1465" t="inlineStr">
        <is>
          <t>SCA</t>
        </is>
      </c>
      <c r="G1465" t="n">
        <v>19.3</v>
      </c>
      <c r="H1465" t="n">
        <v>0</v>
      </c>
      <c r="I1465" t="n">
        <v>0</v>
      </c>
      <c r="J1465" t="n">
        <v>0</v>
      </c>
      <c r="K1465" t="n">
        <v>0</v>
      </c>
      <c r="L1465" t="n">
        <v>0</v>
      </c>
      <c r="M1465" t="n">
        <v>0</v>
      </c>
      <c r="N1465" t="n">
        <v>0</v>
      </c>
      <c r="O1465" t="n">
        <v>0</v>
      </c>
      <c r="P1465" t="n">
        <v>0</v>
      </c>
      <c r="Q1465" t="n">
        <v>0</v>
      </c>
      <c r="R1465" s="2" t="inlineStr"/>
    </row>
    <row r="1466" ht="15" customHeight="1">
      <c r="A1466" t="inlineStr">
        <is>
          <t>A 41041-2024</t>
        </is>
      </c>
      <c r="B1466" s="1" t="n">
        <v>45558</v>
      </c>
      <c r="C1466" s="1" t="n">
        <v>45899</v>
      </c>
      <c r="D1466" t="inlineStr">
        <is>
          <t>VÄSTERNORRLANDS LÄN</t>
        </is>
      </c>
      <c r="E1466" t="inlineStr">
        <is>
          <t>SOLLEFTEÅ</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41042-2024</t>
        </is>
      </c>
      <c r="B1467" s="1" t="n">
        <v>45559.36490740741</v>
      </c>
      <c r="C1467" s="1" t="n">
        <v>45899</v>
      </c>
      <c r="D1467" t="inlineStr">
        <is>
          <t>VÄSTERNORRLANDS LÄN</t>
        </is>
      </c>
      <c r="E1467" t="inlineStr">
        <is>
          <t>SOLLEFTEÅ</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39801-2024</t>
        </is>
      </c>
      <c r="B1468" s="1" t="n">
        <v>45553.34439814815</v>
      </c>
      <c r="C1468" s="1" t="n">
        <v>45899</v>
      </c>
      <c r="D1468" t="inlineStr">
        <is>
          <t>VÄSTERNORRLANDS LÄN</t>
        </is>
      </c>
      <c r="E1468" t="inlineStr">
        <is>
          <t>SOLLEFTEÅ</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31337-2025</t>
        </is>
      </c>
      <c r="B1469" s="1" t="n">
        <v>45833.42751157407</v>
      </c>
      <c r="C1469" s="1" t="n">
        <v>45899</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37304-2025</t>
        </is>
      </c>
      <c r="B1470" s="1" t="n">
        <v>45876.59458333333</v>
      </c>
      <c r="C1470" s="1" t="n">
        <v>45899</v>
      </c>
      <c r="D1470" t="inlineStr">
        <is>
          <t>VÄSTERNORRLANDS LÄN</t>
        </is>
      </c>
      <c r="E1470" t="inlineStr">
        <is>
          <t>SOLLEFTEÅ</t>
        </is>
      </c>
      <c r="F1470" t="inlineStr">
        <is>
          <t>SCA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4129-2025</t>
        </is>
      </c>
      <c r="B1471" s="1" t="n">
        <v>45685.34425925926</v>
      </c>
      <c r="C1471" s="1" t="n">
        <v>45899</v>
      </c>
      <c r="D1471" t="inlineStr">
        <is>
          <t>VÄSTERNORRLANDS LÄN</t>
        </is>
      </c>
      <c r="E1471" t="inlineStr">
        <is>
          <t>SOLLEFTEÅ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4133-2025</t>
        </is>
      </c>
      <c r="B1472" s="1" t="n">
        <v>45685.34559027778</v>
      </c>
      <c r="C1472" s="1" t="n">
        <v>45899</v>
      </c>
      <c r="D1472" t="inlineStr">
        <is>
          <t>VÄSTERNORRLANDS LÄN</t>
        </is>
      </c>
      <c r="E1472" t="inlineStr">
        <is>
          <t>SOLLEFTEÅ</t>
        </is>
      </c>
      <c r="F1472" t="inlineStr">
        <is>
          <t>SCA</t>
        </is>
      </c>
      <c r="G1472" t="n">
        <v>37.2</v>
      </c>
      <c r="H1472" t="n">
        <v>0</v>
      </c>
      <c r="I1472" t="n">
        <v>0</v>
      </c>
      <c r="J1472" t="n">
        <v>0</v>
      </c>
      <c r="K1472" t="n">
        <v>0</v>
      </c>
      <c r="L1472" t="n">
        <v>0</v>
      </c>
      <c r="M1472" t="n">
        <v>0</v>
      </c>
      <c r="N1472" t="n">
        <v>0</v>
      </c>
      <c r="O1472" t="n">
        <v>0</v>
      </c>
      <c r="P1472" t="n">
        <v>0</v>
      </c>
      <c r="Q1472" t="n">
        <v>0</v>
      </c>
      <c r="R1472" s="2" t="inlineStr"/>
    </row>
    <row r="1473" ht="15" customHeight="1">
      <c r="A1473" t="inlineStr">
        <is>
          <t>A 31479-2025</t>
        </is>
      </c>
      <c r="B1473" s="1" t="n">
        <v>45833.57333333333</v>
      </c>
      <c r="C1473" s="1" t="n">
        <v>45899</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29956-2023</t>
        </is>
      </c>
      <c r="B1474" s="1" t="n">
        <v>45107</v>
      </c>
      <c r="C1474" s="1" t="n">
        <v>45899</v>
      </c>
      <c r="D1474" t="inlineStr">
        <is>
          <t>VÄSTERNORRLANDS LÄN</t>
        </is>
      </c>
      <c r="E1474" t="inlineStr">
        <is>
          <t>SOLLEFTEÅ</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39799-2024</t>
        </is>
      </c>
      <c r="B1475" s="1" t="n">
        <v>45553.34415509259</v>
      </c>
      <c r="C1475" s="1" t="n">
        <v>45899</v>
      </c>
      <c r="D1475" t="inlineStr">
        <is>
          <t>VÄSTERNORRLANDS LÄN</t>
        </is>
      </c>
      <c r="E1475" t="inlineStr">
        <is>
          <t>SOLLEFTEÅ</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23282-2022</t>
        </is>
      </c>
      <c r="B1476" s="1" t="n">
        <v>44720</v>
      </c>
      <c r="C1476" s="1" t="n">
        <v>45899</v>
      </c>
      <c r="D1476" t="inlineStr">
        <is>
          <t>VÄSTERNORRLANDS LÄN</t>
        </is>
      </c>
      <c r="E1476" t="inlineStr">
        <is>
          <t>SOLLEFTEÅ</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16492-2025</t>
        </is>
      </c>
      <c r="B1477" s="1" t="n">
        <v>45751.59414351852</v>
      </c>
      <c r="C1477" s="1" t="n">
        <v>45899</v>
      </c>
      <c r="D1477" t="inlineStr">
        <is>
          <t>VÄSTERNORRLANDS LÄN</t>
        </is>
      </c>
      <c r="E1477" t="inlineStr">
        <is>
          <t>SOLLEFTEÅ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42115-2024</t>
        </is>
      </c>
      <c r="B1478" s="1" t="n">
        <v>45562.38615740741</v>
      </c>
      <c r="C1478" s="1" t="n">
        <v>45899</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2408-2023</t>
        </is>
      </c>
      <c r="B1479" s="1" t="n">
        <v>44942</v>
      </c>
      <c r="C1479" s="1" t="n">
        <v>45899</v>
      </c>
      <c r="D1479" t="inlineStr">
        <is>
          <t>VÄSTERNORRLANDS LÄN</t>
        </is>
      </c>
      <c r="E1479" t="inlineStr">
        <is>
          <t>SOLLEFTEÅ</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5862-2025</t>
        </is>
      </c>
      <c r="B1480" s="1" t="n">
        <v>45695.35061342592</v>
      </c>
      <c r="C1480" s="1" t="n">
        <v>45899</v>
      </c>
      <c r="D1480" t="inlineStr">
        <is>
          <t>VÄSTERNORRLANDS LÄN</t>
        </is>
      </c>
      <c r="E1480" t="inlineStr">
        <is>
          <t>SOLLEFTEÅ</t>
        </is>
      </c>
      <c r="F1480" t="inlineStr">
        <is>
          <t>Holmen skog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18188-2022</t>
        </is>
      </c>
      <c r="B1481" s="1" t="n">
        <v>44684.94004629629</v>
      </c>
      <c r="C1481" s="1" t="n">
        <v>45899</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20205-2025</t>
        </is>
      </c>
      <c r="B1482" s="1" t="n">
        <v>45772.61548611111</v>
      </c>
      <c r="C1482" s="1" t="n">
        <v>45899</v>
      </c>
      <c r="D1482" t="inlineStr">
        <is>
          <t>VÄSTERNORRLANDS LÄN</t>
        </is>
      </c>
      <c r="E1482" t="inlineStr">
        <is>
          <t>SOLLEFTEÅ</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58427-2023</t>
        </is>
      </c>
      <c r="B1483" s="1" t="n">
        <v>45250</v>
      </c>
      <c r="C1483" s="1" t="n">
        <v>45899</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37325-2025</t>
        </is>
      </c>
      <c r="B1484" s="1" t="n">
        <v>45876.63581018519</v>
      </c>
      <c r="C1484" s="1" t="n">
        <v>45899</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18949-2025</t>
        </is>
      </c>
      <c r="B1485" s="1" t="n">
        <v>45764</v>
      </c>
      <c r="C1485" s="1" t="n">
        <v>45899</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25356-2024</t>
        </is>
      </c>
      <c r="B1486" s="1" t="n">
        <v>45462.9565162037</v>
      </c>
      <c r="C1486" s="1" t="n">
        <v>45899</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16308-2025</t>
        </is>
      </c>
      <c r="B1487" s="1" t="n">
        <v>45751.34700231482</v>
      </c>
      <c r="C1487" s="1" t="n">
        <v>45899</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31451-2025</t>
        </is>
      </c>
      <c r="B1488" s="1" t="n">
        <v>45833.53167824074</v>
      </c>
      <c r="C1488" s="1" t="n">
        <v>45899</v>
      </c>
      <c r="D1488" t="inlineStr">
        <is>
          <t>VÄSTERNORRLANDS LÄN</t>
        </is>
      </c>
      <c r="E1488" t="inlineStr">
        <is>
          <t>SOLLEFTEÅ</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31304-2025</t>
        </is>
      </c>
      <c r="B1489" s="1" t="n">
        <v>45833.38600694444</v>
      </c>
      <c r="C1489" s="1" t="n">
        <v>45899</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31338-2025</t>
        </is>
      </c>
      <c r="B1490" s="1" t="n">
        <v>45833.42768518518</v>
      </c>
      <c r="C1490" s="1" t="n">
        <v>45899</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37084-2025</t>
        </is>
      </c>
      <c r="B1491" s="1" t="n">
        <v>45875.44826388889</v>
      </c>
      <c r="C1491" s="1" t="n">
        <v>45899</v>
      </c>
      <c r="D1491" t="inlineStr">
        <is>
          <t>VÄSTERNORRLANDS LÄN</t>
        </is>
      </c>
      <c r="E1491" t="inlineStr">
        <is>
          <t>SOLLEFTEÅ</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31395-2025</t>
        </is>
      </c>
      <c r="B1492" s="1" t="n">
        <v>45833.46438657407</v>
      </c>
      <c r="C1492" s="1" t="n">
        <v>45899</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31432-2025</t>
        </is>
      </c>
      <c r="B1493" s="1" t="n">
        <v>45833.49442129629</v>
      </c>
      <c r="C1493" s="1" t="n">
        <v>45899</v>
      </c>
      <c r="D1493" t="inlineStr">
        <is>
          <t>VÄSTERNORRLANDS LÄN</t>
        </is>
      </c>
      <c r="E1493" t="inlineStr">
        <is>
          <t>SOLLEFTEÅ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14055-2022</t>
        </is>
      </c>
      <c r="B1494" s="1" t="n">
        <v>44650.93824074074</v>
      </c>
      <c r="C1494" s="1" t="n">
        <v>45899</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945-2025</t>
        </is>
      </c>
      <c r="B1495" s="1" t="n">
        <v>45666.34412037037</v>
      </c>
      <c r="C1495" s="1" t="n">
        <v>45899</v>
      </c>
      <c r="D1495" t="inlineStr">
        <is>
          <t>VÄSTERNORRLANDS LÄN</t>
        </is>
      </c>
      <c r="E1495" t="inlineStr">
        <is>
          <t>SOLLEFTEÅ</t>
        </is>
      </c>
      <c r="F1495" t="inlineStr">
        <is>
          <t>SCA</t>
        </is>
      </c>
      <c r="G1495" t="n">
        <v>36.6</v>
      </c>
      <c r="H1495" t="n">
        <v>0</v>
      </c>
      <c r="I1495" t="n">
        <v>0</v>
      </c>
      <c r="J1495" t="n">
        <v>0</v>
      </c>
      <c r="K1495" t="n">
        <v>0</v>
      </c>
      <c r="L1495" t="n">
        <v>0</v>
      </c>
      <c r="M1495" t="n">
        <v>0</v>
      </c>
      <c r="N1495" t="n">
        <v>0</v>
      </c>
      <c r="O1495" t="n">
        <v>0</v>
      </c>
      <c r="P1495" t="n">
        <v>0</v>
      </c>
      <c r="Q1495" t="n">
        <v>0</v>
      </c>
      <c r="R1495" s="2" t="inlineStr"/>
    </row>
    <row r="1496" ht="15" customHeight="1">
      <c r="A1496" t="inlineStr">
        <is>
          <t>A 59317-2024</t>
        </is>
      </c>
      <c r="B1496" s="1" t="n">
        <v>45637.69873842593</v>
      </c>
      <c r="C1496" s="1" t="n">
        <v>45899</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1880-2024</t>
        </is>
      </c>
      <c r="B1497" s="1" t="n">
        <v>45307</v>
      </c>
      <c r="C1497" s="1" t="n">
        <v>45899</v>
      </c>
      <c r="D1497" t="inlineStr">
        <is>
          <t>VÄSTERNORRLANDS LÄN</t>
        </is>
      </c>
      <c r="E1497" t="inlineStr">
        <is>
          <t>SOLLEFTEÅ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13257-2025</t>
        </is>
      </c>
      <c r="B1498" s="1" t="n">
        <v>45735.51075231482</v>
      </c>
      <c r="C1498" s="1" t="n">
        <v>45899</v>
      </c>
      <c r="D1498" t="inlineStr">
        <is>
          <t>VÄSTERNORRLANDS LÄN</t>
        </is>
      </c>
      <c r="E1498" t="inlineStr">
        <is>
          <t>SOLLEFTEÅ</t>
        </is>
      </c>
      <c r="F1498" t="inlineStr">
        <is>
          <t>SCA</t>
        </is>
      </c>
      <c r="G1498" t="n">
        <v>15.3</v>
      </c>
      <c r="H1498" t="n">
        <v>0</v>
      </c>
      <c r="I1498" t="n">
        <v>0</v>
      </c>
      <c r="J1498" t="n">
        <v>0</v>
      </c>
      <c r="K1498" t="n">
        <v>0</v>
      </c>
      <c r="L1498" t="n">
        <v>0</v>
      </c>
      <c r="M1498" t="n">
        <v>0</v>
      </c>
      <c r="N1498" t="n">
        <v>0</v>
      </c>
      <c r="O1498" t="n">
        <v>0</v>
      </c>
      <c r="P1498" t="n">
        <v>0</v>
      </c>
      <c r="Q1498" t="n">
        <v>0</v>
      </c>
      <c r="R1498" s="2" t="inlineStr"/>
    </row>
    <row r="1499" ht="15" customHeight="1">
      <c r="A1499" t="inlineStr">
        <is>
          <t>A 7234-2024</t>
        </is>
      </c>
      <c r="B1499" s="1" t="n">
        <v>45344.65627314815</v>
      </c>
      <c r="C1499" s="1" t="n">
        <v>45899</v>
      </c>
      <c r="D1499" t="inlineStr">
        <is>
          <t>VÄSTERNORRLANDS LÄN</t>
        </is>
      </c>
      <c r="E1499" t="inlineStr">
        <is>
          <t>SOLLEFTEÅ</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17512-2024</t>
        </is>
      </c>
      <c r="B1500" s="1" t="n">
        <v>45415</v>
      </c>
      <c r="C1500" s="1" t="n">
        <v>45899</v>
      </c>
      <c r="D1500" t="inlineStr">
        <is>
          <t>VÄSTERNORRLANDS LÄN</t>
        </is>
      </c>
      <c r="E1500" t="inlineStr">
        <is>
          <t>SOLLEFTEÅ</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51693-2024</t>
        </is>
      </c>
      <c r="B1501" s="1" t="n">
        <v>45607.34570601852</v>
      </c>
      <c r="C1501" s="1" t="n">
        <v>45899</v>
      </c>
      <c r="D1501" t="inlineStr">
        <is>
          <t>VÄSTERNORRLANDS LÄN</t>
        </is>
      </c>
      <c r="E1501" t="inlineStr">
        <is>
          <t>SOLLEFTEÅ</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20204-2025</t>
        </is>
      </c>
      <c r="B1502" s="1" t="n">
        <v>45772.61537037037</v>
      </c>
      <c r="C1502" s="1" t="n">
        <v>45899</v>
      </c>
      <c r="D1502" t="inlineStr">
        <is>
          <t>VÄSTERNORRLANDS LÄN</t>
        </is>
      </c>
      <c r="E1502" t="inlineStr">
        <is>
          <t>SOLLEFTEÅ</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23025-2025</t>
        </is>
      </c>
      <c r="B1503" s="1" t="n">
        <v>45790.65662037037</v>
      </c>
      <c r="C1503" s="1" t="n">
        <v>45899</v>
      </c>
      <c r="D1503" t="inlineStr">
        <is>
          <t>VÄSTERNORRLANDS LÄN</t>
        </is>
      </c>
      <c r="E1503" t="inlineStr">
        <is>
          <t>SOLLEFTEÅ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26407-2022</t>
        </is>
      </c>
      <c r="B1504" s="1" t="n">
        <v>44735</v>
      </c>
      <c r="C1504" s="1" t="n">
        <v>45899</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31559-2024</t>
        </is>
      </c>
      <c r="B1505" s="1" t="n">
        <v>45505.96555555556</v>
      </c>
      <c r="C1505" s="1" t="n">
        <v>45899</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4894-2025</t>
        </is>
      </c>
      <c r="B1506" s="1" t="n">
        <v>45688.67888888889</v>
      </c>
      <c r="C1506" s="1" t="n">
        <v>45899</v>
      </c>
      <c r="D1506" t="inlineStr">
        <is>
          <t>VÄSTERNORRLANDS LÄN</t>
        </is>
      </c>
      <c r="E1506" t="inlineStr">
        <is>
          <t>SOLLEFTEÅ</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8099-2025</t>
        </is>
      </c>
      <c r="B1507" s="1" t="n">
        <v>45707.69086805556</v>
      </c>
      <c r="C1507" s="1" t="n">
        <v>45899</v>
      </c>
      <c r="D1507" t="inlineStr">
        <is>
          <t>VÄSTERNORRLANDS LÄN</t>
        </is>
      </c>
      <c r="E1507" t="inlineStr">
        <is>
          <t>SOLLEFTEÅ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37278-2025</t>
        </is>
      </c>
      <c r="B1508" s="1" t="n">
        <v>45876.490625</v>
      </c>
      <c r="C1508" s="1" t="n">
        <v>45899</v>
      </c>
      <c r="D1508" t="inlineStr">
        <is>
          <t>VÄSTERNORRLANDS LÄN</t>
        </is>
      </c>
      <c r="E1508" t="inlineStr">
        <is>
          <t>SOLLEFTEÅ</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4931-2025</t>
        </is>
      </c>
      <c r="B1509" s="1" t="n">
        <v>45688.68476851852</v>
      </c>
      <c r="C1509" s="1" t="n">
        <v>45899</v>
      </c>
      <c r="D1509" t="inlineStr">
        <is>
          <t>VÄSTERNORRLANDS LÄN</t>
        </is>
      </c>
      <c r="E1509" t="inlineStr">
        <is>
          <t>SOLLEFTEÅ</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31428-2025</t>
        </is>
      </c>
      <c r="B1510" s="1" t="n">
        <v>45833.4930787037</v>
      </c>
      <c r="C1510" s="1" t="n">
        <v>45899</v>
      </c>
      <c r="D1510" t="inlineStr">
        <is>
          <t>VÄSTERNORRLANDS LÄN</t>
        </is>
      </c>
      <c r="E1510" t="inlineStr">
        <is>
          <t>SOLLEFTEÅ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31437-2025</t>
        </is>
      </c>
      <c r="B1511" s="1" t="n">
        <v>45833.49855324074</v>
      </c>
      <c r="C1511" s="1" t="n">
        <v>45899</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31545-2025</t>
        </is>
      </c>
      <c r="B1512" s="1" t="n">
        <v>45833.63615740741</v>
      </c>
      <c r="C1512" s="1" t="n">
        <v>45899</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31665-2025</t>
        </is>
      </c>
      <c r="B1513" s="1" t="n">
        <v>45834.36497685185</v>
      </c>
      <c r="C1513" s="1" t="n">
        <v>45899</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31801-2025</t>
        </is>
      </c>
      <c r="B1514" s="1" t="n">
        <v>45834.55290509259</v>
      </c>
      <c r="C1514" s="1" t="n">
        <v>45899</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32069-2025</t>
        </is>
      </c>
      <c r="B1515" s="1" t="n">
        <v>45835.4487037037</v>
      </c>
      <c r="C1515" s="1" t="n">
        <v>45899</v>
      </c>
      <c r="D1515" t="inlineStr">
        <is>
          <t>VÄSTERNORRLANDS LÄN</t>
        </is>
      </c>
      <c r="E1515" t="inlineStr">
        <is>
          <t>SOLLEFTEÅ</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14718-2023</t>
        </is>
      </c>
      <c r="B1516" s="1" t="n">
        <v>45012</v>
      </c>
      <c r="C1516" s="1" t="n">
        <v>45899</v>
      </c>
      <c r="D1516" t="inlineStr">
        <is>
          <t>VÄSTERNORRLANDS LÄN</t>
        </is>
      </c>
      <c r="E1516" t="inlineStr">
        <is>
          <t>SOLLEFTEÅ</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32448-2025</t>
        </is>
      </c>
      <c r="B1517" s="1" t="n">
        <v>45838.38645833333</v>
      </c>
      <c r="C1517" s="1" t="n">
        <v>45899</v>
      </c>
      <c r="D1517" t="inlineStr">
        <is>
          <t>VÄSTERNORRLANDS LÄN</t>
        </is>
      </c>
      <c r="E1517" t="inlineStr">
        <is>
          <t>SOLLEFTEÅ</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32291-2025</t>
        </is>
      </c>
      <c r="B1518" s="1" t="n">
        <v>45835.69961805556</v>
      </c>
      <c r="C1518" s="1" t="n">
        <v>45899</v>
      </c>
      <c r="D1518" t="inlineStr">
        <is>
          <t>VÄSTERNORRLANDS LÄN</t>
        </is>
      </c>
      <c r="E1518" t="inlineStr">
        <is>
          <t>SOLLEFTEÅ</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28580-2024</t>
        </is>
      </c>
      <c r="B1519" s="1" t="n">
        <v>45478</v>
      </c>
      <c r="C1519" s="1" t="n">
        <v>45899</v>
      </c>
      <c r="D1519" t="inlineStr">
        <is>
          <t>VÄSTERNORRLANDS LÄN</t>
        </is>
      </c>
      <c r="E1519" t="inlineStr">
        <is>
          <t>SOLLEFTEÅ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32271-2025</t>
        </is>
      </c>
      <c r="B1520" s="1" t="n">
        <v>45835.65662037037</v>
      </c>
      <c r="C1520" s="1" t="n">
        <v>45899</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28510-2025</t>
        </is>
      </c>
      <c r="B1521" s="1" t="n">
        <v>45819</v>
      </c>
      <c r="C1521" s="1" t="n">
        <v>45899</v>
      </c>
      <c r="D1521" t="inlineStr">
        <is>
          <t>VÄSTERNORRLANDS LÄN</t>
        </is>
      </c>
      <c r="E1521" t="inlineStr">
        <is>
          <t>SOLLEFTEÅ</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21191-2022</t>
        </is>
      </c>
      <c r="B1522" s="1" t="n">
        <v>44704.94193287037</v>
      </c>
      <c r="C1522" s="1" t="n">
        <v>45899</v>
      </c>
      <c r="D1522" t="inlineStr">
        <is>
          <t>VÄSTERNORRLANDS LÄN</t>
        </is>
      </c>
      <c r="E1522" t="inlineStr">
        <is>
          <t>SOLLEFTEÅ</t>
        </is>
      </c>
      <c r="F1522" t="inlineStr">
        <is>
          <t>SCA</t>
        </is>
      </c>
      <c r="G1522" t="n">
        <v>26.5</v>
      </c>
      <c r="H1522" t="n">
        <v>0</v>
      </c>
      <c r="I1522" t="n">
        <v>0</v>
      </c>
      <c r="J1522" t="n">
        <v>0</v>
      </c>
      <c r="K1522" t="n">
        <v>0</v>
      </c>
      <c r="L1522" t="n">
        <v>0</v>
      </c>
      <c r="M1522" t="n">
        <v>0</v>
      </c>
      <c r="N1522" t="n">
        <v>0</v>
      </c>
      <c r="O1522" t="n">
        <v>0</v>
      </c>
      <c r="P1522" t="n">
        <v>0</v>
      </c>
      <c r="Q1522" t="n">
        <v>0</v>
      </c>
      <c r="R1522" s="2" t="inlineStr"/>
    </row>
    <row r="1523" ht="15" customHeight="1">
      <c r="A1523" t="inlineStr">
        <is>
          <t>A 42664-2022</t>
        </is>
      </c>
      <c r="B1523" s="1" t="n">
        <v>44831</v>
      </c>
      <c r="C1523" s="1" t="n">
        <v>45899</v>
      </c>
      <c r="D1523" t="inlineStr">
        <is>
          <t>VÄSTERNORRLANDS LÄN</t>
        </is>
      </c>
      <c r="E1523" t="inlineStr">
        <is>
          <t>SOLLEFTEÅ</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16632-2025</t>
        </is>
      </c>
      <c r="B1524" s="1" t="n">
        <v>45754.36490740741</v>
      </c>
      <c r="C1524" s="1" t="n">
        <v>45899</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31963-2025</t>
        </is>
      </c>
      <c r="B1525" s="1" t="n">
        <v>45835.34480324074</v>
      </c>
      <c r="C1525" s="1" t="n">
        <v>45899</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37581-2025</t>
        </is>
      </c>
      <c r="B1526" s="1" t="n">
        <v>45880.38623842593</v>
      </c>
      <c r="C1526" s="1" t="n">
        <v>45899</v>
      </c>
      <c r="D1526" t="inlineStr">
        <is>
          <t>VÄSTERNORRLANDS LÄN</t>
        </is>
      </c>
      <c r="E1526" t="inlineStr">
        <is>
          <t>SOLLEFTEÅ</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23030-2021</t>
        </is>
      </c>
      <c r="B1527" s="1" t="n">
        <v>44328.94091435185</v>
      </c>
      <c r="C1527" s="1" t="n">
        <v>45899</v>
      </c>
      <c r="D1527" t="inlineStr">
        <is>
          <t>VÄSTERNORRLANDS LÄN</t>
        </is>
      </c>
      <c r="E1527" t="inlineStr">
        <is>
          <t>SOLLEFTEÅ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35019-2022</t>
        </is>
      </c>
      <c r="B1528" s="1" t="n">
        <v>44796.94684027778</v>
      </c>
      <c r="C1528" s="1" t="n">
        <v>45899</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55710-2024</t>
        </is>
      </c>
      <c r="B1529" s="1" t="n">
        <v>45622.6985300926</v>
      </c>
      <c r="C1529" s="1" t="n">
        <v>45899</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53452-2023</t>
        </is>
      </c>
      <c r="B1530" s="1" t="n">
        <v>45229</v>
      </c>
      <c r="C1530" s="1" t="n">
        <v>45899</v>
      </c>
      <c r="D1530" t="inlineStr">
        <is>
          <t>VÄSTERNORRLANDS LÄN</t>
        </is>
      </c>
      <c r="E1530" t="inlineStr">
        <is>
          <t>SOLLEFTEÅ</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53453-2023</t>
        </is>
      </c>
      <c r="B1531" s="1" t="n">
        <v>45229.96586805556</v>
      </c>
      <c r="C1531" s="1" t="n">
        <v>45899</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32338-2025</t>
        </is>
      </c>
      <c r="B1532" s="1" t="n">
        <v>45836.67751157407</v>
      </c>
      <c r="C1532" s="1" t="n">
        <v>45899</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32026-2025</t>
        </is>
      </c>
      <c r="B1533" s="1" t="n">
        <v>45835.40738425926</v>
      </c>
      <c r="C1533" s="1" t="n">
        <v>45899</v>
      </c>
      <c r="D1533" t="inlineStr">
        <is>
          <t>VÄSTERNORRLANDS LÄN</t>
        </is>
      </c>
      <c r="E1533" t="inlineStr">
        <is>
          <t>SOLLEFTEÅ</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16709-2024</t>
        </is>
      </c>
      <c r="B1534" s="1" t="n">
        <v>45409.07737268518</v>
      </c>
      <c r="C1534" s="1" t="n">
        <v>45899</v>
      </c>
      <c r="D1534" t="inlineStr">
        <is>
          <t>VÄSTERNORRLANDS LÄN</t>
        </is>
      </c>
      <c r="E1534" t="inlineStr">
        <is>
          <t>SOLLEFTEÅ</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54618-2023</t>
        </is>
      </c>
      <c r="B1535" s="1" t="n">
        <v>45233</v>
      </c>
      <c r="C1535" s="1" t="n">
        <v>45899</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10437-2025</t>
        </is>
      </c>
      <c r="B1536" s="1" t="n">
        <v>45720.67740740741</v>
      </c>
      <c r="C1536" s="1" t="n">
        <v>45899</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55726-2024</t>
        </is>
      </c>
      <c r="B1537" s="1" t="n">
        <v>45622.84653935185</v>
      </c>
      <c r="C1537" s="1" t="n">
        <v>45899</v>
      </c>
      <c r="D1537" t="inlineStr">
        <is>
          <t>VÄSTERNORRLANDS LÄN</t>
        </is>
      </c>
      <c r="E1537" t="inlineStr">
        <is>
          <t>SOLLEFTEÅ</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55756-2024</t>
        </is>
      </c>
      <c r="B1538" s="1" t="n">
        <v>45623</v>
      </c>
      <c r="C1538" s="1" t="n">
        <v>45899</v>
      </c>
      <c r="D1538" t="inlineStr">
        <is>
          <t>VÄSTERNORRLANDS LÄN</t>
        </is>
      </c>
      <c r="E1538" t="inlineStr">
        <is>
          <t>SOLLEFTEÅ</t>
        </is>
      </c>
      <c r="F1538" t="inlineStr">
        <is>
          <t>Holmen skog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55769-2024</t>
        </is>
      </c>
      <c r="B1539" s="1" t="n">
        <v>45623.38574074074</v>
      </c>
      <c r="C1539" s="1" t="n">
        <v>45899</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32139-2025</t>
        </is>
      </c>
      <c r="B1540" s="1" t="n">
        <v>45835</v>
      </c>
      <c r="C1540" s="1" t="n">
        <v>45899</v>
      </c>
      <c r="D1540" t="inlineStr">
        <is>
          <t>VÄSTERNORRLANDS LÄN</t>
        </is>
      </c>
      <c r="E1540" t="inlineStr">
        <is>
          <t>SOLLEFTEÅ</t>
        </is>
      </c>
      <c r="G1540" t="n">
        <v>17.8</v>
      </c>
      <c r="H1540" t="n">
        <v>0</v>
      </c>
      <c r="I1540" t="n">
        <v>0</v>
      </c>
      <c r="J1540" t="n">
        <v>0</v>
      </c>
      <c r="K1540" t="n">
        <v>0</v>
      </c>
      <c r="L1540" t="n">
        <v>0</v>
      </c>
      <c r="M1540" t="n">
        <v>0</v>
      </c>
      <c r="N1540" t="n">
        <v>0</v>
      </c>
      <c r="O1540" t="n">
        <v>0</v>
      </c>
      <c r="P1540" t="n">
        <v>0</v>
      </c>
      <c r="Q1540" t="n">
        <v>0</v>
      </c>
      <c r="R1540" s="2" t="inlineStr"/>
    </row>
    <row r="1541" ht="15" customHeight="1">
      <c r="A1541" t="inlineStr">
        <is>
          <t>A 56204-2024</t>
        </is>
      </c>
      <c r="B1541" s="1" t="n">
        <v>45624</v>
      </c>
      <c r="C1541" s="1" t="n">
        <v>45899</v>
      </c>
      <c r="D1541" t="inlineStr">
        <is>
          <t>VÄSTERNORRLANDS LÄN</t>
        </is>
      </c>
      <c r="E1541" t="inlineStr">
        <is>
          <t>SOLLEFTEÅ</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32537-2025</t>
        </is>
      </c>
      <c r="B1542" s="1" t="n">
        <v>45838.49689814815</v>
      </c>
      <c r="C1542" s="1" t="n">
        <v>45899</v>
      </c>
      <c r="D1542" t="inlineStr">
        <is>
          <t>VÄSTERNORRLANDS LÄN</t>
        </is>
      </c>
      <c r="E1542" t="inlineStr">
        <is>
          <t>SOLLEFTEÅ</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32029-2025</t>
        </is>
      </c>
      <c r="B1543" s="1" t="n">
        <v>45835.40788194445</v>
      </c>
      <c r="C1543" s="1" t="n">
        <v>45899</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32112-2025</t>
        </is>
      </c>
      <c r="B1544" s="1" t="n">
        <v>45835.48392361111</v>
      </c>
      <c r="C1544" s="1" t="n">
        <v>45899</v>
      </c>
      <c r="D1544" t="inlineStr">
        <is>
          <t>VÄSTERNORRLANDS LÄN</t>
        </is>
      </c>
      <c r="E1544" t="inlineStr">
        <is>
          <t>SOLLEFTEÅ</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57107-2024</t>
        </is>
      </c>
      <c r="B1545" s="1" t="n">
        <v>45629</v>
      </c>
      <c r="C1545" s="1" t="n">
        <v>45899</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60360-2024</t>
        </is>
      </c>
      <c r="B1546" s="1" t="n">
        <v>45643.44837962963</v>
      </c>
      <c r="C1546" s="1" t="n">
        <v>45899</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27593-2022</t>
        </is>
      </c>
      <c r="B1547" s="1" t="n">
        <v>44742</v>
      </c>
      <c r="C1547" s="1" t="n">
        <v>45899</v>
      </c>
      <c r="D1547" t="inlineStr">
        <is>
          <t>VÄSTERNORRLANDS LÄN</t>
        </is>
      </c>
      <c r="E1547" t="inlineStr">
        <is>
          <t>SOLLEFTEÅ</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5519-2023</t>
        </is>
      </c>
      <c r="B1548" s="1" t="n">
        <v>44960.42409722223</v>
      </c>
      <c r="C1548" s="1" t="n">
        <v>45899</v>
      </c>
      <c r="D1548" t="inlineStr">
        <is>
          <t>VÄSTERNORRLANDS LÄN</t>
        </is>
      </c>
      <c r="E1548" t="inlineStr">
        <is>
          <t>SOLLEFTEÅ</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32073-2025</t>
        </is>
      </c>
      <c r="B1549" s="1" t="n">
        <v>45835.44931712963</v>
      </c>
      <c r="C1549" s="1" t="n">
        <v>45899</v>
      </c>
      <c r="D1549" t="inlineStr">
        <is>
          <t>VÄSTERNORRLANDS LÄN</t>
        </is>
      </c>
      <c r="E1549" t="inlineStr">
        <is>
          <t>SOLLEFTEÅ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32346-2025</t>
        </is>
      </c>
      <c r="B1550" s="1" t="n">
        <v>45837.44827546296</v>
      </c>
      <c r="C1550" s="1" t="n">
        <v>45899</v>
      </c>
      <c r="D1550" t="inlineStr">
        <is>
          <t>VÄSTERNORRLANDS LÄN</t>
        </is>
      </c>
      <c r="E1550" t="inlineStr">
        <is>
          <t>SOLLEFTEÅ</t>
        </is>
      </c>
      <c r="F1550" t="inlineStr">
        <is>
          <t>SCA</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55824-2024</t>
        </is>
      </c>
      <c r="B1551" s="1" t="n">
        <v>45623.47813657407</v>
      </c>
      <c r="C1551" s="1" t="n">
        <v>45899</v>
      </c>
      <c r="D1551" t="inlineStr">
        <is>
          <t>VÄSTERNORRLANDS LÄN</t>
        </is>
      </c>
      <c r="E1551" t="inlineStr">
        <is>
          <t>SOLLEFTEÅ</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47185-2023</t>
        </is>
      </c>
      <c r="B1552" s="1" t="n">
        <v>45201</v>
      </c>
      <c r="C1552" s="1" t="n">
        <v>45899</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32280-2025</t>
        </is>
      </c>
      <c r="B1553" s="1" t="n">
        <v>45835.67638888889</v>
      </c>
      <c r="C1553" s="1" t="n">
        <v>45899</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28658-2025</t>
        </is>
      </c>
      <c r="B1554" s="1" t="n">
        <v>45819</v>
      </c>
      <c r="C1554" s="1" t="n">
        <v>45899</v>
      </c>
      <c r="D1554" t="inlineStr">
        <is>
          <t>VÄSTERNORRLANDS LÄN</t>
        </is>
      </c>
      <c r="E1554" t="inlineStr">
        <is>
          <t>SOLLEFTEÅ</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62406-2022</t>
        </is>
      </c>
      <c r="B1555" s="1" t="n">
        <v>44923</v>
      </c>
      <c r="C1555" s="1" t="n">
        <v>45899</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37671-2023</t>
        </is>
      </c>
      <c r="B1556" s="1" t="n">
        <v>45156</v>
      </c>
      <c r="C1556" s="1" t="n">
        <v>45899</v>
      </c>
      <c r="D1556" t="inlineStr">
        <is>
          <t>VÄSTERNORRLANDS LÄN</t>
        </is>
      </c>
      <c r="E1556" t="inlineStr">
        <is>
          <t>SOLLEFTEÅ</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56252-2024</t>
        </is>
      </c>
      <c r="B1557" s="1" t="n">
        <v>45624</v>
      </c>
      <c r="C1557" s="1" t="n">
        <v>45899</v>
      </c>
      <c r="D1557" t="inlineStr">
        <is>
          <t>VÄSTERNORRLANDS LÄN</t>
        </is>
      </c>
      <c r="E1557" t="inlineStr">
        <is>
          <t>SOLLEFTEÅ</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33013-2025</t>
        </is>
      </c>
      <c r="B1558" s="1" t="n">
        <v>45840.36518518518</v>
      </c>
      <c r="C1558" s="1" t="n">
        <v>45899</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4859-2025</t>
        </is>
      </c>
      <c r="B1559" s="1" t="n">
        <v>45688.67451388889</v>
      </c>
      <c r="C1559" s="1" t="n">
        <v>45899</v>
      </c>
      <c r="D1559" t="inlineStr">
        <is>
          <t>VÄSTERNORRLANDS LÄN</t>
        </is>
      </c>
      <c r="E1559" t="inlineStr">
        <is>
          <t>SOLLEFTEÅ</t>
        </is>
      </c>
      <c r="F1559" t="inlineStr">
        <is>
          <t>SCA</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59421-2024</t>
        </is>
      </c>
      <c r="B1560" s="1" t="n">
        <v>45638.41244212963</v>
      </c>
      <c r="C1560" s="1" t="n">
        <v>45899</v>
      </c>
      <c r="D1560" t="inlineStr">
        <is>
          <t>VÄSTERNORRLANDS LÄN</t>
        </is>
      </c>
      <c r="E1560" t="inlineStr">
        <is>
          <t>SOLLEFTEÅ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59491-2024</t>
        </is>
      </c>
      <c r="B1561" s="1" t="n">
        <v>45637</v>
      </c>
      <c r="C1561" s="1" t="n">
        <v>45899</v>
      </c>
      <c r="D1561" t="inlineStr">
        <is>
          <t>VÄSTERNORRLANDS LÄN</t>
        </is>
      </c>
      <c r="E1561" t="inlineStr">
        <is>
          <t>SOLLEFTEÅ</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54978-2023</t>
        </is>
      </c>
      <c r="B1562" s="1" t="n">
        <v>45236.96600694444</v>
      </c>
      <c r="C1562" s="1" t="n">
        <v>45899</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19433-2021</t>
        </is>
      </c>
      <c r="B1563" s="1" t="n">
        <v>44309.94400462963</v>
      </c>
      <c r="C1563" s="1" t="n">
        <v>45899</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8895-2025</t>
        </is>
      </c>
      <c r="B1564" s="1" t="n">
        <v>45713.40670138889</v>
      </c>
      <c r="C1564" s="1" t="n">
        <v>45899</v>
      </c>
      <c r="D1564" t="inlineStr">
        <is>
          <t>VÄSTERNORRLANDS LÄN</t>
        </is>
      </c>
      <c r="E1564" t="inlineStr">
        <is>
          <t>SOLLEFTEÅ</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11108-2025</t>
        </is>
      </c>
      <c r="B1565" s="1" t="n">
        <v>45723.6150462963</v>
      </c>
      <c r="C1565" s="1" t="n">
        <v>45899</v>
      </c>
      <c r="D1565" t="inlineStr">
        <is>
          <t>VÄSTERNORRLANDS LÄN</t>
        </is>
      </c>
      <c r="E1565" t="inlineStr">
        <is>
          <t>SOLLEFTEÅ</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47181-2023</t>
        </is>
      </c>
      <c r="B1566" s="1" t="n">
        <v>45201.94876157407</v>
      </c>
      <c r="C1566" s="1" t="n">
        <v>45899</v>
      </c>
      <c r="D1566" t="inlineStr">
        <is>
          <t>VÄSTERNORRLANDS LÄN</t>
        </is>
      </c>
      <c r="E1566" t="inlineStr">
        <is>
          <t>SOLLEFTEÅ</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55851-2024</t>
        </is>
      </c>
      <c r="B1567" s="1" t="n">
        <v>45623.51140046296</v>
      </c>
      <c r="C1567" s="1" t="n">
        <v>45899</v>
      </c>
      <c r="D1567" t="inlineStr">
        <is>
          <t>VÄSTERNORRLANDS LÄN</t>
        </is>
      </c>
      <c r="E1567" t="inlineStr">
        <is>
          <t>SOLLEFTEÅ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37921-2025</t>
        </is>
      </c>
      <c r="B1568" s="1" t="n">
        <v>45881.57491898148</v>
      </c>
      <c r="C1568" s="1" t="n">
        <v>45899</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54806-2024</t>
        </is>
      </c>
      <c r="B1569" s="1" t="n">
        <v>45618.51133101852</v>
      </c>
      <c r="C1569" s="1" t="n">
        <v>45899</v>
      </c>
      <c r="D1569" t="inlineStr">
        <is>
          <t>VÄSTERNORRLANDS LÄN</t>
        </is>
      </c>
      <c r="E1569" t="inlineStr">
        <is>
          <t>SOLLEFTEÅ</t>
        </is>
      </c>
      <c r="F1569" t="inlineStr">
        <is>
          <t>SCA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37801-2025</t>
        </is>
      </c>
      <c r="B1570" s="1" t="n">
        <v>45881.34436342592</v>
      </c>
      <c r="C1570" s="1" t="n">
        <v>45899</v>
      </c>
      <c r="D1570" t="inlineStr">
        <is>
          <t>VÄSTERNORRLANDS LÄN</t>
        </is>
      </c>
      <c r="E1570" t="inlineStr">
        <is>
          <t>SOLLEFTEÅ</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64115-2023</t>
        </is>
      </c>
      <c r="B1571" s="1" t="n">
        <v>45279</v>
      </c>
      <c r="C1571" s="1" t="n">
        <v>45899</v>
      </c>
      <c r="D1571" t="inlineStr">
        <is>
          <t>VÄSTERNORRLANDS LÄN</t>
        </is>
      </c>
      <c r="E1571" t="inlineStr">
        <is>
          <t>SOLLEFTEÅ</t>
        </is>
      </c>
      <c r="G1571" t="n">
        <v>16.1</v>
      </c>
      <c r="H1571" t="n">
        <v>0</v>
      </c>
      <c r="I1571" t="n">
        <v>0</v>
      </c>
      <c r="J1571" t="n">
        <v>0</v>
      </c>
      <c r="K1571" t="n">
        <v>0</v>
      </c>
      <c r="L1571" t="n">
        <v>0</v>
      </c>
      <c r="M1571" t="n">
        <v>0</v>
      </c>
      <c r="N1571" t="n">
        <v>0</v>
      </c>
      <c r="O1571" t="n">
        <v>0</v>
      </c>
      <c r="P1571" t="n">
        <v>0</v>
      </c>
      <c r="Q1571" t="n">
        <v>0</v>
      </c>
      <c r="R1571" s="2" t="inlineStr"/>
    </row>
    <row r="1572" ht="15" customHeight="1">
      <c r="A1572" t="inlineStr">
        <is>
          <t>A 38092-2025</t>
        </is>
      </c>
      <c r="B1572" s="1" t="n">
        <v>45882.49005787037</v>
      </c>
      <c r="C1572" s="1" t="n">
        <v>45899</v>
      </c>
      <c r="D1572" t="inlineStr">
        <is>
          <t>VÄSTERNORRLANDS LÄN</t>
        </is>
      </c>
      <c r="E1572" t="inlineStr">
        <is>
          <t>SOLLEFTEÅ</t>
        </is>
      </c>
      <c r="F1572" t="inlineStr">
        <is>
          <t>SCA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21582-2022</t>
        </is>
      </c>
      <c r="B1573" s="1" t="n">
        <v>44706</v>
      </c>
      <c r="C1573" s="1" t="n">
        <v>45899</v>
      </c>
      <c r="D1573" t="inlineStr">
        <is>
          <t>VÄSTERNORRLANDS LÄN</t>
        </is>
      </c>
      <c r="E1573" t="inlineStr">
        <is>
          <t>SOLLEFTEÅ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55650-2023</t>
        </is>
      </c>
      <c r="B1574" s="1" t="n">
        <v>45238.96600694444</v>
      </c>
      <c r="C1574" s="1" t="n">
        <v>45899</v>
      </c>
      <c r="D1574" t="inlineStr">
        <is>
          <t>VÄSTERNORRLANDS LÄN</t>
        </is>
      </c>
      <c r="E1574" t="inlineStr">
        <is>
          <t>SOLLEFTEÅ</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55654-2023</t>
        </is>
      </c>
      <c r="B1575" s="1" t="n">
        <v>45238.96642361111</v>
      </c>
      <c r="C1575" s="1" t="n">
        <v>45899</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53669-2023</t>
        </is>
      </c>
      <c r="B1576" s="1" t="n">
        <v>45230</v>
      </c>
      <c r="C1576" s="1" t="n">
        <v>45899</v>
      </c>
      <c r="D1576" t="inlineStr">
        <is>
          <t>VÄSTERNORRLANDS LÄN</t>
        </is>
      </c>
      <c r="E1576" t="inlineStr">
        <is>
          <t>SOLLEFTEÅ</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38190-2025</t>
        </is>
      </c>
      <c r="B1577" s="1" t="n">
        <v>45882.65680555555</v>
      </c>
      <c r="C1577" s="1" t="n">
        <v>45899</v>
      </c>
      <c r="D1577" t="inlineStr">
        <is>
          <t>VÄSTERNORRLANDS LÄN</t>
        </is>
      </c>
      <c r="E1577" t="inlineStr">
        <is>
          <t>SOLLEFTEÅ</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53120-2024</t>
        </is>
      </c>
      <c r="B1578" s="1" t="n">
        <v>45611</v>
      </c>
      <c r="C1578" s="1" t="n">
        <v>45899</v>
      </c>
      <c r="D1578" t="inlineStr">
        <is>
          <t>VÄSTERNORRLANDS LÄN</t>
        </is>
      </c>
      <c r="E1578" t="inlineStr">
        <is>
          <t>SOLLEFTEÅ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16795-2025</t>
        </is>
      </c>
      <c r="B1579" s="1" t="n">
        <v>45754.61487268518</v>
      </c>
      <c r="C1579" s="1" t="n">
        <v>45899</v>
      </c>
      <c r="D1579" t="inlineStr">
        <is>
          <t>VÄSTERNORRLANDS LÄN</t>
        </is>
      </c>
      <c r="E1579" t="inlineStr">
        <is>
          <t>SOLLEFTEÅ</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32745-2025</t>
        </is>
      </c>
      <c r="B1580" s="1" t="n">
        <v>45839.42753472222</v>
      </c>
      <c r="C1580" s="1" t="n">
        <v>45899</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17279-2025</t>
        </is>
      </c>
      <c r="B1581" s="1" t="n">
        <v>45756.56396990741</v>
      </c>
      <c r="C1581" s="1" t="n">
        <v>45899</v>
      </c>
      <c r="D1581" t="inlineStr">
        <is>
          <t>VÄSTERNORRLANDS LÄN</t>
        </is>
      </c>
      <c r="E1581" t="inlineStr">
        <is>
          <t>SOLLEFTEÅ</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12941-2025</t>
        </is>
      </c>
      <c r="B1582" s="1" t="n">
        <v>45734.36525462963</v>
      </c>
      <c r="C1582" s="1" t="n">
        <v>45899</v>
      </c>
      <c r="D1582" t="inlineStr">
        <is>
          <t>VÄSTERNORRLANDS LÄN</t>
        </is>
      </c>
      <c r="E1582" t="inlineStr">
        <is>
          <t>SOLLEFTEÅ</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38156-2025</t>
        </is>
      </c>
      <c r="B1583" s="1" t="n">
        <v>45882.61491898148</v>
      </c>
      <c r="C1583" s="1" t="n">
        <v>45899</v>
      </c>
      <c r="D1583" t="inlineStr">
        <is>
          <t>VÄSTERNORRLANDS LÄN</t>
        </is>
      </c>
      <c r="E1583" t="inlineStr">
        <is>
          <t>SOLLEFTEÅ</t>
        </is>
      </c>
      <c r="F1583" t="inlineStr">
        <is>
          <t>SCA</t>
        </is>
      </c>
      <c r="G1583" t="n">
        <v>13.5</v>
      </c>
      <c r="H1583" t="n">
        <v>0</v>
      </c>
      <c r="I1583" t="n">
        <v>0</v>
      </c>
      <c r="J1583" t="n">
        <v>0</v>
      </c>
      <c r="K1583" t="n">
        <v>0</v>
      </c>
      <c r="L1583" t="n">
        <v>0</v>
      </c>
      <c r="M1583" t="n">
        <v>0</v>
      </c>
      <c r="N1583" t="n">
        <v>0</v>
      </c>
      <c r="O1583" t="n">
        <v>0</v>
      </c>
      <c r="P1583" t="n">
        <v>0</v>
      </c>
      <c r="Q1583" t="n">
        <v>0</v>
      </c>
      <c r="R1583" s="2" t="inlineStr"/>
    </row>
    <row r="1584" ht="15" customHeight="1">
      <c r="A1584" t="inlineStr">
        <is>
          <t>A 32749-2025</t>
        </is>
      </c>
      <c r="B1584" s="1" t="n">
        <v>45839.42834490741</v>
      </c>
      <c r="C1584" s="1" t="n">
        <v>45899</v>
      </c>
      <c r="D1584" t="inlineStr">
        <is>
          <t>VÄSTERNORRLANDS LÄN</t>
        </is>
      </c>
      <c r="E1584" t="inlineStr">
        <is>
          <t>SOLLEFTEÅ</t>
        </is>
      </c>
      <c r="F1584" t="inlineStr">
        <is>
          <t>SCA</t>
        </is>
      </c>
      <c r="G1584" t="n">
        <v>15.3</v>
      </c>
      <c r="H1584" t="n">
        <v>0</v>
      </c>
      <c r="I1584" t="n">
        <v>0</v>
      </c>
      <c r="J1584" t="n">
        <v>0</v>
      </c>
      <c r="K1584" t="n">
        <v>0</v>
      </c>
      <c r="L1584" t="n">
        <v>0</v>
      </c>
      <c r="M1584" t="n">
        <v>0</v>
      </c>
      <c r="N1584" t="n">
        <v>0</v>
      </c>
      <c r="O1584" t="n">
        <v>0</v>
      </c>
      <c r="P1584" t="n">
        <v>0</v>
      </c>
      <c r="Q1584" t="n">
        <v>0</v>
      </c>
      <c r="R1584" s="2" t="inlineStr"/>
    </row>
    <row r="1585" ht="15" customHeight="1">
      <c r="A1585" t="inlineStr">
        <is>
          <t>A 33012-2025</t>
        </is>
      </c>
      <c r="B1585" s="1" t="n">
        <v>45840.36498842593</v>
      </c>
      <c r="C1585" s="1" t="n">
        <v>45899</v>
      </c>
      <c r="D1585" t="inlineStr">
        <is>
          <t>VÄSTERNORRLANDS LÄN</t>
        </is>
      </c>
      <c r="E1585" t="inlineStr">
        <is>
          <t>SOLLEFTEÅ</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38507-2025</t>
        </is>
      </c>
      <c r="B1586" s="1" t="n">
        <v>45884.38591435185</v>
      </c>
      <c r="C1586" s="1" t="n">
        <v>45899</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38560-2025</t>
        </is>
      </c>
      <c r="B1587" s="1" t="n">
        <v>45884.44844907407</v>
      </c>
      <c r="C1587" s="1" t="n">
        <v>45899</v>
      </c>
      <c r="D1587" t="inlineStr">
        <is>
          <t>VÄSTERNORRLANDS LÄN</t>
        </is>
      </c>
      <c r="E1587" t="inlineStr">
        <is>
          <t>SOLLEFTEÅ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38596-2025</t>
        </is>
      </c>
      <c r="B1588" s="1" t="n">
        <v>45884.49040509259</v>
      </c>
      <c r="C1588" s="1" t="n">
        <v>45899</v>
      </c>
      <c r="D1588" t="inlineStr">
        <is>
          <t>VÄSTERNORRLANDS LÄN</t>
        </is>
      </c>
      <c r="E1588" t="inlineStr">
        <is>
          <t>SOLLEFTEÅ</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38598-2025</t>
        </is>
      </c>
      <c r="B1589" s="1" t="n">
        <v>45884.49074074074</v>
      </c>
      <c r="C1589" s="1" t="n">
        <v>45899</v>
      </c>
      <c r="D1589" t="inlineStr">
        <is>
          <t>VÄSTERNORRLANDS LÄN</t>
        </is>
      </c>
      <c r="E1589" t="inlineStr">
        <is>
          <t>SOLLEFTEÅ</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56311-2023</t>
        </is>
      </c>
      <c r="B1590" s="1" t="n">
        <v>45242.94203703704</v>
      </c>
      <c r="C1590" s="1" t="n">
        <v>45899</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57394-2023</t>
        </is>
      </c>
      <c r="B1591" s="1" t="n">
        <v>45245.96774305555</v>
      </c>
      <c r="C1591" s="1" t="n">
        <v>45899</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9967-2025</t>
        </is>
      </c>
      <c r="B1592" s="1" t="n">
        <v>45719.37890046297</v>
      </c>
      <c r="C1592" s="1" t="n">
        <v>45899</v>
      </c>
      <c r="D1592" t="inlineStr">
        <is>
          <t>VÄSTERNORRLANDS LÄN</t>
        </is>
      </c>
      <c r="E1592" t="inlineStr">
        <is>
          <t>SOLLEFTEÅ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20550-2025</t>
        </is>
      </c>
      <c r="B1593" s="1" t="n">
        <v>45775.6360300926</v>
      </c>
      <c r="C1593" s="1" t="n">
        <v>45899</v>
      </c>
      <c r="D1593" t="inlineStr">
        <is>
          <t>VÄSTERNORRLANDS LÄN</t>
        </is>
      </c>
      <c r="E1593" t="inlineStr">
        <is>
          <t>SOLLEFTEÅ</t>
        </is>
      </c>
      <c r="F1593" t="inlineStr">
        <is>
          <t>SCA</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19145-2025</t>
        </is>
      </c>
      <c r="B1594" s="1" t="n">
        <v>45769.34452546296</v>
      </c>
      <c r="C1594" s="1" t="n">
        <v>45899</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14982-2024</t>
        </is>
      </c>
      <c r="B1595" s="1" t="n">
        <v>45398.94193287037</v>
      </c>
      <c r="C1595" s="1" t="n">
        <v>45899</v>
      </c>
      <c r="D1595" t="inlineStr">
        <is>
          <t>VÄSTERNORRLANDS LÄN</t>
        </is>
      </c>
      <c r="E1595" t="inlineStr">
        <is>
          <t>SOLLEFTEÅ</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6065-2024</t>
        </is>
      </c>
      <c r="B1596" s="1" t="n">
        <v>45336.87826388889</v>
      </c>
      <c r="C1596" s="1" t="n">
        <v>45899</v>
      </c>
      <c r="D1596" t="inlineStr">
        <is>
          <t>VÄSTERNORRLANDS LÄN</t>
        </is>
      </c>
      <c r="E1596" t="inlineStr">
        <is>
          <t>SOLLEFTEÅ</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57922-2024</t>
        </is>
      </c>
      <c r="B1597" s="1" t="n">
        <v>45631.5107175926</v>
      </c>
      <c r="C1597" s="1" t="n">
        <v>45899</v>
      </c>
      <c r="D1597" t="inlineStr">
        <is>
          <t>VÄSTERNORRLANDS LÄN</t>
        </is>
      </c>
      <c r="E1597" t="inlineStr">
        <is>
          <t>SOLLEFTEÅ</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50757-2023</t>
        </is>
      </c>
      <c r="B1598" s="1" t="n">
        <v>45217</v>
      </c>
      <c r="C1598" s="1" t="n">
        <v>45899</v>
      </c>
      <c r="D1598" t="inlineStr">
        <is>
          <t>VÄSTERNORRLANDS LÄN</t>
        </is>
      </c>
      <c r="E1598" t="inlineStr">
        <is>
          <t>SOLLEFTEÅ</t>
        </is>
      </c>
      <c r="F1598" t="inlineStr">
        <is>
          <t>Holmen skog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63529-2023</t>
        </is>
      </c>
      <c r="B1599" s="1" t="n">
        <v>45274.94859953703</v>
      </c>
      <c r="C1599" s="1" t="n">
        <v>45899</v>
      </c>
      <c r="D1599" t="inlineStr">
        <is>
          <t>VÄSTERNORRLANDS LÄN</t>
        </is>
      </c>
      <c r="E1599" t="inlineStr">
        <is>
          <t>SOLLEFTEÅ</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33675-2025</t>
        </is>
      </c>
      <c r="B1600" s="1" t="n">
        <v>45841.67796296296</v>
      </c>
      <c r="C1600" s="1" t="n">
        <v>45899</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38240-2025</t>
        </is>
      </c>
      <c r="B1601" s="1" t="n">
        <v>45883.36532407408</v>
      </c>
      <c r="C1601" s="1" t="n">
        <v>45899</v>
      </c>
      <c r="D1601" t="inlineStr">
        <is>
          <t>VÄSTERNORRLANDS LÄN</t>
        </is>
      </c>
      <c r="E1601" t="inlineStr">
        <is>
          <t>SOLLEFTEÅ</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33855-2025</t>
        </is>
      </c>
      <c r="B1602" s="1" t="n">
        <v>45842.51125</v>
      </c>
      <c r="C1602" s="1" t="n">
        <v>45899</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33676-2025</t>
        </is>
      </c>
      <c r="B1603" s="1" t="n">
        <v>45841.67818287037</v>
      </c>
      <c r="C1603" s="1" t="n">
        <v>45899</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33957-2025</t>
        </is>
      </c>
      <c r="B1604" s="1" t="n">
        <v>45842.67762731481</v>
      </c>
      <c r="C1604" s="1" t="n">
        <v>45899</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58715-2021</t>
        </is>
      </c>
      <c r="B1605" s="1" t="n">
        <v>44489</v>
      </c>
      <c r="C1605" s="1" t="n">
        <v>45899</v>
      </c>
      <c r="D1605" t="inlineStr">
        <is>
          <t>VÄSTERNORRLANDS LÄN</t>
        </is>
      </c>
      <c r="E1605" t="inlineStr">
        <is>
          <t>SOLLEFTEÅ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43627-2024</t>
        </is>
      </c>
      <c r="B1606" s="1" t="n">
        <v>45569.49006944444</v>
      </c>
      <c r="C1606" s="1" t="n">
        <v>45899</v>
      </c>
      <c r="D1606" t="inlineStr">
        <is>
          <t>VÄSTERNORRLANDS LÄN</t>
        </is>
      </c>
      <c r="E1606" t="inlineStr">
        <is>
          <t>SOLLEFTEÅ</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12734-2023</t>
        </is>
      </c>
      <c r="B1607" s="1" t="n">
        <v>45000.92436342593</v>
      </c>
      <c r="C1607" s="1" t="n">
        <v>45899</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12820-2023</t>
        </is>
      </c>
      <c r="B1608" s="1" t="n">
        <v>45000</v>
      </c>
      <c r="C1608" s="1" t="n">
        <v>45899</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21711-2022</t>
        </is>
      </c>
      <c r="B1609" s="1" t="n">
        <v>44707</v>
      </c>
      <c r="C1609" s="1" t="n">
        <v>45899</v>
      </c>
      <c r="D1609" t="inlineStr">
        <is>
          <t>VÄSTERNORRLANDS LÄN</t>
        </is>
      </c>
      <c r="E1609" t="inlineStr">
        <is>
          <t>SOLLEFTEÅ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3211-2024</t>
        </is>
      </c>
      <c r="B1610" s="1" t="n">
        <v>45316</v>
      </c>
      <c r="C1610" s="1" t="n">
        <v>45899</v>
      </c>
      <c r="D1610" t="inlineStr">
        <is>
          <t>VÄSTERNORRLANDS LÄN</t>
        </is>
      </c>
      <c r="E1610" t="inlineStr">
        <is>
          <t>SOLLEFTEÅ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27391-2023</t>
        </is>
      </c>
      <c r="B1611" s="1" t="n">
        <v>45096.93991898148</v>
      </c>
      <c r="C1611" s="1" t="n">
        <v>45899</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38330-2025</t>
        </is>
      </c>
      <c r="B1612" s="1" t="n">
        <v>45883.49123842592</v>
      </c>
      <c r="C1612" s="1" t="n">
        <v>45899</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20599-2023</t>
        </is>
      </c>
      <c r="B1613" s="1" t="n">
        <v>45057.94172453704</v>
      </c>
      <c r="C1613" s="1" t="n">
        <v>45899</v>
      </c>
      <c r="D1613" t="inlineStr">
        <is>
          <t>VÄSTERNORRLANDS LÄN</t>
        </is>
      </c>
      <c r="E1613" t="inlineStr">
        <is>
          <t>SOLLEFTEÅ</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11039-2023</t>
        </is>
      </c>
      <c r="B1614" s="1" t="n">
        <v>44991.94622685185</v>
      </c>
      <c r="C1614" s="1" t="n">
        <v>45899</v>
      </c>
      <c r="D1614" t="inlineStr">
        <is>
          <t>VÄSTERNORRLANDS LÄN</t>
        </is>
      </c>
      <c r="E1614" t="inlineStr">
        <is>
          <t>SOLLEFTEÅ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3231-2024</t>
        </is>
      </c>
      <c r="B1615" s="1" t="n">
        <v>45316</v>
      </c>
      <c r="C1615" s="1" t="n">
        <v>45899</v>
      </c>
      <c r="D1615" t="inlineStr">
        <is>
          <t>VÄSTERNORRLANDS LÄN</t>
        </is>
      </c>
      <c r="E1615" t="inlineStr">
        <is>
          <t>SOLLEFTEÅ</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3252-2024</t>
        </is>
      </c>
      <c r="B1616" s="1" t="n">
        <v>45316</v>
      </c>
      <c r="C1616" s="1" t="n">
        <v>45899</v>
      </c>
      <c r="D1616" t="inlineStr">
        <is>
          <t>VÄSTERNORRLANDS LÄN</t>
        </is>
      </c>
      <c r="E1616" t="inlineStr">
        <is>
          <t>SOLLEFTEÅ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26962-2024</t>
        </is>
      </c>
      <c r="B1617" s="1" t="n">
        <v>45470.9716087963</v>
      </c>
      <c r="C1617" s="1" t="n">
        <v>45899</v>
      </c>
      <c r="D1617" t="inlineStr">
        <is>
          <t>VÄSTERNORRLANDS LÄN</t>
        </is>
      </c>
      <c r="E1617" t="inlineStr">
        <is>
          <t>SOLLEFTEÅ</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33917-2025</t>
        </is>
      </c>
      <c r="B1618" s="1" t="n">
        <v>45842.61491898148</v>
      </c>
      <c r="C1618" s="1" t="n">
        <v>45899</v>
      </c>
      <c r="D1618" t="inlineStr">
        <is>
          <t>VÄSTERNORRLANDS LÄN</t>
        </is>
      </c>
      <c r="E1618" t="inlineStr">
        <is>
          <t>SOLLEFTEÅ</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22235-2024</t>
        </is>
      </c>
      <c r="B1619" s="1" t="n">
        <v>45446</v>
      </c>
      <c r="C1619" s="1" t="n">
        <v>45899</v>
      </c>
      <c r="D1619" t="inlineStr">
        <is>
          <t>VÄSTERNORRLANDS LÄN</t>
        </is>
      </c>
      <c r="E1619" t="inlineStr">
        <is>
          <t>SOLLEFTEÅ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38271-2025</t>
        </is>
      </c>
      <c r="B1620" s="1" t="n">
        <v>45883.4071412037</v>
      </c>
      <c r="C1620" s="1" t="n">
        <v>45899</v>
      </c>
      <c r="D1620" t="inlineStr">
        <is>
          <t>VÄSTERNORRLANDS LÄN</t>
        </is>
      </c>
      <c r="E1620" t="inlineStr">
        <is>
          <t>SOLLEFTEÅ</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57094-2024</t>
        </is>
      </c>
      <c r="B1621" s="1" t="n">
        <v>45629.35780092593</v>
      </c>
      <c r="C1621" s="1" t="n">
        <v>45899</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33430-2025</t>
        </is>
      </c>
      <c r="B1622" s="1" t="n">
        <v>45841.44829861111</v>
      </c>
      <c r="C1622" s="1" t="n">
        <v>45899</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33436-2025</t>
        </is>
      </c>
      <c r="B1623" s="1" t="n">
        <v>45841.44898148148</v>
      </c>
      <c r="C1623" s="1" t="n">
        <v>45899</v>
      </c>
      <c r="D1623" t="inlineStr">
        <is>
          <t>VÄSTERNORRLANDS LÄN</t>
        </is>
      </c>
      <c r="E1623" t="inlineStr">
        <is>
          <t>SOLLEFTEÅ</t>
        </is>
      </c>
      <c r="F1623" t="inlineStr">
        <is>
          <t>SCA</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33674-2025</t>
        </is>
      </c>
      <c r="B1624" s="1" t="n">
        <v>45841.67770833334</v>
      </c>
      <c r="C1624" s="1" t="n">
        <v>45899</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3873-2025</t>
        </is>
      </c>
      <c r="B1625" s="1" t="n">
        <v>45684</v>
      </c>
      <c r="C1625" s="1" t="n">
        <v>45899</v>
      </c>
      <c r="D1625" t="inlineStr">
        <is>
          <t>VÄSTERNORRLANDS LÄN</t>
        </is>
      </c>
      <c r="E1625" t="inlineStr">
        <is>
          <t>SOLLEFTEÅ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33442-2025</t>
        </is>
      </c>
      <c r="B1626" s="1" t="n">
        <v>45841.46092592592</v>
      </c>
      <c r="C1626" s="1" t="n">
        <v>45899</v>
      </c>
      <c r="D1626" t="inlineStr">
        <is>
          <t>VÄSTERNORRLANDS LÄN</t>
        </is>
      </c>
      <c r="E1626" t="inlineStr">
        <is>
          <t>SOLLEFTEÅ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5255-2024</t>
        </is>
      </c>
      <c r="B1627" s="1" t="n">
        <v>45330</v>
      </c>
      <c r="C1627" s="1" t="n">
        <v>45899</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33437-2025</t>
        </is>
      </c>
      <c r="B1628" s="1" t="n">
        <v>45841.4502199074</v>
      </c>
      <c r="C1628" s="1" t="n">
        <v>45899</v>
      </c>
      <c r="D1628" t="inlineStr">
        <is>
          <t>VÄSTERNORRLANDS LÄN</t>
        </is>
      </c>
      <c r="E1628" t="inlineStr">
        <is>
          <t>SOLLEFTEÅ</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61201-2024</t>
        </is>
      </c>
      <c r="B1629" s="1" t="n">
        <v>45645.6360300926</v>
      </c>
      <c r="C1629" s="1" t="n">
        <v>45899</v>
      </c>
      <c r="D1629" t="inlineStr">
        <is>
          <t>VÄSTERNORRLANDS LÄN</t>
        </is>
      </c>
      <c r="E1629" t="inlineStr">
        <is>
          <t>SOLLEFTEÅ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33936-2025</t>
        </is>
      </c>
      <c r="B1630" s="1" t="n">
        <v>45842.63630787037</v>
      </c>
      <c r="C1630" s="1" t="n">
        <v>45899</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5989-2021</t>
        </is>
      </c>
      <c r="B1631" s="1" t="n">
        <v>44231</v>
      </c>
      <c r="C1631" s="1" t="n">
        <v>45899</v>
      </c>
      <c r="D1631" t="inlineStr">
        <is>
          <t>VÄSTERNORRLANDS LÄN</t>
        </is>
      </c>
      <c r="E1631" t="inlineStr">
        <is>
          <t>SOLLEFTEÅ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33825-2025</t>
        </is>
      </c>
      <c r="B1632" s="1" t="n">
        <v>45842.46930555555</v>
      </c>
      <c r="C1632" s="1" t="n">
        <v>45899</v>
      </c>
      <c r="D1632" t="inlineStr">
        <is>
          <t>VÄSTERNORRLANDS LÄN</t>
        </is>
      </c>
      <c r="E1632" t="inlineStr">
        <is>
          <t>SOLLEFTEÅ</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11125-2022</t>
        </is>
      </c>
      <c r="B1633" s="1" t="n">
        <v>44628</v>
      </c>
      <c r="C1633" s="1" t="n">
        <v>45899</v>
      </c>
      <c r="D1633" t="inlineStr">
        <is>
          <t>VÄSTERNORRLANDS LÄN</t>
        </is>
      </c>
      <c r="E1633" t="inlineStr">
        <is>
          <t>SOLLEFTEÅ</t>
        </is>
      </c>
      <c r="F1633" t="inlineStr">
        <is>
          <t>SCA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20507-2024</t>
        </is>
      </c>
      <c r="B1634" s="1" t="n">
        <v>45435</v>
      </c>
      <c r="C1634" s="1" t="n">
        <v>45899</v>
      </c>
      <c r="D1634" t="inlineStr">
        <is>
          <t>VÄSTERNORRLANDS LÄN</t>
        </is>
      </c>
      <c r="E1634" t="inlineStr">
        <is>
          <t>SOLLEFTEÅ</t>
        </is>
      </c>
      <c r="F1634" t="inlineStr">
        <is>
          <t>SCA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33495-2025</t>
        </is>
      </c>
      <c r="B1635" s="1" t="n">
        <v>45841</v>
      </c>
      <c r="C1635" s="1" t="n">
        <v>45899</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35277-2023</t>
        </is>
      </c>
      <c r="B1636" s="1" t="n">
        <v>45145</v>
      </c>
      <c r="C1636" s="1" t="n">
        <v>45899</v>
      </c>
      <c r="D1636" t="inlineStr">
        <is>
          <t>VÄSTERNORRLANDS LÄN</t>
        </is>
      </c>
      <c r="E1636" t="inlineStr">
        <is>
          <t>SOLLEFTEÅ</t>
        </is>
      </c>
      <c r="F1636" t="inlineStr">
        <is>
          <t>SCA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38581-2025</t>
        </is>
      </c>
      <c r="B1637" s="1" t="n">
        <v>45884.46965277778</v>
      </c>
      <c r="C1637" s="1" t="n">
        <v>45899</v>
      </c>
      <c r="D1637" t="inlineStr">
        <is>
          <t>VÄSTERNORRLANDS LÄN</t>
        </is>
      </c>
      <c r="E1637" t="inlineStr">
        <is>
          <t>SOLLEFTEÅ</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33607-2025</t>
        </is>
      </c>
      <c r="B1638" s="1" t="n">
        <v>45841.61521990741</v>
      </c>
      <c r="C1638" s="1" t="n">
        <v>45899</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33673-2025</t>
        </is>
      </c>
      <c r="B1639" s="1" t="n">
        <v>45841.67761574074</v>
      </c>
      <c r="C1639" s="1" t="n">
        <v>45899</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38561-2025</t>
        </is>
      </c>
      <c r="B1640" s="1" t="n">
        <v>45884.44849537037</v>
      </c>
      <c r="C1640" s="1" t="n">
        <v>45899</v>
      </c>
      <c r="D1640" t="inlineStr">
        <is>
          <t>VÄSTERNORRLANDS LÄN</t>
        </is>
      </c>
      <c r="E1640" t="inlineStr">
        <is>
          <t>SOLLEFTEÅ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33935-2025</t>
        </is>
      </c>
      <c r="B1641" s="1" t="n">
        <v>45842.63614583333</v>
      </c>
      <c r="C1641" s="1" t="n">
        <v>45899</v>
      </c>
      <c r="D1641" t="inlineStr">
        <is>
          <t>VÄSTERNORRLANDS LÄN</t>
        </is>
      </c>
      <c r="E1641" t="inlineStr">
        <is>
          <t>SOLLEFTEÅ</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33496-2025</t>
        </is>
      </c>
      <c r="B1642" s="1" t="n">
        <v>45841</v>
      </c>
      <c r="C1642" s="1" t="n">
        <v>45899</v>
      </c>
      <c r="D1642" t="inlineStr">
        <is>
          <t>VÄSTERNORRLANDS LÄN</t>
        </is>
      </c>
      <c r="E1642" t="inlineStr">
        <is>
          <t>SOLLEFTEÅ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33502-2025</t>
        </is>
      </c>
      <c r="B1643" s="1" t="n">
        <v>45841.51101851852</v>
      </c>
      <c r="C1643" s="1" t="n">
        <v>45899</v>
      </c>
      <c r="D1643" t="inlineStr">
        <is>
          <t>VÄSTERNORRLANDS LÄN</t>
        </is>
      </c>
      <c r="E1643" t="inlineStr">
        <is>
          <t>SOLLEFTEÅ</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33743-2025</t>
        </is>
      </c>
      <c r="B1644" s="1" t="n">
        <v>45842.34496527778</v>
      </c>
      <c r="C1644" s="1" t="n">
        <v>45899</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38493-2025</t>
        </is>
      </c>
      <c r="B1645" s="1" t="n">
        <v>45884.36516203704</v>
      </c>
      <c r="C1645" s="1" t="n">
        <v>45899</v>
      </c>
      <c r="D1645" t="inlineStr">
        <is>
          <t>VÄSTERNORRLANDS LÄN</t>
        </is>
      </c>
      <c r="E1645" t="inlineStr">
        <is>
          <t>SOLLEFTEÅ</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33452-2025</t>
        </is>
      </c>
      <c r="B1646" s="1" t="n">
        <v>45841.46940972222</v>
      </c>
      <c r="C1646" s="1" t="n">
        <v>45899</v>
      </c>
      <c r="D1646" t="inlineStr">
        <is>
          <t>VÄSTERNORRLANDS LÄN</t>
        </is>
      </c>
      <c r="E1646" t="inlineStr">
        <is>
          <t>SOLLEFTEÅ</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13598-2022</t>
        </is>
      </c>
      <c r="B1647" s="1" t="n">
        <v>44648</v>
      </c>
      <c r="C1647" s="1" t="n">
        <v>45899</v>
      </c>
      <c r="D1647" t="inlineStr">
        <is>
          <t>VÄSTERNORRLANDS LÄN</t>
        </is>
      </c>
      <c r="E1647" t="inlineStr">
        <is>
          <t>SOLLEFTEÅ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33852-2025</t>
        </is>
      </c>
      <c r="B1648" s="1" t="n">
        <v>45842.51079861111</v>
      </c>
      <c r="C1648" s="1" t="n">
        <v>45899</v>
      </c>
      <c r="D1648" t="inlineStr">
        <is>
          <t>VÄSTERNORRLANDS LÄN</t>
        </is>
      </c>
      <c r="E1648" t="inlineStr">
        <is>
          <t>SOLLEFTEÅ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38492-2025</t>
        </is>
      </c>
      <c r="B1649" s="1" t="n">
        <v>45884.36496527777</v>
      </c>
      <c r="C1649" s="1" t="n">
        <v>45899</v>
      </c>
      <c r="D1649" t="inlineStr">
        <is>
          <t>VÄSTERNORRLANDS LÄN</t>
        </is>
      </c>
      <c r="E1649" t="inlineStr">
        <is>
          <t>SOLLEFTEÅ</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8244-2024</t>
        </is>
      </c>
      <c r="B1650" s="1" t="n">
        <v>45351</v>
      </c>
      <c r="C1650" s="1" t="n">
        <v>45899</v>
      </c>
      <c r="D1650" t="inlineStr">
        <is>
          <t>VÄSTERNORRLANDS LÄN</t>
        </is>
      </c>
      <c r="E1650" t="inlineStr">
        <is>
          <t>SOLLEFTEÅ</t>
        </is>
      </c>
      <c r="F1650" t="inlineStr">
        <is>
          <t>SCA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17604-2021</t>
        </is>
      </c>
      <c r="B1651" s="1" t="n">
        <v>44299</v>
      </c>
      <c r="C1651" s="1" t="n">
        <v>45899</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38562-2025</t>
        </is>
      </c>
      <c r="B1652" s="1" t="n">
        <v>45884.44865740741</v>
      </c>
      <c r="C1652" s="1" t="n">
        <v>45899</v>
      </c>
      <c r="D1652" t="inlineStr">
        <is>
          <t>VÄSTERNORRLANDS LÄN</t>
        </is>
      </c>
      <c r="E1652" t="inlineStr">
        <is>
          <t>SOLLEFTEÅ</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38220-2025</t>
        </is>
      </c>
      <c r="B1653" s="1" t="n">
        <v>45883.34418981482</v>
      </c>
      <c r="C1653" s="1" t="n">
        <v>45899</v>
      </c>
      <c r="D1653" t="inlineStr">
        <is>
          <t>VÄSTERNORRLANDS LÄN</t>
        </is>
      </c>
      <c r="E1653" t="inlineStr">
        <is>
          <t>SOLLEFTEÅ</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9120-2024</t>
        </is>
      </c>
      <c r="B1654" s="1" t="n">
        <v>45358.04091435186</v>
      </c>
      <c r="C1654" s="1" t="n">
        <v>45899</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9122-2024</t>
        </is>
      </c>
      <c r="B1655" s="1" t="n">
        <v>45358.04107638889</v>
      </c>
      <c r="C1655" s="1" t="n">
        <v>45899</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36300-2025</t>
        </is>
      </c>
      <c r="B1656" s="1" t="n">
        <v>45867.6984375</v>
      </c>
      <c r="C1656" s="1" t="n">
        <v>45899</v>
      </c>
      <c r="D1656" t="inlineStr">
        <is>
          <t>VÄSTERNORRLANDS LÄN</t>
        </is>
      </c>
      <c r="E1656" t="inlineStr">
        <is>
          <t>SOLLEFTEÅ</t>
        </is>
      </c>
      <c r="F1656" t="inlineStr">
        <is>
          <t>SCA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38973-2025</t>
        </is>
      </c>
      <c r="B1657" s="1" t="n">
        <v>45887.71942129629</v>
      </c>
      <c r="C1657" s="1" t="n">
        <v>45899</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35764-2023</t>
        </is>
      </c>
      <c r="B1658" s="1" t="n">
        <v>45147</v>
      </c>
      <c r="C1658" s="1" t="n">
        <v>45899</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60827-2024</t>
        </is>
      </c>
      <c r="B1659" s="1" t="n">
        <v>45644.63590277778</v>
      </c>
      <c r="C1659" s="1" t="n">
        <v>45899</v>
      </c>
      <c r="D1659" t="inlineStr">
        <is>
          <t>VÄSTERNORRLANDS LÄN</t>
        </is>
      </c>
      <c r="E1659" t="inlineStr">
        <is>
          <t>SOLLEFTEÅ</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20738-2022</t>
        </is>
      </c>
      <c r="B1660" s="1" t="n">
        <v>44700</v>
      </c>
      <c r="C1660" s="1" t="n">
        <v>45899</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21095-2024</t>
        </is>
      </c>
      <c r="B1661" s="1" t="n">
        <v>45439.95034722222</v>
      </c>
      <c r="C1661" s="1" t="n">
        <v>45899</v>
      </c>
      <c r="D1661" t="inlineStr">
        <is>
          <t>VÄSTERNORRLANDS LÄN</t>
        </is>
      </c>
      <c r="E1661" t="inlineStr">
        <is>
          <t>SOLLEFTEÅ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34000-2025</t>
        </is>
      </c>
      <c r="B1662" s="1" t="n">
        <v>45844.37024305556</v>
      </c>
      <c r="C1662" s="1" t="n">
        <v>45899</v>
      </c>
      <c r="D1662" t="inlineStr">
        <is>
          <t>VÄSTERNORRLANDS LÄN</t>
        </is>
      </c>
      <c r="E1662" t="inlineStr">
        <is>
          <t>SOLLEFTEÅ</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8959-2023</t>
        </is>
      </c>
      <c r="B1663" s="1" t="n">
        <v>44974</v>
      </c>
      <c r="C1663" s="1" t="n">
        <v>45899</v>
      </c>
      <c r="D1663" t="inlineStr">
        <is>
          <t>VÄSTERNORRLANDS LÄN</t>
        </is>
      </c>
      <c r="E1663" t="inlineStr">
        <is>
          <t>SOLLEFTEÅ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46130-2022</t>
        </is>
      </c>
      <c r="B1664" s="1" t="n">
        <v>44844</v>
      </c>
      <c r="C1664" s="1" t="n">
        <v>45899</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4061-2024</t>
        </is>
      </c>
      <c r="B1665" s="1" t="n">
        <v>45323</v>
      </c>
      <c r="C1665" s="1" t="n">
        <v>45899</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2345-2025</t>
        </is>
      </c>
      <c r="B1666" s="1" t="n">
        <v>45673.67747685185</v>
      </c>
      <c r="C1666" s="1" t="n">
        <v>45899</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12539-2023</t>
        </is>
      </c>
      <c r="B1667" s="1" t="n">
        <v>45000.01452546296</v>
      </c>
      <c r="C1667" s="1" t="n">
        <v>45899</v>
      </c>
      <c r="D1667" t="inlineStr">
        <is>
          <t>VÄSTERNORRLANDS LÄN</t>
        </is>
      </c>
      <c r="E1667" t="inlineStr">
        <is>
          <t>SOLLEFTEÅ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21362-2021</t>
        </is>
      </c>
      <c r="B1668" s="1" t="n">
        <v>44320.95611111111</v>
      </c>
      <c r="C1668" s="1" t="n">
        <v>45899</v>
      </c>
      <c r="D1668" t="inlineStr">
        <is>
          <t>VÄSTERNORRLANDS LÄN</t>
        </is>
      </c>
      <c r="E1668" t="inlineStr">
        <is>
          <t>SOLLEFTEÅ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2481-2025</t>
        </is>
      </c>
      <c r="B1669" s="1" t="n">
        <v>45674.48996527777</v>
      </c>
      <c r="C1669" s="1" t="n">
        <v>45899</v>
      </c>
      <c r="D1669" t="inlineStr">
        <is>
          <t>VÄSTERNORRLANDS LÄN</t>
        </is>
      </c>
      <c r="E1669" t="inlineStr">
        <is>
          <t>SOLLEFTEÅ</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27633-2024</t>
        </is>
      </c>
      <c r="B1670" s="1" t="n">
        <v>45474.94590277778</v>
      </c>
      <c r="C1670" s="1" t="n">
        <v>45899</v>
      </c>
      <c r="D1670" t="inlineStr">
        <is>
          <t>VÄSTERNORRLANDS LÄN</t>
        </is>
      </c>
      <c r="E1670" t="inlineStr">
        <is>
          <t>SOLLEFTEÅ</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27634-2024</t>
        </is>
      </c>
      <c r="B1671" s="1" t="n">
        <v>45474.94599537037</v>
      </c>
      <c r="C1671" s="1" t="n">
        <v>45899</v>
      </c>
      <c r="D1671" t="inlineStr">
        <is>
          <t>VÄSTERNORRLANDS LÄN</t>
        </is>
      </c>
      <c r="E1671" t="inlineStr">
        <is>
          <t>SOLLEFTEÅ</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27641-2024</t>
        </is>
      </c>
      <c r="B1672" s="1" t="n">
        <v>45474.94694444445</v>
      </c>
      <c r="C1672" s="1" t="n">
        <v>45899</v>
      </c>
      <c r="D1672" t="inlineStr">
        <is>
          <t>VÄSTERNORRLANDS LÄN</t>
        </is>
      </c>
      <c r="E1672" t="inlineStr">
        <is>
          <t>SOLLEFTEÅ</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62262-2022</t>
        </is>
      </c>
      <c r="B1673" s="1" t="n">
        <v>44922.94387731481</v>
      </c>
      <c r="C1673" s="1" t="n">
        <v>45899</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3082-2025</t>
        </is>
      </c>
      <c r="B1674" s="1" t="n">
        <v>45678.64443287037</v>
      </c>
      <c r="C1674" s="1" t="n">
        <v>45899</v>
      </c>
      <c r="D1674" t="inlineStr">
        <is>
          <t>VÄSTERNORRLANDS LÄN</t>
        </is>
      </c>
      <c r="E1674" t="inlineStr">
        <is>
          <t>SOLLEFTEÅ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3095-2025</t>
        </is>
      </c>
      <c r="B1675" s="1" t="n">
        <v>45678.66633101852</v>
      </c>
      <c r="C1675" s="1" t="n">
        <v>45899</v>
      </c>
      <c r="D1675" t="inlineStr">
        <is>
          <t>VÄSTERNORRLANDS LÄN</t>
        </is>
      </c>
      <c r="E1675" t="inlineStr">
        <is>
          <t>SOLLEFTEÅ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3103-2025</t>
        </is>
      </c>
      <c r="B1676" s="1" t="n">
        <v>45678.67739583334</v>
      </c>
      <c r="C1676" s="1" t="n">
        <v>45899</v>
      </c>
      <c r="D1676" t="inlineStr">
        <is>
          <t>VÄSTERNORRLANDS LÄN</t>
        </is>
      </c>
      <c r="E1676" t="inlineStr">
        <is>
          <t>SOLLEFTEÅ</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29459-2024</t>
        </is>
      </c>
      <c r="B1677" s="1" t="n">
        <v>45483.96939814815</v>
      </c>
      <c r="C1677" s="1" t="n">
        <v>45899</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53483-2024</t>
        </is>
      </c>
      <c r="B1678" s="1" t="n">
        <v>45611</v>
      </c>
      <c r="C1678" s="1" t="n">
        <v>45899</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18696-2025</t>
        </is>
      </c>
      <c r="B1679" s="1" t="n">
        <v>45763.61578703704</v>
      </c>
      <c r="C1679" s="1" t="n">
        <v>45899</v>
      </c>
      <c r="D1679" t="inlineStr">
        <is>
          <t>VÄSTERNORRLANDS LÄN</t>
        </is>
      </c>
      <c r="E1679" t="inlineStr">
        <is>
          <t>SOLLEFTEÅ</t>
        </is>
      </c>
      <c r="F1679" t="inlineStr">
        <is>
          <t>SCA</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8880-2023</t>
        </is>
      </c>
      <c r="B1680" s="1" t="n">
        <v>44978.94346064814</v>
      </c>
      <c r="C1680" s="1" t="n">
        <v>45899</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38959-2025</t>
        </is>
      </c>
      <c r="B1681" s="1" t="n">
        <v>45887.67769675926</v>
      </c>
      <c r="C1681" s="1" t="n">
        <v>45899</v>
      </c>
      <c r="D1681" t="inlineStr">
        <is>
          <t>VÄSTERNORRLANDS LÄN</t>
        </is>
      </c>
      <c r="E1681" t="inlineStr">
        <is>
          <t>SOLLEFTEÅ</t>
        </is>
      </c>
      <c r="F1681" t="inlineStr">
        <is>
          <t>SCA</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6068-2024</t>
        </is>
      </c>
      <c r="B1682" s="1" t="n">
        <v>45336.89725694444</v>
      </c>
      <c r="C1682" s="1" t="n">
        <v>45899</v>
      </c>
      <c r="D1682" t="inlineStr">
        <is>
          <t>VÄSTERNORRLANDS LÄN</t>
        </is>
      </c>
      <c r="E1682" t="inlineStr">
        <is>
          <t>SOLLEFTEÅ</t>
        </is>
      </c>
      <c r="F1682" t="inlineStr">
        <is>
          <t>Övriga Aktiebolag</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51107-2023</t>
        </is>
      </c>
      <c r="B1683" s="1" t="n">
        <v>45218.92530092593</v>
      </c>
      <c r="C1683" s="1" t="n">
        <v>45899</v>
      </c>
      <c r="D1683" t="inlineStr">
        <is>
          <t>VÄSTERNORRLANDS LÄN</t>
        </is>
      </c>
      <c r="E1683" t="inlineStr">
        <is>
          <t>SOLLEFTEÅ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4501-2023</t>
        </is>
      </c>
      <c r="B1684" s="1" t="n">
        <v>44952</v>
      </c>
      <c r="C1684" s="1" t="n">
        <v>45899</v>
      </c>
      <c r="D1684" t="inlineStr">
        <is>
          <t>VÄSTERNORRLANDS LÄN</t>
        </is>
      </c>
      <c r="E1684" t="inlineStr">
        <is>
          <t>SOLLEFTEÅ</t>
        </is>
      </c>
      <c r="F1684" t="inlineStr">
        <is>
          <t>Övriga Aktiebolag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12107-2023</t>
        </is>
      </c>
      <c r="B1685" s="1" t="n">
        <v>44995</v>
      </c>
      <c r="C1685" s="1" t="n">
        <v>45899</v>
      </c>
      <c r="D1685" t="inlineStr">
        <is>
          <t>VÄSTERNORRLANDS LÄN</t>
        </is>
      </c>
      <c r="E1685" t="inlineStr">
        <is>
          <t>SOLLEFTEÅ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38972-2025</t>
        </is>
      </c>
      <c r="B1686" s="1" t="n">
        <v>45887.71930555555</v>
      </c>
      <c r="C1686" s="1" t="n">
        <v>45899</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64638-2021</t>
        </is>
      </c>
      <c r="B1687" s="1" t="n">
        <v>44511</v>
      </c>
      <c r="C1687" s="1" t="n">
        <v>45899</v>
      </c>
      <c r="D1687" t="inlineStr">
        <is>
          <t>VÄSTERNORRLANDS LÄN</t>
        </is>
      </c>
      <c r="E1687" t="inlineStr">
        <is>
          <t>SOLLEFTEÅ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38911-2025</t>
        </is>
      </c>
      <c r="B1688" s="1" t="n">
        <v>45887.61534722222</v>
      </c>
      <c r="C1688" s="1" t="n">
        <v>45899</v>
      </c>
      <c r="D1688" t="inlineStr">
        <is>
          <t>VÄSTERNORRLANDS LÄN</t>
        </is>
      </c>
      <c r="E1688" t="inlineStr">
        <is>
          <t>SOLLEFTEÅ</t>
        </is>
      </c>
      <c r="F1688" t="inlineStr">
        <is>
          <t>SCA</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38931-2025</t>
        </is>
      </c>
      <c r="B1689" s="1" t="n">
        <v>45887.63664351852</v>
      </c>
      <c r="C1689" s="1" t="n">
        <v>45899</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33999-2025</t>
        </is>
      </c>
      <c r="B1690" s="1" t="n">
        <v>45844.36113425926</v>
      </c>
      <c r="C1690" s="1" t="n">
        <v>45899</v>
      </c>
      <c r="D1690" t="inlineStr">
        <is>
          <t>VÄSTERNORRLANDS LÄN</t>
        </is>
      </c>
      <c r="E1690" t="inlineStr">
        <is>
          <t>SOLLEFTEÅ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34051-2025</t>
        </is>
      </c>
      <c r="B1691" s="1" t="n">
        <v>45845.40672453704</v>
      </c>
      <c r="C1691" s="1" t="n">
        <v>45899</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39195-2025</t>
        </is>
      </c>
      <c r="B1692" s="1" t="n">
        <v>45888</v>
      </c>
      <c r="C1692" s="1" t="n">
        <v>45899</v>
      </c>
      <c r="D1692" t="inlineStr">
        <is>
          <t>VÄSTERNORRLANDS LÄN</t>
        </is>
      </c>
      <c r="E1692" t="inlineStr">
        <is>
          <t>SOLLEFTEÅ</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44407-2023</t>
        </is>
      </c>
      <c r="B1693" s="1" t="n">
        <v>45188.9465625</v>
      </c>
      <c r="C1693" s="1" t="n">
        <v>45899</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44408-2023</t>
        </is>
      </c>
      <c r="B1694" s="1" t="n">
        <v>45188.94663194445</v>
      </c>
      <c r="C1694" s="1" t="n">
        <v>45899</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38910-2025</t>
        </is>
      </c>
      <c r="B1695" s="1" t="n">
        <v>45887.61509259259</v>
      </c>
      <c r="C1695" s="1" t="n">
        <v>45899</v>
      </c>
      <c r="D1695" t="inlineStr">
        <is>
          <t>VÄSTERNORRLANDS LÄN</t>
        </is>
      </c>
      <c r="E1695" t="inlineStr">
        <is>
          <t>SOLLEFTEÅ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54307-2023</t>
        </is>
      </c>
      <c r="B1696" s="1" t="n">
        <v>45225</v>
      </c>
      <c r="C1696" s="1" t="n">
        <v>45899</v>
      </c>
      <c r="D1696" t="inlineStr">
        <is>
          <t>VÄSTERNORRLANDS LÄN</t>
        </is>
      </c>
      <c r="E1696" t="inlineStr">
        <is>
          <t>SOLLEFTEÅ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17682-2025</t>
        </is>
      </c>
      <c r="B1697" s="1" t="n">
        <v>45758</v>
      </c>
      <c r="C1697" s="1" t="n">
        <v>45899</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36078-2022</t>
        </is>
      </c>
      <c r="B1698" s="1" t="n">
        <v>44802.9459375</v>
      </c>
      <c r="C1698" s="1" t="n">
        <v>45899</v>
      </c>
      <c r="D1698" t="inlineStr">
        <is>
          <t>VÄSTERNORRLANDS LÄN</t>
        </is>
      </c>
      <c r="E1698" t="inlineStr">
        <is>
          <t>SOLLEFTEÅ</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25079-2023</t>
        </is>
      </c>
      <c r="B1699" s="1" t="n">
        <v>45086</v>
      </c>
      <c r="C1699" s="1" t="n">
        <v>45899</v>
      </c>
      <c r="D1699" t="inlineStr">
        <is>
          <t>VÄSTERNORRLANDS LÄN</t>
        </is>
      </c>
      <c r="E1699" t="inlineStr">
        <is>
          <t>SOLLEFTEÅ</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38958-2025</t>
        </is>
      </c>
      <c r="B1700" s="1" t="n">
        <v>45887.67751157407</v>
      </c>
      <c r="C1700" s="1" t="n">
        <v>45899</v>
      </c>
      <c r="D1700" t="inlineStr">
        <is>
          <t>VÄSTERNORRLANDS LÄN</t>
        </is>
      </c>
      <c r="E1700" t="inlineStr">
        <is>
          <t>SOLLEFTEÅ</t>
        </is>
      </c>
      <c r="F1700" t="inlineStr">
        <is>
          <t>SCA</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39671-2025</t>
        </is>
      </c>
      <c r="B1701" s="1" t="n">
        <v>45890</v>
      </c>
      <c r="C1701" s="1" t="n">
        <v>45899</v>
      </c>
      <c r="D1701" t="inlineStr">
        <is>
          <t>VÄSTERNORRLANDS LÄN</t>
        </is>
      </c>
      <c r="E1701" t="inlineStr">
        <is>
          <t>SOLLEFTEÅ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62171-2024</t>
        </is>
      </c>
      <c r="B1702" s="1" t="n">
        <v>45657.65657407408</v>
      </c>
      <c r="C1702" s="1" t="n">
        <v>45899</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34476-2025</t>
        </is>
      </c>
      <c r="B1703" s="1" t="n">
        <v>45847.36752314815</v>
      </c>
      <c r="C1703" s="1" t="n">
        <v>45899</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657-2025</t>
        </is>
      </c>
      <c r="B1704" s="1" t="n">
        <v>45664.67766203704</v>
      </c>
      <c r="C1704" s="1" t="n">
        <v>45899</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39319-2025</t>
        </is>
      </c>
      <c r="B1705" s="1" t="n">
        <v>45889.46916666667</v>
      </c>
      <c r="C1705" s="1" t="n">
        <v>45899</v>
      </c>
      <c r="D1705" t="inlineStr">
        <is>
          <t>VÄSTERNORRLANDS LÄN</t>
        </is>
      </c>
      <c r="E1705" t="inlineStr">
        <is>
          <t>SOLLEFTEÅ</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39286-2025</t>
        </is>
      </c>
      <c r="B1706" s="1" t="n">
        <v>45889.40690972222</v>
      </c>
      <c r="C1706" s="1" t="n">
        <v>45899</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37726-2023</t>
        </is>
      </c>
      <c r="B1707" s="1" t="n">
        <v>45156</v>
      </c>
      <c r="C1707" s="1" t="n">
        <v>45899</v>
      </c>
      <c r="D1707" t="inlineStr">
        <is>
          <t>VÄSTERNORRLANDS LÄN</t>
        </is>
      </c>
      <c r="E1707" t="inlineStr">
        <is>
          <t>SOLLEFTEÅ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8712-2025</t>
        </is>
      </c>
      <c r="B1708" s="1" t="n">
        <v>45712.49872685185</v>
      </c>
      <c r="C1708" s="1" t="n">
        <v>45899</v>
      </c>
      <c r="D1708" t="inlineStr">
        <is>
          <t>VÄSTERNORRLANDS LÄN</t>
        </is>
      </c>
      <c r="E1708" t="inlineStr">
        <is>
          <t>SOLLEFTEÅ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49567-2024</t>
        </is>
      </c>
      <c r="B1709" s="1" t="n">
        <v>45596.49003472222</v>
      </c>
      <c r="C1709" s="1" t="n">
        <v>45899</v>
      </c>
      <c r="D1709" t="inlineStr">
        <is>
          <t>VÄSTERNORRLANDS LÄN</t>
        </is>
      </c>
      <c r="E1709" t="inlineStr">
        <is>
          <t>SOLLEFTEÅ</t>
        </is>
      </c>
      <c r="F1709" t="inlineStr">
        <is>
          <t>SCA</t>
        </is>
      </c>
      <c r="G1709" t="n">
        <v>4.3</v>
      </c>
      <c r="H1709" t="n">
        <v>0</v>
      </c>
      <c r="I1709" t="n">
        <v>0</v>
      </c>
      <c r="J1709" t="n">
        <v>0</v>
      </c>
      <c r="K1709" t="n">
        <v>0</v>
      </c>
      <c r="L1709" t="n">
        <v>0</v>
      </c>
      <c r="M1709" t="n">
        <v>0</v>
      </c>
      <c r="N1709" t="n">
        <v>0</v>
      </c>
      <c r="O1709" t="n">
        <v>0</v>
      </c>
      <c r="P1709" t="n">
        <v>0</v>
      </c>
      <c r="Q1709" t="n">
        <v>0</v>
      </c>
      <c r="R1709" s="2" t="inlineStr"/>
      <c r="U1709">
        <f>HYPERLINK("https://klasma.github.io/Logging_2283/knärot/A 49567-2024 karta knärot.png", "A 49567-2024")</f>
        <v/>
      </c>
      <c r="V1709">
        <f>HYPERLINK("https://klasma.github.io/Logging_2283/klagomål/A 49567-2024 FSC-klagomål.docx", "A 49567-2024")</f>
        <v/>
      </c>
      <c r="W1709">
        <f>HYPERLINK("https://klasma.github.io/Logging_2283/klagomålsmail/A 49567-2024 FSC-klagomål mail.docx", "A 49567-2024")</f>
        <v/>
      </c>
      <c r="X1709">
        <f>HYPERLINK("https://klasma.github.io/Logging_2283/tillsyn/A 49567-2024 tillsynsbegäran.docx", "A 49567-2024")</f>
        <v/>
      </c>
      <c r="Y1709">
        <f>HYPERLINK("https://klasma.github.io/Logging_2283/tillsynsmail/A 49567-2024 tillsynsbegäran mail.docx", "A 49567-2024")</f>
        <v/>
      </c>
    </row>
    <row r="1710" ht="15" customHeight="1">
      <c r="A1710" t="inlineStr">
        <is>
          <t>A 39433-2025</t>
        </is>
      </c>
      <c r="B1710" s="1" t="n">
        <v>45889.67799768518</v>
      </c>
      <c r="C1710" s="1" t="n">
        <v>45899</v>
      </c>
      <c r="D1710" t="inlineStr">
        <is>
          <t>VÄSTERNORRLANDS LÄN</t>
        </is>
      </c>
      <c r="E1710" t="inlineStr">
        <is>
          <t>SOLLEFTEÅ</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39619-2025</t>
        </is>
      </c>
      <c r="B1711" s="1" t="n">
        <v>45890.57347222222</v>
      </c>
      <c r="C1711" s="1" t="n">
        <v>45899</v>
      </c>
      <c r="D1711" t="inlineStr">
        <is>
          <t>VÄSTERNORRLANDS LÄN</t>
        </is>
      </c>
      <c r="E1711" t="inlineStr">
        <is>
          <t>SOLLEFTEÅ</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39664-2025</t>
        </is>
      </c>
      <c r="B1712" s="1" t="n">
        <v>45890.63596064815</v>
      </c>
      <c r="C1712" s="1" t="n">
        <v>45899</v>
      </c>
      <c r="D1712" t="inlineStr">
        <is>
          <t>VÄSTERNORRLANDS LÄN</t>
        </is>
      </c>
      <c r="E1712" t="inlineStr">
        <is>
          <t>SOLLEFTEÅ</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26500-2024</t>
        </is>
      </c>
      <c r="B1713" s="1" t="n">
        <v>45469.57174768519</v>
      </c>
      <c r="C1713" s="1" t="n">
        <v>45899</v>
      </c>
      <c r="D1713" t="inlineStr">
        <is>
          <t>VÄSTERNORRLANDS LÄN</t>
        </is>
      </c>
      <c r="E1713" t="inlineStr">
        <is>
          <t>SOLLEFTEÅ</t>
        </is>
      </c>
      <c r="F1713" t="inlineStr">
        <is>
          <t>Holmen skog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39568-2025</t>
        </is>
      </c>
      <c r="B1714" s="1" t="n">
        <v>45890.48993055556</v>
      </c>
      <c r="C1714" s="1" t="n">
        <v>45899</v>
      </c>
      <c r="D1714" t="inlineStr">
        <is>
          <t>VÄSTERNORRLANDS LÄN</t>
        </is>
      </c>
      <c r="E1714" t="inlineStr">
        <is>
          <t>SOLLEFTEÅ</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34459-2025</t>
        </is>
      </c>
      <c r="B1715" s="1" t="n">
        <v>45847.34442129629</v>
      </c>
      <c r="C1715" s="1" t="n">
        <v>45899</v>
      </c>
      <c r="D1715" t="inlineStr">
        <is>
          <t>VÄSTERNORRLANDS LÄN</t>
        </is>
      </c>
      <c r="E1715" t="inlineStr">
        <is>
          <t>SOLLEFTEÅ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22690-2024</t>
        </is>
      </c>
      <c r="B1716" s="1" t="n">
        <v>45448.31293981482</v>
      </c>
      <c r="C1716" s="1" t="n">
        <v>45899</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7007-2025</t>
        </is>
      </c>
      <c r="B1717" s="1" t="n">
        <v>45701</v>
      </c>
      <c r="C1717" s="1" t="n">
        <v>45899</v>
      </c>
      <c r="D1717" t="inlineStr">
        <is>
          <t>VÄSTERNORRLANDS LÄN</t>
        </is>
      </c>
      <c r="E1717" t="inlineStr">
        <is>
          <t>SOLLEFTEÅ</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41456-2022</t>
        </is>
      </c>
      <c r="B1718" s="1" t="n">
        <v>44826</v>
      </c>
      <c r="C1718" s="1" t="n">
        <v>45899</v>
      </c>
      <c r="D1718" t="inlineStr">
        <is>
          <t>VÄSTERNORRLANDS LÄN</t>
        </is>
      </c>
      <c r="E1718" t="inlineStr">
        <is>
          <t>SOLLEFTEÅ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39270-2025</t>
        </is>
      </c>
      <c r="B1719" s="1" t="n">
        <v>45889.38609953703</v>
      </c>
      <c r="C1719" s="1" t="n">
        <v>45899</v>
      </c>
      <c r="D1719" t="inlineStr">
        <is>
          <t>VÄSTERNORRLANDS LÄN</t>
        </is>
      </c>
      <c r="E1719" t="inlineStr">
        <is>
          <t>SOLLEFTEÅ</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39287-2025</t>
        </is>
      </c>
      <c r="B1720" s="1" t="n">
        <v>45889.40693287037</v>
      </c>
      <c r="C1720" s="1" t="n">
        <v>45899</v>
      </c>
      <c r="D1720" t="inlineStr">
        <is>
          <t>VÄSTERNORRLANDS LÄN</t>
        </is>
      </c>
      <c r="E1720" t="inlineStr">
        <is>
          <t>SOLLEFTEÅ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9072-2025</t>
        </is>
      </c>
      <c r="B1721" s="1" t="n">
        <v>45713.65673611111</v>
      </c>
      <c r="C1721" s="1" t="n">
        <v>45899</v>
      </c>
      <c r="D1721" t="inlineStr">
        <is>
          <t>VÄSTERNORRLANDS LÄN</t>
        </is>
      </c>
      <c r="E1721" t="inlineStr">
        <is>
          <t>SOLLEFTEÅ</t>
        </is>
      </c>
      <c r="F1721" t="inlineStr">
        <is>
          <t>SCA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34309-2023</t>
        </is>
      </c>
      <c r="B1722" s="1" t="n">
        <v>45138.92300925926</v>
      </c>
      <c r="C1722" s="1" t="n">
        <v>45899</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34328-2023</t>
        </is>
      </c>
      <c r="B1723" s="1" t="n">
        <v>45138.9499074074</v>
      </c>
      <c r="C1723" s="1" t="n">
        <v>45899</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34330-2023</t>
        </is>
      </c>
      <c r="B1724" s="1" t="n">
        <v>45138</v>
      </c>
      <c r="C1724" s="1" t="n">
        <v>45899</v>
      </c>
      <c r="D1724" t="inlineStr">
        <is>
          <t>VÄSTERNORRLANDS LÄN</t>
        </is>
      </c>
      <c r="E1724" t="inlineStr">
        <is>
          <t>SOLLEFTEÅ</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29914-2024</t>
        </is>
      </c>
      <c r="B1725" s="1" t="n">
        <v>45487.92814814814</v>
      </c>
      <c r="C1725" s="1" t="n">
        <v>45899</v>
      </c>
      <c r="D1725" t="inlineStr">
        <is>
          <t>VÄSTERNORRLANDS LÄN</t>
        </is>
      </c>
      <c r="E1725" t="inlineStr">
        <is>
          <t>SOLLEFTEÅ</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34462-2025</t>
        </is>
      </c>
      <c r="B1726" s="1" t="n">
        <v>45847.34498842592</v>
      </c>
      <c r="C1726" s="1" t="n">
        <v>45899</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12062-2025</t>
        </is>
      </c>
      <c r="B1727" s="1" t="n">
        <v>45728.6984837963</v>
      </c>
      <c r="C1727" s="1" t="n">
        <v>45899</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39475-2025</t>
        </is>
      </c>
      <c r="B1728" s="1" t="n">
        <v>45890.34447916667</v>
      </c>
      <c r="C1728" s="1" t="n">
        <v>45899</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39515-2025</t>
        </is>
      </c>
      <c r="B1729" s="1" t="n">
        <v>45890.42078703704</v>
      </c>
      <c r="C1729" s="1" t="n">
        <v>45899</v>
      </c>
      <c r="D1729" t="inlineStr">
        <is>
          <t>VÄSTERNORRLANDS LÄN</t>
        </is>
      </c>
      <c r="E1729" t="inlineStr">
        <is>
          <t>SOLLEFTEÅ</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17032-2025</t>
        </is>
      </c>
      <c r="B1730" s="1" t="n">
        <v>45755</v>
      </c>
      <c r="C1730" s="1" t="n">
        <v>45899</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774-2025</t>
        </is>
      </c>
      <c r="B1731" s="1" t="n">
        <v>45659</v>
      </c>
      <c r="C1731" s="1" t="n">
        <v>45899</v>
      </c>
      <c r="D1731" t="inlineStr">
        <is>
          <t>VÄSTERNORRLANDS LÄN</t>
        </is>
      </c>
      <c r="E1731" t="inlineStr">
        <is>
          <t>SOLLEFTEÅ</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775-2025</t>
        </is>
      </c>
      <c r="B1732" s="1" t="n">
        <v>45659</v>
      </c>
      <c r="C1732" s="1" t="n">
        <v>45899</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39656-2025</t>
        </is>
      </c>
      <c r="B1733" s="1" t="n">
        <v>45890</v>
      </c>
      <c r="C1733" s="1" t="n">
        <v>45899</v>
      </c>
      <c r="D1733" t="inlineStr">
        <is>
          <t>VÄSTERNORRLANDS LÄN</t>
        </is>
      </c>
      <c r="E1733" t="inlineStr">
        <is>
          <t>SOLLEFTEÅ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31177-2023</t>
        </is>
      </c>
      <c r="B1734" s="1" t="n">
        <v>45113</v>
      </c>
      <c r="C1734" s="1" t="n">
        <v>45899</v>
      </c>
      <c r="D1734" t="inlineStr">
        <is>
          <t>VÄSTERNORRLANDS LÄN</t>
        </is>
      </c>
      <c r="E1734" t="inlineStr">
        <is>
          <t>SOLLEFTEÅ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39602-2025</t>
        </is>
      </c>
      <c r="B1735" s="1" t="n">
        <v>45890.55296296296</v>
      </c>
      <c r="C1735" s="1" t="n">
        <v>45899</v>
      </c>
      <c r="D1735" t="inlineStr">
        <is>
          <t>VÄSTERNORRLANDS LÄN</t>
        </is>
      </c>
      <c r="E1735" t="inlineStr">
        <is>
          <t>SOLLEFTEÅ</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34473-2025</t>
        </is>
      </c>
      <c r="B1736" s="1" t="n">
        <v>45847.36511574074</v>
      </c>
      <c r="C1736" s="1" t="n">
        <v>45899</v>
      </c>
      <c r="D1736" t="inlineStr">
        <is>
          <t>VÄSTERNORRLANDS LÄN</t>
        </is>
      </c>
      <c r="E1736" t="inlineStr">
        <is>
          <t>SOLLEFTEÅ</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5040-2024</t>
        </is>
      </c>
      <c r="B1737" s="1" t="n">
        <v>45329.88962962963</v>
      </c>
      <c r="C1737" s="1" t="n">
        <v>45899</v>
      </c>
      <c r="D1737" t="inlineStr">
        <is>
          <t>VÄSTERNORRLANDS LÄN</t>
        </is>
      </c>
      <c r="E1737" t="inlineStr">
        <is>
          <t>SOLLEFTEÅ</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62099-2023</t>
        </is>
      </c>
      <c r="B1738" s="1" t="n">
        <v>45266</v>
      </c>
      <c r="C1738" s="1" t="n">
        <v>45899</v>
      </c>
      <c r="D1738" t="inlineStr">
        <is>
          <t>VÄSTERNORRLANDS LÄN</t>
        </is>
      </c>
      <c r="E1738" t="inlineStr">
        <is>
          <t>SOLLEFTEÅ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13539-2024</t>
        </is>
      </c>
      <c r="B1739" s="1" t="n">
        <v>45387.92583333333</v>
      </c>
      <c r="C1739" s="1" t="n">
        <v>45899</v>
      </c>
      <c r="D1739" t="inlineStr">
        <is>
          <t>VÄSTERNORRLANDS LÄN</t>
        </is>
      </c>
      <c r="E1739" t="inlineStr">
        <is>
          <t>SOLLEFTEÅ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35041-2025</t>
        </is>
      </c>
      <c r="B1740" s="1" t="n">
        <v>45852.3443287037</v>
      </c>
      <c r="C1740" s="1" t="n">
        <v>45899</v>
      </c>
      <c r="D1740" t="inlineStr">
        <is>
          <t>VÄSTERNORRLANDS LÄN</t>
        </is>
      </c>
      <c r="E1740" t="inlineStr">
        <is>
          <t>SOLLEFTEÅ</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62363-2023</t>
        </is>
      </c>
      <c r="B1741" s="1" t="n">
        <v>45267</v>
      </c>
      <c r="C1741" s="1" t="n">
        <v>45899</v>
      </c>
      <c r="D1741" t="inlineStr">
        <is>
          <t>VÄSTERNORRLANDS LÄN</t>
        </is>
      </c>
      <c r="E1741" t="inlineStr">
        <is>
          <t>SOLLEFTEÅ</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52034-2022</t>
        </is>
      </c>
      <c r="B1742" s="1" t="n">
        <v>44872</v>
      </c>
      <c r="C1742" s="1" t="n">
        <v>45899</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58085-2023</t>
        </is>
      </c>
      <c r="B1743" s="1" t="n">
        <v>45247</v>
      </c>
      <c r="C1743" s="1" t="n">
        <v>45899</v>
      </c>
      <c r="D1743" t="inlineStr">
        <is>
          <t>VÄSTERNORRLANDS LÄN</t>
        </is>
      </c>
      <c r="E1743" t="inlineStr">
        <is>
          <t>SOLLEFTEÅ</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57846-2024</t>
        </is>
      </c>
      <c r="B1744" s="1" t="n">
        <v>45631.40759259259</v>
      </c>
      <c r="C1744" s="1" t="n">
        <v>45899</v>
      </c>
      <c r="D1744" t="inlineStr">
        <is>
          <t>VÄSTERNORRLANDS LÄN</t>
        </is>
      </c>
      <c r="E1744" t="inlineStr">
        <is>
          <t>SOLLEFTEÅ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58808-2024</t>
        </is>
      </c>
      <c r="B1745" s="1" t="n">
        <v>45636.34446759259</v>
      </c>
      <c r="C1745" s="1" t="n">
        <v>45899</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58531-2024</t>
        </is>
      </c>
      <c r="B1746" s="1" t="n">
        <v>45635.44822916666</v>
      </c>
      <c r="C1746" s="1" t="n">
        <v>45899</v>
      </c>
      <c r="D1746" t="inlineStr">
        <is>
          <t>VÄSTERNORRLANDS LÄN</t>
        </is>
      </c>
      <c r="E1746" t="inlineStr">
        <is>
          <t>SOLLEFTEÅ</t>
        </is>
      </c>
      <c r="F1746" t="inlineStr">
        <is>
          <t>SCA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64120-2023</t>
        </is>
      </c>
      <c r="B1747" s="1" t="n">
        <v>45279</v>
      </c>
      <c r="C1747" s="1" t="n">
        <v>45899</v>
      </c>
      <c r="D1747" t="inlineStr">
        <is>
          <t>VÄSTERNORRLANDS LÄN</t>
        </is>
      </c>
      <c r="E1747" t="inlineStr">
        <is>
          <t>SOLLEFTEÅ</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63138-2023</t>
        </is>
      </c>
      <c r="B1748" s="1" t="n">
        <v>45272</v>
      </c>
      <c r="C1748" s="1" t="n">
        <v>45899</v>
      </c>
      <c r="D1748" t="inlineStr">
        <is>
          <t>VÄSTERNORRLANDS LÄN</t>
        </is>
      </c>
      <c r="E1748" t="inlineStr">
        <is>
          <t>SOLLEFTEÅ</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39935-2025</t>
        </is>
      </c>
      <c r="B1749" s="1" t="n">
        <v>45891</v>
      </c>
      <c r="C1749" s="1" t="n">
        <v>45899</v>
      </c>
      <c r="D1749" t="inlineStr">
        <is>
          <t>VÄSTERNORRLANDS LÄN</t>
        </is>
      </c>
      <c r="E1749" t="inlineStr">
        <is>
          <t>SOLLEFTEÅ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40009-2025</t>
        </is>
      </c>
      <c r="B1750" s="1" t="n">
        <v>45894.34446759259</v>
      </c>
      <c r="C1750" s="1" t="n">
        <v>45899</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35086-2025</t>
        </is>
      </c>
      <c r="B1751" s="1" t="n">
        <v>45852.51719907407</v>
      </c>
      <c r="C1751" s="1" t="n">
        <v>45899</v>
      </c>
      <c r="D1751" t="inlineStr">
        <is>
          <t>VÄSTERNORRLANDS LÄN</t>
        </is>
      </c>
      <c r="E1751" t="inlineStr">
        <is>
          <t>SOLLEFTEÅ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3750-2025</t>
        </is>
      </c>
      <c r="B1752" s="1" t="n">
        <v>45681.580625</v>
      </c>
      <c r="C1752" s="1" t="n">
        <v>45899</v>
      </c>
      <c r="D1752" t="inlineStr">
        <is>
          <t>VÄSTERNORRLANDS LÄN</t>
        </is>
      </c>
      <c r="E1752" t="inlineStr">
        <is>
          <t>SOLLEFTEÅ</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40050-2025</t>
        </is>
      </c>
      <c r="B1753" s="1" t="n">
        <v>45894.40717592592</v>
      </c>
      <c r="C1753" s="1" t="n">
        <v>45899</v>
      </c>
      <c r="D1753" t="inlineStr">
        <is>
          <t>VÄSTERNORRLANDS LÄN</t>
        </is>
      </c>
      <c r="E1753" t="inlineStr">
        <is>
          <t>SOLLEFTEÅ</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35042-2025</t>
        </is>
      </c>
      <c r="B1754" s="1" t="n">
        <v>45852.34447916667</v>
      </c>
      <c r="C1754" s="1" t="n">
        <v>45899</v>
      </c>
      <c r="D1754" t="inlineStr">
        <is>
          <t>VÄSTERNORRLANDS LÄN</t>
        </is>
      </c>
      <c r="E1754" t="inlineStr">
        <is>
          <t>SOLLEFTEÅ</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12706-2025</t>
        </is>
      </c>
      <c r="B1755" s="1" t="n">
        <v>45733.46958333333</v>
      </c>
      <c r="C1755" s="1" t="n">
        <v>45899</v>
      </c>
      <c r="D1755" t="inlineStr">
        <is>
          <t>VÄSTERNORRLANDS LÄN</t>
        </is>
      </c>
      <c r="E1755" t="inlineStr">
        <is>
          <t>SOLLEFTEÅ</t>
        </is>
      </c>
      <c r="F1755" t="inlineStr">
        <is>
          <t>SCA</t>
        </is>
      </c>
      <c r="G1755" t="n">
        <v>21.7</v>
      </c>
      <c r="H1755" t="n">
        <v>0</v>
      </c>
      <c r="I1755" t="n">
        <v>0</v>
      </c>
      <c r="J1755" t="n">
        <v>0</v>
      </c>
      <c r="K1755" t="n">
        <v>0</v>
      </c>
      <c r="L1755" t="n">
        <v>0</v>
      </c>
      <c r="M1755" t="n">
        <v>0</v>
      </c>
      <c r="N1755" t="n">
        <v>0</v>
      </c>
      <c r="O1755" t="n">
        <v>0</v>
      </c>
      <c r="P1755" t="n">
        <v>0</v>
      </c>
      <c r="Q1755" t="n">
        <v>0</v>
      </c>
      <c r="R1755" s="2" t="inlineStr"/>
    </row>
    <row r="1756" ht="15" customHeight="1">
      <c r="A1756" t="inlineStr">
        <is>
          <t>A 40008-2025</t>
        </is>
      </c>
      <c r="B1756" s="1" t="n">
        <v>45894.34431712963</v>
      </c>
      <c r="C1756" s="1" t="n">
        <v>45899</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40014-2025</t>
        </is>
      </c>
      <c r="B1757" s="1" t="n">
        <v>45894</v>
      </c>
      <c r="C1757" s="1" t="n">
        <v>45899</v>
      </c>
      <c r="D1757" t="inlineStr">
        <is>
          <t>VÄSTERNORRLANDS LÄN</t>
        </is>
      </c>
      <c r="E1757" t="inlineStr">
        <is>
          <t>SOLLEFTEÅ</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35132-2025</t>
        </is>
      </c>
      <c r="B1758" s="1" t="n">
        <v>45852.63618055556</v>
      </c>
      <c r="C1758" s="1" t="n">
        <v>45899</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34870-2025</t>
        </is>
      </c>
      <c r="B1759" s="1" t="n">
        <v>45849.44729166666</v>
      </c>
      <c r="C1759" s="1" t="n">
        <v>45899</v>
      </c>
      <c r="D1759" t="inlineStr">
        <is>
          <t>VÄSTERNORRLANDS LÄN</t>
        </is>
      </c>
      <c r="E1759" t="inlineStr">
        <is>
          <t>SOLLEFTEÅ</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15621-2025</t>
        </is>
      </c>
      <c r="B1760" s="1" t="n">
        <v>45748.35635416667</v>
      </c>
      <c r="C1760" s="1" t="n">
        <v>45899</v>
      </c>
      <c r="D1760" t="inlineStr">
        <is>
          <t>VÄSTERNORRLANDS LÄN</t>
        </is>
      </c>
      <c r="E1760" t="inlineStr">
        <is>
          <t>SOLLEFTEÅ</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40190-2025</t>
        </is>
      </c>
      <c r="B1761" s="1" t="n">
        <v>45894.65664351852</v>
      </c>
      <c r="C1761" s="1" t="n">
        <v>45899</v>
      </c>
      <c r="D1761" t="inlineStr">
        <is>
          <t>VÄSTERNORRLANDS LÄN</t>
        </is>
      </c>
      <c r="E1761" t="inlineStr">
        <is>
          <t>SOLLEFTEÅ</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43531-2023</t>
        </is>
      </c>
      <c r="B1762" s="1" t="n">
        <v>45184.52731481481</v>
      </c>
      <c r="C1762" s="1" t="n">
        <v>45899</v>
      </c>
      <c r="D1762" t="inlineStr">
        <is>
          <t>VÄSTERNORRLANDS LÄN</t>
        </is>
      </c>
      <c r="E1762" t="inlineStr">
        <is>
          <t>SOLLEFTEÅ</t>
        </is>
      </c>
      <c r="F1762" t="inlineStr">
        <is>
          <t>Holmen skog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40174-2025</t>
        </is>
      </c>
      <c r="B1763" s="1" t="n">
        <v>45894.63587962963</v>
      </c>
      <c r="C1763" s="1" t="n">
        <v>45899</v>
      </c>
      <c r="D1763" t="inlineStr">
        <is>
          <t>VÄSTERNORRLANDS LÄN</t>
        </is>
      </c>
      <c r="E1763" t="inlineStr">
        <is>
          <t>SOLLEFTEÅ</t>
        </is>
      </c>
      <c r="F1763" t="inlineStr">
        <is>
          <t>SCA</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40175-2025</t>
        </is>
      </c>
      <c r="B1764" s="1" t="n">
        <v>45894.63609953703</v>
      </c>
      <c r="C1764" s="1" t="n">
        <v>45899</v>
      </c>
      <c r="D1764" t="inlineStr">
        <is>
          <t>VÄSTERNORRLANDS LÄN</t>
        </is>
      </c>
      <c r="E1764" t="inlineStr">
        <is>
          <t>SOLLEFTEÅ</t>
        </is>
      </c>
      <c r="F1764" t="inlineStr">
        <is>
          <t>SCA</t>
        </is>
      </c>
      <c r="G1764" t="n">
        <v>21.2</v>
      </c>
      <c r="H1764" t="n">
        <v>0</v>
      </c>
      <c r="I1764" t="n">
        <v>0</v>
      </c>
      <c r="J1764" t="n">
        <v>0</v>
      </c>
      <c r="K1764" t="n">
        <v>0</v>
      </c>
      <c r="L1764" t="n">
        <v>0</v>
      </c>
      <c r="M1764" t="n">
        <v>0</v>
      </c>
      <c r="N1764" t="n">
        <v>0</v>
      </c>
      <c r="O1764" t="n">
        <v>0</v>
      </c>
      <c r="P1764" t="n">
        <v>0</v>
      </c>
      <c r="Q1764" t="n">
        <v>0</v>
      </c>
      <c r="R1764" s="2" t="inlineStr"/>
    </row>
    <row r="1765" ht="15" customHeight="1">
      <c r="A1765" t="inlineStr">
        <is>
          <t>A 21589-2021</t>
        </is>
      </c>
      <c r="B1765" s="1" t="n">
        <v>44321.66534722222</v>
      </c>
      <c r="C1765" s="1" t="n">
        <v>45899</v>
      </c>
      <c r="D1765" t="inlineStr">
        <is>
          <t>VÄSTERNORRLANDS LÄN</t>
        </is>
      </c>
      <c r="E1765" t="inlineStr">
        <is>
          <t>SOLLEFTEÅ</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11727-2025</t>
        </is>
      </c>
      <c r="B1766" s="1" t="n">
        <v>45727.61512731481</v>
      </c>
      <c r="C1766" s="1" t="n">
        <v>45899</v>
      </c>
      <c r="D1766" t="inlineStr">
        <is>
          <t>VÄSTERNORRLANDS LÄN</t>
        </is>
      </c>
      <c r="E1766" t="inlineStr">
        <is>
          <t>SOLLEFTEÅ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3414-2025</t>
        </is>
      </c>
      <c r="B1767" s="1" t="n">
        <v>45680</v>
      </c>
      <c r="C1767" s="1" t="n">
        <v>45899</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49829-2024</t>
        </is>
      </c>
      <c r="B1768" s="1" t="n">
        <v>45597</v>
      </c>
      <c r="C1768" s="1" t="n">
        <v>45899</v>
      </c>
      <c r="D1768" t="inlineStr">
        <is>
          <t>VÄSTERNORRLANDS LÄN</t>
        </is>
      </c>
      <c r="E1768" t="inlineStr">
        <is>
          <t>SOLLEFTEÅ</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4897-2025</t>
        </is>
      </c>
      <c r="B1769" s="1" t="n">
        <v>45688.67913194445</v>
      </c>
      <c r="C1769" s="1" t="n">
        <v>45899</v>
      </c>
      <c r="D1769" t="inlineStr">
        <is>
          <t>VÄSTERNORRLANDS LÄN</t>
        </is>
      </c>
      <c r="E1769" t="inlineStr">
        <is>
          <t>SOLLEFTEÅ</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6736-2025</t>
        </is>
      </c>
      <c r="B1770" s="1" t="n">
        <v>45700.59442129629</v>
      </c>
      <c r="C1770" s="1" t="n">
        <v>45899</v>
      </c>
      <c r="D1770" t="inlineStr">
        <is>
          <t>VÄSTERNORRLANDS LÄN</t>
        </is>
      </c>
      <c r="E1770" t="inlineStr">
        <is>
          <t>SOLLEFTEÅ</t>
        </is>
      </c>
      <c r="F1770" t="inlineStr">
        <is>
          <t>SCA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35066-2025</t>
        </is>
      </c>
      <c r="B1771" s="1" t="n">
        <v>45852.45013888889</v>
      </c>
      <c r="C1771" s="1" t="n">
        <v>45899</v>
      </c>
      <c r="D1771" t="inlineStr">
        <is>
          <t>VÄSTERNORRLANDS LÄN</t>
        </is>
      </c>
      <c r="E1771" t="inlineStr">
        <is>
          <t>SOLLEFTEÅ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47987-2024</t>
        </is>
      </c>
      <c r="B1772" s="1" t="n">
        <v>45589.42738425926</v>
      </c>
      <c r="C1772" s="1" t="n">
        <v>45899</v>
      </c>
      <c r="D1772" t="inlineStr">
        <is>
          <t>VÄSTERNORRLANDS LÄN</t>
        </is>
      </c>
      <c r="E1772" t="inlineStr">
        <is>
          <t>SOLLEFTEÅ</t>
        </is>
      </c>
      <c r="F1772" t="inlineStr">
        <is>
          <t>SCA</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40136-2025</t>
        </is>
      </c>
      <c r="B1773" s="1" t="n">
        <v>45894.5588425926</v>
      </c>
      <c r="C1773" s="1" t="n">
        <v>45899</v>
      </c>
      <c r="D1773" t="inlineStr">
        <is>
          <t>VÄSTERNORRLANDS LÄN</t>
        </is>
      </c>
      <c r="E1773" t="inlineStr">
        <is>
          <t>SOLLEFTEÅ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23753-2021</t>
        </is>
      </c>
      <c r="B1774" s="1" t="n">
        <v>44334</v>
      </c>
      <c r="C1774" s="1" t="n">
        <v>45899</v>
      </c>
      <c r="D1774" t="inlineStr">
        <is>
          <t>VÄSTERNORRLANDS LÄN</t>
        </is>
      </c>
      <c r="E1774" t="inlineStr">
        <is>
          <t>SOLLEFTEÅ</t>
        </is>
      </c>
      <c r="G1774" t="n">
        <v>14.8</v>
      </c>
      <c r="H1774" t="n">
        <v>0</v>
      </c>
      <c r="I1774" t="n">
        <v>0</v>
      </c>
      <c r="J1774" t="n">
        <v>0</v>
      </c>
      <c r="K1774" t="n">
        <v>0</v>
      </c>
      <c r="L1774" t="n">
        <v>0</v>
      </c>
      <c r="M1774" t="n">
        <v>0</v>
      </c>
      <c r="N1774" t="n">
        <v>0</v>
      </c>
      <c r="O1774" t="n">
        <v>0</v>
      </c>
      <c r="P1774" t="n">
        <v>0</v>
      </c>
      <c r="Q1774" t="n">
        <v>0</v>
      </c>
      <c r="R1774" s="2" t="inlineStr"/>
    </row>
    <row r="1775" ht="15" customHeight="1">
      <c r="A1775" t="inlineStr">
        <is>
          <t>A 13584-2025</t>
        </is>
      </c>
      <c r="B1775" s="1" t="n">
        <v>45736.59193287037</v>
      </c>
      <c r="C1775" s="1" t="n">
        <v>45899</v>
      </c>
      <c r="D1775" t="inlineStr">
        <is>
          <t>VÄSTERNORRLANDS LÄN</t>
        </is>
      </c>
      <c r="E1775" t="inlineStr">
        <is>
          <t>SOLLEFTEÅ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49238-2024</t>
        </is>
      </c>
      <c r="B1776" s="1" t="n">
        <v>45595.44827546296</v>
      </c>
      <c r="C1776" s="1" t="n">
        <v>45899</v>
      </c>
      <c r="D1776" t="inlineStr">
        <is>
          <t>VÄSTERNORRLANDS LÄN</t>
        </is>
      </c>
      <c r="E1776" t="inlineStr">
        <is>
          <t>SOLLEFTEÅ</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40280-2025</t>
        </is>
      </c>
      <c r="B1777" s="1" t="n">
        <v>45895.36508101852</v>
      </c>
      <c r="C1777" s="1" t="n">
        <v>45899</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40515-2025</t>
        </is>
      </c>
      <c r="B1778" s="1" t="n">
        <v>45896</v>
      </c>
      <c r="C1778" s="1" t="n">
        <v>45899</v>
      </c>
      <c r="D1778" t="inlineStr">
        <is>
          <t>VÄSTERNORRLANDS LÄN</t>
        </is>
      </c>
      <c r="E1778" t="inlineStr">
        <is>
          <t>SOLLEFTEÅ</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8084-2025</t>
        </is>
      </c>
      <c r="B1779" s="1" t="n">
        <v>45707</v>
      </c>
      <c r="C1779" s="1" t="n">
        <v>45899</v>
      </c>
      <c r="D1779" t="inlineStr">
        <is>
          <t>VÄSTERNORRLANDS LÄN</t>
        </is>
      </c>
      <c r="E1779" t="inlineStr">
        <is>
          <t>SOLLEFTEÅ</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40468-2025</t>
        </is>
      </c>
      <c r="B1780" s="1" t="n">
        <v>45895.66416666667</v>
      </c>
      <c r="C1780" s="1" t="n">
        <v>45899</v>
      </c>
      <c r="D1780" t="inlineStr">
        <is>
          <t>VÄSTERNORRLANDS LÄN</t>
        </is>
      </c>
      <c r="E1780" t="inlineStr">
        <is>
          <t>SOLLEFTEÅ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40302-2025</t>
        </is>
      </c>
      <c r="B1781" s="1" t="n">
        <v>45895.40662037037</v>
      </c>
      <c r="C1781" s="1" t="n">
        <v>45899</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34376-2024</t>
        </is>
      </c>
      <c r="B1782" s="1" t="n">
        <v>45525</v>
      </c>
      <c r="C1782" s="1" t="n">
        <v>45899</v>
      </c>
      <c r="D1782" t="inlineStr">
        <is>
          <t>VÄSTERNORRLANDS LÄN</t>
        </is>
      </c>
      <c r="E1782" t="inlineStr">
        <is>
          <t>SOLLEFTEÅ</t>
        </is>
      </c>
      <c r="F1782" t="inlineStr">
        <is>
          <t>Övriga statliga verk och myndigheter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40358-2025</t>
        </is>
      </c>
      <c r="B1783" s="1" t="n">
        <v>45895.48995370371</v>
      </c>
      <c r="C1783" s="1" t="n">
        <v>45899</v>
      </c>
      <c r="D1783" t="inlineStr">
        <is>
          <t>VÄSTERNORRLANDS LÄN</t>
        </is>
      </c>
      <c r="E1783" t="inlineStr">
        <is>
          <t>SOLLEFTEÅ</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6467-2025</t>
        </is>
      </c>
      <c r="B1784" s="1" t="n">
        <v>45699</v>
      </c>
      <c r="C1784" s="1" t="n">
        <v>45899</v>
      </c>
      <c r="D1784" t="inlineStr">
        <is>
          <t>VÄSTERNORRLANDS LÄN</t>
        </is>
      </c>
      <c r="E1784" t="inlineStr">
        <is>
          <t>SOLLEFTEÅ</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10968-2025</t>
        </is>
      </c>
      <c r="B1785" s="1" t="n">
        <v>45723.38619212963</v>
      </c>
      <c r="C1785" s="1" t="n">
        <v>45899</v>
      </c>
      <c r="D1785" t="inlineStr">
        <is>
          <t>VÄSTERNORRLANDS LÄN</t>
        </is>
      </c>
      <c r="E1785" t="inlineStr">
        <is>
          <t>SOLLEFTEÅ</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10971-2025</t>
        </is>
      </c>
      <c r="B1786" s="1" t="n">
        <v>45723.38659722222</v>
      </c>
      <c r="C1786" s="1" t="n">
        <v>45899</v>
      </c>
      <c r="D1786" t="inlineStr">
        <is>
          <t>VÄSTERNORRLANDS LÄN</t>
        </is>
      </c>
      <c r="E1786" t="inlineStr">
        <is>
          <t>SOLLEFTEÅ</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36063-2025</t>
        </is>
      </c>
      <c r="B1787" s="1" t="n">
        <v>45866</v>
      </c>
      <c r="C1787" s="1" t="n">
        <v>45899</v>
      </c>
      <c r="D1787" t="inlineStr">
        <is>
          <t>VÄSTERNORRLANDS LÄN</t>
        </is>
      </c>
      <c r="E1787" t="inlineStr">
        <is>
          <t>SOLLEFTEÅ</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14554-2024</t>
        </is>
      </c>
      <c r="B1788" s="1" t="n">
        <v>45394</v>
      </c>
      <c r="C1788" s="1" t="n">
        <v>45899</v>
      </c>
      <c r="D1788" t="inlineStr">
        <is>
          <t>VÄSTERNORRLANDS LÄN</t>
        </is>
      </c>
      <c r="E1788" t="inlineStr">
        <is>
          <t>SOLLEFTEÅ</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25945-2025</t>
        </is>
      </c>
      <c r="B1789" s="1" t="n">
        <v>45804</v>
      </c>
      <c r="C1789" s="1" t="n">
        <v>45899</v>
      </c>
      <c r="D1789" t="inlineStr">
        <is>
          <t>VÄSTERNORRLANDS LÄN</t>
        </is>
      </c>
      <c r="E1789" t="inlineStr">
        <is>
          <t>SOLLEFTEÅ</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53379-2023</t>
        </is>
      </c>
      <c r="B1790" s="1" t="n">
        <v>45222</v>
      </c>
      <c r="C1790" s="1" t="n">
        <v>45899</v>
      </c>
      <c r="D1790" t="inlineStr">
        <is>
          <t>VÄSTERNORRLANDS LÄN</t>
        </is>
      </c>
      <c r="E1790" t="inlineStr">
        <is>
          <t>SOLLEFTEÅ</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26444-2024</t>
        </is>
      </c>
      <c r="B1791" s="1" t="n">
        <v>45469.50122685185</v>
      </c>
      <c r="C1791" s="1" t="n">
        <v>45899</v>
      </c>
      <c r="D1791" t="inlineStr">
        <is>
          <t>VÄSTERNORRLANDS LÄN</t>
        </is>
      </c>
      <c r="E1791" t="inlineStr">
        <is>
          <t>SOLLEFTEÅ</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59593-2023</t>
        </is>
      </c>
      <c r="B1792" s="1" t="n">
        <v>45254.61885416666</v>
      </c>
      <c r="C1792" s="1" t="n">
        <v>45899</v>
      </c>
      <c r="D1792" t="inlineStr">
        <is>
          <t>VÄSTERNORRLANDS LÄN</t>
        </is>
      </c>
      <c r="E1792" t="inlineStr">
        <is>
          <t>SOLLEFTEÅ</t>
        </is>
      </c>
      <c r="F1792" t="inlineStr">
        <is>
          <t>Holmen skog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60583-2024</t>
        </is>
      </c>
      <c r="B1793" s="1" t="n">
        <v>45644</v>
      </c>
      <c r="C1793" s="1" t="n">
        <v>45899</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2582-2025</t>
        </is>
      </c>
      <c r="B1794" s="1" t="n">
        <v>45674.67787037037</v>
      </c>
      <c r="C1794" s="1" t="n">
        <v>45899</v>
      </c>
      <c r="D1794" t="inlineStr">
        <is>
          <t>VÄSTERNORRLANDS LÄN</t>
        </is>
      </c>
      <c r="E1794" t="inlineStr">
        <is>
          <t>SOLLEFTEÅ</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12379-2025</t>
        </is>
      </c>
      <c r="B1795" s="1" t="n">
        <v>45730</v>
      </c>
      <c r="C1795" s="1" t="n">
        <v>45899</v>
      </c>
      <c r="D1795" t="inlineStr">
        <is>
          <t>VÄSTERNORRLANDS LÄN</t>
        </is>
      </c>
      <c r="E1795" t="inlineStr">
        <is>
          <t>SOLLEFTEÅ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40450-2025</t>
        </is>
      </c>
      <c r="B1796" s="1" t="n">
        <v>45895.63584490741</v>
      </c>
      <c r="C1796" s="1" t="n">
        <v>45899</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35261-2025</t>
        </is>
      </c>
      <c r="B1797" s="1" t="n">
        <v>45853</v>
      </c>
      <c r="C1797" s="1" t="n">
        <v>45899</v>
      </c>
      <c r="D1797" t="inlineStr">
        <is>
          <t>VÄSTERNORRLANDS LÄN</t>
        </is>
      </c>
      <c r="E1797" t="inlineStr">
        <is>
          <t>SOLLEFTEÅ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40662-2025</t>
        </is>
      </c>
      <c r="B1798" s="1" t="n">
        <v>45896.6487037037</v>
      </c>
      <c r="C1798" s="1" t="n">
        <v>45899</v>
      </c>
      <c r="D1798" t="inlineStr">
        <is>
          <t>VÄSTERNORRLANDS LÄN</t>
        </is>
      </c>
      <c r="E1798" t="inlineStr">
        <is>
          <t>SOLLEFTEÅ</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40651-2025</t>
        </is>
      </c>
      <c r="B1799" s="1" t="n">
        <v>45896.63585648148</v>
      </c>
      <c r="C1799" s="1" t="n">
        <v>45899</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40492-2025</t>
        </is>
      </c>
      <c r="B1800" s="1" t="n">
        <v>45896</v>
      </c>
      <c r="C1800" s="1" t="n">
        <v>45899</v>
      </c>
      <c r="D1800" t="inlineStr">
        <is>
          <t>VÄSTERNORRLANDS LÄN</t>
        </is>
      </c>
      <c r="E1800" t="inlineStr">
        <is>
          <t>SOLLEFTEÅ</t>
        </is>
      </c>
      <c r="F1800" t="inlineStr">
        <is>
          <t>Holmen skog AB</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18263-2025</t>
        </is>
      </c>
      <c r="B1801" s="1" t="n">
        <v>45762.36509259259</v>
      </c>
      <c r="C1801" s="1" t="n">
        <v>45899</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19577-2024</t>
        </is>
      </c>
      <c r="B1802" s="1" t="n">
        <v>45429</v>
      </c>
      <c r="C1802" s="1" t="n">
        <v>45899</v>
      </c>
      <c r="D1802" t="inlineStr">
        <is>
          <t>VÄSTERNORRLANDS LÄN</t>
        </is>
      </c>
      <c r="E1802" t="inlineStr">
        <is>
          <t>SOLLEFTEÅ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35286-2025</t>
        </is>
      </c>
      <c r="B1803" s="1" t="n">
        <v>45854.36512731481</v>
      </c>
      <c r="C1803" s="1" t="n">
        <v>45899</v>
      </c>
      <c r="D1803" t="inlineStr">
        <is>
          <t>VÄSTERNORRLANDS LÄN</t>
        </is>
      </c>
      <c r="E1803" t="inlineStr">
        <is>
          <t>SOLLEFTEÅ</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2883-2025</t>
        </is>
      </c>
      <c r="B1804" s="1" t="n">
        <v>45677</v>
      </c>
      <c r="C1804" s="1" t="n">
        <v>45899</v>
      </c>
      <c r="D1804" t="inlineStr">
        <is>
          <t>VÄSTERNORRLANDS LÄN</t>
        </is>
      </c>
      <c r="E1804" t="inlineStr">
        <is>
          <t>SOLLEFTEÅ</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40098-2023</t>
        </is>
      </c>
      <c r="B1805" s="1" t="n">
        <v>45168.93726851852</v>
      </c>
      <c r="C1805" s="1" t="n">
        <v>45899</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40304-2025</t>
        </is>
      </c>
      <c r="B1806" s="1" t="n">
        <v>45895.40690972222</v>
      </c>
      <c r="C1806" s="1" t="n">
        <v>45899</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36064-2025</t>
        </is>
      </c>
      <c r="B1807" s="1" t="n">
        <v>45866</v>
      </c>
      <c r="C1807" s="1" t="n">
        <v>45899</v>
      </c>
      <c r="D1807" t="inlineStr">
        <is>
          <t>VÄSTERNORRLANDS LÄN</t>
        </is>
      </c>
      <c r="E1807" t="inlineStr">
        <is>
          <t>SOLLEFTEÅ</t>
        </is>
      </c>
      <c r="F1807" t="inlineStr">
        <is>
          <t>SCA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61616-2024</t>
        </is>
      </c>
      <c r="B1808" s="1" t="n">
        <v>45645</v>
      </c>
      <c r="C1808" s="1" t="n">
        <v>45899</v>
      </c>
      <c r="D1808" t="inlineStr">
        <is>
          <t>VÄSTERNORRLANDS LÄN</t>
        </is>
      </c>
      <c r="E1808" t="inlineStr">
        <is>
          <t>SOLLEFTEÅ</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9070-2025</t>
        </is>
      </c>
      <c r="B1809" s="1" t="n">
        <v>45713.65658564815</v>
      </c>
      <c r="C1809" s="1" t="n">
        <v>45899</v>
      </c>
      <c r="D1809" t="inlineStr">
        <is>
          <t>VÄSTERNORRLANDS LÄN</t>
        </is>
      </c>
      <c r="E1809" t="inlineStr">
        <is>
          <t>SOLLEFTEÅ</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35572-2025</t>
        </is>
      </c>
      <c r="B1810" s="1" t="n">
        <v>45856.59423611111</v>
      </c>
      <c r="C1810" s="1" t="n">
        <v>45899</v>
      </c>
      <c r="D1810" t="inlineStr">
        <is>
          <t>VÄSTERNORRLANDS LÄN</t>
        </is>
      </c>
      <c r="E1810" t="inlineStr">
        <is>
          <t>SOLLEFTEÅ</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36065-2025</t>
        </is>
      </c>
      <c r="B1811" s="1" t="n">
        <v>45866</v>
      </c>
      <c r="C1811" s="1" t="n">
        <v>45899</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40701-2025</t>
        </is>
      </c>
      <c r="B1812" s="1" t="n">
        <v>45897.32884259259</v>
      </c>
      <c r="C1812" s="1" t="n">
        <v>45899</v>
      </c>
      <c r="D1812" t="inlineStr">
        <is>
          <t>VÄSTERNORRLANDS LÄN</t>
        </is>
      </c>
      <c r="E1812" t="inlineStr">
        <is>
          <t>SOLLEFTEÅ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23488-2023</t>
        </is>
      </c>
      <c r="B1813" s="1" t="n">
        <v>45072</v>
      </c>
      <c r="C1813" s="1" t="n">
        <v>45899</v>
      </c>
      <c r="D1813" t="inlineStr">
        <is>
          <t>VÄSTERNORRLANDS LÄN</t>
        </is>
      </c>
      <c r="E1813" t="inlineStr">
        <is>
          <t>SOLLEFTEÅ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41001-2025</t>
        </is>
      </c>
      <c r="B1814" s="1" t="n">
        <v>45898</v>
      </c>
      <c r="C1814" s="1" t="n">
        <v>45899</v>
      </c>
      <c r="D1814" t="inlineStr">
        <is>
          <t>VÄSTERNORRLANDS LÄN</t>
        </is>
      </c>
      <c r="E1814" t="inlineStr">
        <is>
          <t>SOLLEFTEÅ</t>
        </is>
      </c>
      <c r="F1814" t="inlineStr">
        <is>
          <t>SCA</t>
        </is>
      </c>
      <c r="G1814" t="n">
        <v>18.3</v>
      </c>
      <c r="H1814" t="n">
        <v>0</v>
      </c>
      <c r="I1814" t="n">
        <v>0</v>
      </c>
      <c r="J1814" t="n">
        <v>0</v>
      </c>
      <c r="K1814" t="n">
        <v>0</v>
      </c>
      <c r="L1814" t="n">
        <v>0</v>
      </c>
      <c r="M1814" t="n">
        <v>0</v>
      </c>
      <c r="N1814" t="n">
        <v>0</v>
      </c>
      <c r="O1814" t="n">
        <v>0</v>
      </c>
      <c r="P1814" t="n">
        <v>0</v>
      </c>
      <c r="Q1814" t="n">
        <v>0</v>
      </c>
      <c r="R1814" s="2" t="inlineStr"/>
    </row>
    <row r="1815" ht="15" customHeight="1">
      <c r="A1815" t="inlineStr">
        <is>
          <t>A 40048-2025</t>
        </is>
      </c>
      <c r="B1815" s="1" t="n">
        <v>45894.40679398148</v>
      </c>
      <c r="C1815" s="1" t="n">
        <v>45899</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40049-2025</t>
        </is>
      </c>
      <c r="B1816" s="1" t="n">
        <v>45894</v>
      </c>
      <c r="C1816" s="1" t="n">
        <v>45899</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40752-2025</t>
        </is>
      </c>
      <c r="B1817" s="1" t="n">
        <v>45897.38592592593</v>
      </c>
      <c r="C1817" s="1" t="n">
        <v>45899</v>
      </c>
      <c r="D1817" t="inlineStr">
        <is>
          <t>VÄSTERNORRLANDS LÄN</t>
        </is>
      </c>
      <c r="E1817" t="inlineStr">
        <is>
          <t>SOLLEFTEÅ</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35448-2025</t>
        </is>
      </c>
      <c r="B1818" s="1" t="n">
        <v>45855.55247685185</v>
      </c>
      <c r="C1818" s="1" t="n">
        <v>45899</v>
      </c>
      <c r="D1818" t="inlineStr">
        <is>
          <t>VÄSTERNORRLANDS LÄN</t>
        </is>
      </c>
      <c r="E1818" t="inlineStr">
        <is>
          <t>SOLLEFTEÅ</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2045-2025</t>
        </is>
      </c>
      <c r="B1819" s="1" t="n">
        <v>45672.51086805556</v>
      </c>
      <c r="C1819" s="1" t="n">
        <v>45899</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37880-2025</t>
        </is>
      </c>
      <c r="B1820" s="1" t="n">
        <v>45881.48998842593</v>
      </c>
      <c r="C1820" s="1" t="n">
        <v>45899</v>
      </c>
      <c r="D1820" t="inlineStr">
        <is>
          <t>VÄSTERNORRLANDS LÄN</t>
        </is>
      </c>
      <c r="E1820" t="inlineStr">
        <is>
          <t>SOLLEFTEÅ</t>
        </is>
      </c>
      <c r="F1820" t="inlineStr">
        <is>
          <t>SCA</t>
        </is>
      </c>
      <c r="G1820" t="n">
        <v>26.1</v>
      </c>
      <c r="H1820" t="n">
        <v>0</v>
      </c>
      <c r="I1820" t="n">
        <v>0</v>
      </c>
      <c r="J1820" t="n">
        <v>0</v>
      </c>
      <c r="K1820" t="n">
        <v>0</v>
      </c>
      <c r="L1820" t="n">
        <v>0</v>
      </c>
      <c r="M1820" t="n">
        <v>0</v>
      </c>
      <c r="N1820" t="n">
        <v>0</v>
      </c>
      <c r="O1820" t="n">
        <v>0</v>
      </c>
      <c r="P1820" t="n">
        <v>0</v>
      </c>
      <c r="Q1820" t="n">
        <v>0</v>
      </c>
      <c r="R1820" s="2" t="inlineStr"/>
    </row>
    <row r="1821" ht="15" customHeight="1">
      <c r="A1821" t="inlineStr">
        <is>
          <t>A 1030-2025</t>
        </is>
      </c>
      <c r="B1821" s="1" t="n">
        <v>45666</v>
      </c>
      <c r="C1821" s="1" t="n">
        <v>45899</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35506-2025</t>
        </is>
      </c>
      <c r="B1822" s="1" t="n">
        <v>45856</v>
      </c>
      <c r="C1822" s="1" t="n">
        <v>45899</v>
      </c>
      <c r="D1822" t="inlineStr">
        <is>
          <t>VÄSTERNORRLANDS LÄN</t>
        </is>
      </c>
      <c r="E1822" t="inlineStr">
        <is>
          <t>SOLLEFTEÅ</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35513-2025</t>
        </is>
      </c>
      <c r="B1823" s="1" t="n">
        <v>45856.36520833334</v>
      </c>
      <c r="C1823" s="1" t="n">
        <v>45899</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5447-2025</t>
        </is>
      </c>
      <c r="B1824" s="1" t="n">
        <v>45692</v>
      </c>
      <c r="C1824" s="1" t="n">
        <v>45899</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48489-2024</t>
        </is>
      </c>
      <c r="B1825" s="1" t="n">
        <v>45592</v>
      </c>
      <c r="C1825" s="1" t="n">
        <v>45899</v>
      </c>
      <c r="D1825" t="inlineStr">
        <is>
          <t>VÄSTERNORRLANDS LÄN</t>
        </is>
      </c>
      <c r="E1825" t="inlineStr">
        <is>
          <t>SOLLEFTEÅ</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44662-2024</t>
        </is>
      </c>
      <c r="B1826" s="1" t="n">
        <v>45574.53189814815</v>
      </c>
      <c r="C1826" s="1" t="n">
        <v>45899</v>
      </c>
      <c r="D1826" t="inlineStr">
        <is>
          <t>VÄSTERNORRLANDS LÄN</t>
        </is>
      </c>
      <c r="E1826" t="inlineStr">
        <is>
          <t>SOLLEFTEÅ</t>
        </is>
      </c>
      <c r="F1826" t="inlineStr">
        <is>
          <t>SCA</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8670-2023</t>
        </is>
      </c>
      <c r="B1827" s="1" t="n">
        <v>44977</v>
      </c>
      <c r="C1827" s="1" t="n">
        <v>45899</v>
      </c>
      <c r="D1827" t="inlineStr">
        <is>
          <t>VÄSTERNORRLANDS LÄN</t>
        </is>
      </c>
      <c r="E1827" t="inlineStr">
        <is>
          <t>SOLLEFTEÅ</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44533-2023</t>
        </is>
      </c>
      <c r="B1828" s="1" t="n">
        <v>45183</v>
      </c>
      <c r="C1828" s="1" t="n">
        <v>45899</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10726-2025</t>
        </is>
      </c>
      <c r="B1829" s="1" t="n">
        <v>45722.38599537037</v>
      </c>
      <c r="C1829" s="1" t="n">
        <v>45899</v>
      </c>
      <c r="D1829" t="inlineStr">
        <is>
          <t>VÄSTERNORRLANDS LÄN</t>
        </is>
      </c>
      <c r="E1829" t="inlineStr">
        <is>
          <t>SOLLEFTEÅ</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29246-2025</t>
        </is>
      </c>
      <c r="B1830" s="1" t="n">
        <v>45824</v>
      </c>
      <c r="C1830" s="1" t="n">
        <v>45899</v>
      </c>
      <c r="D1830" t="inlineStr">
        <is>
          <t>VÄSTERNORRLANDS LÄN</t>
        </is>
      </c>
      <c r="E1830" t="inlineStr">
        <is>
          <t>SOLLEFTEÅ</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41025-2025</t>
        </is>
      </c>
      <c r="B1831" s="1" t="n">
        <v>45897</v>
      </c>
      <c r="C1831" s="1" t="n">
        <v>45899</v>
      </c>
      <c r="D1831" t="inlineStr">
        <is>
          <t>VÄSTERNORRLANDS LÄN</t>
        </is>
      </c>
      <c r="E1831" t="inlineStr">
        <is>
          <t>SOLLEFTEÅ</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6876-2025</t>
        </is>
      </c>
      <c r="B1832" s="1" t="n">
        <v>45701.34446759259</v>
      </c>
      <c r="C1832" s="1" t="n">
        <v>45899</v>
      </c>
      <c r="D1832" t="inlineStr">
        <is>
          <t>VÄSTERNORRLANDS LÄN</t>
        </is>
      </c>
      <c r="E1832" t="inlineStr">
        <is>
          <t>SOLLEFTEÅ</t>
        </is>
      </c>
      <c r="F1832" t="inlineStr">
        <is>
          <t>SCA</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46804-2023</t>
        </is>
      </c>
      <c r="B1833" s="1" t="n">
        <v>45198</v>
      </c>
      <c r="C1833" s="1" t="n">
        <v>45899</v>
      </c>
      <c r="D1833" t="inlineStr">
        <is>
          <t>VÄSTERNORRLANDS LÄN</t>
        </is>
      </c>
      <c r="E1833" t="inlineStr">
        <is>
          <t>SOLLEFTEÅ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58578-2024</t>
        </is>
      </c>
      <c r="B1834" s="1" t="n">
        <v>45635</v>
      </c>
      <c r="C1834" s="1" t="n">
        <v>45899</v>
      </c>
      <c r="D1834" t="inlineStr">
        <is>
          <t>VÄSTERNORRLANDS LÄN</t>
        </is>
      </c>
      <c r="E1834" t="inlineStr">
        <is>
          <t>SOLLEFTEÅ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58588-2024</t>
        </is>
      </c>
      <c r="B1835" s="1" t="n">
        <v>45635.50605324074</v>
      </c>
      <c r="C1835" s="1" t="n">
        <v>45899</v>
      </c>
      <c r="D1835" t="inlineStr">
        <is>
          <t>VÄSTERNORRLANDS LÄN</t>
        </is>
      </c>
      <c r="E1835" t="inlineStr">
        <is>
          <t>SOLLEFTEÅ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10738-2025</t>
        </is>
      </c>
      <c r="B1836" s="1" t="n">
        <v>45722.40704861111</v>
      </c>
      <c r="C1836" s="1" t="n">
        <v>45899</v>
      </c>
      <c r="D1836" t="inlineStr">
        <is>
          <t>VÄSTERNORRLANDS LÄN</t>
        </is>
      </c>
      <c r="E1836" t="inlineStr">
        <is>
          <t>SOLLEFTEÅ</t>
        </is>
      </c>
      <c r="F1836" t="inlineStr">
        <is>
          <t>SCA</t>
        </is>
      </c>
      <c r="G1836" t="n">
        <v>10</v>
      </c>
      <c r="H1836" t="n">
        <v>0</v>
      </c>
      <c r="I1836" t="n">
        <v>0</v>
      </c>
      <c r="J1836" t="n">
        <v>0</v>
      </c>
      <c r="K1836" t="n">
        <v>0</v>
      </c>
      <c r="L1836" t="n">
        <v>0</v>
      </c>
      <c r="M1836" t="n">
        <v>0</v>
      </c>
      <c r="N1836" t="n">
        <v>0</v>
      </c>
      <c r="O1836" t="n">
        <v>0</v>
      </c>
      <c r="P1836" t="n">
        <v>0</v>
      </c>
      <c r="Q1836" t="n">
        <v>0</v>
      </c>
      <c r="R1836" s="2" t="inlineStr"/>
    </row>
    <row r="1837" ht="15" customHeight="1">
      <c r="A1837" t="inlineStr">
        <is>
          <t>A 40754-2025</t>
        </is>
      </c>
      <c r="B1837" s="1" t="n">
        <v>45897.38653935185</v>
      </c>
      <c r="C1837" s="1" t="n">
        <v>45899</v>
      </c>
      <c r="D1837" t="inlineStr">
        <is>
          <t>VÄSTERNORRLANDS LÄN</t>
        </is>
      </c>
      <c r="E1837" t="inlineStr">
        <is>
          <t>SOLLEFTEÅ</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6063-2024</t>
        </is>
      </c>
      <c r="B1838" s="1" t="n">
        <v>45336.86584490741</v>
      </c>
      <c r="C1838" s="1" t="n">
        <v>45899</v>
      </c>
      <c r="D1838" t="inlineStr">
        <is>
          <t>VÄSTERNORRLANDS LÄN</t>
        </is>
      </c>
      <c r="E1838" t="inlineStr">
        <is>
          <t>SOLLEFTEÅ</t>
        </is>
      </c>
      <c r="F1838" t="inlineStr">
        <is>
          <t>Övriga Aktiebolag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40962-2025</t>
        </is>
      </c>
      <c r="B1839" s="1" t="n">
        <v>45897.6983912037</v>
      </c>
      <c r="C1839" s="1" t="n">
        <v>45899</v>
      </c>
      <c r="D1839" t="inlineStr">
        <is>
          <t>VÄSTERNORRLANDS LÄN</t>
        </is>
      </c>
      <c r="E1839" t="inlineStr">
        <is>
          <t>SOLLEFTEÅ</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41305-2025</t>
        </is>
      </c>
      <c r="B1840" s="1" t="n">
        <v>45898.69850694444</v>
      </c>
      <c r="C1840" s="1" t="n">
        <v>45899</v>
      </c>
      <c r="D1840" t="inlineStr">
        <is>
          <t>VÄSTERNORRLANDS LÄN</t>
        </is>
      </c>
      <c r="E1840" t="inlineStr">
        <is>
          <t>SOLLEFTEÅ</t>
        </is>
      </c>
      <c r="F1840" t="inlineStr">
        <is>
          <t>SCA</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1269-2024</t>
        </is>
      </c>
      <c r="B1841" s="1" t="n">
        <v>45302</v>
      </c>
      <c r="C1841" s="1" t="n">
        <v>45899</v>
      </c>
      <c r="D1841" t="inlineStr">
        <is>
          <t>VÄSTERNORRLANDS LÄN</t>
        </is>
      </c>
      <c r="E1841" t="inlineStr">
        <is>
          <t>SOLLEFTEÅ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53929-2022</t>
        </is>
      </c>
      <c r="B1842" s="1" t="n">
        <v>44880</v>
      </c>
      <c r="C1842" s="1" t="n">
        <v>45899</v>
      </c>
      <c r="D1842" t="inlineStr">
        <is>
          <t>VÄSTERNORRLANDS LÄN</t>
        </is>
      </c>
      <c r="E1842" t="inlineStr">
        <is>
          <t>SOLLEFTEÅ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53947-2022</t>
        </is>
      </c>
      <c r="B1843" s="1" t="n">
        <v>44880.95685185185</v>
      </c>
      <c r="C1843" s="1" t="n">
        <v>45899</v>
      </c>
      <c r="D1843" t="inlineStr">
        <is>
          <t>VÄSTERNORRLANDS LÄN</t>
        </is>
      </c>
      <c r="E1843" t="inlineStr">
        <is>
          <t>SOLLEFTEÅ</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50557-2024</t>
        </is>
      </c>
      <c r="B1844" s="1" t="n">
        <v>45601</v>
      </c>
      <c r="C1844" s="1" t="n">
        <v>45899</v>
      </c>
      <c r="D1844" t="inlineStr">
        <is>
          <t>VÄSTERNORRLANDS LÄN</t>
        </is>
      </c>
      <c r="E1844" t="inlineStr">
        <is>
          <t>SOLLEFTEÅ</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17096-2025</t>
        </is>
      </c>
      <c r="B1845" s="1" t="n">
        <v>45755.65662037037</v>
      </c>
      <c r="C1845" s="1" t="n">
        <v>45899</v>
      </c>
      <c r="D1845" t="inlineStr">
        <is>
          <t>VÄSTERNORRLANDS LÄN</t>
        </is>
      </c>
      <c r="E1845" t="inlineStr">
        <is>
          <t>SOLLEFTEÅ</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38054-2024</t>
        </is>
      </c>
      <c r="B1846" s="1" t="n">
        <v>45544.71916666667</v>
      </c>
      <c r="C1846" s="1" t="n">
        <v>45899</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40967-2025</t>
        </is>
      </c>
      <c r="B1847" s="1" t="n">
        <v>45897.77547453704</v>
      </c>
      <c r="C1847" s="1" t="n">
        <v>45899</v>
      </c>
      <c r="D1847" t="inlineStr">
        <is>
          <t>VÄSTERNORRLANDS LÄN</t>
        </is>
      </c>
      <c r="E1847" t="inlineStr">
        <is>
          <t>SOLLEFTEÅ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40997-2025</t>
        </is>
      </c>
      <c r="B1848" s="1" t="n">
        <v>45898.34453703704</v>
      </c>
      <c r="C1848" s="1" t="n">
        <v>45899</v>
      </c>
      <c r="D1848" t="inlineStr">
        <is>
          <t>VÄSTERNORRLANDS LÄN</t>
        </is>
      </c>
      <c r="E1848" t="inlineStr">
        <is>
          <t>SOLLEFTEÅ</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46101-2024</t>
        </is>
      </c>
      <c r="B1849" s="1" t="n">
        <v>45581</v>
      </c>
      <c r="C1849" s="1" t="n">
        <v>45899</v>
      </c>
      <c r="D1849" t="inlineStr">
        <is>
          <t>VÄSTERNORRLANDS LÄN</t>
        </is>
      </c>
      <c r="E1849" t="inlineStr">
        <is>
          <t>SOLLEFTEÅ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8104-2025</t>
        </is>
      </c>
      <c r="B1850" s="1" t="n">
        <v>45707.69835648148</v>
      </c>
      <c r="C1850" s="1" t="n">
        <v>45899</v>
      </c>
      <c r="D1850" t="inlineStr">
        <is>
          <t>VÄSTERNORRLANDS LÄN</t>
        </is>
      </c>
      <c r="E1850" t="inlineStr">
        <is>
          <t>SOLLEFTEÅ</t>
        </is>
      </c>
      <c r="F1850" t="inlineStr">
        <is>
          <t>SCA</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8124-2025</t>
        </is>
      </c>
      <c r="B1851" s="1" t="n">
        <v>45707</v>
      </c>
      <c r="C1851" s="1" t="n">
        <v>45899</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43843-2024</t>
        </is>
      </c>
      <c r="B1852" s="1" t="n">
        <v>45572</v>
      </c>
      <c r="C1852" s="1" t="n">
        <v>45899</v>
      </c>
      <c r="D1852" t="inlineStr">
        <is>
          <t>VÄSTERNORRLANDS LÄN</t>
        </is>
      </c>
      <c r="E1852" t="inlineStr">
        <is>
          <t>SOLLEFTEÅ</t>
        </is>
      </c>
      <c r="F1852" t="inlineStr">
        <is>
          <t>SCA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61790-2024</t>
        </is>
      </c>
      <c r="B1853" s="1" t="n">
        <v>45649</v>
      </c>
      <c r="C1853" s="1" t="n">
        <v>45899</v>
      </c>
      <c r="D1853" t="inlineStr">
        <is>
          <t>VÄSTERNORRLANDS LÄN</t>
        </is>
      </c>
      <c r="E1853" t="inlineStr">
        <is>
          <t>SOLLEFTEÅ</t>
        </is>
      </c>
      <c r="F1853" t="inlineStr">
        <is>
          <t>Övriga statliga verk och myndigheter</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11455-2025</t>
        </is>
      </c>
      <c r="B1854" s="1" t="n">
        <v>45726.64886574074</v>
      </c>
      <c r="C1854" s="1" t="n">
        <v>45899</v>
      </c>
      <c r="D1854" t="inlineStr">
        <is>
          <t>VÄSTERNORRLANDS LÄN</t>
        </is>
      </c>
      <c r="E1854" t="inlineStr">
        <is>
          <t>SOLLEFTEÅ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31918-2023</t>
        </is>
      </c>
      <c r="B1855" s="1" t="n">
        <v>45118</v>
      </c>
      <c r="C1855" s="1" t="n">
        <v>45899</v>
      </c>
      <c r="D1855" t="inlineStr">
        <is>
          <t>VÄSTERNORRLANDS LÄN</t>
        </is>
      </c>
      <c r="E1855" t="inlineStr">
        <is>
          <t>SOLLEFTEÅ</t>
        </is>
      </c>
      <c r="F1855" t="inlineStr">
        <is>
          <t>SCA</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31922-2023</t>
        </is>
      </c>
      <c r="B1856" s="1" t="n">
        <v>45118.94021990741</v>
      </c>
      <c r="C1856" s="1" t="n">
        <v>45899</v>
      </c>
      <c r="D1856" t="inlineStr">
        <is>
          <t>VÄSTERNORRLANDS LÄN</t>
        </is>
      </c>
      <c r="E1856" t="inlineStr">
        <is>
          <t>SOLLEFTEÅ</t>
        </is>
      </c>
      <c r="F1856" t="inlineStr">
        <is>
          <t>SCA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8195-2025</t>
        </is>
      </c>
      <c r="B1857" s="1" t="n">
        <v>45708</v>
      </c>
      <c r="C1857" s="1" t="n">
        <v>45899</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51193-2024</t>
        </is>
      </c>
      <c r="B1858" s="1" t="n">
        <v>45603.61511574074</v>
      </c>
      <c r="C1858" s="1" t="n">
        <v>45899</v>
      </c>
      <c r="D1858" t="inlineStr">
        <is>
          <t>VÄSTERNORRLANDS LÄN</t>
        </is>
      </c>
      <c r="E1858" t="inlineStr">
        <is>
          <t>SOLLEFTEÅ</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15875-2024</t>
        </is>
      </c>
      <c r="B1859" s="1" t="n">
        <v>45405.32438657407</v>
      </c>
      <c r="C1859" s="1" t="n">
        <v>45899</v>
      </c>
      <c r="D1859" t="inlineStr">
        <is>
          <t>VÄSTERNORRLANDS LÄN</t>
        </is>
      </c>
      <c r="E1859" t="inlineStr">
        <is>
          <t>SOLLEFTEÅ</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10865-2025</t>
        </is>
      </c>
      <c r="B1860" s="1" t="n">
        <v>45722.61526620371</v>
      </c>
      <c r="C1860" s="1" t="n">
        <v>45899</v>
      </c>
      <c r="D1860" t="inlineStr">
        <is>
          <t>VÄSTERNORRLANDS LÄN</t>
        </is>
      </c>
      <c r="E1860" t="inlineStr">
        <is>
          <t>SOLLEFTEÅ</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57991-2022</t>
        </is>
      </c>
      <c r="B1861" s="1" t="n">
        <v>44900.48915509259</v>
      </c>
      <c r="C1861" s="1" t="n">
        <v>45899</v>
      </c>
      <c r="D1861" t="inlineStr">
        <is>
          <t>VÄSTERNORRLANDS LÄN</t>
        </is>
      </c>
      <c r="E1861" t="inlineStr">
        <is>
          <t>SOLLEFTEÅ</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51440-2021</t>
        </is>
      </c>
      <c r="B1862" s="1" t="n">
        <v>44461</v>
      </c>
      <c r="C1862" s="1" t="n">
        <v>45899</v>
      </c>
      <c r="D1862" t="inlineStr">
        <is>
          <t>VÄSTERNORRLANDS LÄN</t>
        </is>
      </c>
      <c r="E1862" t="inlineStr">
        <is>
          <t>SOLLEFTEÅ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50007-2024</t>
        </is>
      </c>
      <c r="B1863" s="1" t="n">
        <v>45598.57574074074</v>
      </c>
      <c r="C1863" s="1" t="n">
        <v>45899</v>
      </c>
      <c r="D1863" t="inlineStr">
        <is>
          <t>VÄSTERNORRLANDS LÄN</t>
        </is>
      </c>
      <c r="E1863" t="inlineStr">
        <is>
          <t>SOLLEFTEÅ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25795-2023</t>
        </is>
      </c>
      <c r="B1864" s="1" t="n">
        <v>45085</v>
      </c>
      <c r="C1864" s="1" t="n">
        <v>45899</v>
      </c>
      <c r="D1864" t="inlineStr">
        <is>
          <t>VÄSTERNORRLANDS LÄN</t>
        </is>
      </c>
      <c r="E1864" t="inlineStr">
        <is>
          <t>SOLLEFTEÅ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58172-2022</t>
        </is>
      </c>
      <c r="B1865" s="1" t="n">
        <v>44900.95525462963</v>
      </c>
      <c r="C1865" s="1" t="n">
        <v>45899</v>
      </c>
      <c r="D1865" t="inlineStr">
        <is>
          <t>VÄSTERNORRLANDS LÄN</t>
        </is>
      </c>
      <c r="E1865" t="inlineStr">
        <is>
          <t>SOLLEFTEÅ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48475-2020</t>
        </is>
      </c>
      <c r="B1866" s="1" t="n">
        <v>44102.94086805556</v>
      </c>
      <c r="C1866" s="1" t="n">
        <v>45899</v>
      </c>
      <c r="D1866" t="inlineStr">
        <is>
          <t>VÄSTERNORRLANDS LÄN</t>
        </is>
      </c>
      <c r="E1866" t="inlineStr">
        <is>
          <t>SOLLEFTEÅ</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38432-2022</t>
        </is>
      </c>
      <c r="B1867" s="1" t="n">
        <v>44812</v>
      </c>
      <c r="C1867" s="1" t="n">
        <v>45899</v>
      </c>
      <c r="D1867" t="inlineStr">
        <is>
          <t>VÄSTERNORRLANDS LÄN</t>
        </is>
      </c>
      <c r="E1867" t="inlineStr">
        <is>
          <t>SOLLEFTEÅ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6271-2023</t>
        </is>
      </c>
      <c r="B1868" s="1" t="n">
        <v>44959</v>
      </c>
      <c r="C1868" s="1" t="n">
        <v>45899</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30692-2021</t>
        </is>
      </c>
      <c r="B1869" s="1" t="n">
        <v>44365</v>
      </c>
      <c r="C1869" s="1" t="n">
        <v>45899</v>
      </c>
      <c r="D1869" t="inlineStr">
        <is>
          <t>VÄSTERNORRLANDS LÄN</t>
        </is>
      </c>
      <c r="E1869" t="inlineStr">
        <is>
          <t>SOLLEFTEÅ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394-2024</t>
        </is>
      </c>
      <c r="B1870" s="1" t="n">
        <v>45296</v>
      </c>
      <c r="C1870" s="1" t="n">
        <v>45899</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62098-2023</t>
        </is>
      </c>
      <c r="B1871" s="1" t="n">
        <v>45266</v>
      </c>
      <c r="C1871" s="1" t="n">
        <v>45899</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62100-2023</t>
        </is>
      </c>
      <c r="B1872" s="1" t="n">
        <v>45266.92689814815</v>
      </c>
      <c r="C1872" s="1" t="n">
        <v>45899</v>
      </c>
      <c r="D1872" t="inlineStr">
        <is>
          <t>VÄSTERNORRLANDS LÄN</t>
        </is>
      </c>
      <c r="E1872" t="inlineStr">
        <is>
          <t>SOLLEFTEÅ</t>
        </is>
      </c>
      <c r="G1872" t="n">
        <v>16.6</v>
      </c>
      <c r="H1872" t="n">
        <v>0</v>
      </c>
      <c r="I1872" t="n">
        <v>0</v>
      </c>
      <c r="J1872" t="n">
        <v>0</v>
      </c>
      <c r="K1872" t="n">
        <v>0</v>
      </c>
      <c r="L1872" t="n">
        <v>0</v>
      </c>
      <c r="M1872" t="n">
        <v>0</v>
      </c>
      <c r="N1872" t="n">
        <v>0</v>
      </c>
      <c r="O1872" t="n">
        <v>0</v>
      </c>
      <c r="P1872" t="n">
        <v>0</v>
      </c>
      <c r="Q1872" t="n">
        <v>0</v>
      </c>
      <c r="R1872" s="2" t="inlineStr"/>
    </row>
    <row r="1873" ht="15" customHeight="1">
      <c r="A1873" t="inlineStr">
        <is>
          <t>A 8169-2025</t>
        </is>
      </c>
      <c r="B1873" s="1" t="n">
        <v>45708.3653125</v>
      </c>
      <c r="C1873" s="1" t="n">
        <v>45899</v>
      </c>
      <c r="D1873" t="inlineStr">
        <is>
          <t>VÄSTERNORRLANDS LÄN</t>
        </is>
      </c>
      <c r="E1873" t="inlineStr">
        <is>
          <t>SOLLEFTEÅ</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56356-2023</t>
        </is>
      </c>
      <c r="B1874" s="1" t="n">
        <v>45236</v>
      </c>
      <c r="C1874" s="1" t="n">
        <v>45899</v>
      </c>
      <c r="D1874" t="inlineStr">
        <is>
          <t>VÄSTERNORRLANDS LÄN</t>
        </is>
      </c>
      <c r="E1874" t="inlineStr">
        <is>
          <t>SOLLEFTEÅ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7014-2025</t>
        </is>
      </c>
      <c r="B1875" s="1" t="n">
        <v>45701.61085648148</v>
      </c>
      <c r="C1875" s="1" t="n">
        <v>45899</v>
      </c>
      <c r="D1875" t="inlineStr">
        <is>
          <t>VÄSTERNORRLANDS LÄN</t>
        </is>
      </c>
      <c r="E1875" t="inlineStr">
        <is>
          <t>SOLLEFTEÅ</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33591-2023</t>
        </is>
      </c>
      <c r="B1876" s="1" t="n">
        <v>45131</v>
      </c>
      <c r="C1876" s="1" t="n">
        <v>45899</v>
      </c>
      <c r="D1876" t="inlineStr">
        <is>
          <t>VÄSTERNORRLANDS LÄN</t>
        </is>
      </c>
      <c r="E1876" t="inlineStr">
        <is>
          <t>SOLLEFTEÅ</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58994-2024</t>
        </is>
      </c>
      <c r="B1877" s="1" t="n">
        <v>45636.63717592593</v>
      </c>
      <c r="C1877" s="1" t="n">
        <v>45899</v>
      </c>
      <c r="D1877" t="inlineStr">
        <is>
          <t>VÄSTERNORRLANDS LÄN</t>
        </is>
      </c>
      <c r="E1877" t="inlineStr">
        <is>
          <t>SOLLEFTEÅ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35217-2024</t>
        </is>
      </c>
      <c r="B1878" s="1" t="n">
        <v>45530</v>
      </c>
      <c r="C1878" s="1" t="n">
        <v>45899</v>
      </c>
      <c r="D1878" t="inlineStr">
        <is>
          <t>VÄSTERNORRLANDS LÄN</t>
        </is>
      </c>
      <c r="E1878" t="inlineStr">
        <is>
          <t>SOLLEFTEÅ</t>
        </is>
      </c>
      <c r="F1878" t="inlineStr">
        <is>
          <t>Kommuner</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9121-2024</t>
        </is>
      </c>
      <c r="B1879" s="1" t="n">
        <v>45358.04099537037</v>
      </c>
      <c r="C1879" s="1" t="n">
        <v>45899</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14730-2025</t>
        </is>
      </c>
      <c r="B1880" s="1" t="n">
        <v>45742.63587962963</v>
      </c>
      <c r="C1880" s="1" t="n">
        <v>45899</v>
      </c>
      <c r="D1880" t="inlineStr">
        <is>
          <t>VÄSTERNORRLANDS LÄN</t>
        </is>
      </c>
      <c r="E1880" t="inlineStr">
        <is>
          <t>SOLLEFTEÅ</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33739-2024</t>
        </is>
      </c>
      <c r="B1881" s="1" t="n">
        <v>45520.55943287037</v>
      </c>
      <c r="C1881" s="1" t="n">
        <v>45899</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16633-2025</t>
        </is>
      </c>
      <c r="B1882" s="1" t="n">
        <v>45754.36517361111</v>
      </c>
      <c r="C1882" s="1" t="n">
        <v>45899</v>
      </c>
      <c r="D1882" t="inlineStr">
        <is>
          <t>VÄSTERNORRLANDS LÄN</t>
        </is>
      </c>
      <c r="E1882" t="inlineStr">
        <is>
          <t>SOLLEFTEÅ</t>
        </is>
      </c>
      <c r="F1882" t="inlineStr">
        <is>
          <t>SCA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18364-2024</t>
        </is>
      </c>
      <c r="B1883" s="1" t="n">
        <v>45422</v>
      </c>
      <c r="C1883" s="1" t="n">
        <v>45899</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3424-2025</t>
        </is>
      </c>
      <c r="B1884" s="1" t="n">
        <v>45680</v>
      </c>
      <c r="C1884" s="1" t="n">
        <v>45899</v>
      </c>
      <c r="D1884" t="inlineStr">
        <is>
          <t>VÄSTERNORRLANDS LÄN</t>
        </is>
      </c>
      <c r="E1884" t="inlineStr">
        <is>
          <t>SOLLEFTEÅ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7585-2024</t>
        </is>
      </c>
      <c r="B1885" s="1" t="n">
        <v>45348</v>
      </c>
      <c r="C1885" s="1" t="n">
        <v>45899</v>
      </c>
      <c r="D1885" t="inlineStr">
        <is>
          <t>VÄSTERNORRLANDS LÄN</t>
        </is>
      </c>
      <c r="E1885" t="inlineStr">
        <is>
          <t>SOLLEFTEÅ</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9254-2025</t>
        </is>
      </c>
      <c r="B1886" s="1" t="n">
        <v>45714.59442129629</v>
      </c>
      <c r="C1886" s="1" t="n">
        <v>45899</v>
      </c>
      <c r="D1886" t="inlineStr">
        <is>
          <t>VÄSTERNORRLANDS LÄN</t>
        </is>
      </c>
      <c r="E1886" t="inlineStr">
        <is>
          <t>SOLLEFTEÅ</t>
        </is>
      </c>
      <c r="F1886" t="inlineStr">
        <is>
          <t>SCA</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59179-2024</t>
        </is>
      </c>
      <c r="B1887" s="1" t="n">
        <v>45637.51149305556</v>
      </c>
      <c r="C1887" s="1" t="n">
        <v>45899</v>
      </c>
      <c r="D1887" t="inlineStr">
        <is>
          <t>VÄSTERNORRLANDS LÄN</t>
        </is>
      </c>
      <c r="E1887" t="inlineStr">
        <is>
          <t>SOLLEFTEÅ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30063-2024</t>
        </is>
      </c>
      <c r="B1888" s="1" t="n">
        <v>45488.94841435185</v>
      </c>
      <c r="C1888" s="1" t="n">
        <v>45899</v>
      </c>
      <c r="D1888" t="inlineStr">
        <is>
          <t>VÄSTERNORRLANDS LÄN</t>
        </is>
      </c>
      <c r="E1888" t="inlineStr">
        <is>
          <t>SOLLEFTEÅ</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34543-2022</t>
        </is>
      </c>
      <c r="B1889" s="1" t="n">
        <v>44793</v>
      </c>
      <c r="C1889" s="1" t="n">
        <v>45899</v>
      </c>
      <c r="D1889" t="inlineStr">
        <is>
          <t>VÄSTERNORRLANDS LÄN</t>
        </is>
      </c>
      <c r="E1889" t="inlineStr">
        <is>
          <t>SOLLEFTEÅ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30068-2024</t>
        </is>
      </c>
      <c r="B1890" s="1" t="n">
        <v>45488.94886574074</v>
      </c>
      <c r="C1890" s="1" t="n">
        <v>45899</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2939-2025</t>
        </is>
      </c>
      <c r="B1891" s="1" t="n">
        <v>45678.38581018519</v>
      </c>
      <c r="C1891" s="1" t="n">
        <v>45899</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3368-2025</t>
        </is>
      </c>
      <c r="B1892" s="1" t="n">
        <v>45679</v>
      </c>
      <c r="C1892" s="1" t="n">
        <v>45899</v>
      </c>
      <c r="D1892" t="inlineStr">
        <is>
          <t>VÄSTERNORRLANDS LÄN</t>
        </is>
      </c>
      <c r="E1892" t="inlineStr">
        <is>
          <t>SOLLEFTEÅ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39504-2021</t>
        </is>
      </c>
      <c r="B1893" s="1" t="n">
        <v>44414.93480324074</v>
      </c>
      <c r="C1893" s="1" t="n">
        <v>45899</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7569-2025</t>
        </is>
      </c>
      <c r="B1894" s="1" t="n">
        <v>45705.59442129629</v>
      </c>
      <c r="C1894" s="1" t="n">
        <v>45899</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61345-2022</t>
        </is>
      </c>
      <c r="B1895" s="1" t="n">
        <v>44915</v>
      </c>
      <c r="C1895" s="1" t="n">
        <v>45899</v>
      </c>
      <c r="D1895" t="inlineStr">
        <is>
          <t>VÄSTERNORRLANDS LÄN</t>
        </is>
      </c>
      <c r="E1895" t="inlineStr">
        <is>
          <t>SOLLEFTEÅ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61383-2022</t>
        </is>
      </c>
      <c r="B1896" s="1" t="n">
        <v>44915</v>
      </c>
      <c r="C1896" s="1" t="n">
        <v>45899</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37046-2024</t>
        </is>
      </c>
      <c r="B1897" s="1" t="n">
        <v>45539.42739583334</v>
      </c>
      <c r="C1897" s="1" t="n">
        <v>45899</v>
      </c>
      <c r="D1897" t="inlineStr">
        <is>
          <t>VÄSTERNORRLANDS LÄN</t>
        </is>
      </c>
      <c r="E1897" t="inlineStr">
        <is>
          <t>SOLLEFTEÅ</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1402-2022</t>
        </is>
      </c>
      <c r="B1898" s="1" t="n">
        <v>44573</v>
      </c>
      <c r="C1898" s="1" t="n">
        <v>45899</v>
      </c>
      <c r="D1898" t="inlineStr">
        <is>
          <t>VÄSTERNORRLANDS LÄN</t>
        </is>
      </c>
      <c r="E1898" t="inlineStr">
        <is>
          <t>SOLLEFTEÅ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8894-2025</t>
        </is>
      </c>
      <c r="B1899" s="1" t="n">
        <v>45713.40665509259</v>
      </c>
      <c r="C1899" s="1" t="n">
        <v>45899</v>
      </c>
      <c r="D1899" t="inlineStr">
        <is>
          <t>VÄSTERNORRLANDS LÄN</t>
        </is>
      </c>
      <c r="E1899" t="inlineStr">
        <is>
          <t>SOLLEFTEÅ</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54572-2024</t>
        </is>
      </c>
      <c r="B1900" s="1" t="n">
        <v>45617.65054398148</v>
      </c>
      <c r="C1900" s="1" t="n">
        <v>45899</v>
      </c>
      <c r="D1900" t="inlineStr">
        <is>
          <t>VÄSTERNORRLANDS LÄN</t>
        </is>
      </c>
      <c r="E1900" t="inlineStr">
        <is>
          <t>SOLLEFTEÅ</t>
        </is>
      </c>
      <c r="G1900" t="n">
        <v>28.2</v>
      </c>
      <c r="H1900" t="n">
        <v>0</v>
      </c>
      <c r="I1900" t="n">
        <v>0</v>
      </c>
      <c r="J1900" t="n">
        <v>0</v>
      </c>
      <c r="K1900" t="n">
        <v>0</v>
      </c>
      <c r="L1900" t="n">
        <v>0</v>
      </c>
      <c r="M1900" t="n">
        <v>0</v>
      </c>
      <c r="N1900" t="n">
        <v>0</v>
      </c>
      <c r="O1900" t="n">
        <v>0</v>
      </c>
      <c r="P1900" t="n">
        <v>0</v>
      </c>
      <c r="Q1900" t="n">
        <v>0</v>
      </c>
      <c r="R1900" s="2" t="inlineStr"/>
    </row>
    <row r="1901" ht="15" customHeight="1">
      <c r="A1901" t="inlineStr">
        <is>
          <t>A 54574-2024</t>
        </is>
      </c>
      <c r="B1901" s="1" t="n">
        <v>45617.65201388889</v>
      </c>
      <c r="C1901" s="1" t="n">
        <v>45899</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18795-2025</t>
        </is>
      </c>
      <c r="B1902" s="1" t="n">
        <v>45764.34564814815</v>
      </c>
      <c r="C1902" s="1" t="n">
        <v>45899</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326-2025</t>
        </is>
      </c>
      <c r="B1903" s="1" t="n">
        <v>45660.65653935185</v>
      </c>
      <c r="C1903" s="1" t="n">
        <v>45899</v>
      </c>
      <c r="D1903" t="inlineStr">
        <is>
          <t>VÄSTERNORRLANDS LÄN</t>
        </is>
      </c>
      <c r="E1903" t="inlineStr">
        <is>
          <t>SOLLEFTEÅ</t>
        </is>
      </c>
      <c r="F1903" t="inlineStr">
        <is>
          <t>SCA</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34473-2021</t>
        </is>
      </c>
      <c r="B1904" s="1" t="n">
        <v>44381.93096064815</v>
      </c>
      <c r="C1904" s="1" t="n">
        <v>45899</v>
      </c>
      <c r="D1904" t="inlineStr">
        <is>
          <t>VÄSTERNORRLANDS LÄN</t>
        </is>
      </c>
      <c r="E1904" t="inlineStr">
        <is>
          <t>SOLLEFTEÅ</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45120-2022</t>
        </is>
      </c>
      <c r="B1905" s="1" t="n">
        <v>44843</v>
      </c>
      <c r="C1905" s="1" t="n">
        <v>45899</v>
      </c>
      <c r="D1905" t="inlineStr">
        <is>
          <t>VÄSTERNORRLANDS LÄN</t>
        </is>
      </c>
      <c r="E1905" t="inlineStr">
        <is>
          <t>SOLLEFTEÅ</t>
        </is>
      </c>
      <c r="F1905" t="inlineStr">
        <is>
          <t>SCA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9834-2025</t>
        </is>
      </c>
      <c r="B1906" s="1" t="n">
        <v>45716</v>
      </c>
      <c r="C1906" s="1" t="n">
        <v>45899</v>
      </c>
      <c r="D1906" t="inlineStr">
        <is>
          <t>VÄSTERNORRLANDS LÄN</t>
        </is>
      </c>
      <c r="E1906" t="inlineStr">
        <is>
          <t>SOLLEFTEÅ</t>
        </is>
      </c>
      <c r="G1906" t="n">
        <v>17.3</v>
      </c>
      <c r="H1906" t="n">
        <v>0</v>
      </c>
      <c r="I1906" t="n">
        <v>0</v>
      </c>
      <c r="J1906" t="n">
        <v>0</v>
      </c>
      <c r="K1906" t="n">
        <v>0</v>
      </c>
      <c r="L1906" t="n">
        <v>0</v>
      </c>
      <c r="M1906" t="n">
        <v>0</v>
      </c>
      <c r="N1906" t="n">
        <v>0</v>
      </c>
      <c r="O1906" t="n">
        <v>0</v>
      </c>
      <c r="P1906" t="n">
        <v>0</v>
      </c>
      <c r="Q1906" t="n">
        <v>0</v>
      </c>
      <c r="R1906" s="2" t="inlineStr"/>
    </row>
    <row r="1907" ht="15" customHeight="1">
      <c r="A1907" t="inlineStr">
        <is>
          <t>A 43772-2022</t>
        </is>
      </c>
      <c r="B1907" s="1" t="n">
        <v>44837</v>
      </c>
      <c r="C1907" s="1" t="n">
        <v>45899</v>
      </c>
      <c r="D1907" t="inlineStr">
        <is>
          <t>VÄSTERNORRLANDS LÄN</t>
        </is>
      </c>
      <c r="E1907" t="inlineStr">
        <is>
          <t>SOLLEFTEÅ</t>
        </is>
      </c>
      <c r="F1907" t="inlineStr">
        <is>
          <t>Kyrkan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25989-2021</t>
        </is>
      </c>
      <c r="B1908" s="1" t="n">
        <v>44344</v>
      </c>
      <c r="C1908" s="1" t="n">
        <v>45899</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25999-2021</t>
        </is>
      </c>
      <c r="B1909" s="1" t="n">
        <v>44344</v>
      </c>
      <c r="C1909" s="1" t="n">
        <v>45899</v>
      </c>
      <c r="D1909" t="inlineStr">
        <is>
          <t>VÄSTERNORRLANDS LÄN</t>
        </is>
      </c>
      <c r="E1909" t="inlineStr">
        <is>
          <t>SOLLEFTEÅ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58380-2020</t>
        </is>
      </c>
      <c r="B1910" s="1" t="n">
        <v>44145</v>
      </c>
      <c r="C1910" s="1" t="n">
        <v>45899</v>
      </c>
      <c r="D1910" t="inlineStr">
        <is>
          <t>VÄSTERNORRLANDS LÄN</t>
        </is>
      </c>
      <c r="E1910" t="inlineStr">
        <is>
          <t>SOLLEFTEÅ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68030-2020</t>
        </is>
      </c>
      <c r="B1911" s="1" t="n">
        <v>44182</v>
      </c>
      <c r="C1911" s="1" t="n">
        <v>45899</v>
      </c>
      <c r="D1911" t="inlineStr">
        <is>
          <t>VÄSTERNORRLANDS LÄN</t>
        </is>
      </c>
      <c r="E1911" t="inlineStr">
        <is>
          <t>SOLLEFTEÅ</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68037-2020</t>
        </is>
      </c>
      <c r="B1912" s="1" t="n">
        <v>44182</v>
      </c>
      <c r="C1912" s="1" t="n">
        <v>45899</v>
      </c>
      <c r="D1912" t="inlineStr">
        <is>
          <t>VÄSTERNORRLANDS LÄN</t>
        </is>
      </c>
      <c r="E1912" t="inlineStr">
        <is>
          <t>SOLLEFTEÅ</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34395-2021</t>
        </is>
      </c>
      <c r="B1913" s="1" t="n">
        <v>44379</v>
      </c>
      <c r="C1913" s="1" t="n">
        <v>45899</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49160-2021</t>
        </is>
      </c>
      <c r="B1914" s="1" t="n">
        <v>44453.94021990741</v>
      </c>
      <c r="C1914" s="1" t="n">
        <v>45899</v>
      </c>
      <c r="D1914" t="inlineStr">
        <is>
          <t>VÄSTERNORRLANDS LÄN</t>
        </is>
      </c>
      <c r="E1914" t="inlineStr">
        <is>
          <t>SOLLEFTEÅ</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8657-2025</t>
        </is>
      </c>
      <c r="B1915" s="1" t="n">
        <v>45712.38577546296</v>
      </c>
      <c r="C1915" s="1" t="n">
        <v>45899</v>
      </c>
      <c r="D1915" t="inlineStr">
        <is>
          <t>VÄSTERNORRLANDS LÄN</t>
        </is>
      </c>
      <c r="E1915" t="inlineStr">
        <is>
          <t>SOLLEFTEÅ</t>
        </is>
      </c>
      <c r="F1915" t="inlineStr">
        <is>
          <t>SCA</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41413-2024</t>
        </is>
      </c>
      <c r="B1916" s="1" t="n">
        <v>45560.345</v>
      </c>
      <c r="C1916" s="1" t="n">
        <v>45899</v>
      </c>
      <c r="D1916" t="inlineStr">
        <is>
          <t>VÄSTERNORRLANDS LÄN</t>
        </is>
      </c>
      <c r="E1916" t="inlineStr">
        <is>
          <t>SOLLEFTEÅ</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41420-2024</t>
        </is>
      </c>
      <c r="B1917" s="1" t="n">
        <v>45560.34616898148</v>
      </c>
      <c r="C1917" s="1" t="n">
        <v>45899</v>
      </c>
      <c r="D1917" t="inlineStr">
        <is>
          <t>VÄSTERNORRLANDS LÄN</t>
        </is>
      </c>
      <c r="E1917" t="inlineStr">
        <is>
          <t>SOLLEFTEÅ</t>
        </is>
      </c>
      <c r="F1917" t="inlineStr">
        <is>
          <t>SCA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13652-2025</t>
        </is>
      </c>
      <c r="B1918" s="1" t="n">
        <v>45736.71909722222</v>
      </c>
      <c r="C1918" s="1" t="n">
        <v>45899</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44762-2022</t>
        </is>
      </c>
      <c r="B1919" s="1" t="n">
        <v>44840</v>
      </c>
      <c r="C1919" s="1" t="n">
        <v>45899</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12063-2025</t>
        </is>
      </c>
      <c r="B1920" s="1" t="n">
        <v>45728.69851851852</v>
      </c>
      <c r="C1920" s="1" t="n">
        <v>45899</v>
      </c>
      <c r="D1920" t="inlineStr">
        <is>
          <t>VÄSTERNORRLANDS LÄN</t>
        </is>
      </c>
      <c r="E1920" t="inlineStr">
        <is>
          <t>SOLLEFTEÅ</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42970-2024</t>
        </is>
      </c>
      <c r="B1921" s="1" t="n">
        <v>45567.37322916667</v>
      </c>
      <c r="C1921" s="1" t="n">
        <v>45899</v>
      </c>
      <c r="D1921" t="inlineStr">
        <is>
          <t>VÄSTERNORRLANDS LÄN</t>
        </is>
      </c>
      <c r="E1921" t="inlineStr">
        <is>
          <t>SOLLEFTEÅ</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42981-2024</t>
        </is>
      </c>
      <c r="B1922" s="1" t="n">
        <v>45567.37460648148</v>
      </c>
      <c r="C1922" s="1" t="n">
        <v>45899</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45973-2023</t>
        </is>
      </c>
      <c r="B1923" s="1" t="n">
        <v>45195</v>
      </c>
      <c r="C1923" s="1" t="n">
        <v>45899</v>
      </c>
      <c r="D1923" t="inlineStr">
        <is>
          <t>VÄSTERNORRLANDS LÄN</t>
        </is>
      </c>
      <c r="E1923" t="inlineStr">
        <is>
          <t>SOLLEFTEÅ</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14712-2025</t>
        </is>
      </c>
      <c r="B1924" s="1" t="n">
        <v>45742.61008101852</v>
      </c>
      <c r="C1924" s="1" t="n">
        <v>45899</v>
      </c>
      <c r="D1924" t="inlineStr">
        <is>
          <t>VÄSTERNORRLANDS LÄN</t>
        </is>
      </c>
      <c r="E1924" t="inlineStr">
        <is>
          <t>SOLLEFTEÅ</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19682-2025</t>
        </is>
      </c>
      <c r="B1925" s="1" t="n">
        <v>45770.85163194445</v>
      </c>
      <c r="C1925" s="1" t="n">
        <v>45899</v>
      </c>
      <c r="D1925" t="inlineStr">
        <is>
          <t>VÄSTERNORRLANDS LÄN</t>
        </is>
      </c>
      <c r="E1925" t="inlineStr">
        <is>
          <t>SOLLEFTEÅ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28366-2023</t>
        </is>
      </c>
      <c r="B1926" s="1" t="n">
        <v>45099</v>
      </c>
      <c r="C1926" s="1" t="n">
        <v>45899</v>
      </c>
      <c r="D1926" t="inlineStr">
        <is>
          <t>VÄSTERNORRLANDS LÄN</t>
        </is>
      </c>
      <c r="E1926" t="inlineStr">
        <is>
          <t>SOLLEFTEÅ</t>
        </is>
      </c>
      <c r="F1926" t="inlineStr">
        <is>
          <t>SCA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45334-2024</t>
        </is>
      </c>
      <c r="B1927" s="1" t="n">
        <v>45576</v>
      </c>
      <c r="C1927" s="1" t="n">
        <v>45899</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31477-2024</t>
        </is>
      </c>
      <c r="B1928" s="1" t="n">
        <v>45505</v>
      </c>
      <c r="C1928" s="1" t="n">
        <v>45899</v>
      </c>
      <c r="D1928" t="inlineStr">
        <is>
          <t>VÄSTERNORRLANDS LÄN</t>
        </is>
      </c>
      <c r="E1928" t="inlineStr">
        <is>
          <t>SOLLEFTEÅ</t>
        </is>
      </c>
      <c r="F1928" t="inlineStr">
        <is>
          <t>SCA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18761-2023</t>
        </is>
      </c>
      <c r="B1929" s="1" t="n">
        <v>45043</v>
      </c>
      <c r="C1929" s="1" t="n">
        <v>45899</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18762-2023</t>
        </is>
      </c>
      <c r="B1930" s="1" t="n">
        <v>45043</v>
      </c>
      <c r="C1930" s="1" t="n">
        <v>45899</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4131-2025</t>
        </is>
      </c>
      <c r="B1931" s="1" t="n">
        <v>45685.34508101852</v>
      </c>
      <c r="C1931" s="1" t="n">
        <v>45899</v>
      </c>
      <c r="D1931" t="inlineStr">
        <is>
          <t>VÄSTERNORRLANDS LÄN</t>
        </is>
      </c>
      <c r="E1931" t="inlineStr">
        <is>
          <t>SOLLEFTEÅ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31680-2024</t>
        </is>
      </c>
      <c r="B1932" s="1" t="n">
        <v>45506.94894675926</v>
      </c>
      <c r="C1932" s="1" t="n">
        <v>45899</v>
      </c>
      <c r="D1932" t="inlineStr">
        <is>
          <t>VÄSTERNORRLANDS LÄN</t>
        </is>
      </c>
      <c r="E1932" t="inlineStr">
        <is>
          <t>SOLLEFTEÅ</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1480-2025</t>
        </is>
      </c>
      <c r="B1933" s="1" t="n">
        <v>45670.38575231482</v>
      </c>
      <c r="C1933" s="1" t="n">
        <v>45899</v>
      </c>
      <c r="D1933" t="inlineStr">
        <is>
          <t>VÄSTERNORRLANDS LÄN</t>
        </is>
      </c>
      <c r="E1933" t="inlineStr">
        <is>
          <t>SOLLEFTEÅ</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42482-2024</t>
        </is>
      </c>
      <c r="B1934" s="1" t="n">
        <v>45565</v>
      </c>
      <c r="C1934" s="1" t="n">
        <v>45899</v>
      </c>
      <c r="D1934" t="inlineStr">
        <is>
          <t>VÄSTERNORRLANDS LÄN</t>
        </is>
      </c>
      <c r="E1934" t="inlineStr">
        <is>
          <t>SOLLEFTEÅ</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13315-2025</t>
        </is>
      </c>
      <c r="B1935" s="1" t="n">
        <v>45735.59418981482</v>
      </c>
      <c r="C1935" s="1" t="n">
        <v>45899</v>
      </c>
      <c r="D1935" t="inlineStr">
        <is>
          <t>VÄSTERNORRLANDS LÄN</t>
        </is>
      </c>
      <c r="E1935" t="inlineStr">
        <is>
          <t>SOLLEFTEÅ</t>
        </is>
      </c>
      <c r="F1935" t="inlineStr">
        <is>
          <t>SCA</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29336-2023</t>
        </is>
      </c>
      <c r="B1936" s="1" t="n">
        <v>45105</v>
      </c>
      <c r="C1936" s="1" t="n">
        <v>45899</v>
      </c>
      <c r="D1936" t="inlineStr">
        <is>
          <t>VÄSTERNORRLANDS LÄN</t>
        </is>
      </c>
      <c r="E1936" t="inlineStr">
        <is>
          <t>SOLLEFTEÅ</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68022-2020</t>
        </is>
      </c>
      <c r="B1937" s="1" t="n">
        <v>44182</v>
      </c>
      <c r="C1937" s="1" t="n">
        <v>45899</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18741-2021</t>
        </is>
      </c>
      <c r="B1938" s="1" t="n">
        <v>44306</v>
      </c>
      <c r="C1938" s="1" t="n">
        <v>45899</v>
      </c>
      <c r="D1938" t="inlineStr">
        <is>
          <t>VÄSTERNORRLANDS LÄN</t>
        </is>
      </c>
      <c r="E1938" t="inlineStr">
        <is>
          <t>SOLLEFTEÅ</t>
        </is>
      </c>
      <c r="F1938" t="inlineStr">
        <is>
          <t>Kyrkan</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58478-2021</t>
        </is>
      </c>
      <c r="B1939" s="1" t="n">
        <v>44488</v>
      </c>
      <c r="C1939" s="1" t="n">
        <v>45899</v>
      </c>
      <c r="D1939" t="inlineStr">
        <is>
          <t>VÄSTERNORRLANDS LÄN</t>
        </is>
      </c>
      <c r="E1939" t="inlineStr">
        <is>
          <t>SOLLEFTEÅ</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66178-2021</t>
        </is>
      </c>
      <c r="B1940" s="1" t="n">
        <v>44517</v>
      </c>
      <c r="C1940" s="1" t="n">
        <v>45899</v>
      </c>
      <c r="D1940" t="inlineStr">
        <is>
          <t>VÄSTERNORRLANDS LÄN</t>
        </is>
      </c>
      <c r="E1940" t="inlineStr">
        <is>
          <t>SOLLEFTEÅ</t>
        </is>
      </c>
      <c r="F1940" t="inlineStr">
        <is>
          <t>SCA</t>
        </is>
      </c>
      <c r="G1940" t="n">
        <v>31.7</v>
      </c>
      <c r="H1940" t="n">
        <v>0</v>
      </c>
      <c r="I1940" t="n">
        <v>0</v>
      </c>
      <c r="J1940" t="n">
        <v>0</v>
      </c>
      <c r="K1940" t="n">
        <v>0</v>
      </c>
      <c r="L1940" t="n">
        <v>0</v>
      </c>
      <c r="M1940" t="n">
        <v>0</v>
      </c>
      <c r="N1940" t="n">
        <v>0</v>
      </c>
      <c r="O1940" t="n">
        <v>0</v>
      </c>
      <c r="P1940" t="n">
        <v>0</v>
      </c>
      <c r="Q1940" t="n">
        <v>0</v>
      </c>
      <c r="R1940" s="2" t="inlineStr"/>
    </row>
    <row r="1941" ht="15" customHeight="1">
      <c r="A1941" t="inlineStr">
        <is>
          <t>A 31965-2022</t>
        </is>
      </c>
      <c r="B1941" s="1" t="n">
        <v>44777.95460648148</v>
      </c>
      <c r="C1941" s="1" t="n">
        <v>45899</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47965-2024</t>
        </is>
      </c>
      <c r="B1942" s="1" t="n">
        <v>45589.38638888889</v>
      </c>
      <c r="C1942" s="1" t="n">
        <v>45899</v>
      </c>
      <c r="D1942" t="inlineStr">
        <is>
          <t>VÄSTERNORRLANDS LÄN</t>
        </is>
      </c>
      <c r="E1942" t="inlineStr">
        <is>
          <t>SOLLEFTEÅ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62260-2022</t>
        </is>
      </c>
      <c r="B1943" s="1" t="n">
        <v>44922.94366898148</v>
      </c>
      <c r="C1943" s="1" t="n">
        <v>45899</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45542-2020</t>
        </is>
      </c>
      <c r="B1944" s="1" t="n">
        <v>44089</v>
      </c>
      <c r="C1944" s="1" t="n">
        <v>45899</v>
      </c>
      <c r="D1944" t="inlineStr">
        <is>
          <t>VÄSTERNORRLANDS LÄN</t>
        </is>
      </c>
      <c r="E1944" t="inlineStr">
        <is>
          <t>SOLLEFTEÅ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48296-2022</t>
        </is>
      </c>
      <c r="B1945" s="1" t="n">
        <v>44858.51815972223</v>
      </c>
      <c r="C1945" s="1" t="n">
        <v>45899</v>
      </c>
      <c r="D1945" t="inlineStr">
        <is>
          <t>VÄSTERNORRLANDS LÄN</t>
        </is>
      </c>
      <c r="E1945" t="inlineStr">
        <is>
          <t>SOLLEFTEÅ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5111-2022</t>
        </is>
      </c>
      <c r="B1946" s="1" t="n">
        <v>44593.92144675926</v>
      </c>
      <c r="C1946" s="1" t="n">
        <v>45899</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10140-2022</t>
        </is>
      </c>
      <c r="B1947" s="1" t="n">
        <v>44621</v>
      </c>
      <c r="C1947" s="1" t="n">
        <v>45899</v>
      </c>
      <c r="D1947" t="inlineStr">
        <is>
          <t>VÄSTERNORRLANDS LÄN</t>
        </is>
      </c>
      <c r="E1947" t="inlineStr">
        <is>
          <t>SOLLEFTEÅ</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13858-2025</t>
        </is>
      </c>
      <c r="B1948" s="1" t="n">
        <v>45737.57341435185</v>
      </c>
      <c r="C1948" s="1" t="n">
        <v>45899</v>
      </c>
      <c r="D1948" t="inlineStr">
        <is>
          <t>VÄSTERNORRLANDS LÄN</t>
        </is>
      </c>
      <c r="E1948" t="inlineStr">
        <is>
          <t>SOLLEFTEÅ</t>
        </is>
      </c>
      <c r="F1948" t="inlineStr">
        <is>
          <t>SCA</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11746-2025</t>
        </is>
      </c>
      <c r="B1949" s="1" t="n">
        <v>45727.63577546296</v>
      </c>
      <c r="C1949" s="1" t="n">
        <v>45899</v>
      </c>
      <c r="D1949" t="inlineStr">
        <is>
          <t>VÄSTERNORRLANDS LÄN</t>
        </is>
      </c>
      <c r="E1949" t="inlineStr">
        <is>
          <t>SOLLEFTEÅ</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57080-2023</t>
        </is>
      </c>
      <c r="B1950" s="1" t="n">
        <v>45244</v>
      </c>
      <c r="C1950" s="1" t="n">
        <v>45899</v>
      </c>
      <c r="D1950" t="inlineStr">
        <is>
          <t>VÄSTERNORRLANDS LÄN</t>
        </is>
      </c>
      <c r="E1950" t="inlineStr">
        <is>
          <t>SOLLEFTEÅ</t>
        </is>
      </c>
      <c r="F1950" t="inlineStr">
        <is>
          <t>SCA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19936-2025</t>
        </is>
      </c>
      <c r="B1951" s="1" t="n">
        <v>45771.64130787037</v>
      </c>
      <c r="C1951" s="1" t="n">
        <v>45899</v>
      </c>
      <c r="D1951" t="inlineStr">
        <is>
          <t>VÄSTERNORRLANDS LÄN</t>
        </is>
      </c>
      <c r="E1951" t="inlineStr">
        <is>
          <t>SOLLEFTEÅ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19949-2025</t>
        </is>
      </c>
      <c r="B1952" s="1" t="n">
        <v>45771.65688657408</v>
      </c>
      <c r="C1952" s="1" t="n">
        <v>45899</v>
      </c>
      <c r="D1952" t="inlineStr">
        <is>
          <t>VÄSTERNORRLANDS LÄN</t>
        </is>
      </c>
      <c r="E1952" t="inlineStr">
        <is>
          <t>SOLLEFTEÅ</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32812-2024</t>
        </is>
      </c>
      <c r="B1953" s="1" t="n">
        <v>45516</v>
      </c>
      <c r="C1953" s="1" t="n">
        <v>45899</v>
      </c>
      <c r="D1953" t="inlineStr">
        <is>
          <t>VÄSTERNORRLANDS LÄN</t>
        </is>
      </c>
      <c r="E1953" t="inlineStr">
        <is>
          <t>SOLLEFTEÅ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14875-2023</t>
        </is>
      </c>
      <c r="B1954" s="1" t="n">
        <v>45015.07292824074</v>
      </c>
      <c r="C1954" s="1" t="n">
        <v>45899</v>
      </c>
      <c r="D1954" t="inlineStr">
        <is>
          <t>VÄSTERNORRLANDS LÄN</t>
        </is>
      </c>
      <c r="E1954" t="inlineStr">
        <is>
          <t>SOLLEFTEÅ</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19354-2025</t>
        </is>
      </c>
      <c r="B1955" s="1" t="n">
        <v>45769.61320601852</v>
      </c>
      <c r="C1955" s="1" t="n">
        <v>45899</v>
      </c>
      <c r="D1955" t="inlineStr">
        <is>
          <t>VÄSTERNORRLANDS LÄN</t>
        </is>
      </c>
      <c r="E1955" t="inlineStr">
        <is>
          <t>SOLLEFTEÅ</t>
        </is>
      </c>
      <c r="F1955" t="inlineStr">
        <is>
          <t>Holmen skog AB</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10256-2023</t>
        </is>
      </c>
      <c r="B1956" s="1" t="n">
        <v>44980</v>
      </c>
      <c r="C1956" s="1" t="n">
        <v>45899</v>
      </c>
      <c r="D1956" t="inlineStr">
        <is>
          <t>VÄSTERNORRLANDS LÄN</t>
        </is>
      </c>
      <c r="E1956" t="inlineStr">
        <is>
          <t>SOLLEFTEÅ</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5108-2022</t>
        </is>
      </c>
      <c r="B1957" s="1" t="n">
        <v>44593.92135416667</v>
      </c>
      <c r="C1957" s="1" t="n">
        <v>45899</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51735-2024</t>
        </is>
      </c>
      <c r="B1958" s="1" t="n">
        <v>45607.40127314815</v>
      </c>
      <c r="C1958" s="1" t="n">
        <v>45899</v>
      </c>
      <c r="D1958" t="inlineStr">
        <is>
          <t>VÄSTERNORRLANDS LÄN</t>
        </is>
      </c>
      <c r="E1958" t="inlineStr">
        <is>
          <t>SOLLEFTEÅ</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39399-2023</t>
        </is>
      </c>
      <c r="B1959" s="1" t="n">
        <v>45163</v>
      </c>
      <c r="C1959" s="1" t="n">
        <v>45899</v>
      </c>
      <c r="D1959" t="inlineStr">
        <is>
          <t>VÄSTERNORRLANDS LÄN</t>
        </is>
      </c>
      <c r="E1959" t="inlineStr">
        <is>
          <t>SOLLEFTEÅ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18304-2022</t>
        </is>
      </c>
      <c r="B1960" s="1" t="n">
        <v>44685</v>
      </c>
      <c r="C1960" s="1" t="n">
        <v>45899</v>
      </c>
      <c r="D1960" t="inlineStr">
        <is>
          <t>VÄSTERNORRLANDS LÄN</t>
        </is>
      </c>
      <c r="E1960" t="inlineStr">
        <is>
          <t>SOLLEFTEÅ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45778-2024</t>
        </is>
      </c>
      <c r="B1961" s="1" t="n">
        <v>45579.66471064815</v>
      </c>
      <c r="C1961" s="1" t="n">
        <v>45899</v>
      </c>
      <c r="D1961" t="inlineStr">
        <is>
          <t>VÄSTERNORRLANDS LÄN</t>
        </is>
      </c>
      <c r="E1961" t="inlineStr">
        <is>
          <t>SOLLEFTEÅ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45801-2024</t>
        </is>
      </c>
      <c r="B1962" s="1" t="n">
        <v>45579.67798611111</v>
      </c>
      <c r="C1962" s="1" t="n">
        <v>45899</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45802-2024</t>
        </is>
      </c>
      <c r="B1963" s="1" t="n">
        <v>45579.67818287037</v>
      </c>
      <c r="C1963" s="1" t="n">
        <v>45899</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17172-2024</t>
        </is>
      </c>
      <c r="B1964" s="1" t="n">
        <v>45412.97858796296</v>
      </c>
      <c r="C1964" s="1" t="n">
        <v>45899</v>
      </c>
      <c r="D1964" t="inlineStr">
        <is>
          <t>VÄSTERNORRLANDS LÄN</t>
        </is>
      </c>
      <c r="E1964" t="inlineStr">
        <is>
          <t>SOLLEFTEÅ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21195-2023</t>
        </is>
      </c>
      <c r="B1965" s="1" t="n">
        <v>45057</v>
      </c>
      <c r="C1965" s="1" t="n">
        <v>45899</v>
      </c>
      <c r="D1965" t="inlineStr">
        <is>
          <t>VÄSTERNORRLANDS LÄN</t>
        </is>
      </c>
      <c r="E1965" t="inlineStr">
        <is>
          <t>SOLLEFTEÅ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21230-2023</t>
        </is>
      </c>
      <c r="B1966" s="1" t="n">
        <v>45057</v>
      </c>
      <c r="C1966" s="1" t="n">
        <v>45899</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57655-2023</t>
        </is>
      </c>
      <c r="B1967" s="1" t="n">
        <v>45246</v>
      </c>
      <c r="C1967" s="1" t="n">
        <v>45899</v>
      </c>
      <c r="D1967" t="inlineStr">
        <is>
          <t>VÄSTERNORRLANDS LÄN</t>
        </is>
      </c>
      <c r="E1967" t="inlineStr">
        <is>
          <t>SOLLEFTEÅ</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31537-2024</t>
        </is>
      </c>
      <c r="B1968" s="1" t="n">
        <v>45505.96146990741</v>
      </c>
      <c r="C1968" s="1" t="n">
        <v>45899</v>
      </c>
      <c r="D1968" t="inlineStr">
        <is>
          <t>VÄSTERNORRLANDS LÄN</t>
        </is>
      </c>
      <c r="E1968" t="inlineStr">
        <is>
          <t>SOLLEFTEÅ</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61384-2022</t>
        </is>
      </c>
      <c r="B1969" s="1" t="n">
        <v>44915</v>
      </c>
      <c r="C1969" s="1" t="n">
        <v>45899</v>
      </c>
      <c r="D1969" t="inlineStr">
        <is>
          <t>VÄSTERNORRLANDS LÄN</t>
        </is>
      </c>
      <c r="E1969" t="inlineStr">
        <is>
          <t>SOLLEFTEÅ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49171-2022</t>
        </is>
      </c>
      <c r="B1970" s="1" t="n">
        <v>44860.9269212963</v>
      </c>
      <c r="C1970" s="1" t="n">
        <v>45899</v>
      </c>
      <c r="D1970" t="inlineStr">
        <is>
          <t>VÄSTERNORRLANDS LÄN</t>
        </is>
      </c>
      <c r="E1970" t="inlineStr">
        <is>
          <t>SOLLEFTEÅ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6735-2025</t>
        </is>
      </c>
      <c r="B1971" s="1" t="n">
        <v>45700.59434027778</v>
      </c>
      <c r="C1971" s="1" t="n">
        <v>45899</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6737-2025</t>
        </is>
      </c>
      <c r="B1972" s="1" t="n">
        <v>45700.59450231482</v>
      </c>
      <c r="C1972" s="1" t="n">
        <v>45899</v>
      </c>
      <c r="D1972" t="inlineStr">
        <is>
          <t>VÄSTERNORRLANDS LÄN</t>
        </is>
      </c>
      <c r="E1972" t="inlineStr">
        <is>
          <t>SOLLEFTEÅ</t>
        </is>
      </c>
      <c r="F1972" t="inlineStr">
        <is>
          <t>SCA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19205-2025</t>
        </is>
      </c>
      <c r="B1973" s="1" t="n">
        <v>45769.42861111111</v>
      </c>
      <c r="C1973" s="1" t="n">
        <v>45899</v>
      </c>
      <c r="D1973" t="inlineStr">
        <is>
          <t>VÄSTERNORRLANDS LÄN</t>
        </is>
      </c>
      <c r="E1973" t="inlineStr">
        <is>
          <t>SOLLEFTEÅ</t>
        </is>
      </c>
      <c r="F1973" t="inlineStr">
        <is>
          <t>SCA</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19207-2025</t>
        </is>
      </c>
      <c r="B1974" s="1" t="n">
        <v>45769</v>
      </c>
      <c r="C1974" s="1" t="n">
        <v>45899</v>
      </c>
      <c r="D1974" t="inlineStr">
        <is>
          <t>VÄSTERNORRLANDS LÄN</t>
        </is>
      </c>
      <c r="E1974" t="inlineStr">
        <is>
          <t>SOLLEFTEÅ</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37691-2023</t>
        </is>
      </c>
      <c r="B1975" s="1" t="n">
        <v>45156</v>
      </c>
      <c r="C1975" s="1" t="n">
        <v>45899</v>
      </c>
      <c r="D1975" t="inlineStr">
        <is>
          <t>VÄSTERNORRLANDS LÄN</t>
        </is>
      </c>
      <c r="E1975" t="inlineStr">
        <is>
          <t>SOLLEFTEÅ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32924-2024</t>
        </is>
      </c>
      <c r="B1976" s="1" t="n">
        <v>45516.95292824074</v>
      </c>
      <c r="C1976" s="1" t="n">
        <v>45899</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9708-2025</t>
        </is>
      </c>
      <c r="B1977" s="1" t="n">
        <v>45716.38607638889</v>
      </c>
      <c r="C1977" s="1" t="n">
        <v>45899</v>
      </c>
      <c r="D1977" t="inlineStr">
        <is>
          <t>VÄSTERNORRLANDS LÄN</t>
        </is>
      </c>
      <c r="E1977" t="inlineStr">
        <is>
          <t>SOLLEFTEÅ</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42512-2023</t>
        </is>
      </c>
      <c r="B1978" s="1" t="n">
        <v>45180.95953703704</v>
      </c>
      <c r="C1978" s="1" t="n">
        <v>45899</v>
      </c>
      <c r="D1978" t="inlineStr">
        <is>
          <t>VÄSTERNORRLANDS LÄN</t>
        </is>
      </c>
      <c r="E1978" t="inlineStr">
        <is>
          <t>SOLLEFTEÅ</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20437-2025</t>
        </is>
      </c>
      <c r="B1979" s="1" t="n">
        <v>45775</v>
      </c>
      <c r="C1979" s="1" t="n">
        <v>45899</v>
      </c>
      <c r="D1979" t="inlineStr">
        <is>
          <t>VÄSTERNORRLANDS LÄN</t>
        </is>
      </c>
      <c r="E1979" t="inlineStr">
        <is>
          <t>SOLLEFTEÅ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17034-2025</t>
        </is>
      </c>
      <c r="B1980" s="1" t="n">
        <v>45755.57385416667</v>
      </c>
      <c r="C1980" s="1" t="n">
        <v>45899</v>
      </c>
      <c r="D1980" t="inlineStr">
        <is>
          <t>VÄSTERNORRLANDS LÄN</t>
        </is>
      </c>
      <c r="E1980" t="inlineStr">
        <is>
          <t>SOLLEFTEÅ</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13637-2025</t>
        </is>
      </c>
      <c r="B1981" s="1" t="n">
        <v>45736.65681712963</v>
      </c>
      <c r="C1981" s="1" t="n">
        <v>45899</v>
      </c>
      <c r="D1981" t="inlineStr">
        <is>
          <t>VÄSTERNORRLANDS LÄN</t>
        </is>
      </c>
      <c r="E1981" t="inlineStr">
        <is>
          <t>SOLLEFTEÅ</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42229-2021</t>
        </is>
      </c>
      <c r="B1982" s="1" t="n">
        <v>44426.93474537037</v>
      </c>
      <c r="C1982" s="1" t="n">
        <v>45899</v>
      </c>
      <c r="D1982" t="inlineStr">
        <is>
          <t>VÄSTERNORRLANDS LÄN</t>
        </is>
      </c>
      <c r="E1982" t="inlineStr">
        <is>
          <t>SOLLEFTEÅ</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20183-2025</t>
        </is>
      </c>
      <c r="B1983" s="1" t="n">
        <v>45772.59440972222</v>
      </c>
      <c r="C1983" s="1" t="n">
        <v>45899</v>
      </c>
      <c r="D1983" t="inlineStr">
        <is>
          <t>VÄSTERNORRLANDS LÄN</t>
        </is>
      </c>
      <c r="E1983" t="inlineStr">
        <is>
          <t>SOLLEFTEÅ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64013-2023</t>
        </is>
      </c>
      <c r="B1984" s="1" t="n">
        <v>45278</v>
      </c>
      <c r="C1984" s="1" t="n">
        <v>45899</v>
      </c>
      <c r="D1984" t="inlineStr">
        <is>
          <t>VÄSTERNORRLANDS LÄN</t>
        </is>
      </c>
      <c r="E1984" t="inlineStr">
        <is>
          <t>SOLLEFTEÅ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1466-2025</t>
        </is>
      </c>
      <c r="B1985" s="1" t="n">
        <v>45670</v>
      </c>
      <c r="C1985" s="1" t="n">
        <v>45899</v>
      </c>
      <c r="D1985" t="inlineStr">
        <is>
          <t>VÄSTERNORRLANDS LÄN</t>
        </is>
      </c>
      <c r="E1985" t="inlineStr">
        <is>
          <t>SOLLEFTEÅ</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35872-2024</t>
        </is>
      </c>
      <c r="B1986" s="1" t="n">
        <v>45533</v>
      </c>
      <c r="C1986" s="1" t="n">
        <v>45899</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17173-2024</t>
        </is>
      </c>
      <c r="B1987" s="1" t="n">
        <v>45412.97866898148</v>
      </c>
      <c r="C1987" s="1" t="n">
        <v>45899</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56685-2023</t>
        </is>
      </c>
      <c r="B1988" s="1" t="n">
        <v>45243.96600694444</v>
      </c>
      <c r="C1988" s="1" t="n">
        <v>45899</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54607-2023</t>
        </is>
      </c>
      <c r="B1989" s="1" t="n">
        <v>45233.95748842593</v>
      </c>
      <c r="C1989" s="1" t="n">
        <v>45899</v>
      </c>
      <c r="D1989" t="inlineStr">
        <is>
          <t>VÄSTERNORRLANDS LÄN</t>
        </is>
      </c>
      <c r="E1989" t="inlineStr">
        <is>
          <t>SOLLEFTEÅ</t>
        </is>
      </c>
      <c r="F1989" t="inlineStr">
        <is>
          <t>SCA</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19051-2022</t>
        </is>
      </c>
      <c r="B1990" s="1" t="n">
        <v>44691.41167824074</v>
      </c>
      <c r="C1990" s="1" t="n">
        <v>45899</v>
      </c>
      <c r="D1990" t="inlineStr">
        <is>
          <t>VÄSTERNORRLANDS LÄN</t>
        </is>
      </c>
      <c r="E1990" t="inlineStr">
        <is>
          <t>SOLLEFTEÅ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47741-2023</t>
        </is>
      </c>
      <c r="B1991" s="1" t="n">
        <v>45198</v>
      </c>
      <c r="C1991" s="1" t="n">
        <v>45899</v>
      </c>
      <c r="D1991" t="inlineStr">
        <is>
          <t>VÄSTERNORRLANDS LÄN</t>
        </is>
      </c>
      <c r="E1991" t="inlineStr">
        <is>
          <t>SOLLEFTEÅ</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21349-2023</t>
        </is>
      </c>
      <c r="B1992" s="1" t="n">
        <v>45062.9390625</v>
      </c>
      <c r="C1992" s="1" t="n">
        <v>45899</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25877-2021</t>
        </is>
      </c>
      <c r="B1993" s="1" t="n">
        <v>44344</v>
      </c>
      <c r="C1993" s="1" t="n">
        <v>45899</v>
      </c>
      <c r="D1993" t="inlineStr">
        <is>
          <t>VÄSTERNORRLANDS LÄN</t>
        </is>
      </c>
      <c r="E1993" t="inlineStr">
        <is>
          <t>SOLLEFTEÅ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43049-2024</t>
        </is>
      </c>
      <c r="B1994" s="1" t="n">
        <v>45567</v>
      </c>
      <c r="C1994" s="1" t="n">
        <v>45899</v>
      </c>
      <c r="D1994" t="inlineStr">
        <is>
          <t>VÄSTERNORRLANDS LÄN</t>
        </is>
      </c>
      <c r="E1994" t="inlineStr">
        <is>
          <t>SOLLEFTEÅ</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49508-2020</t>
        </is>
      </c>
      <c r="B1995" s="1" t="n">
        <v>44105</v>
      </c>
      <c r="C1995" s="1" t="n">
        <v>45899</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25986-2023</t>
        </is>
      </c>
      <c r="B1996" s="1" t="n">
        <v>45090</v>
      </c>
      <c r="C1996" s="1" t="n">
        <v>45899</v>
      </c>
      <c r="D1996" t="inlineStr">
        <is>
          <t>VÄSTERNORRLANDS LÄN</t>
        </is>
      </c>
      <c r="E1996" t="inlineStr">
        <is>
          <t>SOLLEFTEÅ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57273-2022</t>
        </is>
      </c>
      <c r="B1997" s="1" t="n">
        <v>44895.9487962963</v>
      </c>
      <c r="C1997" s="1" t="n">
        <v>45899</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37354-2024</t>
        </is>
      </c>
      <c r="B1998" s="1" t="n">
        <v>45540.54201388889</v>
      </c>
      <c r="C1998" s="1" t="n">
        <v>45899</v>
      </c>
      <c r="D1998" t="inlineStr">
        <is>
          <t>VÄSTERNORRLANDS LÄN</t>
        </is>
      </c>
      <c r="E1998" t="inlineStr">
        <is>
          <t>SOLLEFTEÅ</t>
        </is>
      </c>
      <c r="F1998" t="inlineStr">
        <is>
          <t>Holmen skog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21924-2021</t>
        </is>
      </c>
      <c r="B1999" s="1" t="n">
        <v>44322.91836805556</v>
      </c>
      <c r="C1999" s="1" t="n">
        <v>45899</v>
      </c>
      <c r="D1999" t="inlineStr">
        <is>
          <t>VÄSTERNORRLANDS LÄN</t>
        </is>
      </c>
      <c r="E1999" t="inlineStr">
        <is>
          <t>SOLLEFTEÅ</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38283-2021</t>
        </is>
      </c>
      <c r="B2000" s="1" t="n">
        <v>44405</v>
      </c>
      <c r="C2000" s="1" t="n">
        <v>45899</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14169-2024</t>
        </is>
      </c>
      <c r="B2001" s="1" t="n">
        <v>45392.95831018518</v>
      </c>
      <c r="C2001" s="1" t="n">
        <v>45899</v>
      </c>
      <c r="D2001" t="inlineStr">
        <is>
          <t>VÄSTERNORRLANDS LÄN</t>
        </is>
      </c>
      <c r="E2001" t="inlineStr">
        <is>
          <t>SOLLEFTEÅ</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62662-2022</t>
        </is>
      </c>
      <c r="B2002" s="1" t="n">
        <v>44917</v>
      </c>
      <c r="C2002" s="1" t="n">
        <v>45899</v>
      </c>
      <c r="D2002" t="inlineStr">
        <is>
          <t>VÄSTERNORRLANDS LÄN</t>
        </is>
      </c>
      <c r="E2002" t="inlineStr">
        <is>
          <t>SOLLEFTEÅ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19929-2025</t>
        </is>
      </c>
      <c r="B2003" s="1" t="n">
        <v>45771.6359837963</v>
      </c>
      <c r="C2003" s="1" t="n">
        <v>45899</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19932-2025</t>
        </is>
      </c>
      <c r="B2004" s="1" t="n">
        <v>45771.63940972222</v>
      </c>
      <c r="C2004" s="1" t="n">
        <v>45899</v>
      </c>
      <c r="D2004" t="inlineStr">
        <is>
          <t>VÄSTERNORRLANDS LÄN</t>
        </is>
      </c>
      <c r="E2004" t="inlineStr">
        <is>
          <t>SOLLEFTEÅ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36685-2024</t>
        </is>
      </c>
      <c r="B2005" s="1" t="n">
        <v>45537.66467592592</v>
      </c>
      <c r="C2005" s="1" t="n">
        <v>45899</v>
      </c>
      <c r="D2005" t="inlineStr">
        <is>
          <t>VÄSTERNORRLANDS LÄN</t>
        </is>
      </c>
      <c r="E2005" t="inlineStr">
        <is>
          <t>SOLLEFTEÅ</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49403-2024</t>
        </is>
      </c>
      <c r="B2006" s="1" t="n">
        <v>45595.67730324074</v>
      </c>
      <c r="C2006" s="1" t="n">
        <v>45899</v>
      </c>
      <c r="D2006" t="inlineStr">
        <is>
          <t>VÄSTERNORRLANDS LÄN</t>
        </is>
      </c>
      <c r="E2006" t="inlineStr">
        <is>
          <t>SOLLEFTEÅ</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35975-2023</t>
        </is>
      </c>
      <c r="B2007" s="1" t="n">
        <v>45148</v>
      </c>
      <c r="C2007" s="1" t="n">
        <v>45899</v>
      </c>
      <c r="D2007" t="inlineStr">
        <is>
          <t>VÄSTERNORRLANDS LÄN</t>
        </is>
      </c>
      <c r="E2007" t="inlineStr">
        <is>
          <t>SOLLEFTEÅ</t>
        </is>
      </c>
      <c r="F2007" t="inlineStr">
        <is>
          <t>SCA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16564-2025</t>
        </is>
      </c>
      <c r="B2008" s="1" t="n">
        <v>45752</v>
      </c>
      <c r="C2008" s="1" t="n">
        <v>45899</v>
      </c>
      <c r="D2008" t="inlineStr">
        <is>
          <t>VÄSTERNORRLANDS LÄN</t>
        </is>
      </c>
      <c r="E2008" t="inlineStr">
        <is>
          <t>SOLLEFTEÅ</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37042-2021</t>
        </is>
      </c>
      <c r="B2009" s="1" t="n">
        <v>44393.93495370371</v>
      </c>
      <c r="C2009" s="1" t="n">
        <v>45899</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15955-2025</t>
        </is>
      </c>
      <c r="B2010" s="1" t="n">
        <v>45749.5113425926</v>
      </c>
      <c r="C2010" s="1" t="n">
        <v>45899</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64617-2023</t>
        </is>
      </c>
      <c r="B2011" s="1" t="n">
        <v>45281</v>
      </c>
      <c r="C2011" s="1" t="n">
        <v>45899</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17993-2025</t>
        </is>
      </c>
      <c r="B2012" s="1" t="n">
        <v>45761.40673611111</v>
      </c>
      <c r="C2012" s="1" t="n">
        <v>45899</v>
      </c>
      <c r="D2012" t="inlineStr">
        <is>
          <t>VÄSTERNORRLANDS LÄN</t>
        </is>
      </c>
      <c r="E2012" t="inlineStr">
        <is>
          <t>SOLLEFTEÅ</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61391-2022</t>
        </is>
      </c>
      <c r="B2013" s="1" t="n">
        <v>44915.94334490741</v>
      </c>
      <c r="C2013" s="1" t="n">
        <v>45899</v>
      </c>
      <c r="D2013" t="inlineStr">
        <is>
          <t>VÄSTERNORRLANDS LÄN</t>
        </is>
      </c>
      <c r="E2013" t="inlineStr">
        <is>
          <t>SOLLEFTEÅ</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19055-2022</t>
        </is>
      </c>
      <c r="B2014" s="1" t="n">
        <v>44691.42189814815</v>
      </c>
      <c r="C2014" s="1" t="n">
        <v>45899</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53325-2024</t>
        </is>
      </c>
      <c r="B2015" s="1" t="n">
        <v>45614.41177083334</v>
      </c>
      <c r="C2015" s="1" t="n">
        <v>45899</v>
      </c>
      <c r="D2015" t="inlineStr">
        <is>
          <t>VÄSTERNORRLANDS LÄN</t>
        </is>
      </c>
      <c r="E2015" t="inlineStr">
        <is>
          <t>SOLLEFTEÅ</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48767-2023</t>
        </is>
      </c>
      <c r="B2016" s="1" t="n">
        <v>45208</v>
      </c>
      <c r="C2016" s="1" t="n">
        <v>45899</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5038-2024</t>
        </is>
      </c>
      <c r="B2017" s="1" t="n">
        <v>45329.88456018519</v>
      </c>
      <c r="C2017" s="1" t="n">
        <v>45899</v>
      </c>
      <c r="D2017" t="inlineStr">
        <is>
          <t>VÄSTERNORRLANDS LÄN</t>
        </is>
      </c>
      <c r="E2017" t="inlineStr">
        <is>
          <t>SOLLEFTEÅ</t>
        </is>
      </c>
      <c r="F2017" t="inlineStr">
        <is>
          <t>Övriga Aktiebolag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53278-2021</t>
        </is>
      </c>
      <c r="B2018" s="1" t="n">
        <v>44467</v>
      </c>
      <c r="C2018" s="1" t="n">
        <v>45899</v>
      </c>
      <c r="D2018" t="inlineStr">
        <is>
          <t>VÄSTERNORRLANDS LÄN</t>
        </is>
      </c>
      <c r="E2018" t="inlineStr">
        <is>
          <t>SOLLEFTEÅ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1848-2024</t>
        </is>
      </c>
      <c r="B2019" s="1" t="n">
        <v>45307</v>
      </c>
      <c r="C2019" s="1" t="n">
        <v>45899</v>
      </c>
      <c r="D2019" t="inlineStr">
        <is>
          <t>VÄSTERNORRLANDS LÄN</t>
        </is>
      </c>
      <c r="E2019" t="inlineStr">
        <is>
          <t>SOLLEFTEÅ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25259-2023</t>
        </is>
      </c>
      <c r="B2020" s="1" t="n">
        <v>45079</v>
      </c>
      <c r="C2020" s="1" t="n">
        <v>45899</v>
      </c>
      <c r="D2020" t="inlineStr">
        <is>
          <t>VÄSTERNORRLANDS LÄN</t>
        </is>
      </c>
      <c r="E2020" t="inlineStr">
        <is>
          <t>SOLLEFTEÅ</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51249-2022</t>
        </is>
      </c>
      <c r="B2021" s="1" t="n">
        <v>44866</v>
      </c>
      <c r="C2021" s="1" t="n">
        <v>45899</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34281-2022</t>
        </is>
      </c>
      <c r="B2022" s="1" t="n">
        <v>44791</v>
      </c>
      <c r="C2022" s="1" t="n">
        <v>45899</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59473-2024</t>
        </is>
      </c>
      <c r="B2023" s="1" t="n">
        <v>45638.50436342593</v>
      </c>
      <c r="C2023" s="1" t="n">
        <v>45899</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55872-2024</t>
        </is>
      </c>
      <c r="B2024" s="1" t="n">
        <v>45623</v>
      </c>
      <c r="C2024" s="1" t="n">
        <v>45899</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13697-2023</t>
        </is>
      </c>
      <c r="B2025" s="1" t="n">
        <v>45006.94445601852</v>
      </c>
      <c r="C2025" s="1" t="n">
        <v>45899</v>
      </c>
      <c r="D2025" t="inlineStr">
        <is>
          <t>VÄSTERNORRLANDS LÄN</t>
        </is>
      </c>
      <c r="E2025" t="inlineStr">
        <is>
          <t>SOLLEFTEÅ</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13499-2023</t>
        </is>
      </c>
      <c r="B2026" s="1" t="n">
        <v>45005</v>
      </c>
      <c r="C2026" s="1" t="n">
        <v>45899</v>
      </c>
      <c r="D2026" t="inlineStr">
        <is>
          <t>VÄSTERNORRLANDS LÄN</t>
        </is>
      </c>
      <c r="E2026" t="inlineStr">
        <is>
          <t>SOLLEFTEÅ</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29197-2023</t>
        </is>
      </c>
      <c r="B2027" s="1" t="n">
        <v>45097</v>
      </c>
      <c r="C2027" s="1" t="n">
        <v>45899</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29210-2023</t>
        </is>
      </c>
      <c r="B2028" s="1" t="n">
        <v>45097</v>
      </c>
      <c r="C2028" s="1" t="n">
        <v>45899</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63652-2023</t>
        </is>
      </c>
      <c r="B2029" s="1" t="n">
        <v>45275</v>
      </c>
      <c r="C2029" s="1" t="n">
        <v>45899</v>
      </c>
      <c r="D2029" t="inlineStr">
        <is>
          <t>VÄSTERNORRLANDS LÄN</t>
        </is>
      </c>
      <c r="E2029" t="inlineStr">
        <is>
          <t>SOLLEFTEÅ</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14274-2025</t>
        </is>
      </c>
      <c r="B2030" s="1" t="n">
        <v>45740.64412037037</v>
      </c>
      <c r="C2030" s="1" t="n">
        <v>45899</v>
      </c>
      <c r="D2030" t="inlineStr">
        <is>
          <t>VÄSTERNORRLANDS LÄN</t>
        </is>
      </c>
      <c r="E2030" t="inlineStr">
        <is>
          <t>SOLLEFTEÅ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29070-2023</t>
        </is>
      </c>
      <c r="B2031" s="1" t="n">
        <v>45104.94119212963</v>
      </c>
      <c r="C2031" s="1" t="n">
        <v>45899</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35469-2024</t>
        </is>
      </c>
      <c r="B2032" s="1" t="n">
        <v>45531</v>
      </c>
      <c r="C2032" s="1" t="n">
        <v>45899</v>
      </c>
      <c r="D2032" t="inlineStr">
        <is>
          <t>VÄSTERNORRLANDS LÄN</t>
        </is>
      </c>
      <c r="E2032" t="inlineStr">
        <is>
          <t>SOLLEFTEÅ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44661-2024</t>
        </is>
      </c>
      <c r="B2033" s="1" t="n">
        <v>45574.53180555555</v>
      </c>
      <c r="C2033" s="1" t="n">
        <v>45899</v>
      </c>
      <c r="D2033" t="inlineStr">
        <is>
          <t>VÄSTERNORRLANDS LÄN</t>
        </is>
      </c>
      <c r="E2033" t="inlineStr">
        <is>
          <t>SOLLEFTEÅ</t>
        </is>
      </c>
      <c r="F2033" t="inlineStr">
        <is>
          <t>SCA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60757-2021</t>
        </is>
      </c>
      <c r="B2034" s="1" t="n">
        <v>44496.92101851852</v>
      </c>
      <c r="C2034" s="1" t="n">
        <v>45899</v>
      </c>
      <c r="D2034" t="inlineStr">
        <is>
          <t>VÄSTERNORRLANDS LÄN</t>
        </is>
      </c>
      <c r="E2034" t="inlineStr">
        <is>
          <t>SOLLEFTEÅ</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53545-2024</t>
        </is>
      </c>
      <c r="B2035" s="1" t="n">
        <v>45614.6370949074</v>
      </c>
      <c r="C2035" s="1" t="n">
        <v>45899</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6236-2023</t>
        </is>
      </c>
      <c r="B2036" s="1" t="n">
        <v>44964</v>
      </c>
      <c r="C2036" s="1" t="n">
        <v>45899</v>
      </c>
      <c r="D2036" t="inlineStr">
        <is>
          <t>VÄSTERNORRLANDS LÄN</t>
        </is>
      </c>
      <c r="E2036" t="inlineStr">
        <is>
          <t>SOLLEFTEÅ</t>
        </is>
      </c>
      <c r="F2036" t="inlineStr">
        <is>
          <t>SCA</t>
        </is>
      </c>
      <c r="G2036" t="n">
        <v>0.1</v>
      </c>
      <c r="H2036" t="n">
        <v>0</v>
      </c>
      <c r="I2036" t="n">
        <v>0</v>
      </c>
      <c r="J2036" t="n">
        <v>0</v>
      </c>
      <c r="K2036" t="n">
        <v>0</v>
      </c>
      <c r="L2036" t="n">
        <v>0</v>
      </c>
      <c r="M2036" t="n">
        <v>0</v>
      </c>
      <c r="N2036" t="n">
        <v>0</v>
      </c>
      <c r="O2036" t="n">
        <v>0</v>
      </c>
      <c r="P2036" t="n">
        <v>0</v>
      </c>
      <c r="Q2036" t="n">
        <v>0</v>
      </c>
      <c r="R2036" s="2" t="inlineStr"/>
      <c r="U2036">
        <f>HYPERLINK("https://klasma.github.io/Logging_2283/knärot/A 6236-2023 karta knärot.png", "A 6236-2023")</f>
        <v/>
      </c>
      <c r="V2036">
        <f>HYPERLINK("https://klasma.github.io/Logging_2283/klagomål/A 6236-2023 FSC-klagomål.docx", "A 6236-2023")</f>
        <v/>
      </c>
      <c r="W2036">
        <f>HYPERLINK("https://klasma.github.io/Logging_2283/klagomålsmail/A 6236-2023 FSC-klagomål mail.docx", "A 6236-2023")</f>
        <v/>
      </c>
      <c r="X2036">
        <f>HYPERLINK("https://klasma.github.io/Logging_2283/tillsyn/A 6236-2023 tillsynsbegäran.docx", "A 6236-2023")</f>
        <v/>
      </c>
      <c r="Y2036">
        <f>HYPERLINK("https://klasma.github.io/Logging_2283/tillsynsmail/A 6236-2023 tillsynsbegäran mail.docx", "A 6236-2023")</f>
        <v/>
      </c>
    </row>
    <row r="2037" ht="15" customHeight="1">
      <c r="A2037" t="inlineStr">
        <is>
          <t>A 7332-2023</t>
        </is>
      </c>
      <c r="B2037" s="1" t="n">
        <v>44970</v>
      </c>
      <c r="C2037" s="1" t="n">
        <v>45899</v>
      </c>
      <c r="D2037" t="inlineStr">
        <is>
          <t>VÄSTERNORRLANDS LÄN</t>
        </is>
      </c>
      <c r="E2037" t="inlineStr">
        <is>
          <t>SOLLEFTEÅ</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48606-2024</t>
        </is>
      </c>
      <c r="B2038" s="1" t="n">
        <v>45593.4485300926</v>
      </c>
      <c r="C2038" s="1" t="n">
        <v>45899</v>
      </c>
      <c r="D2038" t="inlineStr">
        <is>
          <t>VÄSTERNORRLANDS LÄN</t>
        </is>
      </c>
      <c r="E2038" t="inlineStr">
        <is>
          <t>SOLLEFTEÅ</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43469-2022</t>
        </is>
      </c>
      <c r="B2039" s="1" t="n">
        <v>44836.80145833334</v>
      </c>
      <c r="C2039" s="1" t="n">
        <v>45899</v>
      </c>
      <c r="D2039" t="inlineStr">
        <is>
          <t>VÄSTERNORRLANDS LÄN</t>
        </is>
      </c>
      <c r="E2039" t="inlineStr">
        <is>
          <t>SOLLEFTEÅ</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53212-2024</t>
        </is>
      </c>
      <c r="B2040" s="1" t="n">
        <v>45612.63576388889</v>
      </c>
      <c r="C2040" s="1" t="n">
        <v>45899</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14308-2022</t>
        </is>
      </c>
      <c r="B2041" s="1" t="n">
        <v>44651.93954861111</v>
      </c>
      <c r="C2041" s="1" t="n">
        <v>45899</v>
      </c>
      <c r="D2041" t="inlineStr">
        <is>
          <t>VÄSTERNORRLANDS LÄN</t>
        </is>
      </c>
      <c r="E2041" t="inlineStr">
        <is>
          <t>SOLLEFTEÅ</t>
        </is>
      </c>
      <c r="F2041" t="inlineStr">
        <is>
          <t>SCA</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39177-2024</t>
        </is>
      </c>
      <c r="B2042" s="1" t="n">
        <v>45548.65681712963</v>
      </c>
      <c r="C2042" s="1" t="n">
        <v>45899</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29693-2024</t>
        </is>
      </c>
      <c r="B2043" s="1" t="n">
        <v>45484.94490740741</v>
      </c>
      <c r="C2043" s="1" t="n">
        <v>45899</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32735-2023</t>
        </is>
      </c>
      <c r="B2044" s="1" t="n">
        <v>45121</v>
      </c>
      <c r="C2044" s="1" t="n">
        <v>45899</v>
      </c>
      <c r="D2044" t="inlineStr">
        <is>
          <t>VÄSTERNORRLANDS LÄN</t>
        </is>
      </c>
      <c r="E2044" t="inlineStr">
        <is>
          <t>SOLLEFTEÅ</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10138-2022</t>
        </is>
      </c>
      <c r="B2045" s="1" t="n">
        <v>44621.94612268519</v>
      </c>
      <c r="C2045" s="1" t="n">
        <v>45899</v>
      </c>
      <c r="D2045" t="inlineStr">
        <is>
          <t>VÄSTERNORRLANDS LÄN</t>
        </is>
      </c>
      <c r="E2045" t="inlineStr">
        <is>
          <t>SOLLEFTEÅ</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49771-2024</t>
        </is>
      </c>
      <c r="B2046" s="1" t="n">
        <v>45597.34481481482</v>
      </c>
      <c r="C2046" s="1" t="n">
        <v>45899</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49772-2024</t>
        </is>
      </c>
      <c r="B2047" s="1" t="n">
        <v>45597.34483796296</v>
      </c>
      <c r="C2047" s="1" t="n">
        <v>45899</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12730-2023</t>
        </is>
      </c>
      <c r="B2048" s="1" t="n">
        <v>45000.92381944445</v>
      </c>
      <c r="C2048" s="1" t="n">
        <v>45899</v>
      </c>
      <c r="D2048" t="inlineStr">
        <is>
          <t>VÄSTERNORRLANDS LÄN</t>
        </is>
      </c>
      <c r="E2048" t="inlineStr">
        <is>
          <t>SOLLEFTEÅ</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12733-2023</t>
        </is>
      </c>
      <c r="B2049" s="1" t="n">
        <v>45000</v>
      </c>
      <c r="C2049" s="1" t="n">
        <v>45899</v>
      </c>
      <c r="D2049" t="inlineStr">
        <is>
          <t>VÄSTERNORRLANDS LÄN</t>
        </is>
      </c>
      <c r="E2049" t="inlineStr">
        <is>
          <t>SOLLEFTEÅ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41532-2024</t>
        </is>
      </c>
      <c r="B2050" s="1" t="n">
        <v>45560.49050925926</v>
      </c>
      <c r="C2050" s="1" t="n">
        <v>45899</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12752-2023</t>
        </is>
      </c>
      <c r="B2051" s="1" t="n">
        <v>45000.94854166666</v>
      </c>
      <c r="C2051" s="1" t="n">
        <v>45899</v>
      </c>
      <c r="D2051" t="inlineStr">
        <is>
          <t>VÄSTERNORRLANDS LÄN</t>
        </is>
      </c>
      <c r="E2051" t="inlineStr">
        <is>
          <t>SOLLEFTEÅ</t>
        </is>
      </c>
      <c r="F2051" t="inlineStr">
        <is>
          <t>SCA</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18187-2022</t>
        </is>
      </c>
      <c r="B2052" s="1" t="n">
        <v>44684</v>
      </c>
      <c r="C2052" s="1" t="n">
        <v>45899</v>
      </c>
      <c r="D2052" t="inlineStr">
        <is>
          <t>VÄSTERNORRLANDS LÄN</t>
        </is>
      </c>
      <c r="E2052" t="inlineStr">
        <is>
          <t>SOLLEFTEÅ</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29290-2022</t>
        </is>
      </c>
      <c r="B2053" s="1" t="n">
        <v>44750</v>
      </c>
      <c r="C2053" s="1" t="n">
        <v>45899</v>
      </c>
      <c r="D2053" t="inlineStr">
        <is>
          <t>VÄSTERNORRLANDS LÄN</t>
        </is>
      </c>
      <c r="E2053" t="inlineStr">
        <is>
          <t>SOLLEFTEÅ</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71580-2021</t>
        </is>
      </c>
      <c r="B2054" s="1" t="n">
        <v>44540</v>
      </c>
      <c r="C2054" s="1" t="n">
        <v>45899</v>
      </c>
      <c r="D2054" t="inlineStr">
        <is>
          <t>VÄSTERNORRLANDS LÄN</t>
        </is>
      </c>
      <c r="E2054" t="inlineStr">
        <is>
          <t>SOLLEFTEÅ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18111-2025</t>
        </is>
      </c>
      <c r="B2055" s="1" t="n">
        <v>45761.57334490741</v>
      </c>
      <c r="C2055" s="1" t="n">
        <v>45899</v>
      </c>
      <c r="D2055" t="inlineStr">
        <is>
          <t>VÄSTERNORRLANDS LÄN</t>
        </is>
      </c>
      <c r="E2055" t="inlineStr">
        <is>
          <t>SOLLEFTEÅ</t>
        </is>
      </c>
      <c r="F2055" t="inlineStr">
        <is>
          <t>SCA</t>
        </is>
      </c>
      <c r="G2055" t="n">
        <v>41.6</v>
      </c>
      <c r="H2055" t="n">
        <v>0</v>
      </c>
      <c r="I2055" t="n">
        <v>0</v>
      </c>
      <c r="J2055" t="n">
        <v>0</v>
      </c>
      <c r="K2055" t="n">
        <v>0</v>
      </c>
      <c r="L2055" t="n">
        <v>0</v>
      </c>
      <c r="M2055" t="n">
        <v>0</v>
      </c>
      <c r="N2055" t="n">
        <v>0</v>
      </c>
      <c r="O2055" t="n">
        <v>0</v>
      </c>
      <c r="P2055" t="n">
        <v>0</v>
      </c>
      <c r="Q2055" t="n">
        <v>0</v>
      </c>
      <c r="R2055" s="2" t="inlineStr"/>
    </row>
    <row r="2056" ht="15" customHeight="1">
      <c r="A2056" t="inlineStr">
        <is>
          <t>A 25131-2024</t>
        </is>
      </c>
      <c r="B2056" s="1" t="n">
        <v>45462.46725694444</v>
      </c>
      <c r="C2056" s="1" t="n">
        <v>45899</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19489-2025</t>
        </is>
      </c>
      <c r="B2057" s="1" t="n">
        <v>45770.38847222222</v>
      </c>
      <c r="C2057" s="1" t="n">
        <v>45899</v>
      </c>
      <c r="D2057" t="inlineStr">
        <is>
          <t>VÄSTERNORRLANDS LÄN</t>
        </is>
      </c>
      <c r="E2057" t="inlineStr">
        <is>
          <t>SOLLEFTEÅ</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22462-2024</t>
        </is>
      </c>
      <c r="B2058" s="1" t="n">
        <v>45446</v>
      </c>
      <c r="C2058" s="1" t="n">
        <v>45899</v>
      </c>
      <c r="D2058" t="inlineStr">
        <is>
          <t>VÄSTERNORRLANDS LÄN</t>
        </is>
      </c>
      <c r="E2058" t="inlineStr">
        <is>
          <t>SOLLEFTEÅ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3323-2025</t>
        </is>
      </c>
      <c r="B2059" s="1" t="n">
        <v>45679.69921296297</v>
      </c>
      <c r="C2059" s="1" t="n">
        <v>45899</v>
      </c>
      <c r="D2059" t="inlineStr">
        <is>
          <t>VÄSTERNORRLANDS LÄN</t>
        </is>
      </c>
      <c r="E2059" t="inlineStr">
        <is>
          <t>SOLLEFTEÅ</t>
        </is>
      </c>
      <c r="F2059" t="inlineStr">
        <is>
          <t>SCA</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22672-2024</t>
        </is>
      </c>
      <c r="B2060" s="1" t="n">
        <v>45447.94486111111</v>
      </c>
      <c r="C2060" s="1" t="n">
        <v>45899</v>
      </c>
      <c r="D2060" t="inlineStr">
        <is>
          <t>VÄSTERNORRLANDS LÄN</t>
        </is>
      </c>
      <c r="E2060" t="inlineStr">
        <is>
          <t>SOLLEFTEÅ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16511-2025</t>
        </is>
      </c>
      <c r="B2061" s="1" t="n">
        <v>45751</v>
      </c>
      <c r="C2061" s="1" t="n">
        <v>45899</v>
      </c>
      <c r="D2061" t="inlineStr">
        <is>
          <t>VÄSTERNORRLANDS LÄN</t>
        </is>
      </c>
      <c r="E2061" t="inlineStr">
        <is>
          <t>SOLLEFTEÅ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48019-2024</t>
        </is>
      </c>
      <c r="B2062" s="1" t="n">
        <v>45589.47023148148</v>
      </c>
      <c r="C2062" s="1" t="n">
        <v>45899</v>
      </c>
      <c r="D2062" t="inlineStr">
        <is>
          <t>VÄSTERNORRLANDS LÄN</t>
        </is>
      </c>
      <c r="E2062" t="inlineStr">
        <is>
          <t>SOLLEFTEÅ</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48020-2024</t>
        </is>
      </c>
      <c r="B2063" s="1" t="n">
        <v>45589.47027777778</v>
      </c>
      <c r="C2063" s="1" t="n">
        <v>45899</v>
      </c>
      <c r="D2063" t="inlineStr">
        <is>
          <t>VÄSTERNORRLANDS LÄN</t>
        </is>
      </c>
      <c r="E2063" t="inlineStr">
        <is>
          <t>SOLLEFTEÅ</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48235-2024</t>
        </is>
      </c>
      <c r="B2064" s="1" t="n">
        <v>45590</v>
      </c>
      <c r="C2064" s="1" t="n">
        <v>45899</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10925-2022</t>
        </is>
      </c>
      <c r="B2065" s="1" t="n">
        <v>44627.9444212963</v>
      </c>
      <c r="C2065" s="1" t="n">
        <v>45899</v>
      </c>
      <c r="D2065" t="inlineStr">
        <is>
          <t>VÄSTERNORRLANDS LÄN</t>
        </is>
      </c>
      <c r="E2065" t="inlineStr">
        <is>
          <t>SOLLEFTEÅ</t>
        </is>
      </c>
      <c r="F2065" t="inlineStr">
        <is>
          <t>SCA</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10926-2022</t>
        </is>
      </c>
      <c r="B2066" s="1" t="n">
        <v>44627.94447916667</v>
      </c>
      <c r="C2066" s="1" t="n">
        <v>45899</v>
      </c>
      <c r="D2066" t="inlineStr">
        <is>
          <t>VÄSTERNORRLANDS LÄN</t>
        </is>
      </c>
      <c r="E2066" t="inlineStr">
        <is>
          <t>SOLLEFTEÅ</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47955-2024</t>
        </is>
      </c>
      <c r="B2067" s="1" t="n">
        <v>45589.3703125</v>
      </c>
      <c r="C2067" s="1" t="n">
        <v>45899</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62038-2024</t>
        </is>
      </c>
      <c r="B2068" s="1" t="n">
        <v>45656.34410879629</v>
      </c>
      <c r="C2068" s="1" t="n">
        <v>45899</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1416-2025</t>
        </is>
      </c>
      <c r="B2069" s="1" t="n">
        <v>45668</v>
      </c>
      <c r="C2069" s="1" t="n">
        <v>45899</v>
      </c>
      <c r="D2069" t="inlineStr">
        <is>
          <t>VÄSTERNORRLANDS LÄN</t>
        </is>
      </c>
      <c r="E2069" t="inlineStr">
        <is>
          <t>SOLLEFTEÅ</t>
        </is>
      </c>
      <c r="G2069" t="n">
        <v>21.3</v>
      </c>
      <c r="H2069" t="n">
        <v>0</v>
      </c>
      <c r="I2069" t="n">
        <v>0</v>
      </c>
      <c r="J2069" t="n">
        <v>0</v>
      </c>
      <c r="K2069" t="n">
        <v>0</v>
      </c>
      <c r="L2069" t="n">
        <v>0</v>
      </c>
      <c r="M2069" t="n">
        <v>0</v>
      </c>
      <c r="N2069" t="n">
        <v>0</v>
      </c>
      <c r="O2069" t="n">
        <v>0</v>
      </c>
      <c r="P2069" t="n">
        <v>0</v>
      </c>
      <c r="Q2069" t="n">
        <v>0</v>
      </c>
      <c r="R2069" s="2" t="inlineStr"/>
    </row>
    <row r="2070" ht="15" customHeight="1">
      <c r="A2070" t="inlineStr">
        <is>
          <t>A 3080-2025</t>
        </is>
      </c>
      <c r="B2070" s="1" t="n">
        <v>45678</v>
      </c>
      <c r="C2070" s="1" t="n">
        <v>45899</v>
      </c>
      <c r="D2070" t="inlineStr">
        <is>
          <t>VÄSTERNORRLANDS LÄN</t>
        </is>
      </c>
      <c r="E2070" t="inlineStr">
        <is>
          <t>SOLLEFTEÅ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1082-2025</t>
        </is>
      </c>
      <c r="B2071" s="1" t="n">
        <v>45666.61646990741</v>
      </c>
      <c r="C2071" s="1" t="n">
        <v>45899</v>
      </c>
      <c r="D2071" t="inlineStr">
        <is>
          <t>VÄSTERNORRLANDS LÄN</t>
        </is>
      </c>
      <c r="E2071" t="inlineStr">
        <is>
          <t>SOLLEFTEÅ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1096-2025</t>
        </is>
      </c>
      <c r="B2072" s="1" t="n">
        <v>45666</v>
      </c>
      <c r="C2072" s="1" t="n">
        <v>45899</v>
      </c>
      <c r="D2072" t="inlineStr">
        <is>
          <t>VÄSTERNORRLANDS LÄN</t>
        </is>
      </c>
      <c r="E2072" t="inlineStr">
        <is>
          <t>SOLLEFTEÅ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3324-2025</t>
        </is>
      </c>
      <c r="B2073" s="1" t="n">
        <v>45679.69924768519</v>
      </c>
      <c r="C2073" s="1" t="n">
        <v>45899</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37696-2023</t>
        </is>
      </c>
      <c r="B2074" s="1" t="n">
        <v>45156</v>
      </c>
      <c r="C2074" s="1" t="n">
        <v>45899</v>
      </c>
      <c r="D2074" t="inlineStr">
        <is>
          <t>VÄSTERNORRLANDS LÄN</t>
        </is>
      </c>
      <c r="E2074" t="inlineStr">
        <is>
          <t>SOLLEFTEÅ</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48490-2024</t>
        </is>
      </c>
      <c r="B2075" s="1" t="n">
        <v>45592</v>
      </c>
      <c r="C2075" s="1" t="n">
        <v>45899</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48491-2024</t>
        </is>
      </c>
      <c r="B2076" s="1" t="n">
        <v>45592</v>
      </c>
      <c r="C2076" s="1" t="n">
        <v>45899</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4253-2025</t>
        </is>
      </c>
      <c r="B2077" s="1" t="n">
        <v>45685.61232638889</v>
      </c>
      <c r="C2077" s="1" t="n">
        <v>45899</v>
      </c>
      <c r="D2077" t="inlineStr">
        <is>
          <t>VÄSTERNORRLANDS LÄN</t>
        </is>
      </c>
      <c r="E2077" t="inlineStr">
        <is>
          <t>SOLLEFTEÅ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13554-2023</t>
        </is>
      </c>
      <c r="B2078" s="1" t="n">
        <v>45005</v>
      </c>
      <c r="C2078" s="1" t="n">
        <v>45899</v>
      </c>
      <c r="D2078" t="inlineStr">
        <is>
          <t>VÄSTERNORRLANDS LÄN</t>
        </is>
      </c>
      <c r="E2078" t="inlineStr">
        <is>
          <t>SOLLEFTEÅ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40655-2024</t>
        </is>
      </c>
      <c r="B2079" s="1" t="n">
        <v>45558.34414351852</v>
      </c>
      <c r="C2079" s="1" t="n">
        <v>45899</v>
      </c>
      <c r="D2079" t="inlineStr">
        <is>
          <t>VÄSTERNORRLANDS LÄN</t>
        </is>
      </c>
      <c r="E2079" t="inlineStr">
        <is>
          <t>SOLLEFTEÅ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35147-2023</t>
        </is>
      </c>
      <c r="B2080" s="1" t="n">
        <v>45142</v>
      </c>
      <c r="C2080" s="1" t="n">
        <v>45899</v>
      </c>
      <c r="D2080" t="inlineStr">
        <is>
          <t>VÄSTERNORRLANDS LÄN</t>
        </is>
      </c>
      <c r="E2080" t="inlineStr">
        <is>
          <t>SOLLEFTEÅ</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17481-2025</t>
        </is>
      </c>
      <c r="B2081" s="1" t="n">
        <v>45757.48979166667</v>
      </c>
      <c r="C2081" s="1" t="n">
        <v>45899</v>
      </c>
      <c r="D2081" t="inlineStr">
        <is>
          <t>VÄSTERNORRLANDS LÄN</t>
        </is>
      </c>
      <c r="E2081" t="inlineStr">
        <is>
          <t>SOLLEFTEÅ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57518-2023</t>
        </is>
      </c>
      <c r="B2082" s="1" t="n">
        <v>45242</v>
      </c>
      <c r="C2082" s="1" t="n">
        <v>45899</v>
      </c>
      <c r="D2082" t="inlineStr">
        <is>
          <t>VÄSTERNORRLANDS LÄN</t>
        </is>
      </c>
      <c r="E2082" t="inlineStr">
        <is>
          <t>SOLLEFTEÅ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53477-2024</t>
        </is>
      </c>
      <c r="B2083" s="1" t="n">
        <v>45611</v>
      </c>
      <c r="C2083" s="1" t="n">
        <v>45899</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11334-2024</t>
        </is>
      </c>
      <c r="B2084" s="1" t="n">
        <v>45372</v>
      </c>
      <c r="C2084" s="1" t="n">
        <v>45899</v>
      </c>
      <c r="D2084" t="inlineStr">
        <is>
          <t>VÄSTERNORRLANDS LÄN</t>
        </is>
      </c>
      <c r="E2084" t="inlineStr">
        <is>
          <t>SOLLEFTEÅ</t>
        </is>
      </c>
      <c r="F2084" t="inlineStr">
        <is>
          <t>SCA</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39495-2023</t>
        </is>
      </c>
      <c r="B2085" s="1" t="n">
        <v>45166.95712962963</v>
      </c>
      <c r="C2085" s="1" t="n">
        <v>45899</v>
      </c>
      <c r="D2085" t="inlineStr">
        <is>
          <t>VÄSTERNORRLANDS LÄN</t>
        </is>
      </c>
      <c r="E2085" t="inlineStr">
        <is>
          <t>SOLLEFTEÅ</t>
        </is>
      </c>
      <c r="F2085" t="inlineStr">
        <is>
          <t>SCA</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54458-2024</t>
        </is>
      </c>
      <c r="B2086" s="1" t="n">
        <v>45617.5325</v>
      </c>
      <c r="C2086" s="1" t="n">
        <v>45899</v>
      </c>
      <c r="D2086" t="inlineStr">
        <is>
          <t>VÄSTERNORRLANDS LÄN</t>
        </is>
      </c>
      <c r="E2086" t="inlineStr">
        <is>
          <t>SOLLEFTEÅ</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6172-2022</t>
        </is>
      </c>
      <c r="B2087" s="1" t="n">
        <v>44599.93700231481</v>
      </c>
      <c r="C2087" s="1" t="n">
        <v>45899</v>
      </c>
      <c r="D2087" t="inlineStr">
        <is>
          <t>VÄSTERNORRLANDS LÄN</t>
        </is>
      </c>
      <c r="E2087" t="inlineStr">
        <is>
          <t>SOLLEFTEÅ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60495-2024</t>
        </is>
      </c>
      <c r="B2088" s="1" t="n">
        <v>45643.65700231482</v>
      </c>
      <c r="C2088" s="1" t="n">
        <v>45899</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60077-2024</t>
        </is>
      </c>
      <c r="B2089" s="1" t="n">
        <v>45642</v>
      </c>
      <c r="C2089" s="1" t="n">
        <v>45899</v>
      </c>
      <c r="D2089" t="inlineStr">
        <is>
          <t>VÄSTERNORRLANDS LÄN</t>
        </is>
      </c>
      <c r="E2089" t="inlineStr">
        <is>
          <t>SOLLEFTEÅ</t>
        </is>
      </c>
      <c r="F2089" t="inlineStr">
        <is>
          <t>SCA</t>
        </is>
      </c>
      <c r="G2089" t="n">
        <v>21.5</v>
      </c>
      <c r="H2089" t="n">
        <v>0</v>
      </c>
      <c r="I2089" t="n">
        <v>0</v>
      </c>
      <c r="J2089" t="n">
        <v>0</v>
      </c>
      <c r="K2089" t="n">
        <v>0</v>
      </c>
      <c r="L2089" t="n">
        <v>0</v>
      </c>
      <c r="M2089" t="n">
        <v>0</v>
      </c>
      <c r="N2089" t="n">
        <v>0</v>
      </c>
      <c r="O2089" t="n">
        <v>0</v>
      </c>
      <c r="P2089" t="n">
        <v>0</v>
      </c>
      <c r="Q2089" t="n">
        <v>0</v>
      </c>
      <c r="R2089" s="2" t="inlineStr"/>
    </row>
    <row r="2090" ht="15" customHeight="1">
      <c r="A2090" t="inlineStr">
        <is>
          <t>A 12135-2023</t>
        </is>
      </c>
      <c r="B2090" s="1" t="n">
        <v>44995</v>
      </c>
      <c r="C2090" s="1" t="n">
        <v>45899</v>
      </c>
      <c r="D2090" t="inlineStr">
        <is>
          <t>VÄSTERNORRLANDS LÄN</t>
        </is>
      </c>
      <c r="E2090" t="inlineStr">
        <is>
          <t>SOLLEFTEÅ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27382-2023</t>
        </is>
      </c>
      <c r="B2091" s="1" t="n">
        <v>45096.93920138889</v>
      </c>
      <c r="C2091" s="1" t="n">
        <v>45899</v>
      </c>
      <c r="D2091" t="inlineStr">
        <is>
          <t>VÄSTERNORRLANDS LÄN</t>
        </is>
      </c>
      <c r="E2091" t="inlineStr">
        <is>
          <t>SOLLEFTEÅ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27384-2023</t>
        </is>
      </c>
      <c r="B2092" s="1" t="n">
        <v>45096.939375</v>
      </c>
      <c r="C2092" s="1" t="n">
        <v>45899</v>
      </c>
      <c r="D2092" t="inlineStr">
        <is>
          <t>VÄSTERNORRLANDS LÄN</t>
        </is>
      </c>
      <c r="E2092" t="inlineStr">
        <is>
          <t>SOLLEFTEÅ</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3537-2025</t>
        </is>
      </c>
      <c r="B2093" s="1" t="n">
        <v>45680</v>
      </c>
      <c r="C2093" s="1" t="n">
        <v>45899</v>
      </c>
      <c r="D2093" t="inlineStr">
        <is>
          <t>VÄSTERNORRLANDS LÄN</t>
        </is>
      </c>
      <c r="E2093" t="inlineStr">
        <is>
          <t>SOLLEFTEÅ</t>
        </is>
      </c>
      <c r="F2093" t="inlineStr">
        <is>
          <t>SCA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18648-2024</t>
        </is>
      </c>
      <c r="B2094" s="1" t="n">
        <v>45425.9678125</v>
      </c>
      <c r="C2094" s="1" t="n">
        <v>45899</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27936-2024</t>
        </is>
      </c>
      <c r="B2095" s="1" t="n">
        <v>45475.95054398148</v>
      </c>
      <c r="C2095" s="1" t="n">
        <v>45899</v>
      </c>
      <c r="D2095" t="inlineStr">
        <is>
          <t>VÄSTERNORRLANDS LÄN</t>
        </is>
      </c>
      <c r="E2095" t="inlineStr">
        <is>
          <t>SOLLEFTEÅ</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59564-2024</t>
        </is>
      </c>
      <c r="B2096" s="1" t="n">
        <v>45638.6375</v>
      </c>
      <c r="C2096" s="1" t="n">
        <v>45899</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52702-2024</t>
        </is>
      </c>
      <c r="B2097" s="1" t="n">
        <v>45610</v>
      </c>
      <c r="C2097" s="1" t="n">
        <v>45899</v>
      </c>
      <c r="D2097" t="inlineStr">
        <is>
          <t>VÄSTERNORRLANDS LÄN</t>
        </is>
      </c>
      <c r="E2097" t="inlineStr">
        <is>
          <t>SOLLEFTEÅ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50963-2024</t>
        </is>
      </c>
      <c r="B2098" s="1" t="n">
        <v>45603.32388888889</v>
      </c>
      <c r="C2098" s="1" t="n">
        <v>45899</v>
      </c>
      <c r="D2098" t="inlineStr">
        <is>
          <t>VÄSTERNORRLANDS LÄN</t>
        </is>
      </c>
      <c r="E2098" t="inlineStr">
        <is>
          <t>SOLLEFTEÅ</t>
        </is>
      </c>
      <c r="F2098" t="inlineStr">
        <is>
          <t>Holmen skog AB</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16086-2024</t>
        </is>
      </c>
      <c r="B2099" s="1" t="n">
        <v>45406</v>
      </c>
      <c r="C2099" s="1" t="n">
        <v>45899</v>
      </c>
      <c r="D2099" t="inlineStr">
        <is>
          <t>VÄSTERNORRLANDS LÄN</t>
        </is>
      </c>
      <c r="E2099" t="inlineStr">
        <is>
          <t>SOLLEFTEÅ</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25364-2024</t>
        </is>
      </c>
      <c r="B2100" s="1" t="n">
        <v>45462.95849537037</v>
      </c>
      <c r="C2100" s="1" t="n">
        <v>45899</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34316-2024</t>
        </is>
      </c>
      <c r="B2101" s="1" t="n">
        <v>45524</v>
      </c>
      <c r="C2101" s="1" t="n">
        <v>45899</v>
      </c>
      <c r="D2101" t="inlineStr">
        <is>
          <t>VÄSTERNORRLANDS LÄN</t>
        </is>
      </c>
      <c r="E2101" t="inlineStr">
        <is>
          <t>SOLLEFTEÅ</t>
        </is>
      </c>
      <c r="F2101" t="inlineStr">
        <is>
          <t>Övriga statliga verk och myndigheter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32754-2024</t>
        </is>
      </c>
      <c r="B2102" s="1" t="n">
        <v>45516.46685185185</v>
      </c>
      <c r="C2102" s="1" t="n">
        <v>45899</v>
      </c>
      <c r="D2102" t="inlineStr">
        <is>
          <t>VÄSTERNORRLANDS LÄN</t>
        </is>
      </c>
      <c r="E2102" t="inlineStr">
        <is>
          <t>SOLLEFTEÅ</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1623-2025</t>
        </is>
      </c>
      <c r="B2103" s="1" t="n">
        <v>45670.61526620371</v>
      </c>
      <c r="C2103" s="1" t="n">
        <v>45899</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1459-2024</t>
        </is>
      </c>
      <c r="B2104" s="1" t="n">
        <v>45303.9331712963</v>
      </c>
      <c r="C2104" s="1" t="n">
        <v>45899</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54559-2022</t>
        </is>
      </c>
      <c r="B2105" s="1" t="n">
        <v>44882</v>
      </c>
      <c r="C2105" s="1" t="n">
        <v>45899</v>
      </c>
      <c r="D2105" t="inlineStr">
        <is>
          <t>VÄSTERNORRLANDS LÄN</t>
        </is>
      </c>
      <c r="E2105" t="inlineStr">
        <is>
          <t>SOLLEFTEÅ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49417-2023</t>
        </is>
      </c>
      <c r="B2106" s="1" t="n">
        <v>45205</v>
      </c>
      <c r="C2106" s="1" t="n">
        <v>45899</v>
      </c>
      <c r="D2106" t="inlineStr">
        <is>
          <t>VÄSTERNORRLANDS LÄN</t>
        </is>
      </c>
      <c r="E2106" t="inlineStr">
        <is>
          <t>SOLLEFTEÅ</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19635-2025</t>
        </is>
      </c>
      <c r="B2107" s="1" t="n">
        <v>45770.64877314815</v>
      </c>
      <c r="C2107" s="1" t="n">
        <v>45899</v>
      </c>
      <c r="D2107" t="inlineStr">
        <is>
          <t>VÄSTERNORRLANDS LÄN</t>
        </is>
      </c>
      <c r="E2107" t="inlineStr">
        <is>
          <t>SOLLEFTEÅ</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27972-2021</t>
        </is>
      </c>
      <c r="B2108" s="1" t="n">
        <v>44354.93622685185</v>
      </c>
      <c r="C2108" s="1" t="n">
        <v>45899</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34100-2023</t>
        </is>
      </c>
      <c r="B2109" s="1" t="n">
        <v>45125</v>
      </c>
      <c r="C2109" s="1" t="n">
        <v>45899</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23730-2024</t>
        </is>
      </c>
      <c r="B2110" s="1" t="n">
        <v>45454.95877314815</v>
      </c>
      <c r="C2110" s="1" t="n">
        <v>45899</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36514-2023</t>
        </is>
      </c>
      <c r="B2111" s="1" t="n">
        <v>45152.95377314815</v>
      </c>
      <c r="C2111" s="1" t="n">
        <v>45899</v>
      </c>
      <c r="D2111" t="inlineStr">
        <is>
          <t>VÄSTERNORRLANDS LÄN</t>
        </is>
      </c>
      <c r="E2111" t="inlineStr">
        <is>
          <t>SOLLEFTEÅ</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3276-2025</t>
        </is>
      </c>
      <c r="B2112" s="1" t="n">
        <v>45679.59986111111</v>
      </c>
      <c r="C2112" s="1" t="n">
        <v>45899</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18185-2025</t>
        </is>
      </c>
      <c r="B2113" s="1" t="n">
        <v>45761.66724537037</v>
      </c>
      <c r="C2113" s="1" t="n">
        <v>45899</v>
      </c>
      <c r="D2113" t="inlineStr">
        <is>
          <t>VÄSTERNORRLANDS LÄN</t>
        </is>
      </c>
      <c r="E2113" t="inlineStr">
        <is>
          <t>SOLLEFTEÅ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60168-2022</t>
        </is>
      </c>
      <c r="B2114" s="1" t="n">
        <v>44909</v>
      </c>
      <c r="C2114" s="1" t="n">
        <v>45899</v>
      </c>
      <c r="D2114" t="inlineStr">
        <is>
          <t>VÄSTERNORRLANDS LÄN</t>
        </is>
      </c>
      <c r="E2114" t="inlineStr">
        <is>
          <t>SOLLEFTEÅ</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42228-2021</t>
        </is>
      </c>
      <c r="B2115" s="1" t="n">
        <v>44426</v>
      </c>
      <c r="C2115" s="1" t="n">
        <v>45899</v>
      </c>
      <c r="D2115" t="inlineStr">
        <is>
          <t>VÄSTERNORRLANDS LÄN</t>
        </is>
      </c>
      <c r="E2115" t="inlineStr">
        <is>
          <t>SOLLEFTEÅ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14365-2024</t>
        </is>
      </c>
      <c r="B2116" s="1" t="n">
        <v>45393.94332175926</v>
      </c>
      <c r="C2116" s="1" t="n">
        <v>45899</v>
      </c>
      <c r="D2116" t="inlineStr">
        <is>
          <t>VÄSTERNORRLANDS LÄN</t>
        </is>
      </c>
      <c r="E2116" t="inlineStr">
        <is>
          <t>SOLLEFTEÅ</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26391-2024</t>
        </is>
      </c>
      <c r="B2117" s="1" t="n">
        <v>45468</v>
      </c>
      <c r="C2117" s="1" t="n">
        <v>45899</v>
      </c>
      <c r="D2117" t="inlineStr">
        <is>
          <t>VÄSTERNORRLANDS LÄN</t>
        </is>
      </c>
      <c r="E2117" t="inlineStr">
        <is>
          <t>SOLLEFTEÅ</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29337-2023</t>
        </is>
      </c>
      <c r="B2118" s="1" t="n">
        <v>45105</v>
      </c>
      <c r="C2118" s="1" t="n">
        <v>45899</v>
      </c>
      <c r="D2118" t="inlineStr">
        <is>
          <t>VÄSTERNORRLANDS LÄN</t>
        </is>
      </c>
      <c r="E2118" t="inlineStr">
        <is>
          <t>SOLLEFTEÅ</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26655-2024</t>
        </is>
      </c>
      <c r="B2119" s="1" t="n">
        <v>45469</v>
      </c>
      <c r="C2119" s="1" t="n">
        <v>45899</v>
      </c>
      <c r="D2119" t="inlineStr">
        <is>
          <t>VÄSTERNORRLANDS LÄN</t>
        </is>
      </c>
      <c r="E2119" t="inlineStr">
        <is>
          <t>SOLLEFTEÅ</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22475-2024</t>
        </is>
      </c>
      <c r="B2120" s="1" t="n">
        <v>45446.95151620371</v>
      </c>
      <c r="C2120" s="1" t="n">
        <v>45899</v>
      </c>
      <c r="D2120" t="inlineStr">
        <is>
          <t>VÄSTERNORRLANDS LÄN</t>
        </is>
      </c>
      <c r="E2120" t="inlineStr">
        <is>
          <t>SOLLEFTEÅ</t>
        </is>
      </c>
      <c r="F2120" t="inlineStr">
        <is>
          <t>SCA</t>
        </is>
      </c>
      <c r="G2120" t="n">
        <v>18.5</v>
      </c>
      <c r="H2120" t="n">
        <v>0</v>
      </c>
      <c r="I2120" t="n">
        <v>0</v>
      </c>
      <c r="J2120" t="n">
        <v>0</v>
      </c>
      <c r="K2120" t="n">
        <v>0</v>
      </c>
      <c r="L2120" t="n">
        <v>0</v>
      </c>
      <c r="M2120" t="n">
        <v>0</v>
      </c>
      <c r="N2120" t="n">
        <v>0</v>
      </c>
      <c r="O2120" t="n">
        <v>0</v>
      </c>
      <c r="P2120" t="n">
        <v>0</v>
      </c>
      <c r="Q2120" t="n">
        <v>0</v>
      </c>
      <c r="R2120" s="2" t="inlineStr"/>
    </row>
    <row r="2121" ht="15" customHeight="1">
      <c r="A2121" t="inlineStr">
        <is>
          <t>A 34737-2023</t>
        </is>
      </c>
      <c r="B2121" s="1" t="n">
        <v>45139</v>
      </c>
      <c r="C2121" s="1" t="n">
        <v>45899</v>
      </c>
      <c r="D2121" t="inlineStr">
        <is>
          <t>VÄSTERNORRLANDS LÄN</t>
        </is>
      </c>
      <c r="E2121" t="inlineStr">
        <is>
          <t>SOLLEFTEÅ</t>
        </is>
      </c>
      <c r="F2121" t="inlineStr">
        <is>
          <t>SCA</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40421-2023</t>
        </is>
      </c>
      <c r="B2122" s="1" t="n">
        <v>45169.93973379629</v>
      </c>
      <c r="C2122" s="1" t="n">
        <v>45899</v>
      </c>
      <c r="D2122" t="inlineStr">
        <is>
          <t>VÄSTERNORRLANDS LÄN</t>
        </is>
      </c>
      <c r="E2122" t="inlineStr">
        <is>
          <t>SOLLEFTEÅ</t>
        </is>
      </c>
      <c r="F2122" t="inlineStr">
        <is>
          <t>SCA</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11026-2025</t>
        </is>
      </c>
      <c r="B2123" s="1" t="n">
        <v>45723.46961805555</v>
      </c>
      <c r="C2123" s="1" t="n">
        <v>45899</v>
      </c>
      <c r="D2123" t="inlineStr">
        <is>
          <t>VÄSTERNORRLANDS LÄN</t>
        </is>
      </c>
      <c r="E2123" t="inlineStr">
        <is>
          <t>SOLLEFTEÅ</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61778-2024</t>
        </is>
      </c>
      <c r="B2124" s="1" t="n">
        <v>45649.46961805555</v>
      </c>
      <c r="C2124" s="1" t="n">
        <v>45899</v>
      </c>
      <c r="D2124" t="inlineStr">
        <is>
          <t>VÄSTERNORRLANDS LÄN</t>
        </is>
      </c>
      <c r="E2124" t="inlineStr">
        <is>
          <t>SOLLEFTEÅ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46850-2024</t>
        </is>
      </c>
      <c r="B2125" s="1" t="n">
        <v>45583.61513888889</v>
      </c>
      <c r="C2125" s="1" t="n">
        <v>45899</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583-2025</t>
        </is>
      </c>
      <c r="B2126" s="1" t="n">
        <v>45664</v>
      </c>
      <c r="C2126" s="1" t="n">
        <v>45899</v>
      </c>
      <c r="D2126" t="inlineStr">
        <is>
          <t>VÄSTERNORRLANDS LÄN</t>
        </is>
      </c>
      <c r="E2126" t="inlineStr">
        <is>
          <t>SOLLEFTEÅ</t>
        </is>
      </c>
      <c r="G2126" t="n">
        <v>47.2</v>
      </c>
      <c r="H2126" t="n">
        <v>0</v>
      </c>
      <c r="I2126" t="n">
        <v>0</v>
      </c>
      <c r="J2126" t="n">
        <v>0</v>
      </c>
      <c r="K2126" t="n">
        <v>0</v>
      </c>
      <c r="L2126" t="n">
        <v>0</v>
      </c>
      <c r="M2126" t="n">
        <v>0</v>
      </c>
      <c r="N2126" t="n">
        <v>0</v>
      </c>
      <c r="O2126" t="n">
        <v>0</v>
      </c>
      <c r="P2126" t="n">
        <v>0</v>
      </c>
      <c r="Q2126" t="n">
        <v>0</v>
      </c>
      <c r="R2126" s="2" t="inlineStr"/>
    </row>
    <row r="2127" ht="15" customHeight="1">
      <c r="A2127" t="inlineStr">
        <is>
          <t>A 49810-2023</t>
        </is>
      </c>
      <c r="B2127" s="1" t="n">
        <v>45212.66369212963</v>
      </c>
      <c r="C2127" s="1" t="n">
        <v>45899</v>
      </c>
      <c r="D2127" t="inlineStr">
        <is>
          <t>VÄSTERNORRLANDS LÄN</t>
        </is>
      </c>
      <c r="E2127" t="inlineStr">
        <is>
          <t>SOLLEFTEÅ</t>
        </is>
      </c>
      <c r="F2127" t="inlineStr">
        <is>
          <t>Holmen skog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43008-2024</t>
        </is>
      </c>
      <c r="B2128" s="1" t="n">
        <v>45567.38574074074</v>
      </c>
      <c r="C2128" s="1" t="n">
        <v>45899</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17021-2025</t>
        </is>
      </c>
      <c r="B2129" s="1" t="n">
        <v>45755.56135416667</v>
      </c>
      <c r="C2129" s="1" t="n">
        <v>45899</v>
      </c>
      <c r="D2129" t="inlineStr">
        <is>
          <t>VÄSTERNORRLANDS LÄN</t>
        </is>
      </c>
      <c r="E2129" t="inlineStr">
        <is>
          <t>SOLLEFTEÅ</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61485-2024</t>
        </is>
      </c>
      <c r="B2130" s="1" t="n">
        <v>45646.53175925926</v>
      </c>
      <c r="C2130" s="1" t="n">
        <v>45899</v>
      </c>
      <c r="D2130" t="inlineStr">
        <is>
          <t>VÄSTERNORRLANDS LÄN</t>
        </is>
      </c>
      <c r="E2130" t="inlineStr">
        <is>
          <t>SOLLEFTEÅ</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16468-2024</t>
        </is>
      </c>
      <c r="B2131" s="1" t="n">
        <v>45408.0508449074</v>
      </c>
      <c r="C2131" s="1" t="n">
        <v>45899</v>
      </c>
      <c r="D2131" t="inlineStr">
        <is>
          <t>VÄSTERNORRLANDS LÄN</t>
        </is>
      </c>
      <c r="E2131" t="inlineStr">
        <is>
          <t>SOLLEFTEÅ</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2048-2025</t>
        </is>
      </c>
      <c r="B2132" s="1" t="n">
        <v>45671</v>
      </c>
      <c r="C2132" s="1" t="n">
        <v>45899</v>
      </c>
      <c r="D2132" t="inlineStr">
        <is>
          <t>VÄSTERNORRLANDS LÄN</t>
        </is>
      </c>
      <c r="E2132" t="inlineStr">
        <is>
          <t>SOLLEFTEÅ</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31672-2022</t>
        </is>
      </c>
      <c r="B2133" s="1" t="n">
        <v>44776.36137731482</v>
      </c>
      <c r="C2133" s="1" t="n">
        <v>45899</v>
      </c>
      <c r="D2133" t="inlineStr">
        <is>
          <t>VÄSTERNORRLANDS LÄN</t>
        </is>
      </c>
      <c r="E2133" t="inlineStr">
        <is>
          <t>SOLLEFTEÅ</t>
        </is>
      </c>
      <c r="G2133" t="n">
        <v>16.3</v>
      </c>
      <c r="H2133" t="n">
        <v>0</v>
      </c>
      <c r="I2133" t="n">
        <v>0</v>
      </c>
      <c r="J2133" t="n">
        <v>0</v>
      </c>
      <c r="K2133" t="n">
        <v>0</v>
      </c>
      <c r="L2133" t="n">
        <v>0</v>
      </c>
      <c r="M2133" t="n">
        <v>0</v>
      </c>
      <c r="N2133" t="n">
        <v>0</v>
      </c>
      <c r="O2133" t="n">
        <v>0</v>
      </c>
      <c r="P2133" t="n">
        <v>0</v>
      </c>
      <c r="Q2133" t="n">
        <v>0</v>
      </c>
      <c r="R2133" s="2" t="inlineStr"/>
    </row>
    <row r="2134" ht="15" customHeight="1">
      <c r="A2134" t="inlineStr">
        <is>
          <t>A 52266-2023</t>
        </is>
      </c>
      <c r="B2134" s="1" t="n">
        <v>45217</v>
      </c>
      <c r="C2134" s="1" t="n">
        <v>45899</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61847-2024</t>
        </is>
      </c>
      <c r="B2135" s="1" t="n">
        <v>45646</v>
      </c>
      <c r="C2135" s="1" t="n">
        <v>45899</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19416-2022</t>
        </is>
      </c>
      <c r="B2136" s="1" t="n">
        <v>44693</v>
      </c>
      <c r="C2136" s="1" t="n">
        <v>45899</v>
      </c>
      <c r="D2136" t="inlineStr">
        <is>
          <t>VÄSTERNORRLANDS LÄN</t>
        </is>
      </c>
      <c r="E2136" t="inlineStr">
        <is>
          <t>SOLLEFTEÅ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55622-2023</t>
        </is>
      </c>
      <c r="B2137" s="1" t="n">
        <v>45238</v>
      </c>
      <c r="C2137" s="1" t="n">
        <v>45899</v>
      </c>
      <c r="D2137" t="inlineStr">
        <is>
          <t>VÄSTERNORRLANDS LÄN</t>
        </is>
      </c>
      <c r="E2137" t="inlineStr">
        <is>
          <t>SOLLEFTEÅ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1637-2025</t>
        </is>
      </c>
      <c r="B2138" s="1" t="n">
        <v>45670.63877314814</v>
      </c>
      <c r="C2138" s="1" t="n">
        <v>45899</v>
      </c>
      <c r="D2138" t="inlineStr">
        <is>
          <t>VÄSTERNORRLANDS LÄN</t>
        </is>
      </c>
      <c r="E2138" t="inlineStr">
        <is>
          <t>SOLLEFTEÅ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12972-2023</t>
        </is>
      </c>
      <c r="B2139" s="1" t="n">
        <v>45001</v>
      </c>
      <c r="C2139" s="1" t="n">
        <v>45899</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46032-2022</t>
        </is>
      </c>
      <c r="B2140" s="1" t="n">
        <v>44846</v>
      </c>
      <c r="C2140" s="1" t="n">
        <v>45899</v>
      </c>
      <c r="D2140" t="inlineStr">
        <is>
          <t>VÄSTERNORRLANDS LÄN</t>
        </is>
      </c>
      <c r="E2140" t="inlineStr">
        <is>
          <t>SOLLEFTEÅ</t>
        </is>
      </c>
      <c r="F2140" t="inlineStr">
        <is>
          <t>SCA</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29946-2023</t>
        </is>
      </c>
      <c r="B2141" s="1" t="n">
        <v>45107.93818287037</v>
      </c>
      <c r="C2141" s="1" t="n">
        <v>45899</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38749-2024</t>
        </is>
      </c>
      <c r="B2142" s="1" t="n">
        <v>45547</v>
      </c>
      <c r="C2142" s="1" t="n">
        <v>45899</v>
      </c>
      <c r="D2142" t="inlineStr">
        <is>
          <t>VÄSTERNORRLANDS LÄN</t>
        </is>
      </c>
      <c r="E2142" t="inlineStr">
        <is>
          <t>SOLLEFTEÅ</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49253-2024</t>
        </is>
      </c>
      <c r="B2143" s="1" t="n">
        <v>45595</v>
      </c>
      <c r="C2143" s="1" t="n">
        <v>45899</v>
      </c>
      <c r="D2143" t="inlineStr">
        <is>
          <t>VÄSTERNORRLANDS LÄN</t>
        </is>
      </c>
      <c r="E2143" t="inlineStr">
        <is>
          <t>SOLLEFTEÅ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39429-2024</t>
        </is>
      </c>
      <c r="B2144" s="1" t="n">
        <v>45551.59427083333</v>
      </c>
      <c r="C2144" s="1" t="n">
        <v>45899</v>
      </c>
      <c r="D2144" t="inlineStr">
        <is>
          <t>VÄSTERNORRLANDS LÄN</t>
        </is>
      </c>
      <c r="E2144" t="inlineStr">
        <is>
          <t>SOLLEFTEÅ</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54538-2022</t>
        </is>
      </c>
      <c r="B2145" s="1" t="n">
        <v>44882.77261574074</v>
      </c>
      <c r="C2145" s="1" t="n">
        <v>45899</v>
      </c>
      <c r="D2145" t="inlineStr">
        <is>
          <t>VÄSTERNORRLANDS LÄN</t>
        </is>
      </c>
      <c r="E2145" t="inlineStr">
        <is>
          <t>SOLLEFTEÅ</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60861-2023</t>
        </is>
      </c>
      <c r="B2146" s="1" t="n">
        <v>45260</v>
      </c>
      <c r="C2146" s="1" t="n">
        <v>45899</v>
      </c>
      <c r="D2146" t="inlineStr">
        <is>
          <t>VÄSTERNORRLANDS LÄN</t>
        </is>
      </c>
      <c r="E2146" t="inlineStr">
        <is>
          <t>SOLLEFTEÅ</t>
        </is>
      </c>
      <c r="F2146" t="inlineStr">
        <is>
          <t>SCA</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8893-2025</t>
        </is>
      </c>
      <c r="B2147" s="1" t="n">
        <v>45713.4065162037</v>
      </c>
      <c r="C2147" s="1" t="n">
        <v>45899</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54238-2024</t>
        </is>
      </c>
      <c r="B2148" s="1" t="n">
        <v>45616.67844907408</v>
      </c>
      <c r="C2148" s="1" t="n">
        <v>45899</v>
      </c>
      <c r="D2148" t="inlineStr">
        <is>
          <t>VÄSTERNORRLANDS LÄN</t>
        </is>
      </c>
      <c r="E2148" t="inlineStr">
        <is>
          <t>SOLLEFTEÅ</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19429-2024</t>
        </is>
      </c>
      <c r="B2149" s="1" t="n">
        <v>45429</v>
      </c>
      <c r="C2149" s="1" t="n">
        <v>45899</v>
      </c>
      <c r="D2149" t="inlineStr">
        <is>
          <t>VÄSTERNORRLANDS LÄN</t>
        </is>
      </c>
      <c r="E2149" t="inlineStr">
        <is>
          <t>SOLLEFTEÅ</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44392-2023</t>
        </is>
      </c>
      <c r="B2150" s="1" t="n">
        <v>45188.94527777778</v>
      </c>
      <c r="C2150" s="1" t="n">
        <v>45899</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29870-2024</t>
        </is>
      </c>
      <c r="B2151" s="1" t="n">
        <v>45485.94512731482</v>
      </c>
      <c r="C2151" s="1" t="n">
        <v>45899</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42160-2023</t>
        </is>
      </c>
      <c r="B2152" s="1" t="n">
        <v>45177</v>
      </c>
      <c r="C2152" s="1" t="n">
        <v>45899</v>
      </c>
      <c r="D2152" t="inlineStr">
        <is>
          <t>VÄSTERNORRLANDS LÄN</t>
        </is>
      </c>
      <c r="E2152" t="inlineStr">
        <is>
          <t>SOLLEFTEÅ</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39469-2024</t>
        </is>
      </c>
      <c r="B2153" s="1" t="n">
        <v>45551</v>
      </c>
      <c r="C2153" s="1" t="n">
        <v>45899</v>
      </c>
      <c r="D2153" t="inlineStr">
        <is>
          <t>VÄSTERNORRLANDS LÄN</t>
        </is>
      </c>
      <c r="E2153" t="inlineStr">
        <is>
          <t>SOLLEFTEÅ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31646-2022</t>
        </is>
      </c>
      <c r="B2154" s="1" t="n">
        <v>44775.94166666667</v>
      </c>
      <c r="C2154" s="1" t="n">
        <v>45899</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18220-2025</t>
        </is>
      </c>
      <c r="B2155" s="1" t="n">
        <v>45761.7190625</v>
      </c>
      <c r="C2155" s="1" t="n">
        <v>45899</v>
      </c>
      <c r="D2155" t="inlineStr">
        <is>
          <t>VÄSTERNORRLANDS LÄN</t>
        </is>
      </c>
      <c r="E2155" t="inlineStr">
        <is>
          <t>SOLLEFTEÅ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45118-2022</t>
        </is>
      </c>
      <c r="B2156" s="1" t="n">
        <v>44843</v>
      </c>
      <c r="C2156" s="1" t="n">
        <v>45899</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54255-2022</t>
        </is>
      </c>
      <c r="B2157" s="1" t="n">
        <v>44881.95225694445</v>
      </c>
      <c r="C2157" s="1" t="n">
        <v>45899</v>
      </c>
      <c r="D2157" t="inlineStr">
        <is>
          <t>VÄSTERNORRLANDS LÄN</t>
        </is>
      </c>
      <c r="E2157" t="inlineStr">
        <is>
          <t>SOLLEFTEÅ</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16670-2022</t>
        </is>
      </c>
      <c r="B2158" s="1" t="n">
        <v>44672.93802083333</v>
      </c>
      <c r="C2158" s="1" t="n">
        <v>45899</v>
      </c>
      <c r="D2158" t="inlineStr">
        <is>
          <t>VÄSTERNORRLANDS LÄN</t>
        </is>
      </c>
      <c r="E2158" t="inlineStr">
        <is>
          <t>SOLLEFTEÅ</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64111-2023</t>
        </is>
      </c>
      <c r="B2159" s="1" t="n">
        <v>45279</v>
      </c>
      <c r="C2159" s="1" t="n">
        <v>45899</v>
      </c>
      <c r="D2159" t="inlineStr">
        <is>
          <t>VÄSTERNORRLANDS LÄN</t>
        </is>
      </c>
      <c r="E2159" t="inlineStr">
        <is>
          <t>SOLLEFTEÅ</t>
        </is>
      </c>
      <c r="G2159" t="n">
        <v>19.9</v>
      </c>
      <c r="H2159" t="n">
        <v>0</v>
      </c>
      <c r="I2159" t="n">
        <v>0</v>
      </c>
      <c r="J2159" t="n">
        <v>0</v>
      </c>
      <c r="K2159" t="n">
        <v>0</v>
      </c>
      <c r="L2159" t="n">
        <v>0</v>
      </c>
      <c r="M2159" t="n">
        <v>0</v>
      </c>
      <c r="N2159" t="n">
        <v>0</v>
      </c>
      <c r="O2159" t="n">
        <v>0</v>
      </c>
      <c r="P2159" t="n">
        <v>0</v>
      </c>
      <c r="Q2159" t="n">
        <v>0</v>
      </c>
      <c r="R2159" s="2" t="inlineStr"/>
    </row>
    <row r="2160" ht="15" customHeight="1">
      <c r="A2160" t="inlineStr">
        <is>
          <t>A 2185-2025</t>
        </is>
      </c>
      <c r="B2160" s="1" t="n">
        <v>45673</v>
      </c>
      <c r="C2160" s="1" t="n">
        <v>45899</v>
      </c>
      <c r="D2160" t="inlineStr">
        <is>
          <t>VÄSTERNORRLANDS LÄN</t>
        </is>
      </c>
      <c r="E2160" t="inlineStr">
        <is>
          <t>SOLLEFTEÅ</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59501-2023</t>
        </is>
      </c>
      <c r="B2161" s="1" t="n">
        <v>45254</v>
      </c>
      <c r="C2161" s="1" t="n">
        <v>45899</v>
      </c>
      <c r="D2161" t="inlineStr">
        <is>
          <t>VÄSTERNORRLANDS LÄN</t>
        </is>
      </c>
      <c r="E2161" t="inlineStr">
        <is>
          <t>SOLLEFTEÅ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12644-2025</t>
        </is>
      </c>
      <c r="B2162" s="1" t="n">
        <v>45733.38726851852</v>
      </c>
      <c r="C2162" s="1" t="n">
        <v>45899</v>
      </c>
      <c r="D2162" t="inlineStr">
        <is>
          <t>VÄSTERNORRLANDS LÄN</t>
        </is>
      </c>
      <c r="E2162" t="inlineStr">
        <is>
          <t>SOLLEFTEÅ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21344-2023</t>
        </is>
      </c>
      <c r="B2163" s="1" t="n">
        <v>45062</v>
      </c>
      <c r="C2163" s="1" t="n">
        <v>45899</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61089-2024</t>
        </is>
      </c>
      <c r="B2164" s="1" t="n">
        <v>45644</v>
      </c>
      <c r="C2164" s="1" t="n">
        <v>45899</v>
      </c>
      <c r="D2164" t="inlineStr">
        <is>
          <t>VÄSTERNORRLANDS LÄN</t>
        </is>
      </c>
      <c r="E2164" t="inlineStr">
        <is>
          <t>SOLLEFTEÅ</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48964-2023</t>
        </is>
      </c>
      <c r="B2165" s="1" t="n">
        <v>45204</v>
      </c>
      <c r="C2165" s="1" t="n">
        <v>45899</v>
      </c>
      <c r="D2165" t="inlineStr">
        <is>
          <t>VÄSTERNORRLANDS LÄN</t>
        </is>
      </c>
      <c r="E2165" t="inlineStr">
        <is>
          <t>SOLLEFTEÅ</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47177-2023</t>
        </is>
      </c>
      <c r="B2166" s="1" t="n">
        <v>45201</v>
      </c>
      <c r="C2166" s="1" t="n">
        <v>45899</v>
      </c>
      <c r="D2166" t="inlineStr">
        <is>
          <t>VÄSTERNORRLANDS LÄN</t>
        </is>
      </c>
      <c r="E2166" t="inlineStr">
        <is>
          <t>SOLLEFTEÅ</t>
        </is>
      </c>
      <c r="F2166" t="inlineStr">
        <is>
          <t>SCA</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24208-2024</t>
        </is>
      </c>
      <c r="B2167" s="1" t="n">
        <v>45456.9678125</v>
      </c>
      <c r="C2167" s="1" t="n">
        <v>45899</v>
      </c>
      <c r="D2167" t="inlineStr">
        <is>
          <t>VÄSTERNORRLANDS LÄN</t>
        </is>
      </c>
      <c r="E2167" t="inlineStr">
        <is>
          <t>SOLLEFTEÅ</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24211-2024</t>
        </is>
      </c>
      <c r="B2168" s="1" t="n">
        <v>45456.9681712963</v>
      </c>
      <c r="C2168" s="1" t="n">
        <v>45899</v>
      </c>
      <c r="D2168" t="inlineStr">
        <is>
          <t>VÄSTERNORRLANDS LÄN</t>
        </is>
      </c>
      <c r="E2168" t="inlineStr">
        <is>
          <t>SOLLEFTEÅ</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9096-2023</t>
        </is>
      </c>
      <c r="B2169" s="1" t="n">
        <v>44979.94303240741</v>
      </c>
      <c r="C2169" s="1" t="n">
        <v>45899</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43525-2021</t>
        </is>
      </c>
      <c r="B2170" s="1" t="n">
        <v>44433</v>
      </c>
      <c r="C2170" s="1" t="n">
        <v>45899</v>
      </c>
      <c r="D2170" t="inlineStr">
        <is>
          <t>VÄSTERNORRLANDS LÄN</t>
        </is>
      </c>
      <c r="E2170" t="inlineStr">
        <is>
          <t>SOLLEFTEÅ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40819-2024</t>
        </is>
      </c>
      <c r="B2171" s="1" t="n">
        <v>45558.55271990741</v>
      </c>
      <c r="C2171" s="1" t="n">
        <v>45899</v>
      </c>
      <c r="D2171" t="inlineStr">
        <is>
          <t>VÄSTERNORRLANDS LÄN</t>
        </is>
      </c>
      <c r="E2171" t="inlineStr">
        <is>
          <t>SOLLEFTEÅ</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11338-2025</t>
        </is>
      </c>
      <c r="B2172" s="1" t="n">
        <v>45726.48987268518</v>
      </c>
      <c r="C2172" s="1" t="n">
        <v>45899</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56398-2024</t>
        </is>
      </c>
      <c r="B2173" s="1" t="n">
        <v>45625.35395833333</v>
      </c>
      <c r="C2173" s="1" t="n">
        <v>45899</v>
      </c>
      <c r="D2173" t="inlineStr">
        <is>
          <t>VÄSTERNORRLANDS LÄN</t>
        </is>
      </c>
      <c r="E2173" t="inlineStr">
        <is>
          <t>SOLLEFTEÅ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37201-2024</t>
        </is>
      </c>
      <c r="B2174" s="1" t="n">
        <v>45539</v>
      </c>
      <c r="C2174" s="1" t="n">
        <v>45899</v>
      </c>
      <c r="D2174" t="inlineStr">
        <is>
          <t>VÄSTERNORRLANDS LÄN</t>
        </is>
      </c>
      <c r="E2174" t="inlineStr">
        <is>
          <t>SOLLEFTEÅ</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18861-2023</t>
        </is>
      </c>
      <c r="B2175" s="1" t="n">
        <v>45042</v>
      </c>
      <c r="C2175" s="1" t="n">
        <v>45899</v>
      </c>
      <c r="D2175" t="inlineStr">
        <is>
          <t>VÄSTERNORRLANDS LÄN</t>
        </is>
      </c>
      <c r="E2175" t="inlineStr">
        <is>
          <t>SOLLEFTEÅ</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54485-2024</t>
        </is>
      </c>
      <c r="B2176" s="1" t="n">
        <v>45617.5625462963</v>
      </c>
      <c r="C2176" s="1" t="n">
        <v>45899</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48001-2024</t>
        </is>
      </c>
      <c r="B2177" s="1" t="n">
        <v>45589.44826388889</v>
      </c>
      <c r="C2177" s="1" t="n">
        <v>45899</v>
      </c>
      <c r="D2177" t="inlineStr">
        <is>
          <t>VÄSTERNORRLANDS LÄN</t>
        </is>
      </c>
      <c r="E2177" t="inlineStr">
        <is>
          <t>SOLLEFTEÅ</t>
        </is>
      </c>
      <c r="F2177" t="inlineStr">
        <is>
          <t>SCA</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42979-2024</t>
        </is>
      </c>
      <c r="B2178" s="1" t="n">
        <v>45567.37438657408</v>
      </c>
      <c r="C2178" s="1" t="n">
        <v>45899</v>
      </c>
      <c r="D2178" t="inlineStr">
        <is>
          <t>VÄSTERNORRLANDS LÄN</t>
        </is>
      </c>
      <c r="E2178" t="inlineStr">
        <is>
          <t>SOLLEFTEÅ</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7868-2025</t>
        </is>
      </c>
      <c r="B2179" s="1" t="n">
        <v>45706.69850694444</v>
      </c>
      <c r="C2179" s="1" t="n">
        <v>45899</v>
      </c>
      <c r="D2179" t="inlineStr">
        <is>
          <t>VÄSTERNORRLANDS LÄN</t>
        </is>
      </c>
      <c r="E2179" t="inlineStr">
        <is>
          <t>SOLLEFTEÅ</t>
        </is>
      </c>
      <c r="F2179" t="inlineStr">
        <is>
          <t>SCA</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1840-2024</t>
        </is>
      </c>
      <c r="B2180" s="1" t="n">
        <v>45307</v>
      </c>
      <c r="C2180" s="1" t="n">
        <v>45899</v>
      </c>
      <c r="D2180" t="inlineStr">
        <is>
          <t>VÄSTERNORRLANDS LÄN</t>
        </is>
      </c>
      <c r="E2180" t="inlineStr">
        <is>
          <t>SOLLEFTEÅ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1844-2024</t>
        </is>
      </c>
      <c r="B2181" s="1" t="n">
        <v>45307</v>
      </c>
      <c r="C2181" s="1" t="n">
        <v>45899</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9689-2024</t>
        </is>
      </c>
      <c r="B2182" s="1" t="n">
        <v>45362</v>
      </c>
      <c r="C2182" s="1" t="n">
        <v>45899</v>
      </c>
      <c r="D2182" t="inlineStr">
        <is>
          <t>VÄSTERNORRLANDS LÄN</t>
        </is>
      </c>
      <c r="E2182" t="inlineStr">
        <is>
          <t>SOLLEFTEÅ</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25139-2024</t>
        </is>
      </c>
      <c r="B2183" s="1" t="n">
        <v>45462.48130787037</v>
      </c>
      <c r="C2183" s="1" t="n">
        <v>45899</v>
      </c>
      <c r="D2183" t="inlineStr">
        <is>
          <t>VÄSTERNORRLANDS LÄN</t>
        </is>
      </c>
      <c r="E2183" t="inlineStr">
        <is>
          <t>SOLLEFTEÅ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38769-2024</t>
        </is>
      </c>
      <c r="B2184" s="1" t="n">
        <v>45547.44914351852</v>
      </c>
      <c r="C2184" s="1" t="n">
        <v>45899</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34804-2022</t>
        </is>
      </c>
      <c r="B2185" s="1" t="n">
        <v>44795.94761574074</v>
      </c>
      <c r="C2185" s="1" t="n">
        <v>45899</v>
      </c>
      <c r="D2185" t="inlineStr">
        <is>
          <t>VÄSTERNORRLANDS LÄN</t>
        </is>
      </c>
      <c r="E2185" t="inlineStr">
        <is>
          <t>SOLLEFTEÅ</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6376-2025</t>
        </is>
      </c>
      <c r="B2186" s="1" t="n">
        <v>45699</v>
      </c>
      <c r="C2186" s="1" t="n">
        <v>45899</v>
      </c>
      <c r="D2186" t="inlineStr">
        <is>
          <t>VÄSTERNORRLANDS LÄN</t>
        </is>
      </c>
      <c r="E2186" t="inlineStr">
        <is>
          <t>SOLLEFTEÅ</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769-2025</t>
        </is>
      </c>
      <c r="B2187" s="1" t="n">
        <v>45659</v>
      </c>
      <c r="C2187" s="1" t="n">
        <v>45899</v>
      </c>
      <c r="D2187" t="inlineStr">
        <is>
          <t>VÄSTERNORRLANDS LÄN</t>
        </is>
      </c>
      <c r="E2187" t="inlineStr">
        <is>
          <t>SOLLEFTEÅ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57639-2024</t>
        </is>
      </c>
      <c r="B2188" s="1" t="n">
        <v>45630.57350694444</v>
      </c>
      <c r="C2188" s="1" t="n">
        <v>45899</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4905-2025</t>
        </is>
      </c>
      <c r="B2189" s="1" t="n">
        <v>45688.68043981482</v>
      </c>
      <c r="C2189" s="1" t="n">
        <v>45899</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6733-2025</t>
        </is>
      </c>
      <c r="B2190" s="1" t="n">
        <v>45700.59425925926</v>
      </c>
      <c r="C2190" s="1" t="n">
        <v>45899</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14036-2025</t>
        </is>
      </c>
      <c r="B2191" s="1" t="n">
        <v>45740.36508101852</v>
      </c>
      <c r="C2191" s="1" t="n">
        <v>45899</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16467-2024</t>
        </is>
      </c>
      <c r="B2192" s="1" t="n">
        <v>45408</v>
      </c>
      <c r="C2192" s="1" t="n">
        <v>45899</v>
      </c>
      <c r="D2192" t="inlineStr">
        <is>
          <t>VÄSTERNORRLANDS LÄN</t>
        </is>
      </c>
      <c r="E2192" t="inlineStr">
        <is>
          <t>SOLLEFTEÅ</t>
        </is>
      </c>
      <c r="F2192" t="inlineStr">
        <is>
          <t>SCA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17049-2022</t>
        </is>
      </c>
      <c r="B2193" s="1" t="n">
        <v>44676</v>
      </c>
      <c r="C2193" s="1" t="n">
        <v>45899</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c r="U2193">
        <f>HYPERLINK("https://klasma.github.io/Logging_2283/knärot/A 17049-2022 karta knärot.png", "A 17049-2022")</f>
        <v/>
      </c>
      <c r="V2193">
        <f>HYPERLINK("https://klasma.github.io/Logging_2283/klagomål/A 17049-2022 FSC-klagomål.docx", "A 17049-2022")</f>
        <v/>
      </c>
      <c r="W2193">
        <f>HYPERLINK("https://klasma.github.io/Logging_2283/klagomålsmail/A 17049-2022 FSC-klagomål mail.docx", "A 17049-2022")</f>
        <v/>
      </c>
      <c r="X2193">
        <f>HYPERLINK("https://klasma.github.io/Logging_2283/tillsyn/A 17049-2022 tillsynsbegäran.docx", "A 17049-2022")</f>
        <v/>
      </c>
      <c r="Y2193">
        <f>HYPERLINK("https://klasma.github.io/Logging_2283/tillsynsmail/A 17049-2022 tillsynsbegäran mail.docx", "A 17049-2022")</f>
        <v/>
      </c>
    </row>
    <row r="2194" ht="15" customHeight="1">
      <c r="A2194" t="inlineStr">
        <is>
          <t>A 59647-2022</t>
        </is>
      </c>
      <c r="B2194" s="1" t="n">
        <v>44907.96577546297</v>
      </c>
      <c r="C2194" s="1" t="n">
        <v>45899</v>
      </c>
      <c r="D2194" t="inlineStr">
        <is>
          <t>VÄSTERNORRLANDS LÄN</t>
        </is>
      </c>
      <c r="E2194" t="inlineStr">
        <is>
          <t>SOLLEFTEÅ</t>
        </is>
      </c>
      <c r="F2194" t="inlineStr">
        <is>
          <t>SCA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20859-2023</t>
        </is>
      </c>
      <c r="B2195" s="1" t="n">
        <v>45058.94212962963</v>
      </c>
      <c r="C2195" s="1" t="n">
        <v>45899</v>
      </c>
      <c r="D2195" t="inlineStr">
        <is>
          <t>VÄSTERNORRLANDS LÄN</t>
        </is>
      </c>
      <c r="E2195" t="inlineStr">
        <is>
          <t>SOLLEFTEÅ</t>
        </is>
      </c>
      <c r="F2195" t="inlineStr">
        <is>
          <t>SCA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52455-2024</t>
        </is>
      </c>
      <c r="B2196" s="1" t="n">
        <v>45609.50984953704</v>
      </c>
      <c r="C2196" s="1" t="n">
        <v>45899</v>
      </c>
      <c r="D2196" t="inlineStr">
        <is>
          <t>VÄSTERNORRLANDS LÄN</t>
        </is>
      </c>
      <c r="E2196" t="inlineStr">
        <is>
          <t>SOLLEFTEÅ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2422-2025</t>
        </is>
      </c>
      <c r="B2197" s="1" t="n">
        <v>45674.38592592593</v>
      </c>
      <c r="C2197" s="1" t="n">
        <v>45899</v>
      </c>
      <c r="D2197" t="inlineStr">
        <is>
          <t>VÄSTERNORRLANDS LÄN</t>
        </is>
      </c>
      <c r="E2197" t="inlineStr">
        <is>
          <t>SOLLEFTEÅ</t>
        </is>
      </c>
      <c r="F2197" t="inlineStr">
        <is>
          <t>SCA</t>
        </is>
      </c>
      <c r="G2197" t="n">
        <v>27.9</v>
      </c>
      <c r="H2197" t="n">
        <v>0</v>
      </c>
      <c r="I2197" t="n">
        <v>0</v>
      </c>
      <c r="J2197" t="n">
        <v>0</v>
      </c>
      <c r="K2197" t="n">
        <v>0</v>
      </c>
      <c r="L2197" t="n">
        <v>0</v>
      </c>
      <c r="M2197" t="n">
        <v>0</v>
      </c>
      <c r="N2197" t="n">
        <v>0</v>
      </c>
      <c r="O2197" t="n">
        <v>0</v>
      </c>
      <c r="P2197" t="n">
        <v>0</v>
      </c>
      <c r="Q2197" t="n">
        <v>0</v>
      </c>
      <c r="R2197" s="2" t="inlineStr"/>
    </row>
    <row r="2198" ht="15" customHeight="1">
      <c r="A2198" t="inlineStr">
        <is>
          <t>A 11094-2023</t>
        </is>
      </c>
      <c r="B2198" s="1" t="n">
        <v>44986</v>
      </c>
      <c r="C2198" s="1" t="n">
        <v>45899</v>
      </c>
      <c r="D2198" t="inlineStr">
        <is>
          <t>VÄSTERNORRLANDS LÄN</t>
        </is>
      </c>
      <c r="E2198" t="inlineStr">
        <is>
          <t>SOLLEFTEÅ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56256-2023</t>
        </is>
      </c>
      <c r="B2199" s="1" t="n">
        <v>45240</v>
      </c>
      <c r="C2199" s="1" t="n">
        <v>45899</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56262-2023</t>
        </is>
      </c>
      <c r="B2200" s="1" t="n">
        <v>45240</v>
      </c>
      <c r="C2200" s="1" t="n">
        <v>45899</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50716-2023</t>
        </is>
      </c>
      <c r="B2201" s="1" t="n">
        <v>45210</v>
      </c>
      <c r="C2201" s="1" t="n">
        <v>45899</v>
      </c>
      <c r="D2201" t="inlineStr">
        <is>
          <t>VÄSTERNORRLANDS LÄN</t>
        </is>
      </c>
      <c r="E2201" t="inlineStr">
        <is>
          <t>SOLLEFTEÅ</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14252-2025</t>
        </is>
      </c>
      <c r="B2202" s="1" t="n">
        <v>45740.61601851852</v>
      </c>
      <c r="C2202" s="1" t="n">
        <v>45899</v>
      </c>
      <c r="D2202" t="inlineStr">
        <is>
          <t>VÄSTERNORRLANDS LÄN</t>
        </is>
      </c>
      <c r="E2202" t="inlineStr">
        <is>
          <t>SOLLEFTEÅ</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10950-2025</t>
        </is>
      </c>
      <c r="B2203" s="1" t="n">
        <v>45723.34474537037</v>
      </c>
      <c r="C2203" s="1" t="n">
        <v>45899</v>
      </c>
      <c r="D2203" t="inlineStr">
        <is>
          <t>VÄSTERNORRLANDS LÄN</t>
        </is>
      </c>
      <c r="E2203" t="inlineStr">
        <is>
          <t>SOLLEFTEÅ</t>
        </is>
      </c>
      <c r="F2203" t="inlineStr">
        <is>
          <t>SCA</t>
        </is>
      </c>
      <c r="G2203" t="n">
        <v>32.3</v>
      </c>
      <c r="H2203" t="n">
        <v>0</v>
      </c>
      <c r="I2203" t="n">
        <v>0</v>
      </c>
      <c r="J2203" t="n">
        <v>0</v>
      </c>
      <c r="K2203" t="n">
        <v>0</v>
      </c>
      <c r="L2203" t="n">
        <v>0</v>
      </c>
      <c r="M2203" t="n">
        <v>0</v>
      </c>
      <c r="N2203" t="n">
        <v>0</v>
      </c>
      <c r="O2203" t="n">
        <v>0</v>
      </c>
      <c r="P2203" t="n">
        <v>0</v>
      </c>
      <c r="Q2203" t="n">
        <v>0</v>
      </c>
      <c r="R2203" s="2" t="inlineStr"/>
    </row>
    <row r="2204" ht="15" customHeight="1">
      <c r="A2204" t="inlineStr">
        <is>
          <t>A 10970-2025</t>
        </is>
      </c>
      <c r="B2204" s="1" t="n">
        <v>45723.38648148148</v>
      </c>
      <c r="C2204" s="1" t="n">
        <v>45899</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15260-2025</t>
        </is>
      </c>
      <c r="B2205" s="1" t="n">
        <v>45744.65659722222</v>
      </c>
      <c r="C2205" s="1" t="n">
        <v>45899</v>
      </c>
      <c r="D2205" t="inlineStr">
        <is>
          <t>VÄSTERNORRLANDS LÄN</t>
        </is>
      </c>
      <c r="E2205" t="inlineStr">
        <is>
          <t>SOLLEFTEÅ</t>
        </is>
      </c>
      <c r="F2205" t="inlineStr">
        <is>
          <t>SCA</t>
        </is>
      </c>
      <c r="G2205" t="n">
        <v>8.699999999999999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50549-2024</t>
        </is>
      </c>
      <c r="B2206" s="1" t="n">
        <v>45601</v>
      </c>
      <c r="C2206" s="1" t="n">
        <v>45899</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50624-2024</t>
        </is>
      </c>
      <c r="B2207" s="1" t="n">
        <v>45601.65728009259</v>
      </c>
      <c r="C2207" s="1" t="n">
        <v>45899</v>
      </c>
      <c r="D2207" t="inlineStr">
        <is>
          <t>VÄSTERNORRLANDS LÄN</t>
        </is>
      </c>
      <c r="E2207" t="inlineStr">
        <is>
          <t>SOLLEFTEÅ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11711-2025</t>
        </is>
      </c>
      <c r="B2208" s="1" t="n">
        <v>45727.59398148148</v>
      </c>
      <c r="C2208" s="1" t="n">
        <v>45899</v>
      </c>
      <c r="D2208" t="inlineStr">
        <is>
          <t>VÄSTERNORRLANDS LÄN</t>
        </is>
      </c>
      <c r="E2208" t="inlineStr">
        <is>
          <t>SOLLEFTEÅ</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9089-2025</t>
        </is>
      </c>
      <c r="B2209" s="1" t="n">
        <v>45713.67737268518</v>
      </c>
      <c r="C2209" s="1" t="n">
        <v>45899</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9163-2025</t>
        </is>
      </c>
      <c r="B2210" s="1" t="n">
        <v>45714.36503472222</v>
      </c>
      <c r="C2210" s="1" t="n">
        <v>45899</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34878-2024</t>
        </is>
      </c>
      <c r="B2211" s="1" t="n">
        <v>45527</v>
      </c>
      <c r="C2211" s="1" t="n">
        <v>45899</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55759-2024</t>
        </is>
      </c>
      <c r="B2212" s="1" t="n">
        <v>45623.3647337963</v>
      </c>
      <c r="C2212" s="1" t="n">
        <v>45899</v>
      </c>
      <c r="D2212" t="inlineStr">
        <is>
          <t>VÄSTERNORRLANDS LÄN</t>
        </is>
      </c>
      <c r="E2212" t="inlineStr">
        <is>
          <t>SOLLEFTEÅ</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56388-2024</t>
        </is>
      </c>
      <c r="B2213" s="1" t="n">
        <v>45625.34449074074</v>
      </c>
      <c r="C2213" s="1" t="n">
        <v>45899</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57892-2024</t>
        </is>
      </c>
      <c r="B2214" s="1" t="n">
        <v>45631.46910879629</v>
      </c>
      <c r="C2214" s="1" t="n">
        <v>45899</v>
      </c>
      <c r="D2214" t="inlineStr">
        <is>
          <t>VÄSTERNORRLANDS LÄN</t>
        </is>
      </c>
      <c r="E2214" t="inlineStr">
        <is>
          <t>SOLLEFTEÅ</t>
        </is>
      </c>
      <c r="F2214" t="inlineStr">
        <is>
          <t>SCA</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10967-2025</t>
        </is>
      </c>
      <c r="B2215" s="1" t="n">
        <v>45723.38615740741</v>
      </c>
      <c r="C2215" s="1" t="n">
        <v>45899</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20223-2024</t>
        </is>
      </c>
      <c r="B2216" s="1" t="n">
        <v>45434</v>
      </c>
      <c r="C2216" s="1" t="n">
        <v>45899</v>
      </c>
      <c r="D2216" t="inlineStr">
        <is>
          <t>VÄSTERNORRLANDS LÄN</t>
        </is>
      </c>
      <c r="E2216" t="inlineStr">
        <is>
          <t>SOLLEFTEÅ</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51227-2024</t>
        </is>
      </c>
      <c r="B2217" s="1" t="n">
        <v>45603.65729166667</v>
      </c>
      <c r="C2217" s="1" t="n">
        <v>45899</v>
      </c>
      <c r="D2217" t="inlineStr">
        <is>
          <t>VÄSTERNORRLANDS LÄN</t>
        </is>
      </c>
      <c r="E2217" t="inlineStr">
        <is>
          <t>SOLLEFTEÅ</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60831-2024</t>
        </is>
      </c>
      <c r="B2218" s="1" t="n">
        <v>45644</v>
      </c>
      <c r="C2218" s="1" t="n">
        <v>45899</v>
      </c>
      <c r="D2218" t="inlineStr">
        <is>
          <t>VÄSTERNORRLANDS LÄN</t>
        </is>
      </c>
      <c r="E2218" t="inlineStr">
        <is>
          <t>SOLLEFTEÅ</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56408-2024</t>
        </is>
      </c>
      <c r="B2219" s="1" t="n">
        <v>45625</v>
      </c>
      <c r="C2219" s="1" t="n">
        <v>45899</v>
      </c>
      <c r="D2219" t="inlineStr">
        <is>
          <t>VÄSTERNORRLANDS LÄN</t>
        </is>
      </c>
      <c r="E2219" t="inlineStr">
        <is>
          <t>SOLLEFTEÅ</t>
        </is>
      </c>
      <c r="F2219" t="inlineStr">
        <is>
          <t>SCA</t>
        </is>
      </c>
      <c r="G2219" t="n">
        <v>4.6</v>
      </c>
      <c r="H2219" t="n">
        <v>0</v>
      </c>
      <c r="I2219" t="n">
        <v>0</v>
      </c>
      <c r="J2219" t="n">
        <v>0</v>
      </c>
      <c r="K2219" t="n">
        <v>0</v>
      </c>
      <c r="L2219" t="n">
        <v>0</v>
      </c>
      <c r="M2219" t="n">
        <v>0</v>
      </c>
      <c r="N2219" t="n">
        <v>0</v>
      </c>
      <c r="O2219" t="n">
        <v>0</v>
      </c>
      <c r="P2219" t="n">
        <v>0</v>
      </c>
      <c r="Q2219" t="n">
        <v>0</v>
      </c>
      <c r="R2219" s="2" t="inlineStr"/>
    </row>
    <row r="2220">
      <c r="A2220" t="inlineStr">
        <is>
          <t>A 14097-2025</t>
        </is>
      </c>
      <c r="B2220" s="1" t="n">
        <v>45740.44875</v>
      </c>
      <c r="C2220" s="1" t="n">
        <v>45899</v>
      </c>
      <c r="D2220" t="inlineStr">
        <is>
          <t>VÄSTERNORRLANDS LÄN</t>
        </is>
      </c>
      <c r="E2220" t="inlineStr">
        <is>
          <t>SOLLEFTEÅ</t>
        </is>
      </c>
      <c r="F2220" t="inlineStr">
        <is>
          <t>SCA</t>
        </is>
      </c>
      <c r="G2220" t="n">
        <v>0.6</v>
      </c>
      <c r="H2220" t="n">
        <v>0</v>
      </c>
      <c r="I2220" t="n">
        <v>0</v>
      </c>
      <c r="J2220" t="n">
        <v>0</v>
      </c>
      <c r="K2220" t="n">
        <v>0</v>
      </c>
      <c r="L2220" t="n">
        <v>0</v>
      </c>
      <c r="M2220" t="n">
        <v>0</v>
      </c>
      <c r="N2220" t="n">
        <v>0</v>
      </c>
      <c r="O2220" t="n">
        <v>0</v>
      </c>
      <c r="P2220" t="n">
        <v>0</v>
      </c>
      <c r="Q2220" t="n">
        <v>0</v>
      </c>
      <c r="R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2025-08-30T08:33:09Z</dcterms:created>
  <dcterms:modified xmlns:dcterms="http://purl.org/dc/terms/" xmlns:xsi="http://www.w3.org/2001/XMLSchema-instance" xsi:type="dcterms:W3CDTF">2025-08-30T08:33:11Z</dcterms:modified>
</cp:coreProperties>
</file>