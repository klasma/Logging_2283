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46082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46082</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46082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46082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46082</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46082</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46082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46082</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46082</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46082</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26657-2022</t>
        </is>
      </c>
      <c r="B25" s="1" t="n">
        <v>44739</v>
      </c>
      <c r="C25" s="1" t="n">
        <v>46082</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49356-2025</t>
        </is>
      </c>
      <c r="B26" s="1" t="n">
        <v>45938</v>
      </c>
      <c r="C26" s="1" t="n">
        <v>46082</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46082</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46082</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46082</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46082</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46082</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46082</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29918-2024</t>
        </is>
      </c>
      <c r="B33" s="1" t="n">
        <v>45487.92841435185</v>
      </c>
      <c r="C33" s="1" t="n">
        <v>46082</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1963-2025</t>
        </is>
      </c>
      <c r="B34" s="1" t="n">
        <v>45672</v>
      </c>
      <c r="C34" s="1" t="n">
        <v>46082</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46082</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28663-2023</t>
        </is>
      </c>
      <c r="B36" s="1" t="n">
        <v>45096</v>
      </c>
      <c r="C36" s="1" t="n">
        <v>46082</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27635-2024</t>
        </is>
      </c>
      <c r="B37" s="1" t="n">
        <v>45474</v>
      </c>
      <c r="C37" s="1" t="n">
        <v>46082</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46082</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32199-2023</t>
        </is>
      </c>
      <c r="B39" s="1" t="n">
        <v>45119</v>
      </c>
      <c r="C39" s="1" t="n">
        <v>46082</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29309-2022</t>
        </is>
      </c>
      <c r="B40" s="1" t="n">
        <v>44750</v>
      </c>
      <c r="C40" s="1" t="n">
        <v>46082</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46082</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27590-2025</t>
        </is>
      </c>
      <c r="B42" s="1" t="n">
        <v>45813</v>
      </c>
      <c r="C42" s="1" t="n">
        <v>46082</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44372-2024</t>
        </is>
      </c>
      <c r="B43" s="1" t="n">
        <v>45573</v>
      </c>
      <c r="C43" s="1" t="n">
        <v>46082</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22209-2025</t>
        </is>
      </c>
      <c r="B44" s="1" t="n">
        <v>45785.65732638889</v>
      </c>
      <c r="C44" s="1" t="n">
        <v>46082</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46082</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46082</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46082</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46082</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46082</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46082</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46082</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46082</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61326-2024</t>
        </is>
      </c>
      <c r="B53" s="1" t="n">
        <v>45646</v>
      </c>
      <c r="C53" s="1" t="n">
        <v>46082</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46082</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46082</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46082</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46082</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46082</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32460-2024</t>
        </is>
      </c>
      <c r="B59" s="1" t="n">
        <v>45512</v>
      </c>
      <c r="C59" s="1" t="n">
        <v>46082</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46082</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46082</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51693-2024</t>
        </is>
      </c>
      <c r="B62" s="1" t="n">
        <v>45607.34570601852</v>
      </c>
      <c r="C62" s="1" t="n">
        <v>46082</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43329-2025</t>
        </is>
      </c>
      <c r="B63" s="1" t="n">
        <v>45910.6775</v>
      </c>
      <c r="C63" s="1" t="n">
        <v>46082</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37488-2023</t>
        </is>
      </c>
      <c r="B64" s="1" t="n">
        <v>45156</v>
      </c>
      <c r="C64" s="1" t="n">
        <v>46082</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46082</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62197-2025</t>
        </is>
      </c>
      <c r="B66" s="1" t="n">
        <v>46006.55293981481</v>
      </c>
      <c r="C66" s="1" t="n">
        <v>46082</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46082</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18009-2022</t>
        </is>
      </c>
      <c r="B68" s="1" t="n">
        <v>44683</v>
      </c>
      <c r="C68" s="1" t="n">
        <v>46082</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46082</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12865-2024</t>
        </is>
      </c>
      <c r="B70" s="1" t="n">
        <v>45384</v>
      </c>
      <c r="C70" s="1" t="n">
        <v>46082</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40274-2022</t>
        </is>
      </c>
      <c r="B71" s="1" t="n">
        <v>44820</v>
      </c>
      <c r="C71" s="1" t="n">
        <v>46082</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57790-2024</t>
        </is>
      </c>
      <c r="B72" s="1" t="n">
        <v>45631</v>
      </c>
      <c r="C72" s="1" t="n">
        <v>46082</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46082</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46082</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46082</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5310-2024</t>
        </is>
      </c>
      <c r="B76" s="1" t="n">
        <v>45331</v>
      </c>
      <c r="C76" s="1" t="n">
        <v>46082</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29620-2023</t>
        </is>
      </c>
      <c r="B77" s="1" t="n">
        <v>45106</v>
      </c>
      <c r="C77" s="1" t="n">
        <v>46082</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24459-2024</t>
        </is>
      </c>
      <c r="B78" s="1" t="n">
        <v>45457.9678125</v>
      </c>
      <c r="C78" s="1" t="n">
        <v>46082</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11540-2024</t>
        </is>
      </c>
      <c r="B79" s="1" t="n">
        <v>45372</v>
      </c>
      <c r="C79" s="1" t="n">
        <v>46082</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29250-2024</t>
        </is>
      </c>
      <c r="B80" s="1" t="n">
        <v>45482</v>
      </c>
      <c r="C80" s="1" t="n">
        <v>46082</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21345-2023</t>
        </is>
      </c>
      <c r="B81" s="1" t="n">
        <v>45062</v>
      </c>
      <c r="C81" s="1" t="n">
        <v>46082</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31504-2025</t>
        </is>
      </c>
      <c r="B82" s="1" t="n">
        <v>45833.59438657408</v>
      </c>
      <c r="C82" s="1" t="n">
        <v>46082</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26655-2022</t>
        </is>
      </c>
      <c r="B83" s="1" t="n">
        <v>44739</v>
      </c>
      <c r="C83" s="1" t="n">
        <v>46082</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38294-2024</t>
        </is>
      </c>
      <c r="B84" s="1" t="n">
        <v>45545</v>
      </c>
      <c r="C84" s="1" t="n">
        <v>46082</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47548-2025</t>
        </is>
      </c>
      <c r="B85" s="1" t="n">
        <v>45931.3653125</v>
      </c>
      <c r="C85" s="1" t="n">
        <v>46082</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45078-2025</t>
        </is>
      </c>
      <c r="B86" s="1" t="n">
        <v>45919</v>
      </c>
      <c r="C86" s="1" t="n">
        <v>46082</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32200-2023</t>
        </is>
      </c>
      <c r="B87" s="1" t="n">
        <v>45119</v>
      </c>
      <c r="C87" s="1" t="n">
        <v>46082</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57317-2024</t>
        </is>
      </c>
      <c r="B88" s="1" t="n">
        <v>45629</v>
      </c>
      <c r="C88" s="1" t="n">
        <v>46082</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60499-2025</t>
        </is>
      </c>
      <c r="B89" s="1" t="n">
        <v>45995.61760416667</v>
      </c>
      <c r="C89" s="1" t="n">
        <v>46082</v>
      </c>
      <c r="D89" t="inlineStr">
        <is>
          <t>VÄSTERNORRLANDS LÄN</t>
        </is>
      </c>
      <c r="E89" t="inlineStr">
        <is>
          <t>SOLLEFTEÅ</t>
        </is>
      </c>
      <c r="G89" t="n">
        <v>9.5</v>
      </c>
      <c r="H89" t="n">
        <v>1</v>
      </c>
      <c r="I89" t="n">
        <v>2</v>
      </c>
      <c r="J89" t="n">
        <v>5</v>
      </c>
      <c r="K89" t="n">
        <v>1</v>
      </c>
      <c r="L89" t="n">
        <v>0</v>
      </c>
      <c r="M89" t="n">
        <v>0</v>
      </c>
      <c r="N89" t="n">
        <v>0</v>
      </c>
      <c r="O89" t="n">
        <v>6</v>
      </c>
      <c r="P89" t="n">
        <v>1</v>
      </c>
      <c r="Q89" t="n">
        <v>8</v>
      </c>
      <c r="R89" s="2" t="inlineStr">
        <is>
          <t>Rynkskinn
Garnlav
Lunglav
Rosenticka
Talltita
Ullticka
Stuplav
Vedticka</t>
        </is>
      </c>
      <c r="S89">
        <f>HYPERLINK("https://klasma.github.io/Logging_2283/artfynd/A 60499-2025 artfynd.xlsx", "A 60499-2025")</f>
        <v/>
      </c>
      <c r="T89">
        <f>HYPERLINK("https://klasma.github.io/Logging_2283/kartor/A 60499-2025 karta.png", "A 60499-2025")</f>
        <v/>
      </c>
      <c r="V89">
        <f>HYPERLINK("https://klasma.github.io/Logging_2283/klagomål/A 60499-2025 FSC-klagomål.docx", "A 60499-2025")</f>
        <v/>
      </c>
      <c r="W89">
        <f>HYPERLINK("https://klasma.github.io/Logging_2283/klagomålsmail/A 60499-2025 FSC-klagomål mail.docx", "A 60499-2025")</f>
        <v/>
      </c>
      <c r="X89">
        <f>HYPERLINK("https://klasma.github.io/Logging_2283/tillsyn/A 60499-2025 tillsynsbegäran.docx", "A 60499-2025")</f>
        <v/>
      </c>
      <c r="Y89">
        <f>HYPERLINK("https://klasma.github.io/Logging_2283/tillsynsmail/A 60499-2025 tillsynsbegäran mail.docx", "A 60499-2025")</f>
        <v/>
      </c>
      <c r="Z89">
        <f>HYPERLINK("https://klasma.github.io/Logging_2283/fåglar/A 60499-2025 prioriterade fågelarter.docx", "A 60499-2025")</f>
        <v/>
      </c>
    </row>
    <row r="90" ht="15" customHeight="1">
      <c r="A90" t="inlineStr">
        <is>
          <t>A 4930-2025</t>
        </is>
      </c>
      <c r="B90" s="1" t="n">
        <v>45688</v>
      </c>
      <c r="C90" s="1" t="n">
        <v>46082</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39071-2023</t>
        </is>
      </c>
      <c r="B91" s="1" t="n">
        <v>45163</v>
      </c>
      <c r="C91" s="1" t="n">
        <v>46082</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25941-2025</t>
        </is>
      </c>
      <c r="B92" s="1" t="n">
        <v>45804</v>
      </c>
      <c r="C92" s="1" t="n">
        <v>46082</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31560-2024</t>
        </is>
      </c>
      <c r="B93" s="1" t="n">
        <v>45505</v>
      </c>
      <c r="C93" s="1" t="n">
        <v>46082</v>
      </c>
      <c r="D93" t="inlineStr">
        <is>
          <t>VÄSTERNORRLANDS LÄN</t>
        </is>
      </c>
      <c r="E93" t="inlineStr">
        <is>
          <t>SOLLEFTEÅ</t>
        </is>
      </c>
      <c r="F93" t="inlineStr">
        <is>
          <t>SCA</t>
        </is>
      </c>
      <c r="G93" t="n">
        <v>6</v>
      </c>
      <c r="H93" t="n">
        <v>3</v>
      </c>
      <c r="I93" t="n">
        <v>0</v>
      </c>
      <c r="J93" t="n">
        <v>6</v>
      </c>
      <c r="K93" t="n">
        <v>2</v>
      </c>
      <c r="L93" t="n">
        <v>0</v>
      </c>
      <c r="M93" t="n">
        <v>0</v>
      </c>
      <c r="N93" t="n">
        <v>0</v>
      </c>
      <c r="O93" t="n">
        <v>8</v>
      </c>
      <c r="P93" t="n">
        <v>2</v>
      </c>
      <c r="Q93" t="n">
        <v>8</v>
      </c>
      <c r="R93" s="2" t="inlineStr">
        <is>
          <t>Lappticka
Rynkskinn
Garnlav
Rosenticka
Spillkråka
Talltita
Tretåig hackspett
Ullticka</t>
        </is>
      </c>
      <c r="S93">
        <f>HYPERLINK("https://klasma.github.io/Logging_2283/artfynd/A 31560-2024 artfynd.xlsx", "A 31560-2024")</f>
        <v/>
      </c>
      <c r="T93">
        <f>HYPERLINK("https://klasma.github.io/Logging_2283/kartor/A 31560-2024 karta.png", "A 31560-2024")</f>
        <v/>
      </c>
      <c r="V93">
        <f>HYPERLINK("https://klasma.github.io/Logging_2283/klagomål/A 31560-2024 FSC-klagomål.docx", "A 31560-2024")</f>
        <v/>
      </c>
      <c r="W93">
        <f>HYPERLINK("https://klasma.github.io/Logging_2283/klagomålsmail/A 31560-2024 FSC-klagomål mail.docx", "A 31560-2024")</f>
        <v/>
      </c>
      <c r="X93">
        <f>HYPERLINK("https://klasma.github.io/Logging_2283/tillsyn/A 31560-2024 tillsynsbegäran.docx", "A 31560-2024")</f>
        <v/>
      </c>
      <c r="Y93">
        <f>HYPERLINK("https://klasma.github.io/Logging_2283/tillsynsmail/A 31560-2024 tillsynsbegäran mail.docx", "A 31560-2024")</f>
        <v/>
      </c>
      <c r="Z93">
        <f>HYPERLINK("https://klasma.github.io/Logging_2283/fåglar/A 31560-2024 prioriterade fågelarter.docx", "A 31560-2024")</f>
        <v/>
      </c>
    </row>
    <row r="94" ht="15" customHeight="1">
      <c r="A94" t="inlineStr">
        <is>
          <t>A 44441-2025</t>
        </is>
      </c>
      <c r="B94" s="1" t="n">
        <v>45916</v>
      </c>
      <c r="C94" s="1" t="n">
        <v>46082</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46082</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64131-2023</t>
        </is>
      </c>
      <c r="B96" s="1" t="n">
        <v>45279</v>
      </c>
      <c r="C96" s="1" t="n">
        <v>46082</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3222-2026</t>
        </is>
      </c>
      <c r="B97" s="1" t="n">
        <v>46041</v>
      </c>
      <c r="C97" s="1" t="n">
        <v>46082</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11132-2025</t>
        </is>
      </c>
      <c r="B98" s="1" t="n">
        <v>45723.64934027778</v>
      </c>
      <c r="C98" s="1" t="n">
        <v>46082</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22215-2025</t>
        </is>
      </c>
      <c r="B99" s="1" t="n">
        <v>45785.65803240741</v>
      </c>
      <c r="C99" s="1" t="n">
        <v>46082</v>
      </c>
      <c r="D99" t="inlineStr">
        <is>
          <t>VÄSTERNORRLANDS LÄN</t>
        </is>
      </c>
      <c r="E99" t="inlineStr">
        <is>
          <t>SOLLEFTEÅ</t>
        </is>
      </c>
      <c r="F99" t="inlineStr">
        <is>
          <t>SCA</t>
        </is>
      </c>
      <c r="G99" t="n">
        <v>3.8</v>
      </c>
      <c r="H99" t="n">
        <v>1</v>
      </c>
      <c r="I99" t="n">
        <v>1</v>
      </c>
      <c r="J99" t="n">
        <v>4</v>
      </c>
      <c r="K99" t="n">
        <v>2</v>
      </c>
      <c r="L99" t="n">
        <v>0</v>
      </c>
      <c r="M99" t="n">
        <v>0</v>
      </c>
      <c r="N99" t="n">
        <v>0</v>
      </c>
      <c r="O99" t="n">
        <v>6</v>
      </c>
      <c r="P99" t="n">
        <v>2</v>
      </c>
      <c r="Q99" t="n">
        <v>8</v>
      </c>
      <c r="R99" s="2" t="inlineStr">
        <is>
          <t>Lappticka
Ulltickeporing
Garnlav
Lunglav
Rosenticka
Ullticka
Korallblylav
Blåsippa</t>
        </is>
      </c>
      <c r="S99">
        <f>HYPERLINK("https://klasma.github.io/Logging_2283/artfynd/A 22215-2025 artfynd.xlsx", "A 22215-2025")</f>
        <v/>
      </c>
      <c r="T99">
        <f>HYPERLINK("https://klasma.github.io/Logging_2283/kartor/A 22215-2025 karta.png", "A 22215-2025")</f>
        <v/>
      </c>
      <c r="V99">
        <f>HYPERLINK("https://klasma.github.io/Logging_2283/klagomål/A 22215-2025 FSC-klagomål.docx", "A 22215-2025")</f>
        <v/>
      </c>
      <c r="W99">
        <f>HYPERLINK("https://klasma.github.io/Logging_2283/klagomålsmail/A 22215-2025 FSC-klagomål mail.docx", "A 22215-2025")</f>
        <v/>
      </c>
      <c r="X99">
        <f>HYPERLINK("https://klasma.github.io/Logging_2283/tillsyn/A 22215-2025 tillsynsbegäran.docx", "A 22215-2025")</f>
        <v/>
      </c>
      <c r="Y99">
        <f>HYPERLINK("https://klasma.github.io/Logging_2283/tillsynsmail/A 22215-2025 tillsynsbegäran mail.docx", "A 22215-2025")</f>
        <v/>
      </c>
    </row>
    <row r="100" ht="15" customHeight="1">
      <c r="A100" t="inlineStr">
        <is>
          <t>A 12174-2025</t>
        </is>
      </c>
      <c r="B100" s="1" t="n">
        <v>45729</v>
      </c>
      <c r="C100" s="1" t="n">
        <v>46082</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54049-2023</t>
        </is>
      </c>
      <c r="B101" s="1" t="n">
        <v>45231</v>
      </c>
      <c r="C101" s="1" t="n">
        <v>46082</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53121-2022</t>
        </is>
      </c>
      <c r="B102" s="1" t="n">
        <v>44873</v>
      </c>
      <c r="C102" s="1" t="n">
        <v>46082</v>
      </c>
      <c r="D102" t="inlineStr">
        <is>
          <t>VÄSTERNORRLANDS LÄN</t>
        </is>
      </c>
      <c r="E102" t="inlineStr">
        <is>
          <t>SOLLEFTEÅ</t>
        </is>
      </c>
      <c r="G102" t="n">
        <v>3.6</v>
      </c>
      <c r="H102" t="n">
        <v>1</v>
      </c>
      <c r="I102" t="n">
        <v>1</v>
      </c>
      <c r="J102" t="n">
        <v>5</v>
      </c>
      <c r="K102" t="n">
        <v>1</v>
      </c>
      <c r="L102" t="n">
        <v>0</v>
      </c>
      <c r="M102" t="n">
        <v>0</v>
      </c>
      <c r="N102" t="n">
        <v>0</v>
      </c>
      <c r="O102" t="n">
        <v>6</v>
      </c>
      <c r="P102" t="n">
        <v>1</v>
      </c>
      <c r="Q102" t="n">
        <v>7</v>
      </c>
      <c r="R102" s="2" t="inlineStr">
        <is>
          <t>Rynkskinn
Garnlav
Lunglav
Rosenticka
Tretåig hackspett
Ullticka
Stuplav</t>
        </is>
      </c>
      <c r="S102">
        <f>HYPERLINK("https://klasma.github.io/Logging_2283/artfynd/A 53121-2022 artfynd.xlsx", "A 53121-2022")</f>
        <v/>
      </c>
      <c r="T102">
        <f>HYPERLINK("https://klasma.github.io/Logging_2283/kartor/A 53121-2022 karta.png", "A 53121-2022")</f>
        <v/>
      </c>
      <c r="V102">
        <f>HYPERLINK("https://klasma.github.io/Logging_2283/klagomål/A 53121-2022 FSC-klagomål.docx", "A 53121-2022")</f>
        <v/>
      </c>
      <c r="W102">
        <f>HYPERLINK("https://klasma.github.io/Logging_2283/klagomålsmail/A 53121-2022 FSC-klagomål mail.docx", "A 53121-2022")</f>
        <v/>
      </c>
      <c r="X102">
        <f>HYPERLINK("https://klasma.github.io/Logging_2283/tillsyn/A 53121-2022 tillsynsbegäran.docx", "A 53121-2022")</f>
        <v/>
      </c>
      <c r="Y102">
        <f>HYPERLINK("https://klasma.github.io/Logging_2283/tillsynsmail/A 53121-2022 tillsynsbegäran mail.docx", "A 53121-2022")</f>
        <v/>
      </c>
      <c r="Z102">
        <f>HYPERLINK("https://klasma.github.io/Logging_2283/fåglar/A 53121-2022 prioriterade fågelarter.docx", "A 53121-2022")</f>
        <v/>
      </c>
    </row>
    <row r="103" ht="15" customHeight="1">
      <c r="A103" t="inlineStr">
        <is>
          <t>A 47647-2022</t>
        </is>
      </c>
      <c r="B103" s="1" t="n">
        <v>44852</v>
      </c>
      <c r="C103" s="1" t="n">
        <v>46082</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715-2023</t>
        </is>
      </c>
      <c r="B104" s="1" t="n">
        <v>44930</v>
      </c>
      <c r="C104" s="1" t="n">
        <v>46082</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59045-2022</t>
        </is>
      </c>
      <c r="B105" s="1" t="n">
        <v>44903</v>
      </c>
      <c r="C105" s="1" t="n">
        <v>46082</v>
      </c>
      <c r="D105" t="inlineStr">
        <is>
          <t>VÄSTERNORRLANDS LÄN</t>
        </is>
      </c>
      <c r="E105" t="inlineStr">
        <is>
          <t>SOLLEFTEÅ</t>
        </is>
      </c>
      <c r="F105" t="inlineStr">
        <is>
          <t>SCA</t>
        </is>
      </c>
      <c r="G105" t="n">
        <v>23.4</v>
      </c>
      <c r="H105" t="n">
        <v>1</v>
      </c>
      <c r="I105" t="n">
        <v>1</v>
      </c>
      <c r="J105" t="n">
        <v>6</v>
      </c>
      <c r="K105" t="n">
        <v>0</v>
      </c>
      <c r="L105" t="n">
        <v>0</v>
      </c>
      <c r="M105" t="n">
        <v>0</v>
      </c>
      <c r="N105" t="n">
        <v>0</v>
      </c>
      <c r="O105" t="n">
        <v>6</v>
      </c>
      <c r="P105" t="n">
        <v>0</v>
      </c>
      <c r="Q105" t="n">
        <v>7</v>
      </c>
      <c r="R105" s="2" t="inlineStr">
        <is>
          <t>Gammelgransskål
Garnlav
Granticka
Lunglav
Tretåig hackspett
Ullticka
Strutbräken</t>
        </is>
      </c>
      <c r="S105">
        <f>HYPERLINK("https://klasma.github.io/Logging_2283/artfynd/A 59045-2022 artfynd.xlsx", "A 59045-2022")</f>
        <v/>
      </c>
      <c r="T105">
        <f>HYPERLINK("https://klasma.github.io/Logging_2283/kartor/A 59045-2022 karta.png", "A 59045-2022")</f>
        <v/>
      </c>
      <c r="V105">
        <f>HYPERLINK("https://klasma.github.io/Logging_2283/klagomål/A 59045-2022 FSC-klagomål.docx", "A 59045-2022")</f>
        <v/>
      </c>
      <c r="W105">
        <f>HYPERLINK("https://klasma.github.io/Logging_2283/klagomålsmail/A 59045-2022 FSC-klagomål mail.docx", "A 59045-2022")</f>
        <v/>
      </c>
      <c r="X105">
        <f>HYPERLINK("https://klasma.github.io/Logging_2283/tillsyn/A 59045-2022 tillsynsbegäran.docx", "A 59045-2022")</f>
        <v/>
      </c>
      <c r="Y105">
        <f>HYPERLINK("https://klasma.github.io/Logging_2283/tillsynsmail/A 59045-2022 tillsynsbegäran mail.docx", "A 59045-2022")</f>
        <v/>
      </c>
      <c r="Z105">
        <f>HYPERLINK("https://klasma.github.io/Logging_2283/fåglar/A 59045-2022 prioriterade fågelarter.docx", "A 59045-2022")</f>
        <v/>
      </c>
    </row>
    <row r="106" ht="15" customHeight="1">
      <c r="A106" t="inlineStr">
        <is>
          <t>A 28997-2025</t>
        </is>
      </c>
      <c r="B106" s="1" t="n">
        <v>45821.38616898148</v>
      </c>
      <c r="C106" s="1" t="n">
        <v>46082</v>
      </c>
      <c r="D106" t="inlineStr">
        <is>
          <t>VÄSTERNORRLANDS LÄN</t>
        </is>
      </c>
      <c r="E106" t="inlineStr">
        <is>
          <t>SOLLEFTEÅ</t>
        </is>
      </c>
      <c r="F106" t="inlineStr">
        <is>
          <t>SCA</t>
        </is>
      </c>
      <c r="G106" t="n">
        <v>4.2</v>
      </c>
      <c r="H106" t="n">
        <v>0</v>
      </c>
      <c r="I106" t="n">
        <v>3</v>
      </c>
      <c r="J106" t="n">
        <v>4</v>
      </c>
      <c r="K106" t="n">
        <v>0</v>
      </c>
      <c r="L106" t="n">
        <v>0</v>
      </c>
      <c r="M106" t="n">
        <v>0</v>
      </c>
      <c r="N106" t="n">
        <v>0</v>
      </c>
      <c r="O106" t="n">
        <v>4</v>
      </c>
      <c r="P106" t="n">
        <v>0</v>
      </c>
      <c r="Q106" t="n">
        <v>7</v>
      </c>
      <c r="R106" s="2" t="inlineStr">
        <is>
          <t>Dvärgbägarlav
Garnlav
Vaddporing
Vedtrappmossa
Bollvitmossa
Norrlandslav
Skuggblåslav</t>
        </is>
      </c>
      <c r="S106">
        <f>HYPERLINK("https://klasma.github.io/Logging_2283/artfynd/A 28997-2025 artfynd.xlsx", "A 28997-2025")</f>
        <v/>
      </c>
      <c r="T106">
        <f>HYPERLINK("https://klasma.github.io/Logging_2283/kartor/A 28997-2025 karta.png", "A 28997-2025")</f>
        <v/>
      </c>
      <c r="V106">
        <f>HYPERLINK("https://klasma.github.io/Logging_2283/klagomål/A 28997-2025 FSC-klagomål.docx", "A 28997-2025")</f>
        <v/>
      </c>
      <c r="W106">
        <f>HYPERLINK("https://klasma.github.io/Logging_2283/klagomålsmail/A 28997-2025 FSC-klagomål mail.docx", "A 28997-2025")</f>
        <v/>
      </c>
      <c r="X106">
        <f>HYPERLINK("https://klasma.github.io/Logging_2283/tillsyn/A 28997-2025 tillsynsbegäran.docx", "A 28997-2025")</f>
        <v/>
      </c>
      <c r="Y106">
        <f>HYPERLINK("https://klasma.github.io/Logging_2283/tillsynsmail/A 28997-2025 tillsynsbegäran mail.docx", "A 28997-2025")</f>
        <v/>
      </c>
    </row>
    <row r="107" ht="15" customHeight="1">
      <c r="A107" t="inlineStr">
        <is>
          <t>A 21253-2025</t>
        </is>
      </c>
      <c r="B107" s="1" t="n">
        <v>45779</v>
      </c>
      <c r="C107" s="1" t="n">
        <v>46082</v>
      </c>
      <c r="D107" t="inlineStr">
        <is>
          <t>VÄSTERNORRLANDS LÄN</t>
        </is>
      </c>
      <c r="E107" t="inlineStr">
        <is>
          <t>SOLLEFTEÅ</t>
        </is>
      </c>
      <c r="G107" t="n">
        <v>10.2</v>
      </c>
      <c r="H107" t="n">
        <v>2</v>
      </c>
      <c r="I107" t="n">
        <v>1</v>
      </c>
      <c r="J107" t="n">
        <v>3</v>
      </c>
      <c r="K107" t="n">
        <v>1</v>
      </c>
      <c r="L107" t="n">
        <v>0</v>
      </c>
      <c r="M107" t="n">
        <v>0</v>
      </c>
      <c r="N107" t="n">
        <v>0</v>
      </c>
      <c r="O107" t="n">
        <v>4</v>
      </c>
      <c r="P107" t="n">
        <v>1</v>
      </c>
      <c r="Q107" t="n">
        <v>7</v>
      </c>
      <c r="R107" s="2" t="inlineStr">
        <is>
          <t>Rynkskinn
Doftskinn
Rosenticka
Ullticka
Stor aspticka
Fläcknycklar
Revlummer</t>
        </is>
      </c>
      <c r="S107">
        <f>HYPERLINK("https://klasma.github.io/Logging_2283/artfynd/A 21253-2025 artfynd.xlsx", "A 21253-2025")</f>
        <v/>
      </c>
      <c r="T107">
        <f>HYPERLINK("https://klasma.github.io/Logging_2283/kartor/A 21253-2025 karta.png", "A 21253-2025")</f>
        <v/>
      </c>
      <c r="V107">
        <f>HYPERLINK("https://klasma.github.io/Logging_2283/klagomål/A 21253-2025 FSC-klagomål.docx", "A 21253-2025")</f>
        <v/>
      </c>
      <c r="W107">
        <f>HYPERLINK("https://klasma.github.io/Logging_2283/klagomålsmail/A 21253-2025 FSC-klagomål mail.docx", "A 21253-2025")</f>
        <v/>
      </c>
      <c r="X107">
        <f>HYPERLINK("https://klasma.github.io/Logging_2283/tillsyn/A 21253-2025 tillsynsbegäran.docx", "A 21253-2025")</f>
        <v/>
      </c>
      <c r="Y107">
        <f>HYPERLINK("https://klasma.github.io/Logging_2283/tillsynsmail/A 21253-2025 tillsynsbegäran mail.docx", "A 21253-2025")</f>
        <v/>
      </c>
    </row>
    <row r="108" ht="15" customHeight="1">
      <c r="A108" t="inlineStr">
        <is>
          <t>A 26654-2024</t>
        </is>
      </c>
      <c r="B108" s="1" t="n">
        <v>45469</v>
      </c>
      <c r="C108" s="1" t="n">
        <v>46082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38157-2025</t>
        </is>
      </c>
      <c r="B109" s="1" t="n">
        <v>45882.61505787037</v>
      </c>
      <c r="C109" s="1" t="n">
        <v>46082</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14580-2024</t>
        </is>
      </c>
      <c r="B110" s="1" t="n">
        <v>45394</v>
      </c>
      <c r="C110" s="1" t="n">
        <v>46082</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55334-2025</t>
        </is>
      </c>
      <c r="B111" s="1" t="n">
        <v>45971.34430555555</v>
      </c>
      <c r="C111" s="1" t="n">
        <v>46082</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62992-2023</t>
        </is>
      </c>
      <c r="B112" s="1" t="n">
        <v>45272</v>
      </c>
      <c r="C112" s="1" t="n">
        <v>46082</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9158-2026</t>
        </is>
      </c>
      <c r="B113" s="1" t="n">
        <v>46070</v>
      </c>
      <c r="C113" s="1" t="n">
        <v>46082</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55422-2024</t>
        </is>
      </c>
      <c r="B114" s="1" t="n">
        <v>45622.38619212963</v>
      </c>
      <c r="C114" s="1" t="n">
        <v>46082</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18014-2022</t>
        </is>
      </c>
      <c r="B115" s="1" t="n">
        <v>44683</v>
      </c>
      <c r="C115" s="1" t="n">
        <v>46082</v>
      </c>
      <c r="D115" t="inlineStr">
        <is>
          <t>VÄSTERNORRLANDS LÄN</t>
        </is>
      </c>
      <c r="E115" t="inlineStr">
        <is>
          <t>SOLLEFTEÅ</t>
        </is>
      </c>
      <c r="F115" t="inlineStr">
        <is>
          <t>SCA</t>
        </is>
      </c>
      <c r="G115" t="n">
        <v>2.5</v>
      </c>
      <c r="H115" t="n">
        <v>2</v>
      </c>
      <c r="I115" t="n">
        <v>0</v>
      </c>
      <c r="J115" t="n">
        <v>5</v>
      </c>
      <c r="K115" t="n">
        <v>2</v>
      </c>
      <c r="L115" t="n">
        <v>0</v>
      </c>
      <c r="M115" t="n">
        <v>0</v>
      </c>
      <c r="N115" t="n">
        <v>0</v>
      </c>
      <c r="O115" t="n">
        <v>7</v>
      </c>
      <c r="P115" t="n">
        <v>2</v>
      </c>
      <c r="Q115" t="n">
        <v>7</v>
      </c>
      <c r="R115" s="2" t="inlineStr">
        <is>
          <t>Goliatmusseron
Läderdoftande fingersvamp
Granticka
Gultoppig fingersvamp
Svart taggsvamp
Talltita
Tretåig hackspett</t>
        </is>
      </c>
      <c r="S115">
        <f>HYPERLINK("https://klasma.github.io/Logging_2283/artfynd/A 18014-2022 artfynd.xlsx", "A 18014-2022")</f>
        <v/>
      </c>
      <c r="T115">
        <f>HYPERLINK("https://klasma.github.io/Logging_2283/kartor/A 18014-2022 karta.png", "A 18014-2022")</f>
        <v/>
      </c>
      <c r="U115">
        <f>HYPERLINK("https://klasma.github.io/Logging_2283/knärot/A 18014-2022 karta knärot.png", "A 18014-2022")</f>
        <v/>
      </c>
      <c r="V115">
        <f>HYPERLINK("https://klasma.github.io/Logging_2283/klagomål/A 18014-2022 FSC-klagomål.docx", "A 18014-2022")</f>
        <v/>
      </c>
      <c r="W115">
        <f>HYPERLINK("https://klasma.github.io/Logging_2283/klagomålsmail/A 18014-2022 FSC-klagomål mail.docx", "A 18014-2022")</f>
        <v/>
      </c>
      <c r="X115">
        <f>HYPERLINK("https://klasma.github.io/Logging_2283/tillsyn/A 18014-2022 tillsynsbegäran.docx", "A 18014-2022")</f>
        <v/>
      </c>
      <c r="Y115">
        <f>HYPERLINK("https://klasma.github.io/Logging_2283/tillsynsmail/A 18014-2022 tillsynsbegäran mail.docx", "A 18014-2022")</f>
        <v/>
      </c>
      <c r="Z115">
        <f>HYPERLINK("https://klasma.github.io/Logging_2283/fåglar/A 18014-2022 prioriterade fågelarter.docx", "A 18014-2022")</f>
        <v/>
      </c>
    </row>
    <row r="116" ht="15" customHeight="1">
      <c r="A116" t="inlineStr">
        <is>
          <t>A 22783-2025</t>
        </is>
      </c>
      <c r="B116" s="1" t="n">
        <v>45789</v>
      </c>
      <c r="C116" s="1" t="n">
        <v>46082</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46082</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16087-2022</t>
        </is>
      </c>
      <c r="B118" s="1" t="n">
        <v>44665</v>
      </c>
      <c r="C118" s="1" t="n">
        <v>46082</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46082</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31885-2024</t>
        </is>
      </c>
      <c r="B120" s="1" t="n">
        <v>45509.95769675926</v>
      </c>
      <c r="C120" s="1" t="n">
        <v>46082</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35406-2024</t>
        </is>
      </c>
      <c r="B121" s="1" t="n">
        <v>45531.40607638889</v>
      </c>
      <c r="C121" s="1" t="n">
        <v>46082</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53829-2024</t>
        </is>
      </c>
      <c r="B122" s="1" t="n">
        <v>45615.6153125</v>
      </c>
      <c r="C122" s="1" t="n">
        <v>46082</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15666-2025</t>
        </is>
      </c>
      <c r="B123" s="1" t="n">
        <v>45748.4315625</v>
      </c>
      <c r="C123" s="1" t="n">
        <v>46082</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33321-2025</t>
        </is>
      </c>
      <c r="B124" s="1" t="n">
        <v>45841.34490740741</v>
      </c>
      <c r="C124" s="1" t="n">
        <v>46082</v>
      </c>
      <c r="D124" t="inlineStr">
        <is>
          <t>VÄSTERNORRLANDS LÄN</t>
        </is>
      </c>
      <c r="E124" t="inlineStr">
        <is>
          <t>SOLLEFTEÅ</t>
        </is>
      </c>
      <c r="F124" t="inlineStr">
        <is>
          <t>SCA</t>
        </is>
      </c>
      <c r="G124" t="n">
        <v>3</v>
      </c>
      <c r="H124" t="n">
        <v>3</v>
      </c>
      <c r="I124" t="n">
        <v>2</v>
      </c>
      <c r="J124" t="n">
        <v>0</v>
      </c>
      <c r="K124" t="n">
        <v>3</v>
      </c>
      <c r="L124" t="n">
        <v>0</v>
      </c>
      <c r="M124" t="n">
        <v>0</v>
      </c>
      <c r="N124" t="n">
        <v>0</v>
      </c>
      <c r="O124" t="n">
        <v>3</v>
      </c>
      <c r="P124" t="n">
        <v>3</v>
      </c>
      <c r="Q124" t="n">
        <v>6</v>
      </c>
      <c r="R124" s="2" t="inlineStr">
        <is>
          <t>Gräddporing
Knärot
Laxporing
Grönpyrola
Plattlummer
Revlummer</t>
        </is>
      </c>
      <c r="S124">
        <f>HYPERLINK("https://klasma.github.io/Logging_2283/artfynd/A 33321-2025 artfynd.xlsx", "A 33321-2025")</f>
        <v/>
      </c>
      <c r="T124">
        <f>HYPERLINK("https://klasma.github.io/Logging_2283/kartor/A 33321-2025 karta.png", "A 33321-2025")</f>
        <v/>
      </c>
      <c r="U124">
        <f>HYPERLINK("https://klasma.github.io/Logging_2283/knärot/A 33321-2025 karta knärot.png", "A 33321-2025")</f>
        <v/>
      </c>
      <c r="V124">
        <f>HYPERLINK("https://klasma.github.io/Logging_2283/klagomål/A 33321-2025 FSC-klagomål.docx", "A 33321-2025")</f>
        <v/>
      </c>
      <c r="W124">
        <f>HYPERLINK("https://klasma.github.io/Logging_2283/klagomålsmail/A 33321-2025 FSC-klagomål mail.docx", "A 33321-2025")</f>
        <v/>
      </c>
      <c r="X124">
        <f>HYPERLINK("https://klasma.github.io/Logging_2283/tillsyn/A 33321-2025 tillsynsbegäran.docx", "A 33321-2025")</f>
        <v/>
      </c>
      <c r="Y124">
        <f>HYPERLINK("https://klasma.github.io/Logging_2283/tillsynsmail/A 33321-2025 tillsynsbegäran mail.docx", "A 33321-2025")</f>
        <v/>
      </c>
    </row>
    <row r="125" ht="15" customHeight="1">
      <c r="A125" t="inlineStr">
        <is>
          <t>A 40420-2023</t>
        </is>
      </c>
      <c r="B125" s="1" t="n">
        <v>45169</v>
      </c>
      <c r="C125" s="1" t="n">
        <v>46082</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24887-2022</t>
        </is>
      </c>
      <c r="B126" s="1" t="n">
        <v>44728</v>
      </c>
      <c r="C126" s="1" t="n">
        <v>46082</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35632-2025</t>
        </is>
      </c>
      <c r="B127" s="1" t="n">
        <v>45859.44893518519</v>
      </c>
      <c r="C127" s="1" t="n">
        <v>46082</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61323-2024</t>
        </is>
      </c>
      <c r="B128" s="1" t="n">
        <v>45646</v>
      </c>
      <c r="C128" s="1" t="n">
        <v>46082</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45692-2025</t>
        </is>
      </c>
      <c r="B129" s="1" t="n">
        <v>45923</v>
      </c>
      <c r="C129" s="1" t="n">
        <v>46082</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3056-2025</t>
        </is>
      </c>
      <c r="B130" s="1" t="n">
        <v>45678.61554398148</v>
      </c>
      <c r="C130" s="1" t="n">
        <v>46082</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49747-2025</t>
        </is>
      </c>
      <c r="B131" s="1" t="n">
        <v>45940.34461805555</v>
      </c>
      <c r="C131" s="1" t="n">
        <v>46082</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11552-2024</t>
        </is>
      </c>
      <c r="B132" s="1" t="n">
        <v>45372</v>
      </c>
      <c r="C132" s="1" t="n">
        <v>46082</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14860-2023</t>
        </is>
      </c>
      <c r="B133" s="1" t="n">
        <v>45015.07157407407</v>
      </c>
      <c r="C133" s="1" t="n">
        <v>46082</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18100-2025</t>
        </is>
      </c>
      <c r="B134" s="1" t="n">
        <v>45761.55240740741</v>
      </c>
      <c r="C134" s="1" t="n">
        <v>46082</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56141-2025</t>
        </is>
      </c>
      <c r="B135" s="1" t="n">
        <v>45974</v>
      </c>
      <c r="C135" s="1" t="n">
        <v>46082</v>
      </c>
      <c r="D135" t="inlineStr">
        <is>
          <t>VÄSTERNORRLANDS LÄN</t>
        </is>
      </c>
      <c r="E135" t="inlineStr">
        <is>
          <t>SOLLEFTEÅ</t>
        </is>
      </c>
      <c r="G135" t="n">
        <v>2.5</v>
      </c>
      <c r="H135" t="n">
        <v>1</v>
      </c>
      <c r="I135" t="n">
        <v>2</v>
      </c>
      <c r="J135" t="n">
        <v>2</v>
      </c>
      <c r="K135" t="n">
        <v>1</v>
      </c>
      <c r="L135" t="n">
        <v>0</v>
      </c>
      <c r="M135" t="n">
        <v>0</v>
      </c>
      <c r="N135" t="n">
        <v>0</v>
      </c>
      <c r="O135" t="n">
        <v>3</v>
      </c>
      <c r="P135" t="n">
        <v>1</v>
      </c>
      <c r="Q135" t="n">
        <v>6</v>
      </c>
      <c r="R135" s="2" t="inlineStr">
        <is>
          <t>Rynkskinn
Garnlav
Ullticka
Norrlandslav
Stuplav
Lavskrika</t>
        </is>
      </c>
      <c r="S135">
        <f>HYPERLINK("https://klasma.github.io/Logging_2283/artfynd/A 56141-2025 artfynd.xlsx", "A 56141-2025")</f>
        <v/>
      </c>
      <c r="T135">
        <f>HYPERLINK("https://klasma.github.io/Logging_2283/kartor/A 56141-2025 karta.png", "A 56141-2025")</f>
        <v/>
      </c>
      <c r="V135">
        <f>HYPERLINK("https://klasma.github.io/Logging_2283/klagomål/A 56141-2025 FSC-klagomål.docx", "A 56141-2025")</f>
        <v/>
      </c>
      <c r="W135">
        <f>HYPERLINK("https://klasma.github.io/Logging_2283/klagomålsmail/A 56141-2025 FSC-klagomål mail.docx", "A 56141-2025")</f>
        <v/>
      </c>
      <c r="X135">
        <f>HYPERLINK("https://klasma.github.io/Logging_2283/tillsyn/A 56141-2025 tillsynsbegäran.docx", "A 56141-2025")</f>
        <v/>
      </c>
      <c r="Y135">
        <f>HYPERLINK("https://klasma.github.io/Logging_2283/tillsynsmail/A 56141-2025 tillsynsbegäran mail.docx", "A 56141-2025")</f>
        <v/>
      </c>
      <c r="Z135">
        <f>HYPERLINK("https://klasma.github.io/Logging_2283/fåglar/A 56141-2025 prioriterade fågelarter.docx", "A 56141-2025")</f>
        <v/>
      </c>
    </row>
    <row r="136" ht="15" customHeight="1">
      <c r="A136" t="inlineStr">
        <is>
          <t>A 13250-2025</t>
        </is>
      </c>
      <c r="B136" s="1" t="n">
        <v>45735.49013888889</v>
      </c>
      <c r="C136" s="1" t="n">
        <v>46082</v>
      </c>
      <c r="D136" t="inlineStr">
        <is>
          <t>VÄSTERNORRLANDS LÄN</t>
        </is>
      </c>
      <c r="E136" t="inlineStr">
        <is>
          <t>SOLLEFTEÅ</t>
        </is>
      </c>
      <c r="F136" t="inlineStr">
        <is>
          <t>SCA</t>
        </is>
      </c>
      <c r="G136" t="n">
        <v>1.4</v>
      </c>
      <c r="H136" t="n">
        <v>3</v>
      </c>
      <c r="I136" t="n">
        <v>1</v>
      </c>
      <c r="J136" t="n">
        <v>4</v>
      </c>
      <c r="K136" t="n">
        <v>0</v>
      </c>
      <c r="L136" t="n">
        <v>0</v>
      </c>
      <c r="M136" t="n">
        <v>0</v>
      </c>
      <c r="N136" t="n">
        <v>0</v>
      </c>
      <c r="O136" t="n">
        <v>4</v>
      </c>
      <c r="P136" t="n">
        <v>0</v>
      </c>
      <c r="Q136" t="n">
        <v>6</v>
      </c>
      <c r="R136" s="2" t="inlineStr">
        <is>
          <t>Lunglav
Spillkråka
Tretåig hackspett
Ullticka
Vedticka
Tjäder</t>
        </is>
      </c>
      <c r="S136">
        <f>HYPERLINK("https://klasma.github.io/Logging_2283/artfynd/A 13250-2025 artfynd.xlsx", "A 13250-2025")</f>
        <v/>
      </c>
      <c r="T136">
        <f>HYPERLINK("https://klasma.github.io/Logging_2283/kartor/A 13250-2025 karta.png", "A 13250-2025")</f>
        <v/>
      </c>
      <c r="V136">
        <f>HYPERLINK("https://klasma.github.io/Logging_2283/klagomål/A 13250-2025 FSC-klagomål.docx", "A 13250-2025")</f>
        <v/>
      </c>
      <c r="W136">
        <f>HYPERLINK("https://klasma.github.io/Logging_2283/klagomålsmail/A 13250-2025 FSC-klagomål mail.docx", "A 13250-2025")</f>
        <v/>
      </c>
      <c r="X136">
        <f>HYPERLINK("https://klasma.github.io/Logging_2283/tillsyn/A 13250-2025 tillsynsbegäran.docx", "A 13250-2025")</f>
        <v/>
      </c>
      <c r="Y136">
        <f>HYPERLINK("https://klasma.github.io/Logging_2283/tillsynsmail/A 13250-2025 tillsynsbegäran mail.docx", "A 13250-2025")</f>
        <v/>
      </c>
      <c r="Z136">
        <f>HYPERLINK("https://klasma.github.io/Logging_2283/fåglar/A 13250-2025 prioriterade fågelarter.docx", "A 13250-2025")</f>
        <v/>
      </c>
    </row>
    <row r="137" ht="15" customHeight="1">
      <c r="A137" t="inlineStr">
        <is>
          <t>A 4827-2025</t>
        </is>
      </c>
      <c r="B137" s="1" t="n">
        <v>45688</v>
      </c>
      <c r="C137" s="1" t="n">
        <v>46082</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20205-2025</t>
        </is>
      </c>
      <c r="B138" s="1" t="n">
        <v>45772.61548611111</v>
      </c>
      <c r="C138" s="1" t="n">
        <v>46082</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26594-2022</t>
        </is>
      </c>
      <c r="B139" s="1" t="n">
        <v>44739</v>
      </c>
      <c r="C139" s="1" t="n">
        <v>46082</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61541-2024</t>
        </is>
      </c>
      <c r="B140" s="1" t="n">
        <v>45646</v>
      </c>
      <c r="C140" s="1" t="n">
        <v>46082</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46082</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46082</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46082</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20949-2022</t>
        </is>
      </c>
      <c r="B144" s="1" t="n">
        <v>44701.93967592593</v>
      </c>
      <c r="C144" s="1" t="n">
        <v>46082</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46082</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41169-2022</t>
        </is>
      </c>
      <c r="B146" s="1" t="n">
        <v>44825</v>
      </c>
      <c r="C146" s="1" t="n">
        <v>46082</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2438-2025</t>
        </is>
      </c>
      <c r="B147" s="1" t="n">
        <v>45674.41815972222</v>
      </c>
      <c r="C147" s="1" t="n">
        <v>46082</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50418-2024</t>
        </is>
      </c>
      <c r="B148" s="1" t="n">
        <v>45601.38575231482</v>
      </c>
      <c r="C148" s="1" t="n">
        <v>46082</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33519-2024</t>
        </is>
      </c>
      <c r="B149" s="1" t="n">
        <v>45519</v>
      </c>
      <c r="C149" s="1" t="n">
        <v>46082</v>
      </c>
      <c r="D149" t="inlineStr">
        <is>
          <t>VÄSTERNORRLANDS LÄN</t>
        </is>
      </c>
      <c r="E149" t="inlineStr">
        <is>
          <t>SOLLEFTEÅ</t>
        </is>
      </c>
      <c r="G149" t="n">
        <v>3.6</v>
      </c>
      <c r="H149" t="n">
        <v>0</v>
      </c>
      <c r="I149" t="n">
        <v>1</v>
      </c>
      <c r="J149" t="n">
        <v>4</v>
      </c>
      <c r="K149" t="n">
        <v>0</v>
      </c>
      <c r="L149" t="n">
        <v>0</v>
      </c>
      <c r="M149" t="n">
        <v>0</v>
      </c>
      <c r="N149" t="n">
        <v>0</v>
      </c>
      <c r="O149" t="n">
        <v>4</v>
      </c>
      <c r="P149" t="n">
        <v>0</v>
      </c>
      <c r="Q149" t="n">
        <v>5</v>
      </c>
      <c r="R149" s="2" t="inlineStr">
        <is>
          <t>Garnlav
Kolflarnlav
Skrovlig taggsvamp
Vaddporing
Dropptaggsvamp</t>
        </is>
      </c>
      <c r="S149">
        <f>HYPERLINK("https://klasma.github.io/Logging_2283/artfynd/A 33519-2024 artfynd.xlsx", "A 33519-2024")</f>
        <v/>
      </c>
      <c r="T149">
        <f>HYPERLINK("https://klasma.github.io/Logging_2283/kartor/A 33519-2024 karta.png", "A 33519-2024")</f>
        <v/>
      </c>
      <c r="U149">
        <f>HYPERLINK("https://klasma.github.io/Logging_2283/knärot/A 33519-2024 karta knärot.png", "A 33519-2024")</f>
        <v/>
      </c>
      <c r="V149">
        <f>HYPERLINK("https://klasma.github.io/Logging_2283/klagomål/A 33519-2024 FSC-klagomål.docx", "A 33519-2024")</f>
        <v/>
      </c>
      <c r="W149">
        <f>HYPERLINK("https://klasma.github.io/Logging_2283/klagomålsmail/A 33519-2024 FSC-klagomål mail.docx", "A 33519-2024")</f>
        <v/>
      </c>
      <c r="X149">
        <f>HYPERLINK("https://klasma.github.io/Logging_2283/tillsyn/A 33519-2024 tillsynsbegäran.docx", "A 33519-2024")</f>
        <v/>
      </c>
      <c r="Y149">
        <f>HYPERLINK("https://klasma.github.io/Logging_2283/tillsynsmail/A 33519-2024 tillsynsbegäran mail.docx", "A 33519-2024")</f>
        <v/>
      </c>
    </row>
    <row r="150" ht="15" customHeight="1">
      <c r="A150" t="inlineStr">
        <is>
          <t>A 4552-2022</t>
        </is>
      </c>
      <c r="B150" s="1" t="n">
        <v>44590</v>
      </c>
      <c r="C150" s="1" t="n">
        <v>46082</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44407-2025</t>
        </is>
      </c>
      <c r="B151" s="1" t="n">
        <v>45916.52679398148</v>
      </c>
      <c r="C151" s="1" t="n">
        <v>46082</v>
      </c>
      <c r="D151" t="inlineStr">
        <is>
          <t>VÄSTERNORRLANDS LÄN</t>
        </is>
      </c>
      <c r="E151" t="inlineStr">
        <is>
          <t>SOLLEFTEÅ</t>
        </is>
      </c>
      <c r="G151" t="n">
        <v>4.1</v>
      </c>
      <c r="H151" t="n">
        <v>1</v>
      </c>
      <c r="I151" t="n">
        <v>3</v>
      </c>
      <c r="J151" t="n">
        <v>1</v>
      </c>
      <c r="K151" t="n">
        <v>0</v>
      </c>
      <c r="L151" t="n">
        <v>0</v>
      </c>
      <c r="M151" t="n">
        <v>0</v>
      </c>
      <c r="N151" t="n">
        <v>0</v>
      </c>
      <c r="O151" t="n">
        <v>1</v>
      </c>
      <c r="P151" t="n">
        <v>0</v>
      </c>
      <c r="Q151" t="n">
        <v>5</v>
      </c>
      <c r="R151" s="2" t="inlineStr">
        <is>
          <t>Granticka
Dvärghäxört
Luddlav
Stuplav
Revlummer</t>
        </is>
      </c>
      <c r="S151">
        <f>HYPERLINK("https://klasma.github.io/Logging_2283/artfynd/A 44407-2025 artfynd.xlsx", "A 44407-2025")</f>
        <v/>
      </c>
      <c r="T151">
        <f>HYPERLINK("https://klasma.github.io/Logging_2283/kartor/A 44407-2025 karta.png", "A 44407-2025")</f>
        <v/>
      </c>
      <c r="V151">
        <f>HYPERLINK("https://klasma.github.io/Logging_2283/klagomål/A 44407-2025 FSC-klagomål.docx", "A 44407-2025")</f>
        <v/>
      </c>
      <c r="W151">
        <f>HYPERLINK("https://klasma.github.io/Logging_2283/klagomålsmail/A 44407-2025 FSC-klagomål mail.docx", "A 44407-2025")</f>
        <v/>
      </c>
      <c r="X151">
        <f>HYPERLINK("https://klasma.github.io/Logging_2283/tillsyn/A 44407-2025 tillsynsbegäran.docx", "A 44407-2025")</f>
        <v/>
      </c>
      <c r="Y151">
        <f>HYPERLINK("https://klasma.github.io/Logging_2283/tillsynsmail/A 44407-2025 tillsynsbegäran mail.docx", "A 44407-2025")</f>
        <v/>
      </c>
    </row>
    <row r="152" ht="15" customHeight="1">
      <c r="A152" t="inlineStr">
        <is>
          <t>A 44797-2025</t>
        </is>
      </c>
      <c r="B152" s="1" t="n">
        <v>45918.34486111111</v>
      </c>
      <c r="C152" s="1" t="n">
        <v>46082</v>
      </c>
      <c r="D152" t="inlineStr">
        <is>
          <t>VÄSTERNORRLANDS LÄN</t>
        </is>
      </c>
      <c r="E152" t="inlineStr">
        <is>
          <t>SOLLEFTEÅ</t>
        </is>
      </c>
      <c r="F152" t="inlineStr">
        <is>
          <t>SCA</t>
        </is>
      </c>
      <c r="G152" t="n">
        <v>2.4</v>
      </c>
      <c r="H152" t="n">
        <v>0</v>
      </c>
      <c r="I152" t="n">
        <v>1</v>
      </c>
      <c r="J152" t="n">
        <v>3</v>
      </c>
      <c r="K152" t="n">
        <v>1</v>
      </c>
      <c r="L152" t="n">
        <v>0</v>
      </c>
      <c r="M152" t="n">
        <v>0</v>
      </c>
      <c r="N152" t="n">
        <v>0</v>
      </c>
      <c r="O152" t="n">
        <v>4</v>
      </c>
      <c r="P152" t="n">
        <v>1</v>
      </c>
      <c r="Q152" t="n">
        <v>5</v>
      </c>
      <c r="R152" s="2" t="inlineStr">
        <is>
          <t>Goliatmusseron
Dvärgbägarlav
Orange taggsvamp
Skrovlig taggsvamp
Skarp dropptaggsvamp</t>
        </is>
      </c>
      <c r="S152">
        <f>HYPERLINK("https://klasma.github.io/Logging_2283/artfynd/A 44797-2025 artfynd.xlsx", "A 44797-2025")</f>
        <v/>
      </c>
      <c r="T152">
        <f>HYPERLINK("https://klasma.github.io/Logging_2283/kartor/A 44797-2025 karta.png", "A 44797-2025")</f>
        <v/>
      </c>
      <c r="V152">
        <f>HYPERLINK("https://klasma.github.io/Logging_2283/klagomål/A 44797-2025 FSC-klagomål.docx", "A 44797-2025")</f>
        <v/>
      </c>
      <c r="W152">
        <f>HYPERLINK("https://klasma.github.io/Logging_2283/klagomålsmail/A 44797-2025 FSC-klagomål mail.docx", "A 44797-2025")</f>
        <v/>
      </c>
      <c r="X152">
        <f>HYPERLINK("https://klasma.github.io/Logging_2283/tillsyn/A 44797-2025 tillsynsbegäran.docx", "A 44797-2025")</f>
        <v/>
      </c>
      <c r="Y152">
        <f>HYPERLINK("https://klasma.github.io/Logging_2283/tillsynsmail/A 44797-2025 tillsynsbegäran mail.docx", "A 44797-2025")</f>
        <v/>
      </c>
    </row>
    <row r="153" ht="15" customHeight="1">
      <c r="A153" t="inlineStr">
        <is>
          <t>A 32216-2023</t>
        </is>
      </c>
      <c r="B153" s="1" t="n">
        <v>45119</v>
      </c>
      <c r="C153" s="1" t="n">
        <v>46082</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57655-2023</t>
        </is>
      </c>
      <c r="B154" s="1" t="n">
        <v>45246</v>
      </c>
      <c r="C154" s="1" t="n">
        <v>46082</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29249-2024</t>
        </is>
      </c>
      <c r="B155" s="1" t="n">
        <v>45482</v>
      </c>
      <c r="C155" s="1" t="n">
        <v>46082</v>
      </c>
      <c r="D155" t="inlineStr">
        <is>
          <t>VÄSTERNORRLANDS LÄN</t>
        </is>
      </c>
      <c r="E155" t="inlineStr">
        <is>
          <t>SOLLEFTEÅ</t>
        </is>
      </c>
      <c r="F155" t="inlineStr">
        <is>
          <t>SCA</t>
        </is>
      </c>
      <c r="G155" t="n">
        <v>7.3</v>
      </c>
      <c r="H155" t="n">
        <v>3</v>
      </c>
      <c r="I155" t="n">
        <v>1</v>
      </c>
      <c r="J155" t="n">
        <v>3</v>
      </c>
      <c r="K155" t="n">
        <v>1</v>
      </c>
      <c r="L155" t="n">
        <v>0</v>
      </c>
      <c r="M155" t="n">
        <v>0</v>
      </c>
      <c r="N155" t="n">
        <v>0</v>
      </c>
      <c r="O155" t="n">
        <v>4</v>
      </c>
      <c r="P155" t="n">
        <v>1</v>
      </c>
      <c r="Q155" t="n">
        <v>5</v>
      </c>
      <c r="R155" s="2" t="inlineStr">
        <is>
          <t>Knärot
Harticka
Talltita
Tretåig hackspett
Stuplav</t>
        </is>
      </c>
      <c r="S155">
        <f>HYPERLINK("https://klasma.github.io/Logging_2283/artfynd/A 29249-2024 artfynd.xlsx", "A 29249-2024")</f>
        <v/>
      </c>
      <c r="T155">
        <f>HYPERLINK("https://klasma.github.io/Logging_2283/kartor/A 29249-2024 karta.png", "A 29249-2024")</f>
        <v/>
      </c>
      <c r="U155">
        <f>HYPERLINK("https://klasma.github.io/Logging_2283/knärot/A 29249-2024 karta knärot.png", "A 29249-2024")</f>
        <v/>
      </c>
      <c r="V155">
        <f>HYPERLINK("https://klasma.github.io/Logging_2283/klagomål/A 29249-2024 FSC-klagomål.docx", "A 29249-2024")</f>
        <v/>
      </c>
      <c r="W155">
        <f>HYPERLINK("https://klasma.github.io/Logging_2283/klagomålsmail/A 29249-2024 FSC-klagomål mail.docx", "A 29249-2024")</f>
        <v/>
      </c>
      <c r="X155">
        <f>HYPERLINK("https://klasma.github.io/Logging_2283/tillsyn/A 29249-2024 tillsynsbegäran.docx", "A 29249-2024")</f>
        <v/>
      </c>
      <c r="Y155">
        <f>HYPERLINK("https://klasma.github.io/Logging_2283/tillsynsmail/A 29249-2024 tillsynsbegäran mail.docx", "A 29249-2024")</f>
        <v/>
      </c>
      <c r="Z155">
        <f>HYPERLINK("https://klasma.github.io/Logging_2283/fåglar/A 29249-2024 prioriterade fågelarter.docx", "A 29249-2024")</f>
        <v/>
      </c>
    </row>
    <row r="156" ht="15" customHeight="1">
      <c r="A156" t="inlineStr">
        <is>
          <t>A 51341-2025</t>
        </is>
      </c>
      <c r="B156" s="1" t="n">
        <v>45950.42761574074</v>
      </c>
      <c r="C156" s="1" t="n">
        <v>46082</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59662-2023</t>
        </is>
      </c>
      <c r="B157" s="1" t="n">
        <v>45254.96438657407</v>
      </c>
      <c r="C157" s="1" t="n">
        <v>46082</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32217-2023</t>
        </is>
      </c>
      <c r="B158" s="1" t="n">
        <v>45119</v>
      </c>
      <c r="C158" s="1" t="n">
        <v>46082</v>
      </c>
      <c r="D158" t="inlineStr">
        <is>
          <t>VÄSTERNORRLANDS LÄN</t>
        </is>
      </c>
      <c r="E158" t="inlineStr">
        <is>
          <t>SOLLEFTEÅ</t>
        </is>
      </c>
      <c r="F158" t="inlineStr">
        <is>
          <t>SCA</t>
        </is>
      </c>
      <c r="G158" t="n">
        <v>1.8</v>
      </c>
      <c r="H158" t="n">
        <v>1</v>
      </c>
      <c r="I158" t="n">
        <v>0</v>
      </c>
      <c r="J158" t="n">
        <v>5</v>
      </c>
      <c r="K158" t="n">
        <v>0</v>
      </c>
      <c r="L158" t="n">
        <v>0</v>
      </c>
      <c r="M158" t="n">
        <v>0</v>
      </c>
      <c r="N158" t="n">
        <v>0</v>
      </c>
      <c r="O158" t="n">
        <v>5</v>
      </c>
      <c r="P158" t="n">
        <v>0</v>
      </c>
      <c r="Q158" t="n">
        <v>5</v>
      </c>
      <c r="R158" s="2" t="inlineStr">
        <is>
          <t>Garnlav
Lunglav
Rosenticka
Skogshare
Tretåig hackspett</t>
        </is>
      </c>
      <c r="S158">
        <f>HYPERLINK("https://klasma.github.io/Logging_2283/artfynd/A 32217-2023 artfynd.xlsx", "A 32217-2023")</f>
        <v/>
      </c>
      <c r="T158">
        <f>HYPERLINK("https://klasma.github.io/Logging_2283/kartor/A 32217-2023 karta.png", "A 32217-2023")</f>
        <v/>
      </c>
      <c r="V158">
        <f>HYPERLINK("https://klasma.github.io/Logging_2283/klagomål/A 32217-2023 FSC-klagomål.docx", "A 32217-2023")</f>
        <v/>
      </c>
      <c r="W158">
        <f>HYPERLINK("https://klasma.github.io/Logging_2283/klagomålsmail/A 32217-2023 FSC-klagomål mail.docx", "A 32217-2023")</f>
        <v/>
      </c>
      <c r="X158">
        <f>HYPERLINK("https://klasma.github.io/Logging_2283/tillsyn/A 32217-2023 tillsynsbegäran.docx", "A 32217-2023")</f>
        <v/>
      </c>
      <c r="Y158">
        <f>HYPERLINK("https://klasma.github.io/Logging_2283/tillsynsmail/A 32217-2023 tillsynsbegäran mail.docx", "A 32217-2023")</f>
        <v/>
      </c>
      <c r="Z158">
        <f>HYPERLINK("https://klasma.github.io/Logging_2283/fåglar/A 32217-2023 prioriterade fågelarter.docx", "A 32217-2023")</f>
        <v/>
      </c>
    </row>
    <row r="159" ht="15" customHeight="1">
      <c r="A159" t="inlineStr">
        <is>
          <t>A 48562-2024</t>
        </is>
      </c>
      <c r="B159" s="1" t="n">
        <v>45593.38597222222</v>
      </c>
      <c r="C159" s="1" t="n">
        <v>46082</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19081-2024</t>
        </is>
      </c>
      <c r="B160" s="1" t="n">
        <v>45428</v>
      </c>
      <c r="C160" s="1" t="n">
        <v>46082</v>
      </c>
      <c r="D160" t="inlineStr">
        <is>
          <t>VÄSTERNORRLANDS LÄN</t>
        </is>
      </c>
      <c r="E160" t="inlineStr">
        <is>
          <t>SOLLEFTEÅ</t>
        </is>
      </c>
      <c r="F160" t="inlineStr">
        <is>
          <t>SCA</t>
        </is>
      </c>
      <c r="G160" t="n">
        <v>21.5</v>
      </c>
      <c r="H160" t="n">
        <v>2</v>
      </c>
      <c r="I160" t="n">
        <v>0</v>
      </c>
      <c r="J160" t="n">
        <v>4</v>
      </c>
      <c r="K160" t="n">
        <v>0</v>
      </c>
      <c r="L160" t="n">
        <v>0</v>
      </c>
      <c r="M160" t="n">
        <v>0</v>
      </c>
      <c r="N160" t="n">
        <v>0</v>
      </c>
      <c r="O160" t="n">
        <v>4</v>
      </c>
      <c r="P160" t="n">
        <v>0</v>
      </c>
      <c r="Q160" t="n">
        <v>5</v>
      </c>
      <c r="R160" s="2" t="inlineStr">
        <is>
          <t>Garnlav
Granticka
Järpe
Ullticka
Fläcknycklar</t>
        </is>
      </c>
      <c r="S160">
        <f>HYPERLINK("https://klasma.github.io/Logging_2283/artfynd/A 19081-2024 artfynd.xlsx", "A 19081-2024")</f>
        <v/>
      </c>
      <c r="T160">
        <f>HYPERLINK("https://klasma.github.io/Logging_2283/kartor/A 19081-2024 karta.png", "A 19081-2024")</f>
        <v/>
      </c>
      <c r="V160">
        <f>HYPERLINK("https://klasma.github.io/Logging_2283/klagomål/A 19081-2024 FSC-klagomål.docx", "A 19081-2024")</f>
        <v/>
      </c>
      <c r="W160">
        <f>HYPERLINK("https://klasma.github.io/Logging_2283/klagomålsmail/A 19081-2024 FSC-klagomål mail.docx", "A 19081-2024")</f>
        <v/>
      </c>
      <c r="X160">
        <f>HYPERLINK("https://klasma.github.io/Logging_2283/tillsyn/A 19081-2024 tillsynsbegäran.docx", "A 19081-2024")</f>
        <v/>
      </c>
      <c r="Y160">
        <f>HYPERLINK("https://klasma.github.io/Logging_2283/tillsynsmail/A 19081-2024 tillsynsbegäran mail.docx", "A 19081-2024")</f>
        <v/>
      </c>
      <c r="Z160">
        <f>HYPERLINK("https://klasma.github.io/Logging_2283/fåglar/A 19081-2024 prioriterade fågelarter.docx", "A 19081-2024")</f>
        <v/>
      </c>
    </row>
    <row r="161" ht="15" customHeight="1">
      <c r="A161" t="inlineStr">
        <is>
          <t>A 58362-2025</t>
        </is>
      </c>
      <c r="B161" s="1" t="n">
        <v>45982</v>
      </c>
      <c r="C161" s="1" t="n">
        <v>46082</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3575-2026</t>
        </is>
      </c>
      <c r="B162" s="1" t="n">
        <v>46042.71269675926</v>
      </c>
      <c r="C162" s="1" t="n">
        <v>46082</v>
      </c>
      <c r="D162" t="inlineStr">
        <is>
          <t>VÄSTERNORRLANDS LÄN</t>
        </is>
      </c>
      <c r="E162" t="inlineStr">
        <is>
          <t>SOLLEFTEÅ</t>
        </is>
      </c>
      <c r="G162" t="n">
        <v>4.7</v>
      </c>
      <c r="H162" t="n">
        <v>0</v>
      </c>
      <c r="I162" t="n">
        <v>1</v>
      </c>
      <c r="J162" t="n">
        <v>4</v>
      </c>
      <c r="K162" t="n">
        <v>0</v>
      </c>
      <c r="L162" t="n">
        <v>0</v>
      </c>
      <c r="M162" t="n">
        <v>0</v>
      </c>
      <c r="N162" t="n">
        <v>0</v>
      </c>
      <c r="O162" t="n">
        <v>4</v>
      </c>
      <c r="P162" t="n">
        <v>0</v>
      </c>
      <c r="Q162" t="n">
        <v>5</v>
      </c>
      <c r="R162" s="2" t="inlineStr">
        <is>
          <t>Garnlav
Rosenticka
Stjärntagging
Ullticka
Vedticka</t>
        </is>
      </c>
      <c r="S162">
        <f>HYPERLINK("https://klasma.github.io/Logging_2283/artfynd/A 3575-2026 artfynd.xlsx", "A 3575-2026")</f>
        <v/>
      </c>
      <c r="T162">
        <f>HYPERLINK("https://klasma.github.io/Logging_2283/kartor/A 3575-2026 karta.png", "A 3575-2026")</f>
        <v/>
      </c>
      <c r="V162">
        <f>HYPERLINK("https://klasma.github.io/Logging_2283/klagomål/A 3575-2026 FSC-klagomål.docx", "A 3575-2026")</f>
        <v/>
      </c>
      <c r="W162">
        <f>HYPERLINK("https://klasma.github.io/Logging_2283/klagomålsmail/A 3575-2026 FSC-klagomål mail.docx", "A 3575-2026")</f>
        <v/>
      </c>
      <c r="X162">
        <f>HYPERLINK("https://klasma.github.io/Logging_2283/tillsyn/A 3575-2026 tillsynsbegäran.docx", "A 3575-2026")</f>
        <v/>
      </c>
      <c r="Y162">
        <f>HYPERLINK("https://klasma.github.io/Logging_2283/tillsynsmail/A 3575-2026 tillsynsbegäran mail.docx", "A 3575-2026")</f>
        <v/>
      </c>
    </row>
    <row r="163" ht="15" customHeight="1">
      <c r="A163" t="inlineStr">
        <is>
          <t>A 56420-2025</t>
        </is>
      </c>
      <c r="B163" s="1" t="n">
        <v>45975</v>
      </c>
      <c r="C163" s="1" t="n">
        <v>46082</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16314-2025</t>
        </is>
      </c>
      <c r="B164" s="1" t="n">
        <v>45751.34763888889</v>
      </c>
      <c r="C164" s="1" t="n">
        <v>46082</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11547-2025</t>
        </is>
      </c>
      <c r="B165" s="1" t="n">
        <v>45727.34447916667</v>
      </c>
      <c r="C165" s="1" t="n">
        <v>46082</v>
      </c>
      <c r="D165" t="inlineStr">
        <is>
          <t>VÄSTERNORRLANDS LÄN</t>
        </is>
      </c>
      <c r="E165" t="inlineStr">
        <is>
          <t>SOLLEFTEÅ</t>
        </is>
      </c>
      <c r="F165" t="inlineStr">
        <is>
          <t>SCA</t>
        </is>
      </c>
      <c r="G165" t="n">
        <v>2.9</v>
      </c>
      <c r="H165" t="n">
        <v>2</v>
      </c>
      <c r="I165" t="n">
        <v>0</v>
      </c>
      <c r="J165" t="n">
        <v>5</v>
      </c>
      <c r="K165" t="n">
        <v>0</v>
      </c>
      <c r="L165" t="n">
        <v>0</v>
      </c>
      <c r="M165" t="n">
        <v>0</v>
      </c>
      <c r="N165" t="n">
        <v>0</v>
      </c>
      <c r="O165" t="n">
        <v>5</v>
      </c>
      <c r="P165" t="n">
        <v>0</v>
      </c>
      <c r="Q165" t="n">
        <v>5</v>
      </c>
      <c r="R165" s="2" t="inlineStr">
        <is>
          <t>Garnlav
Järpe
Lunglav
Tretåig hackspett
Ullticka</t>
        </is>
      </c>
      <c r="S165">
        <f>HYPERLINK("https://klasma.github.io/Logging_2283/artfynd/A 11547-2025 artfynd.xlsx", "A 11547-2025")</f>
        <v/>
      </c>
      <c r="T165">
        <f>HYPERLINK("https://klasma.github.io/Logging_2283/kartor/A 11547-2025 karta.png", "A 11547-2025")</f>
        <v/>
      </c>
      <c r="V165">
        <f>HYPERLINK("https://klasma.github.io/Logging_2283/klagomål/A 11547-2025 FSC-klagomål.docx", "A 11547-2025")</f>
        <v/>
      </c>
      <c r="W165">
        <f>HYPERLINK("https://klasma.github.io/Logging_2283/klagomålsmail/A 11547-2025 FSC-klagomål mail.docx", "A 11547-2025")</f>
        <v/>
      </c>
      <c r="X165">
        <f>HYPERLINK("https://klasma.github.io/Logging_2283/tillsyn/A 11547-2025 tillsynsbegäran.docx", "A 11547-2025")</f>
        <v/>
      </c>
      <c r="Y165">
        <f>HYPERLINK("https://klasma.github.io/Logging_2283/tillsynsmail/A 11547-2025 tillsynsbegäran mail.docx", "A 11547-2025")</f>
        <v/>
      </c>
      <c r="Z165">
        <f>HYPERLINK("https://klasma.github.io/Logging_2283/fåglar/A 11547-2025 prioriterade fågelarter.docx", "A 11547-2025")</f>
        <v/>
      </c>
    </row>
    <row r="166" ht="15" customHeight="1">
      <c r="A166" t="inlineStr">
        <is>
          <t>A 1170-2026</t>
        </is>
      </c>
      <c r="B166" s="1" t="n">
        <v>46031.34459490741</v>
      </c>
      <c r="C166" s="1" t="n">
        <v>46082</v>
      </c>
      <c r="D166" t="inlineStr">
        <is>
          <t>VÄSTERNORRLANDS LÄN</t>
        </is>
      </c>
      <c r="E166" t="inlineStr">
        <is>
          <t>SOLLEFTEÅ</t>
        </is>
      </c>
      <c r="F166" t="inlineStr">
        <is>
          <t>SCA</t>
        </is>
      </c>
      <c r="G166" t="n">
        <v>5.2</v>
      </c>
      <c r="H166" t="n">
        <v>3</v>
      </c>
      <c r="I166" t="n">
        <v>0</v>
      </c>
      <c r="J166" t="n">
        <v>4</v>
      </c>
      <c r="K166" t="n">
        <v>0</v>
      </c>
      <c r="L166" t="n">
        <v>0</v>
      </c>
      <c r="M166" t="n">
        <v>0</v>
      </c>
      <c r="N166" t="n">
        <v>0</v>
      </c>
      <c r="O166" t="n">
        <v>4</v>
      </c>
      <c r="P166" t="n">
        <v>0</v>
      </c>
      <c r="Q166" t="n">
        <v>5</v>
      </c>
      <c r="R166" s="2" t="inlineStr">
        <is>
          <t>Garnlav
Lunglav
Talltita
Tretåig hackspett
Tjäder</t>
        </is>
      </c>
      <c r="S166">
        <f>HYPERLINK("https://klasma.github.io/Logging_2283/artfynd/A 1170-2026 artfynd.xlsx", "A 1170-2026")</f>
        <v/>
      </c>
      <c r="T166">
        <f>HYPERLINK("https://klasma.github.io/Logging_2283/kartor/A 1170-2026 karta.png", "A 1170-2026")</f>
        <v/>
      </c>
      <c r="V166">
        <f>HYPERLINK("https://klasma.github.io/Logging_2283/klagomål/A 1170-2026 FSC-klagomål.docx", "A 1170-2026")</f>
        <v/>
      </c>
      <c r="W166">
        <f>HYPERLINK("https://klasma.github.io/Logging_2283/klagomålsmail/A 1170-2026 FSC-klagomål mail.docx", "A 1170-2026")</f>
        <v/>
      </c>
      <c r="X166">
        <f>HYPERLINK("https://klasma.github.io/Logging_2283/tillsyn/A 1170-2026 tillsynsbegäran.docx", "A 1170-2026")</f>
        <v/>
      </c>
      <c r="Y166">
        <f>HYPERLINK("https://klasma.github.io/Logging_2283/tillsynsmail/A 1170-2026 tillsynsbegäran mail.docx", "A 1170-2026")</f>
        <v/>
      </c>
      <c r="Z166">
        <f>HYPERLINK("https://klasma.github.io/Logging_2283/fåglar/A 1170-2026 prioriterade fågelarter.docx", "A 1170-2026")</f>
        <v/>
      </c>
    </row>
    <row r="167" ht="15" customHeight="1">
      <c r="A167" t="inlineStr">
        <is>
          <t>A 27910-2024</t>
        </is>
      </c>
      <c r="B167" s="1" t="n">
        <v>45475</v>
      </c>
      <c r="C167" s="1" t="n">
        <v>46082</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27675-2023</t>
        </is>
      </c>
      <c r="B168" s="1" t="n">
        <v>45097</v>
      </c>
      <c r="C168" s="1" t="n">
        <v>46082</v>
      </c>
      <c r="D168" t="inlineStr">
        <is>
          <t>VÄSTERNORRLANDS LÄN</t>
        </is>
      </c>
      <c r="E168" t="inlineStr">
        <is>
          <t>SOLLEFTEÅ</t>
        </is>
      </c>
      <c r="G168" t="n">
        <v>4.7</v>
      </c>
      <c r="H168" t="n">
        <v>1</v>
      </c>
      <c r="I168" t="n">
        <v>1</v>
      </c>
      <c r="J168" t="n">
        <v>3</v>
      </c>
      <c r="K168" t="n">
        <v>1</v>
      </c>
      <c r="L168" t="n">
        <v>0</v>
      </c>
      <c r="M168" t="n">
        <v>0</v>
      </c>
      <c r="N168" t="n">
        <v>0</v>
      </c>
      <c r="O168" t="n">
        <v>4</v>
      </c>
      <c r="P168" t="n">
        <v>1</v>
      </c>
      <c r="Q168" t="n">
        <v>5</v>
      </c>
      <c r="R168" s="2" t="inlineStr">
        <is>
          <t>Knärot
Garnlav
Lunglav
Ullticka
Stuplav</t>
        </is>
      </c>
      <c r="S168">
        <f>HYPERLINK("https://klasma.github.io/Logging_2283/artfynd/A 27675-2023 artfynd.xlsx", "A 27675-2023")</f>
        <v/>
      </c>
      <c r="T168">
        <f>HYPERLINK("https://klasma.github.io/Logging_2283/kartor/A 27675-2023 karta.png", "A 27675-2023")</f>
        <v/>
      </c>
      <c r="U168">
        <f>HYPERLINK("https://klasma.github.io/Logging_2283/knärot/A 27675-2023 karta knärot.png", "A 27675-2023")</f>
        <v/>
      </c>
      <c r="V168">
        <f>HYPERLINK("https://klasma.github.io/Logging_2283/klagomål/A 27675-2023 FSC-klagomål.docx", "A 27675-2023")</f>
        <v/>
      </c>
      <c r="W168">
        <f>HYPERLINK("https://klasma.github.io/Logging_2283/klagomålsmail/A 27675-2023 FSC-klagomål mail.docx", "A 27675-2023")</f>
        <v/>
      </c>
      <c r="X168">
        <f>HYPERLINK("https://klasma.github.io/Logging_2283/tillsyn/A 27675-2023 tillsynsbegäran.docx", "A 27675-2023")</f>
        <v/>
      </c>
      <c r="Y168">
        <f>HYPERLINK("https://klasma.github.io/Logging_2283/tillsynsmail/A 27675-2023 tillsynsbegäran mail.docx", "A 27675-2023")</f>
        <v/>
      </c>
    </row>
    <row r="169" ht="15" customHeight="1">
      <c r="A169" t="inlineStr">
        <is>
          <t>A 30235-2022</t>
        </is>
      </c>
      <c r="B169" s="1" t="n">
        <v>44757</v>
      </c>
      <c r="C169" s="1" t="n">
        <v>46082</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21002-2025</t>
        </is>
      </c>
      <c r="B170" s="1" t="n">
        <v>45777.48998842593</v>
      </c>
      <c r="C170" s="1" t="n">
        <v>46082</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22797-2025</t>
        </is>
      </c>
      <c r="B171" s="1" t="n">
        <v>45789</v>
      </c>
      <c r="C171" s="1" t="n">
        <v>46082</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46082</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3795-2022</t>
        </is>
      </c>
      <c r="B173" s="1" t="n">
        <v>44586</v>
      </c>
      <c r="C173" s="1" t="n">
        <v>46082</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46082</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46082</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46082</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13342-2024</t>
        </is>
      </c>
      <c r="B177" s="1" t="n">
        <v>45386</v>
      </c>
      <c r="C177" s="1" t="n">
        <v>46082</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2409-2023</t>
        </is>
      </c>
      <c r="B178" s="1" t="n">
        <v>44942</v>
      </c>
      <c r="C178" s="1" t="n">
        <v>46082</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62638-2022</t>
        </is>
      </c>
      <c r="B179" s="1" t="n">
        <v>44925</v>
      </c>
      <c r="C179" s="1" t="n">
        <v>46082</v>
      </c>
      <c r="D179" t="inlineStr">
        <is>
          <t>VÄSTERNORRLANDS LÄN</t>
        </is>
      </c>
      <c r="E179" t="inlineStr">
        <is>
          <t>SOLLEFTEÅ</t>
        </is>
      </c>
      <c r="F179" t="inlineStr">
        <is>
          <t>Holmen skog AB</t>
        </is>
      </c>
      <c r="G179" t="n">
        <v>4</v>
      </c>
      <c r="H179" t="n">
        <v>1</v>
      </c>
      <c r="I179" t="n">
        <v>1</v>
      </c>
      <c r="J179" t="n">
        <v>2</v>
      </c>
      <c r="K179" t="n">
        <v>1</v>
      </c>
      <c r="L179" t="n">
        <v>0</v>
      </c>
      <c r="M179" t="n">
        <v>0</v>
      </c>
      <c r="N179" t="n">
        <v>0</v>
      </c>
      <c r="O179" t="n">
        <v>3</v>
      </c>
      <c r="P179" t="n">
        <v>1</v>
      </c>
      <c r="Q179" t="n">
        <v>4</v>
      </c>
      <c r="R179" s="2" t="inlineStr">
        <is>
          <t>Knärot
Koralltaggsvamp
Lunglav
Skinnlav</t>
        </is>
      </c>
      <c r="S179">
        <f>HYPERLINK("https://klasma.github.io/Logging_2283/artfynd/A 62638-2022 artfynd.xlsx", "A 62638-2022")</f>
        <v/>
      </c>
      <c r="T179">
        <f>HYPERLINK("https://klasma.github.io/Logging_2283/kartor/A 62638-2022 karta.png", "A 62638-2022")</f>
        <v/>
      </c>
      <c r="U179">
        <f>HYPERLINK("https://klasma.github.io/Logging_2283/knärot/A 62638-2022 karta knärot.png", "A 62638-2022")</f>
        <v/>
      </c>
      <c r="V179">
        <f>HYPERLINK("https://klasma.github.io/Logging_2283/klagomål/A 62638-2022 FSC-klagomål.docx", "A 62638-2022")</f>
        <v/>
      </c>
      <c r="W179">
        <f>HYPERLINK("https://klasma.github.io/Logging_2283/klagomålsmail/A 62638-2022 FSC-klagomål mail.docx", "A 62638-2022")</f>
        <v/>
      </c>
      <c r="X179">
        <f>HYPERLINK("https://klasma.github.io/Logging_2283/tillsyn/A 62638-2022 tillsynsbegäran.docx", "A 62638-2022")</f>
        <v/>
      </c>
      <c r="Y179">
        <f>HYPERLINK("https://klasma.github.io/Logging_2283/tillsynsmail/A 62638-2022 tillsynsbegäran mail.docx", "A 62638-2022")</f>
        <v/>
      </c>
    </row>
    <row r="180" ht="15" customHeight="1">
      <c r="A180" t="inlineStr">
        <is>
          <t>A 29561-2025</t>
        </is>
      </c>
      <c r="B180" s="1" t="n">
        <v>45825.36510416667</v>
      </c>
      <c r="C180" s="1" t="n">
        <v>46082</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40740-2025</t>
        </is>
      </c>
      <c r="B181" s="1" t="n">
        <v>45897.36840277778</v>
      </c>
      <c r="C181" s="1" t="n">
        <v>46082</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54093-2024</t>
        </is>
      </c>
      <c r="B182" s="1" t="n">
        <v>45616.51100694444</v>
      </c>
      <c r="C182" s="1" t="n">
        <v>46082</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45030-2025</t>
        </is>
      </c>
      <c r="B183" s="1" t="n">
        <v>45918.69851851852</v>
      </c>
      <c r="C183" s="1" t="n">
        <v>46082</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59381-2024</t>
        </is>
      </c>
      <c r="B184" s="1" t="n">
        <v>45638</v>
      </c>
      <c r="C184" s="1" t="n">
        <v>46082</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36943-2025</t>
        </is>
      </c>
      <c r="B185" s="1" t="n">
        <v>45874.59422453704</v>
      </c>
      <c r="C185" s="1" t="n">
        <v>46082</v>
      </c>
      <c r="D185" t="inlineStr">
        <is>
          <t>VÄSTERNORRLANDS LÄN</t>
        </is>
      </c>
      <c r="E185" t="inlineStr">
        <is>
          <t>SOLLEFTEÅ</t>
        </is>
      </c>
      <c r="F185" t="inlineStr">
        <is>
          <t>SCA</t>
        </is>
      </c>
      <c r="G185" t="n">
        <v>5.3</v>
      </c>
      <c r="H185" t="n">
        <v>1</v>
      </c>
      <c r="I185" t="n">
        <v>1</v>
      </c>
      <c r="J185" t="n">
        <v>2</v>
      </c>
      <c r="K185" t="n">
        <v>1</v>
      </c>
      <c r="L185" t="n">
        <v>0</v>
      </c>
      <c r="M185" t="n">
        <v>0</v>
      </c>
      <c r="N185" t="n">
        <v>0</v>
      </c>
      <c r="O185" t="n">
        <v>3</v>
      </c>
      <c r="P185" t="n">
        <v>1</v>
      </c>
      <c r="Q185" t="n">
        <v>4</v>
      </c>
      <c r="R185" s="2" t="inlineStr">
        <is>
          <t>Doftticka
Garnlav
Lunglav
Luddlav</t>
        </is>
      </c>
      <c r="S185">
        <f>HYPERLINK("https://klasma.github.io/Logging_2283/artfynd/A 36943-2025 artfynd.xlsx", "A 36943-2025")</f>
        <v/>
      </c>
      <c r="T185">
        <f>HYPERLINK("https://klasma.github.io/Logging_2283/kartor/A 36943-2025 karta.png", "A 36943-2025")</f>
        <v/>
      </c>
      <c r="V185">
        <f>HYPERLINK("https://klasma.github.io/Logging_2283/klagomål/A 36943-2025 FSC-klagomål.docx", "A 36943-2025")</f>
        <v/>
      </c>
      <c r="W185">
        <f>HYPERLINK("https://klasma.github.io/Logging_2283/klagomålsmail/A 36943-2025 FSC-klagomål mail.docx", "A 36943-2025")</f>
        <v/>
      </c>
      <c r="X185">
        <f>HYPERLINK("https://klasma.github.io/Logging_2283/tillsyn/A 36943-2025 tillsynsbegäran.docx", "A 36943-2025")</f>
        <v/>
      </c>
      <c r="Y185">
        <f>HYPERLINK("https://klasma.github.io/Logging_2283/tillsynsmail/A 36943-2025 tillsynsbegäran mail.docx", "A 36943-2025")</f>
        <v/>
      </c>
    </row>
    <row r="186" ht="15" customHeight="1">
      <c r="A186" t="inlineStr">
        <is>
          <t>A 5018-2025</t>
        </is>
      </c>
      <c r="B186" s="1" t="n">
        <v>45691</v>
      </c>
      <c r="C186" s="1" t="n">
        <v>46082</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50839-2023</t>
        </is>
      </c>
      <c r="B187" s="1" t="n">
        <v>45217</v>
      </c>
      <c r="C187" s="1" t="n">
        <v>46082</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26338-2025</t>
        </is>
      </c>
      <c r="B188" s="1" t="n">
        <v>45805.69841435185</v>
      </c>
      <c r="C188" s="1" t="n">
        <v>46082</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26467-2024</t>
        </is>
      </c>
      <c r="B189" s="1" t="n">
        <v>45469</v>
      </c>
      <c r="C189" s="1" t="n">
        <v>46082</v>
      </c>
      <c r="D189" t="inlineStr">
        <is>
          <t>VÄSTERNORRLANDS LÄN</t>
        </is>
      </c>
      <c r="E189" t="inlineStr">
        <is>
          <t>SOLLEFTEÅ</t>
        </is>
      </c>
      <c r="G189" t="n">
        <v>1.1</v>
      </c>
      <c r="H189" t="n">
        <v>2</v>
      </c>
      <c r="I189" t="n">
        <v>1</v>
      </c>
      <c r="J189" t="n">
        <v>1</v>
      </c>
      <c r="K189" t="n">
        <v>0</v>
      </c>
      <c r="L189" t="n">
        <v>0</v>
      </c>
      <c r="M189" t="n">
        <v>0</v>
      </c>
      <c r="N189" t="n">
        <v>0</v>
      </c>
      <c r="O189" t="n">
        <v>1</v>
      </c>
      <c r="P189" t="n">
        <v>0</v>
      </c>
      <c r="Q189" t="n">
        <v>4</v>
      </c>
      <c r="R189" s="2" t="inlineStr">
        <is>
          <t>Rosenticka
Springkorn
Skogsrör
Revlummer</t>
        </is>
      </c>
      <c r="S189">
        <f>HYPERLINK("https://klasma.github.io/Logging_2283/artfynd/A 26467-2024 artfynd.xlsx", "A 26467-2024")</f>
        <v/>
      </c>
      <c r="T189">
        <f>HYPERLINK("https://klasma.github.io/Logging_2283/kartor/A 26467-2024 karta.png", "A 26467-2024")</f>
        <v/>
      </c>
      <c r="V189">
        <f>HYPERLINK("https://klasma.github.io/Logging_2283/klagomål/A 26467-2024 FSC-klagomål.docx", "A 26467-2024")</f>
        <v/>
      </c>
      <c r="W189">
        <f>HYPERLINK("https://klasma.github.io/Logging_2283/klagomålsmail/A 26467-2024 FSC-klagomål mail.docx", "A 26467-2024")</f>
        <v/>
      </c>
      <c r="X189">
        <f>HYPERLINK("https://klasma.github.io/Logging_2283/tillsyn/A 26467-2024 tillsynsbegäran.docx", "A 26467-2024")</f>
        <v/>
      </c>
      <c r="Y189">
        <f>HYPERLINK("https://klasma.github.io/Logging_2283/tillsynsmail/A 26467-2024 tillsynsbegäran mail.docx", "A 26467-2024")</f>
        <v/>
      </c>
    </row>
    <row r="190" ht="15" customHeight="1">
      <c r="A190" t="inlineStr">
        <is>
          <t>A 32218-2023</t>
        </is>
      </c>
      <c r="B190" s="1" t="n">
        <v>45119</v>
      </c>
      <c r="C190" s="1" t="n">
        <v>46082</v>
      </c>
      <c r="D190" t="inlineStr">
        <is>
          <t>VÄSTERNORRLANDS LÄN</t>
        </is>
      </c>
      <c r="E190" t="inlineStr">
        <is>
          <t>SOLLEFTEÅ</t>
        </is>
      </c>
      <c r="F190" t="inlineStr">
        <is>
          <t>SCA</t>
        </is>
      </c>
      <c r="G190" t="n">
        <v>2.1</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32218-2023 artfynd.xlsx", "A 32218-2023")</f>
        <v/>
      </c>
      <c r="T190">
        <f>HYPERLINK("https://klasma.github.io/Logging_2283/kartor/A 32218-2023 karta.png", "A 32218-2023")</f>
        <v/>
      </c>
      <c r="V190">
        <f>HYPERLINK("https://klasma.github.io/Logging_2283/klagomål/A 32218-2023 FSC-klagomål.docx", "A 32218-2023")</f>
        <v/>
      </c>
      <c r="W190">
        <f>HYPERLINK("https://klasma.github.io/Logging_2283/klagomålsmail/A 32218-2023 FSC-klagomål mail.docx", "A 32218-2023")</f>
        <v/>
      </c>
      <c r="X190">
        <f>HYPERLINK("https://klasma.github.io/Logging_2283/tillsyn/A 32218-2023 tillsynsbegäran.docx", "A 32218-2023")</f>
        <v/>
      </c>
      <c r="Y190">
        <f>HYPERLINK("https://klasma.github.io/Logging_2283/tillsynsmail/A 32218-2023 tillsynsbegäran mail.docx", "A 32218-2023")</f>
        <v/>
      </c>
      <c r="Z190">
        <f>HYPERLINK("https://klasma.github.io/Logging_2283/fåglar/A 32218-2023 prioriterade fågelarter.docx", "A 32218-2023")</f>
        <v/>
      </c>
    </row>
    <row r="191" ht="15" customHeight="1">
      <c r="A191" t="inlineStr">
        <is>
          <t>A 2349-2025</t>
        </is>
      </c>
      <c r="B191" s="1" t="n">
        <v>45673.67807870371</v>
      </c>
      <c r="C191" s="1" t="n">
        <v>46082</v>
      </c>
      <c r="D191" t="inlineStr">
        <is>
          <t>VÄSTERNORRLANDS LÄN</t>
        </is>
      </c>
      <c r="E191" t="inlineStr">
        <is>
          <t>SOLLEFTEÅ</t>
        </is>
      </c>
      <c r="F191" t="inlineStr">
        <is>
          <t>SCA</t>
        </is>
      </c>
      <c r="G191" t="n">
        <v>3.5</v>
      </c>
      <c r="H191" t="n">
        <v>2</v>
      </c>
      <c r="I191" t="n">
        <v>0</v>
      </c>
      <c r="J191" t="n">
        <v>3</v>
      </c>
      <c r="K191" t="n">
        <v>0</v>
      </c>
      <c r="L191" t="n">
        <v>0</v>
      </c>
      <c r="M191" t="n">
        <v>0</v>
      </c>
      <c r="N191" t="n">
        <v>0</v>
      </c>
      <c r="O191" t="n">
        <v>3</v>
      </c>
      <c r="P191" t="n">
        <v>0</v>
      </c>
      <c r="Q191" t="n">
        <v>4</v>
      </c>
      <c r="R191" s="2" t="inlineStr">
        <is>
          <t>Garnlav
Spillkråka
Ullticka
Tjäder</t>
        </is>
      </c>
      <c r="S191">
        <f>HYPERLINK("https://klasma.github.io/Logging_2283/artfynd/A 2349-2025 artfynd.xlsx", "A 2349-2025")</f>
        <v/>
      </c>
      <c r="T191">
        <f>HYPERLINK("https://klasma.github.io/Logging_2283/kartor/A 2349-2025 karta.png", "A 2349-2025")</f>
        <v/>
      </c>
      <c r="V191">
        <f>HYPERLINK("https://klasma.github.io/Logging_2283/klagomål/A 2349-2025 FSC-klagomål.docx", "A 2349-2025")</f>
        <v/>
      </c>
      <c r="W191">
        <f>HYPERLINK("https://klasma.github.io/Logging_2283/klagomålsmail/A 2349-2025 FSC-klagomål mail.docx", "A 2349-2025")</f>
        <v/>
      </c>
      <c r="X191">
        <f>HYPERLINK("https://klasma.github.io/Logging_2283/tillsyn/A 2349-2025 tillsynsbegäran.docx", "A 2349-2025")</f>
        <v/>
      </c>
      <c r="Y191">
        <f>HYPERLINK("https://klasma.github.io/Logging_2283/tillsynsmail/A 2349-2025 tillsynsbegäran mail.docx", "A 2349-2025")</f>
        <v/>
      </c>
      <c r="Z191">
        <f>HYPERLINK("https://klasma.github.io/Logging_2283/fåglar/A 2349-2025 prioriterade fågelarter.docx", "A 2349-2025")</f>
        <v/>
      </c>
    </row>
    <row r="192" ht="15" customHeight="1">
      <c r="A192" t="inlineStr">
        <is>
          <t>A 60260-2025</t>
        </is>
      </c>
      <c r="B192" s="1" t="n">
        <v>45994.61025462963</v>
      </c>
      <c r="C192" s="1" t="n">
        <v>46082</v>
      </c>
      <c r="D192" t="inlineStr">
        <is>
          <t>VÄSTERNORRLANDS LÄN</t>
        </is>
      </c>
      <c r="E192" t="inlineStr">
        <is>
          <t>SOLLEFTEÅ</t>
        </is>
      </c>
      <c r="G192" t="n">
        <v>2.2</v>
      </c>
      <c r="H192" t="n">
        <v>0</v>
      </c>
      <c r="I192" t="n">
        <v>1</v>
      </c>
      <c r="J192" t="n">
        <v>1</v>
      </c>
      <c r="K192" t="n">
        <v>2</v>
      </c>
      <c r="L192" t="n">
        <v>0</v>
      </c>
      <c r="M192" t="n">
        <v>0</v>
      </c>
      <c r="N192" t="n">
        <v>0</v>
      </c>
      <c r="O192" t="n">
        <v>3</v>
      </c>
      <c r="P192" t="n">
        <v>2</v>
      </c>
      <c r="Q192" t="n">
        <v>4</v>
      </c>
      <c r="R192" s="2" t="inlineStr">
        <is>
          <t>Liten aspgelélav
Sprickporing
Lunglav
Korallblylav</t>
        </is>
      </c>
      <c r="S192">
        <f>HYPERLINK("https://klasma.github.io/Logging_2283/artfynd/A 60260-2025 artfynd.xlsx", "A 60260-2025")</f>
        <v/>
      </c>
      <c r="T192">
        <f>HYPERLINK("https://klasma.github.io/Logging_2283/kartor/A 60260-2025 karta.png", "A 60260-2025")</f>
        <v/>
      </c>
      <c r="V192">
        <f>HYPERLINK("https://klasma.github.io/Logging_2283/klagomål/A 60260-2025 FSC-klagomål.docx", "A 60260-2025")</f>
        <v/>
      </c>
      <c r="W192">
        <f>HYPERLINK("https://klasma.github.io/Logging_2283/klagomålsmail/A 60260-2025 FSC-klagomål mail.docx", "A 60260-2025")</f>
        <v/>
      </c>
      <c r="X192">
        <f>HYPERLINK("https://klasma.github.io/Logging_2283/tillsyn/A 60260-2025 tillsynsbegäran.docx", "A 60260-2025")</f>
        <v/>
      </c>
      <c r="Y192">
        <f>HYPERLINK("https://klasma.github.io/Logging_2283/tillsynsmail/A 60260-2025 tillsynsbegäran mail.docx", "A 60260-2025")</f>
        <v/>
      </c>
    </row>
    <row r="193" ht="15" customHeight="1">
      <c r="A193" t="inlineStr">
        <is>
          <t>A 58155-2025</t>
        </is>
      </c>
      <c r="B193" s="1" t="n">
        <v>45982</v>
      </c>
      <c r="C193" s="1" t="n">
        <v>46082</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20572-2025</t>
        </is>
      </c>
      <c r="B194" s="1" t="n">
        <v>45775.67054398148</v>
      </c>
      <c r="C194" s="1" t="n">
        <v>46082</v>
      </c>
      <c r="D194" t="inlineStr">
        <is>
          <t>VÄSTERNORRLANDS LÄN</t>
        </is>
      </c>
      <c r="E194" t="inlineStr">
        <is>
          <t>SOLLEFTEÅ</t>
        </is>
      </c>
      <c r="G194" t="n">
        <v>1.6</v>
      </c>
      <c r="H194" t="n">
        <v>4</v>
      </c>
      <c r="I194" t="n">
        <v>0</v>
      </c>
      <c r="J194" t="n">
        <v>2</v>
      </c>
      <c r="K194" t="n">
        <v>0</v>
      </c>
      <c r="L194" t="n">
        <v>0</v>
      </c>
      <c r="M194" t="n">
        <v>0</v>
      </c>
      <c r="N194" t="n">
        <v>0</v>
      </c>
      <c r="O194" t="n">
        <v>2</v>
      </c>
      <c r="P194" t="n">
        <v>0</v>
      </c>
      <c r="Q194" t="n">
        <v>4</v>
      </c>
      <c r="R194" s="2" t="inlineStr">
        <is>
          <t>Blå kärrhök
Spillkråka
Göktyta
Sångsvan</t>
        </is>
      </c>
      <c r="S194">
        <f>HYPERLINK("https://klasma.github.io/Logging_2283/artfynd/A 20572-2025 artfynd.xlsx", "A 20572-2025")</f>
        <v/>
      </c>
      <c r="T194">
        <f>HYPERLINK("https://klasma.github.io/Logging_2283/kartor/A 20572-2025 karta.png", "A 20572-2025")</f>
        <v/>
      </c>
      <c r="V194">
        <f>HYPERLINK("https://klasma.github.io/Logging_2283/klagomål/A 20572-2025 FSC-klagomål.docx", "A 20572-2025")</f>
        <v/>
      </c>
      <c r="W194">
        <f>HYPERLINK("https://klasma.github.io/Logging_2283/klagomålsmail/A 20572-2025 FSC-klagomål mail.docx", "A 20572-2025")</f>
        <v/>
      </c>
      <c r="X194">
        <f>HYPERLINK("https://klasma.github.io/Logging_2283/tillsyn/A 20572-2025 tillsynsbegäran.docx", "A 20572-2025")</f>
        <v/>
      </c>
      <c r="Y194">
        <f>HYPERLINK("https://klasma.github.io/Logging_2283/tillsynsmail/A 20572-2025 tillsynsbegäran mail.docx", "A 20572-2025")</f>
        <v/>
      </c>
      <c r="Z194">
        <f>HYPERLINK("https://klasma.github.io/Logging_2283/fåglar/A 20572-2025 prioriterade fågelarter.docx", "A 20572-2025")</f>
        <v/>
      </c>
    </row>
    <row r="195" ht="15" customHeight="1">
      <c r="A195" t="inlineStr">
        <is>
          <t>A 39095-2025</t>
        </is>
      </c>
      <c r="B195" s="1" t="n">
        <v>45888</v>
      </c>
      <c r="C195" s="1" t="n">
        <v>46082</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62364-2023</t>
        </is>
      </c>
      <c r="B196" s="1" t="n">
        <v>45267.95166666667</v>
      </c>
      <c r="C196" s="1" t="n">
        <v>46082</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7905-2026</t>
        </is>
      </c>
      <c r="B197" s="1" t="n">
        <v>46063.35283564815</v>
      </c>
      <c r="C197" s="1" t="n">
        <v>46082</v>
      </c>
      <c r="D197" t="inlineStr">
        <is>
          <t>VÄSTERNORRLANDS LÄN</t>
        </is>
      </c>
      <c r="E197" t="inlineStr">
        <is>
          <t>SOLLEFTEÅ</t>
        </is>
      </c>
      <c r="G197" t="n">
        <v>3.2</v>
      </c>
      <c r="H197" t="n">
        <v>4</v>
      </c>
      <c r="I197" t="n">
        <v>0</v>
      </c>
      <c r="J197" t="n">
        <v>1</v>
      </c>
      <c r="K197" t="n">
        <v>0</v>
      </c>
      <c r="L197" t="n">
        <v>0</v>
      </c>
      <c r="M197" t="n">
        <v>0</v>
      </c>
      <c r="N197" t="n">
        <v>0</v>
      </c>
      <c r="O197" t="n">
        <v>1</v>
      </c>
      <c r="P197" t="n">
        <v>0</v>
      </c>
      <c r="Q197" t="n">
        <v>4</v>
      </c>
      <c r="R197" s="2" t="inlineStr">
        <is>
          <t>Talltita
Lavskrika
Orre
Tjäder</t>
        </is>
      </c>
      <c r="S197">
        <f>HYPERLINK("https://klasma.github.io/Logging_2283/artfynd/A 7905-2026 artfynd.xlsx", "A 7905-2026")</f>
        <v/>
      </c>
      <c r="T197">
        <f>HYPERLINK("https://klasma.github.io/Logging_2283/kartor/A 7905-2026 karta.png", "A 7905-2026")</f>
        <v/>
      </c>
      <c r="V197">
        <f>HYPERLINK("https://klasma.github.io/Logging_2283/klagomål/A 7905-2026 FSC-klagomål.docx", "A 7905-2026")</f>
        <v/>
      </c>
      <c r="W197">
        <f>HYPERLINK("https://klasma.github.io/Logging_2283/klagomålsmail/A 7905-2026 FSC-klagomål mail.docx", "A 7905-2026")</f>
        <v/>
      </c>
      <c r="X197">
        <f>HYPERLINK("https://klasma.github.io/Logging_2283/tillsyn/A 7905-2026 tillsynsbegäran.docx", "A 7905-2026")</f>
        <v/>
      </c>
      <c r="Y197">
        <f>HYPERLINK("https://klasma.github.io/Logging_2283/tillsynsmail/A 7905-2026 tillsynsbegäran mail.docx", "A 7905-2026")</f>
        <v/>
      </c>
      <c r="Z197">
        <f>HYPERLINK("https://klasma.github.io/Logging_2283/fåglar/A 7905-2026 prioriterade fågelarter.docx", "A 7905-2026")</f>
        <v/>
      </c>
    </row>
    <row r="198" ht="15" customHeight="1">
      <c r="A198" t="inlineStr">
        <is>
          <t>A 62632-2022</t>
        </is>
      </c>
      <c r="B198" s="1" t="n">
        <v>44925</v>
      </c>
      <c r="C198" s="1" t="n">
        <v>46082</v>
      </c>
      <c r="D198" t="inlineStr">
        <is>
          <t>VÄSTERNORRLANDS LÄN</t>
        </is>
      </c>
      <c r="E198" t="inlineStr">
        <is>
          <t>SOLLEFTEÅ</t>
        </is>
      </c>
      <c r="F198" t="inlineStr">
        <is>
          <t>Holmen skog AB</t>
        </is>
      </c>
      <c r="G198" t="n">
        <v>4.4</v>
      </c>
      <c r="H198" t="n">
        <v>1</v>
      </c>
      <c r="I198" t="n">
        <v>1</v>
      </c>
      <c r="J198" t="n">
        <v>2</v>
      </c>
      <c r="K198" t="n">
        <v>1</v>
      </c>
      <c r="L198" t="n">
        <v>0</v>
      </c>
      <c r="M198" t="n">
        <v>0</v>
      </c>
      <c r="N198" t="n">
        <v>0</v>
      </c>
      <c r="O198" t="n">
        <v>3</v>
      </c>
      <c r="P198" t="n">
        <v>1</v>
      </c>
      <c r="Q198" t="n">
        <v>4</v>
      </c>
      <c r="R198" s="2" t="inlineStr">
        <is>
          <t>Bitter taggsvamp
Blå taggsvamp
Orange taggsvamp
Plattlummer</t>
        </is>
      </c>
      <c r="S198">
        <f>HYPERLINK("https://klasma.github.io/Logging_2283/artfynd/A 62632-2022 artfynd.xlsx", "A 62632-2022")</f>
        <v/>
      </c>
      <c r="T198">
        <f>HYPERLINK("https://klasma.github.io/Logging_2283/kartor/A 62632-2022 karta.png", "A 62632-2022")</f>
        <v/>
      </c>
      <c r="V198">
        <f>HYPERLINK("https://klasma.github.io/Logging_2283/klagomål/A 62632-2022 FSC-klagomål.docx", "A 62632-2022")</f>
        <v/>
      </c>
      <c r="W198">
        <f>HYPERLINK("https://klasma.github.io/Logging_2283/klagomålsmail/A 62632-2022 FSC-klagomål mail.docx", "A 62632-2022")</f>
        <v/>
      </c>
      <c r="X198">
        <f>HYPERLINK("https://klasma.github.io/Logging_2283/tillsyn/A 62632-2022 tillsynsbegäran.docx", "A 62632-2022")</f>
        <v/>
      </c>
      <c r="Y198">
        <f>HYPERLINK("https://klasma.github.io/Logging_2283/tillsynsmail/A 62632-2022 tillsynsbegäran mail.docx", "A 62632-2022")</f>
        <v/>
      </c>
    </row>
    <row r="199" ht="15" customHeight="1">
      <c r="A199" t="inlineStr">
        <is>
          <t>A 9741-2026</t>
        </is>
      </c>
      <c r="B199" s="1" t="n">
        <v>46072.51131944444</v>
      </c>
      <c r="C199" s="1" t="n">
        <v>46082</v>
      </c>
      <c r="D199" t="inlineStr">
        <is>
          <t>VÄSTERNORRLANDS LÄN</t>
        </is>
      </c>
      <c r="E199" t="inlineStr">
        <is>
          <t>SOLLEFTEÅ</t>
        </is>
      </c>
      <c r="G199" t="n">
        <v>4.6</v>
      </c>
      <c r="H199" t="n">
        <v>0</v>
      </c>
      <c r="I199" t="n">
        <v>3</v>
      </c>
      <c r="J199" t="n">
        <v>1</v>
      </c>
      <c r="K199" t="n">
        <v>0</v>
      </c>
      <c r="L199" t="n">
        <v>0</v>
      </c>
      <c r="M199" t="n">
        <v>0</v>
      </c>
      <c r="N199" t="n">
        <v>0</v>
      </c>
      <c r="O199" t="n">
        <v>1</v>
      </c>
      <c r="P199" t="n">
        <v>0</v>
      </c>
      <c r="Q199" t="n">
        <v>4</v>
      </c>
      <c r="R199" s="2" t="inlineStr">
        <is>
          <t>Lunglav
Bårdlav
Dvärgtufs
Skinnlav</t>
        </is>
      </c>
      <c r="S199">
        <f>HYPERLINK("https://klasma.github.io/Logging_2283/artfynd/A 9741-2026 artfynd.xlsx", "A 9741-2026")</f>
        <v/>
      </c>
      <c r="T199">
        <f>HYPERLINK("https://klasma.github.io/Logging_2283/kartor/A 9741-2026 karta.png", "A 9741-2026")</f>
        <v/>
      </c>
      <c r="V199">
        <f>HYPERLINK("https://klasma.github.io/Logging_2283/klagomål/A 9741-2026 FSC-klagomål.docx", "A 9741-2026")</f>
        <v/>
      </c>
      <c r="W199">
        <f>HYPERLINK("https://klasma.github.io/Logging_2283/klagomålsmail/A 9741-2026 FSC-klagomål mail.docx", "A 9741-2026")</f>
        <v/>
      </c>
      <c r="X199">
        <f>HYPERLINK("https://klasma.github.io/Logging_2283/tillsyn/A 9741-2026 tillsynsbegäran.docx", "A 9741-2026")</f>
        <v/>
      </c>
      <c r="Y199">
        <f>HYPERLINK("https://klasma.github.io/Logging_2283/tillsynsmail/A 9741-2026 tillsynsbegäran mail.docx", "A 9741-2026")</f>
        <v/>
      </c>
    </row>
    <row r="200" ht="15" customHeight="1">
      <c r="A200" t="inlineStr">
        <is>
          <t>A 25954-2025</t>
        </is>
      </c>
      <c r="B200" s="1" t="n">
        <v>45804</v>
      </c>
      <c r="C200" s="1" t="n">
        <v>46082</v>
      </c>
      <c r="D200" t="inlineStr">
        <is>
          <t>VÄSTERNORRLANDS LÄN</t>
        </is>
      </c>
      <c r="E200" t="inlineStr">
        <is>
          <t>SOLLEFTEÅ</t>
        </is>
      </c>
      <c r="G200" t="n">
        <v>3.2</v>
      </c>
      <c r="H200" t="n">
        <v>1</v>
      </c>
      <c r="I200" t="n">
        <v>3</v>
      </c>
      <c r="J200" t="n">
        <v>0</v>
      </c>
      <c r="K200" t="n">
        <v>0</v>
      </c>
      <c r="L200" t="n">
        <v>0</v>
      </c>
      <c r="M200" t="n">
        <v>0</v>
      </c>
      <c r="N200" t="n">
        <v>0</v>
      </c>
      <c r="O200" t="n">
        <v>0</v>
      </c>
      <c r="P200" t="n">
        <v>0</v>
      </c>
      <c r="Q200" t="n">
        <v>4</v>
      </c>
      <c r="R200" s="2" t="inlineStr">
        <is>
          <t>Dvärghäxört
Springkorn
Svart trolldruva
Revlummer</t>
        </is>
      </c>
      <c r="S200">
        <f>HYPERLINK("https://klasma.github.io/Logging_2283/artfynd/A 25954-2025 artfynd.xlsx", "A 25954-2025")</f>
        <v/>
      </c>
      <c r="T200">
        <f>HYPERLINK("https://klasma.github.io/Logging_2283/kartor/A 25954-2025 karta.png", "A 25954-2025")</f>
        <v/>
      </c>
      <c r="V200">
        <f>HYPERLINK("https://klasma.github.io/Logging_2283/klagomål/A 25954-2025 FSC-klagomål.docx", "A 25954-2025")</f>
        <v/>
      </c>
      <c r="W200">
        <f>HYPERLINK("https://klasma.github.io/Logging_2283/klagomålsmail/A 25954-2025 FSC-klagomål mail.docx", "A 25954-2025")</f>
        <v/>
      </c>
      <c r="X200">
        <f>HYPERLINK("https://klasma.github.io/Logging_2283/tillsyn/A 25954-2025 tillsynsbegäran.docx", "A 25954-2025")</f>
        <v/>
      </c>
      <c r="Y200">
        <f>HYPERLINK("https://klasma.github.io/Logging_2283/tillsynsmail/A 25954-2025 tillsynsbegäran mail.docx", "A 25954-2025")</f>
        <v/>
      </c>
    </row>
    <row r="201" ht="15" customHeight="1">
      <c r="A201" t="inlineStr">
        <is>
          <t>A 53898-2024</t>
        </is>
      </c>
      <c r="B201" s="1" t="n">
        <v>45615.69824074074</v>
      </c>
      <c r="C201" s="1" t="n">
        <v>46082</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46082</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46082</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46082</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46082</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46082</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46082</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46082</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46082</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46082</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46082</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46082</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46082</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46082</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46082</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46082</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46082</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46082</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46082</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46082</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46082</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50838-2023</t>
        </is>
      </c>
      <c r="B222" s="1" t="n">
        <v>45217</v>
      </c>
      <c r="C222" s="1" t="n">
        <v>46082</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46082</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32070-2025</t>
        </is>
      </c>
      <c r="B224" s="1" t="n">
        <v>45835.44885416667</v>
      </c>
      <c r="C224" s="1" t="n">
        <v>46082</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43279-2025</t>
        </is>
      </c>
      <c r="B225" s="1" t="n">
        <v>45910.59446759259</v>
      </c>
      <c r="C225" s="1" t="n">
        <v>46082</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21097-2024</t>
        </is>
      </c>
      <c r="B226" s="1" t="n">
        <v>45439</v>
      </c>
      <c r="C226" s="1" t="n">
        <v>46082</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46082</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8077-2025</t>
        </is>
      </c>
      <c r="B228" s="1" t="n">
        <v>45707.65659722222</v>
      </c>
      <c r="C228" s="1" t="n">
        <v>46082</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26341-2025</t>
        </is>
      </c>
      <c r="B229" s="1" t="n">
        <v>45805.69878472222</v>
      </c>
      <c r="C229" s="1" t="n">
        <v>46082</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54254-2025</t>
        </is>
      </c>
      <c r="B230" s="1" t="n">
        <v>45964.65668981482</v>
      </c>
      <c r="C230" s="1" t="n">
        <v>46082</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46082</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20781-2023</t>
        </is>
      </c>
      <c r="B232" s="1" t="n">
        <v>45058</v>
      </c>
      <c r="C232" s="1" t="n">
        <v>46082</v>
      </c>
      <c r="D232" t="inlineStr">
        <is>
          <t>VÄSTERNORRLANDS LÄN</t>
        </is>
      </c>
      <c r="E232" t="inlineStr">
        <is>
          <t>SOLLEFTEÅ</t>
        </is>
      </c>
      <c r="F232" t="inlineStr">
        <is>
          <t>Kyrkan</t>
        </is>
      </c>
      <c r="G232" t="n">
        <v>11.1</v>
      </c>
      <c r="H232" t="n">
        <v>1</v>
      </c>
      <c r="I232" t="n">
        <v>0</v>
      </c>
      <c r="J232" t="n">
        <v>2</v>
      </c>
      <c r="K232" t="n">
        <v>1</v>
      </c>
      <c r="L232" t="n">
        <v>0</v>
      </c>
      <c r="M232" t="n">
        <v>0</v>
      </c>
      <c r="N232" t="n">
        <v>0</v>
      </c>
      <c r="O232" t="n">
        <v>3</v>
      </c>
      <c r="P232" t="n">
        <v>1</v>
      </c>
      <c r="Q232" t="n">
        <v>3</v>
      </c>
      <c r="R232" s="2" t="inlineStr">
        <is>
          <t>Knärot
Garnlav
Ullticka</t>
        </is>
      </c>
      <c r="S232">
        <f>HYPERLINK("https://klasma.github.io/Logging_2283/artfynd/A 20781-2023 artfynd.xlsx", "A 20781-2023")</f>
        <v/>
      </c>
      <c r="T232">
        <f>HYPERLINK("https://klasma.github.io/Logging_2283/kartor/A 20781-2023 karta.png", "A 20781-2023")</f>
        <v/>
      </c>
      <c r="U232">
        <f>HYPERLINK("https://klasma.github.io/Logging_2283/knärot/A 20781-2023 karta knärot.png", "A 20781-2023")</f>
        <v/>
      </c>
      <c r="V232">
        <f>HYPERLINK("https://klasma.github.io/Logging_2283/klagomål/A 20781-2023 FSC-klagomål.docx", "A 20781-2023")</f>
        <v/>
      </c>
      <c r="W232">
        <f>HYPERLINK("https://klasma.github.io/Logging_2283/klagomålsmail/A 20781-2023 FSC-klagomål mail.docx", "A 20781-2023")</f>
        <v/>
      </c>
      <c r="X232">
        <f>HYPERLINK("https://klasma.github.io/Logging_2283/tillsyn/A 20781-2023 tillsynsbegäran.docx", "A 20781-2023")</f>
        <v/>
      </c>
      <c r="Y232">
        <f>HYPERLINK("https://klasma.github.io/Logging_2283/tillsynsmail/A 20781-2023 tillsynsbegäran mail.docx", "A 20781-2023")</f>
        <v/>
      </c>
    </row>
    <row r="233" ht="15" customHeight="1">
      <c r="A233" t="inlineStr">
        <is>
          <t>A 53682-2024</t>
        </is>
      </c>
      <c r="B233" s="1" t="n">
        <v>45615</v>
      </c>
      <c r="C233" s="1" t="n">
        <v>46082</v>
      </c>
      <c r="D233" t="inlineStr">
        <is>
          <t>VÄSTERNORRLANDS LÄN</t>
        </is>
      </c>
      <c r="E233" t="inlineStr">
        <is>
          <t>SOLLEFTEÅ</t>
        </is>
      </c>
      <c r="F233" t="inlineStr">
        <is>
          <t>SCA</t>
        </is>
      </c>
      <c r="G233" t="n">
        <v>9.5</v>
      </c>
      <c r="H233" t="n">
        <v>0</v>
      </c>
      <c r="I233" t="n">
        <v>0</v>
      </c>
      <c r="J233" t="n">
        <v>2</v>
      </c>
      <c r="K233" t="n">
        <v>1</v>
      </c>
      <c r="L233" t="n">
        <v>0</v>
      </c>
      <c r="M233" t="n">
        <v>0</v>
      </c>
      <c r="N233" t="n">
        <v>0</v>
      </c>
      <c r="O233" t="n">
        <v>3</v>
      </c>
      <c r="P233" t="n">
        <v>1</v>
      </c>
      <c r="Q233" t="n">
        <v>3</v>
      </c>
      <c r="R233" s="2" t="inlineStr">
        <is>
          <t>Tallgråticka
Blå taggsvamp
Skrovlig taggsvamp</t>
        </is>
      </c>
      <c r="S233">
        <f>HYPERLINK("https://klasma.github.io/Logging_2283/artfynd/A 53682-2024 artfynd.xlsx", "A 53682-2024")</f>
        <v/>
      </c>
      <c r="T233">
        <f>HYPERLINK("https://klasma.github.io/Logging_2283/kartor/A 53682-2024 karta.png", "A 53682-2024")</f>
        <v/>
      </c>
      <c r="V233">
        <f>HYPERLINK("https://klasma.github.io/Logging_2283/klagomål/A 53682-2024 FSC-klagomål.docx", "A 53682-2024")</f>
        <v/>
      </c>
      <c r="W233">
        <f>HYPERLINK("https://klasma.github.io/Logging_2283/klagomålsmail/A 53682-2024 FSC-klagomål mail.docx", "A 53682-2024")</f>
        <v/>
      </c>
      <c r="X233">
        <f>HYPERLINK("https://klasma.github.io/Logging_2283/tillsyn/A 53682-2024 tillsynsbegäran.docx", "A 53682-2024")</f>
        <v/>
      </c>
      <c r="Y233">
        <f>HYPERLINK("https://klasma.github.io/Logging_2283/tillsynsmail/A 53682-2024 tillsynsbegäran mail.docx", "A 53682-2024")</f>
        <v/>
      </c>
    </row>
    <row r="234" ht="15" customHeight="1">
      <c r="A234" t="inlineStr">
        <is>
          <t>A 56783-2025</t>
        </is>
      </c>
      <c r="B234" s="1" t="n">
        <v>45978.40695601852</v>
      </c>
      <c r="C234" s="1" t="n">
        <v>46082</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48017-2024</t>
        </is>
      </c>
      <c r="B235" s="1" t="n">
        <v>45589.46935185185</v>
      </c>
      <c r="C235" s="1" t="n">
        <v>46082</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23939-2024</t>
        </is>
      </c>
      <c r="B236" s="1" t="n">
        <v>45455.96303240741</v>
      </c>
      <c r="C236" s="1" t="n">
        <v>46082</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61676-2025</t>
        </is>
      </c>
      <c r="B237" s="1" t="n">
        <v>46002</v>
      </c>
      <c r="C237" s="1" t="n">
        <v>46082</v>
      </c>
      <c r="D237" t="inlineStr">
        <is>
          <t>VÄSTERNORRLANDS LÄN</t>
        </is>
      </c>
      <c r="E237" t="inlineStr">
        <is>
          <t>SOLLEFTEÅ</t>
        </is>
      </c>
      <c r="G237" t="n">
        <v>2.9</v>
      </c>
      <c r="H237" t="n">
        <v>1</v>
      </c>
      <c r="I237" t="n">
        <v>0</v>
      </c>
      <c r="J237" t="n">
        <v>3</v>
      </c>
      <c r="K237" t="n">
        <v>0</v>
      </c>
      <c r="L237" t="n">
        <v>0</v>
      </c>
      <c r="M237" t="n">
        <v>0</v>
      </c>
      <c r="N237" t="n">
        <v>0</v>
      </c>
      <c r="O237" t="n">
        <v>3</v>
      </c>
      <c r="P237" t="n">
        <v>0</v>
      </c>
      <c r="Q237" t="n">
        <v>3</v>
      </c>
      <c r="R237" s="2" t="inlineStr">
        <is>
          <t>Garnlav
Mörk kolflarnlav
Tretåig hackspett</t>
        </is>
      </c>
      <c r="S237">
        <f>HYPERLINK("https://klasma.github.io/Logging_2283/artfynd/A 61676-2025 artfynd.xlsx", "A 61676-2025")</f>
        <v/>
      </c>
      <c r="T237">
        <f>HYPERLINK("https://klasma.github.io/Logging_2283/kartor/A 61676-2025 karta.png", "A 61676-2025")</f>
        <v/>
      </c>
      <c r="V237">
        <f>HYPERLINK("https://klasma.github.io/Logging_2283/klagomål/A 61676-2025 FSC-klagomål.docx", "A 61676-2025")</f>
        <v/>
      </c>
      <c r="W237">
        <f>HYPERLINK("https://klasma.github.io/Logging_2283/klagomålsmail/A 61676-2025 FSC-klagomål mail.docx", "A 61676-2025")</f>
        <v/>
      </c>
      <c r="X237">
        <f>HYPERLINK("https://klasma.github.io/Logging_2283/tillsyn/A 61676-2025 tillsynsbegäran.docx", "A 61676-2025")</f>
        <v/>
      </c>
      <c r="Y237">
        <f>HYPERLINK("https://klasma.github.io/Logging_2283/tillsynsmail/A 61676-2025 tillsynsbegäran mail.docx", "A 61676-2025")</f>
        <v/>
      </c>
      <c r="Z237">
        <f>HYPERLINK("https://klasma.github.io/Logging_2283/fåglar/A 61676-2025 prioriterade fågelarter.docx", "A 61676-2025")</f>
        <v/>
      </c>
    </row>
    <row r="238" ht="15" customHeight="1">
      <c r="A238" t="inlineStr">
        <is>
          <t>A 5121-2025</t>
        </is>
      </c>
      <c r="B238" s="1" t="n">
        <v>45691</v>
      </c>
      <c r="C238" s="1" t="n">
        <v>46082</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61670-2025</t>
        </is>
      </c>
      <c r="B239" s="1" t="n">
        <v>46002.47004629629</v>
      </c>
      <c r="C239" s="1" t="n">
        <v>46082</v>
      </c>
      <c r="D239" t="inlineStr">
        <is>
          <t>VÄSTERNORRLANDS LÄN</t>
        </is>
      </c>
      <c r="E239" t="inlineStr">
        <is>
          <t>SOLLEFTEÅ</t>
        </is>
      </c>
      <c r="G239" t="n">
        <v>4.5</v>
      </c>
      <c r="H239" t="n">
        <v>0</v>
      </c>
      <c r="I239" t="n">
        <v>1</v>
      </c>
      <c r="J239" t="n">
        <v>2</v>
      </c>
      <c r="K239" t="n">
        <v>0</v>
      </c>
      <c r="L239" t="n">
        <v>0</v>
      </c>
      <c r="M239" t="n">
        <v>0</v>
      </c>
      <c r="N239" t="n">
        <v>0</v>
      </c>
      <c r="O239" t="n">
        <v>2</v>
      </c>
      <c r="P239" t="n">
        <v>0</v>
      </c>
      <c r="Q239" t="n">
        <v>3</v>
      </c>
      <c r="R239" s="2" t="inlineStr">
        <is>
          <t>Garnlav
Rosenticka
Vedticka</t>
        </is>
      </c>
      <c r="S239">
        <f>HYPERLINK("https://klasma.github.io/Logging_2283/artfynd/A 61670-2025 artfynd.xlsx", "A 61670-2025")</f>
        <v/>
      </c>
      <c r="T239">
        <f>HYPERLINK("https://klasma.github.io/Logging_2283/kartor/A 61670-2025 karta.png", "A 61670-2025")</f>
        <v/>
      </c>
      <c r="V239">
        <f>HYPERLINK("https://klasma.github.io/Logging_2283/klagomål/A 61670-2025 FSC-klagomål.docx", "A 61670-2025")</f>
        <v/>
      </c>
      <c r="W239">
        <f>HYPERLINK("https://klasma.github.io/Logging_2283/klagomålsmail/A 61670-2025 FSC-klagomål mail.docx", "A 61670-2025")</f>
        <v/>
      </c>
      <c r="X239">
        <f>HYPERLINK("https://klasma.github.io/Logging_2283/tillsyn/A 61670-2025 tillsynsbegäran.docx", "A 61670-2025")</f>
        <v/>
      </c>
      <c r="Y239">
        <f>HYPERLINK("https://klasma.github.io/Logging_2283/tillsynsmail/A 61670-2025 tillsynsbegäran mail.docx", "A 61670-2025")</f>
        <v/>
      </c>
    </row>
    <row r="240" ht="15" customHeight="1">
      <c r="A240" t="inlineStr">
        <is>
          <t>A 3808-2026</t>
        </is>
      </c>
      <c r="B240" s="1" t="n">
        <v>46043.58349537037</v>
      </c>
      <c r="C240" s="1" t="n">
        <v>46082</v>
      </c>
      <c r="D240" t="inlineStr">
        <is>
          <t>VÄSTERNORRLANDS LÄN</t>
        </is>
      </c>
      <c r="E240" t="inlineStr">
        <is>
          <t>SOLLEFTEÅ</t>
        </is>
      </c>
      <c r="F240" t="inlineStr">
        <is>
          <t>SCA</t>
        </is>
      </c>
      <c r="G240" t="n">
        <v>1.6</v>
      </c>
      <c r="H240" t="n">
        <v>0</v>
      </c>
      <c r="I240" t="n">
        <v>0</v>
      </c>
      <c r="J240" t="n">
        <v>3</v>
      </c>
      <c r="K240" t="n">
        <v>0</v>
      </c>
      <c r="L240" t="n">
        <v>0</v>
      </c>
      <c r="M240" t="n">
        <v>0</v>
      </c>
      <c r="N240" t="n">
        <v>0</v>
      </c>
      <c r="O240" t="n">
        <v>3</v>
      </c>
      <c r="P240" t="n">
        <v>0</v>
      </c>
      <c r="Q240" t="n">
        <v>3</v>
      </c>
      <c r="R240" s="2" t="inlineStr">
        <is>
          <t>Dvärgbägarlav
Garnlav
Vedflamlav</t>
        </is>
      </c>
      <c r="S240">
        <f>HYPERLINK("https://klasma.github.io/Logging_2283/artfynd/A 3808-2026 artfynd.xlsx", "A 3808-2026")</f>
        <v/>
      </c>
      <c r="T240">
        <f>HYPERLINK("https://klasma.github.io/Logging_2283/kartor/A 3808-2026 karta.png", "A 3808-2026")</f>
        <v/>
      </c>
      <c r="V240">
        <f>HYPERLINK("https://klasma.github.io/Logging_2283/klagomål/A 3808-2026 FSC-klagomål.docx", "A 3808-2026")</f>
        <v/>
      </c>
      <c r="W240">
        <f>HYPERLINK("https://klasma.github.io/Logging_2283/klagomålsmail/A 3808-2026 FSC-klagomål mail.docx", "A 3808-2026")</f>
        <v/>
      </c>
      <c r="X240">
        <f>HYPERLINK("https://klasma.github.io/Logging_2283/tillsyn/A 3808-2026 tillsynsbegäran.docx", "A 3808-2026")</f>
        <v/>
      </c>
      <c r="Y240">
        <f>HYPERLINK("https://klasma.github.io/Logging_2283/tillsynsmail/A 3808-2026 tillsynsbegäran mail.docx", "A 3808-2026")</f>
        <v/>
      </c>
    </row>
    <row r="241" ht="15" customHeight="1">
      <c r="A241" t="inlineStr">
        <is>
          <t>A 751-2026</t>
        </is>
      </c>
      <c r="B241" s="1" t="n">
        <v>46029.67748842593</v>
      </c>
      <c r="C241" s="1" t="n">
        <v>46082</v>
      </c>
      <c r="D241" t="inlineStr">
        <is>
          <t>VÄSTERNORRLANDS LÄN</t>
        </is>
      </c>
      <c r="E241" t="inlineStr">
        <is>
          <t>SOLLEFTEÅ</t>
        </is>
      </c>
      <c r="G241" t="n">
        <v>15.6</v>
      </c>
      <c r="H241" t="n">
        <v>1</v>
      </c>
      <c r="I241" t="n">
        <v>1</v>
      </c>
      <c r="J241" t="n">
        <v>2</v>
      </c>
      <c r="K241" t="n">
        <v>0</v>
      </c>
      <c r="L241" t="n">
        <v>0</v>
      </c>
      <c r="M241" t="n">
        <v>0</v>
      </c>
      <c r="N241" t="n">
        <v>0</v>
      </c>
      <c r="O241" t="n">
        <v>2</v>
      </c>
      <c r="P241" t="n">
        <v>0</v>
      </c>
      <c r="Q241" t="n">
        <v>3</v>
      </c>
      <c r="R241" s="2" t="inlineStr">
        <is>
          <t>Lunglav
Tretåig hackspett
Stuplav</t>
        </is>
      </c>
      <c r="S241">
        <f>HYPERLINK("https://klasma.github.io/Logging_2283/artfynd/A 751-2026 artfynd.xlsx", "A 751-2026")</f>
        <v/>
      </c>
      <c r="T241">
        <f>HYPERLINK("https://klasma.github.io/Logging_2283/kartor/A 751-2026 karta.png", "A 751-2026")</f>
        <v/>
      </c>
      <c r="V241">
        <f>HYPERLINK("https://klasma.github.io/Logging_2283/klagomål/A 751-2026 FSC-klagomål.docx", "A 751-2026")</f>
        <v/>
      </c>
      <c r="W241">
        <f>HYPERLINK("https://klasma.github.io/Logging_2283/klagomålsmail/A 751-2026 FSC-klagomål mail.docx", "A 751-2026")</f>
        <v/>
      </c>
      <c r="X241">
        <f>HYPERLINK("https://klasma.github.io/Logging_2283/tillsyn/A 751-2026 tillsynsbegäran.docx", "A 751-2026")</f>
        <v/>
      </c>
      <c r="Y241">
        <f>HYPERLINK("https://klasma.github.io/Logging_2283/tillsynsmail/A 751-2026 tillsynsbegäran mail.docx", "A 751-2026")</f>
        <v/>
      </c>
      <c r="Z241">
        <f>HYPERLINK("https://klasma.github.io/Logging_2283/fåglar/A 751-2026 prioriterade fågelarter.docx", "A 751-2026")</f>
        <v/>
      </c>
    </row>
    <row r="242" ht="15" customHeight="1">
      <c r="A242" t="inlineStr">
        <is>
          <t>A 25919-2025</t>
        </is>
      </c>
      <c r="B242" s="1" t="n">
        <v>45804</v>
      </c>
      <c r="C242" s="1" t="n">
        <v>46082</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54624-2024</t>
        </is>
      </c>
      <c r="B243" s="1" t="n">
        <v>45617</v>
      </c>
      <c r="C243" s="1" t="n">
        <v>46082</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46082</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46082</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46082</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46082</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22183-2025</t>
        </is>
      </c>
      <c r="B248" s="1" t="n">
        <v>45785.61677083333</v>
      </c>
      <c r="C248" s="1" t="n">
        <v>46082</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46082</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46082</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46082</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46082</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46082</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46082</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46082</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46082</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46082</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46082</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46082</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46082</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46082</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46082</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45083-2022</t>
        </is>
      </c>
      <c r="B263" s="1" t="n">
        <v>44841</v>
      </c>
      <c r="C263" s="1" t="n">
        <v>46082</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38911-2025</t>
        </is>
      </c>
      <c r="B264" s="1" t="n">
        <v>45887.61534722222</v>
      </c>
      <c r="C264" s="1" t="n">
        <v>46082</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46082</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54153-2021</t>
        </is>
      </c>
      <c r="B266" s="1" t="n">
        <v>44469</v>
      </c>
      <c r="C266" s="1" t="n">
        <v>46082</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30972-2025</t>
        </is>
      </c>
      <c r="B267" s="1" t="n">
        <v>45832.4615625</v>
      </c>
      <c r="C267" s="1" t="n">
        <v>46082</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46082</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32738-2025</t>
        </is>
      </c>
      <c r="B269" s="1" t="n">
        <v>45839.41827546297</v>
      </c>
      <c r="C269" s="1" t="n">
        <v>46082</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46082</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46082</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50751-2024</t>
        </is>
      </c>
      <c r="B272" s="1" t="n">
        <v>45602</v>
      </c>
      <c r="C272" s="1" t="n">
        <v>46082</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2347-2025</t>
        </is>
      </c>
      <c r="B273" s="1" t="n">
        <v>45673.67782407408</v>
      </c>
      <c r="C273" s="1" t="n">
        <v>46082</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58880-2024</t>
        </is>
      </c>
      <c r="B274" s="1" t="n">
        <v>45636.44836805556</v>
      </c>
      <c r="C274" s="1" t="n">
        <v>46082</v>
      </c>
      <c r="D274" t="inlineStr">
        <is>
          <t>VÄSTERNORRLANDS LÄN</t>
        </is>
      </c>
      <c r="E274" t="inlineStr">
        <is>
          <t>SOLLEFTEÅ</t>
        </is>
      </c>
      <c r="F274" t="inlineStr">
        <is>
          <t>SCA</t>
        </is>
      </c>
      <c r="G274" t="n">
        <v>2</v>
      </c>
      <c r="H274" t="n">
        <v>0</v>
      </c>
      <c r="I274" t="n">
        <v>0</v>
      </c>
      <c r="J274" t="n">
        <v>2</v>
      </c>
      <c r="K274" t="n">
        <v>0</v>
      </c>
      <c r="L274" t="n">
        <v>0</v>
      </c>
      <c r="M274" t="n">
        <v>0</v>
      </c>
      <c r="N274" t="n">
        <v>0</v>
      </c>
      <c r="O274" t="n">
        <v>2</v>
      </c>
      <c r="P274" t="n">
        <v>0</v>
      </c>
      <c r="Q274" t="n">
        <v>2</v>
      </c>
      <c r="R274" s="2" t="inlineStr">
        <is>
          <t>Gammelgransskål
Garnlav</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36912-2024</t>
        </is>
      </c>
      <c r="B275" s="1" t="n">
        <v>45538.63604166666</v>
      </c>
      <c r="C275" s="1" t="n">
        <v>46082</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59997-2024</t>
        </is>
      </c>
      <c r="B276" s="1" t="n">
        <v>45642.40715277778</v>
      </c>
      <c r="C276" s="1" t="n">
        <v>46082</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36563-2025</t>
        </is>
      </c>
      <c r="B277" s="1" t="n">
        <v>45870.37332175926</v>
      </c>
      <c r="C277" s="1" t="n">
        <v>46082</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7837-2025</t>
        </is>
      </c>
      <c r="B278" s="1" t="n">
        <v>45706</v>
      </c>
      <c r="C278" s="1" t="n">
        <v>46082</v>
      </c>
      <c r="D278" t="inlineStr">
        <is>
          <t>VÄSTERNORRLANDS LÄN</t>
        </is>
      </c>
      <c r="E278" t="inlineStr">
        <is>
          <t>SOLLEFTEÅ</t>
        </is>
      </c>
      <c r="F278" t="inlineStr">
        <is>
          <t>SCA</t>
        </is>
      </c>
      <c r="G278" t="n">
        <v>2</v>
      </c>
      <c r="H278" t="n">
        <v>0</v>
      </c>
      <c r="I278" t="n">
        <v>1</v>
      </c>
      <c r="J278" t="n">
        <v>1</v>
      </c>
      <c r="K278" t="n">
        <v>0</v>
      </c>
      <c r="L278" t="n">
        <v>0</v>
      </c>
      <c r="M278" t="n">
        <v>0</v>
      </c>
      <c r="N278" t="n">
        <v>0</v>
      </c>
      <c r="O278" t="n">
        <v>1</v>
      </c>
      <c r="P278" t="n">
        <v>0</v>
      </c>
      <c r="Q278" t="n">
        <v>2</v>
      </c>
      <c r="R278" s="2" t="inlineStr">
        <is>
          <t>Gammelgransskål
Norrlandslav</t>
        </is>
      </c>
      <c r="S278">
        <f>HYPERLINK("https://klasma.github.io/Logging_2283/artfynd/A 7837-2025 artfynd.xlsx", "A 7837-2025")</f>
        <v/>
      </c>
      <c r="T278">
        <f>HYPERLINK("https://klasma.github.io/Logging_2283/kartor/A 7837-2025 karta.png", "A 7837-2025")</f>
        <v/>
      </c>
      <c r="V278">
        <f>HYPERLINK("https://klasma.github.io/Logging_2283/klagomål/A 7837-2025 FSC-klagomål.docx", "A 7837-2025")</f>
        <v/>
      </c>
      <c r="W278">
        <f>HYPERLINK("https://klasma.github.io/Logging_2283/klagomålsmail/A 7837-2025 FSC-klagomål mail.docx", "A 7837-2025")</f>
        <v/>
      </c>
      <c r="X278">
        <f>HYPERLINK("https://klasma.github.io/Logging_2283/tillsyn/A 7837-2025 tillsynsbegäran.docx", "A 7837-2025")</f>
        <v/>
      </c>
      <c r="Y278">
        <f>HYPERLINK("https://klasma.github.io/Logging_2283/tillsynsmail/A 7837-2025 tillsynsbegäran mail.docx", "A 7837-2025")</f>
        <v/>
      </c>
    </row>
    <row r="279" ht="15" customHeight="1">
      <c r="A279" t="inlineStr">
        <is>
          <t>A 47216-2025</t>
        </is>
      </c>
      <c r="B279" s="1" t="n">
        <v>45930.38612268519</v>
      </c>
      <c r="C279" s="1" t="n">
        <v>46082</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38017-2024</t>
        </is>
      </c>
      <c r="B280" s="1" t="n">
        <v>45544</v>
      </c>
      <c r="C280" s="1" t="n">
        <v>46082</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20329-2025</t>
        </is>
      </c>
      <c r="B281" s="1" t="n">
        <v>45775</v>
      </c>
      <c r="C281" s="1" t="n">
        <v>46082</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31491-2024</t>
        </is>
      </c>
      <c r="B282" s="1" t="n">
        <v>45505</v>
      </c>
      <c r="C282" s="1" t="n">
        <v>46082</v>
      </c>
      <c r="D282" t="inlineStr">
        <is>
          <t>VÄSTERNORRLANDS LÄN</t>
        </is>
      </c>
      <c r="E282" t="inlineStr">
        <is>
          <t>SOLLEFTEÅ</t>
        </is>
      </c>
      <c r="F282" t="inlineStr">
        <is>
          <t>SCA</t>
        </is>
      </c>
      <c r="G282" t="n">
        <v>17.2</v>
      </c>
      <c r="H282" t="n">
        <v>1</v>
      </c>
      <c r="I282" t="n">
        <v>0</v>
      </c>
      <c r="J282" t="n">
        <v>2</v>
      </c>
      <c r="K282" t="n">
        <v>0</v>
      </c>
      <c r="L282" t="n">
        <v>0</v>
      </c>
      <c r="M282" t="n">
        <v>0</v>
      </c>
      <c r="N282" t="n">
        <v>0</v>
      </c>
      <c r="O282" t="n">
        <v>2</v>
      </c>
      <c r="P282" t="n">
        <v>0</v>
      </c>
      <c r="Q282" t="n">
        <v>2</v>
      </c>
      <c r="R282" s="2" t="inlineStr">
        <is>
          <t>Lunglav
Tretåig hackspett</t>
        </is>
      </c>
      <c r="S282">
        <f>HYPERLINK("https://klasma.github.io/Logging_2283/artfynd/A 31491-2024 artfynd.xlsx", "A 31491-2024")</f>
        <v/>
      </c>
      <c r="T282">
        <f>HYPERLINK("https://klasma.github.io/Logging_2283/kartor/A 31491-2024 karta.png", "A 31491-2024")</f>
        <v/>
      </c>
      <c r="V282">
        <f>HYPERLINK("https://klasma.github.io/Logging_2283/klagomål/A 31491-2024 FSC-klagomål.docx", "A 31491-2024")</f>
        <v/>
      </c>
      <c r="W282">
        <f>HYPERLINK("https://klasma.github.io/Logging_2283/klagomålsmail/A 31491-2024 FSC-klagomål mail.docx", "A 31491-2024")</f>
        <v/>
      </c>
      <c r="X282">
        <f>HYPERLINK("https://klasma.github.io/Logging_2283/tillsyn/A 31491-2024 tillsynsbegäran.docx", "A 31491-2024")</f>
        <v/>
      </c>
      <c r="Y282">
        <f>HYPERLINK("https://klasma.github.io/Logging_2283/tillsynsmail/A 31491-2024 tillsynsbegäran mail.docx", "A 31491-2024")</f>
        <v/>
      </c>
      <c r="Z282">
        <f>HYPERLINK("https://klasma.github.io/Logging_2283/fåglar/A 31491-2024 prioriterade fågelarter.docx", "A 31491-2024")</f>
        <v/>
      </c>
    </row>
    <row r="283" ht="15" customHeight="1">
      <c r="A283" t="inlineStr">
        <is>
          <t>A 20347-2025</t>
        </is>
      </c>
      <c r="B283" s="1" t="n">
        <v>45775</v>
      </c>
      <c r="C283" s="1" t="n">
        <v>46082</v>
      </c>
      <c r="D283" t="inlineStr">
        <is>
          <t>VÄSTERNORRLANDS LÄN</t>
        </is>
      </c>
      <c r="E283" t="inlineStr">
        <is>
          <t>SOLLEFTEÅ</t>
        </is>
      </c>
      <c r="G283" t="n">
        <v>8.699999999999999</v>
      </c>
      <c r="H283" t="n">
        <v>1</v>
      </c>
      <c r="I283" t="n">
        <v>1</v>
      </c>
      <c r="J283" t="n">
        <v>0</v>
      </c>
      <c r="K283" t="n">
        <v>0</v>
      </c>
      <c r="L283" t="n">
        <v>0</v>
      </c>
      <c r="M283" t="n">
        <v>0</v>
      </c>
      <c r="N283" t="n">
        <v>0</v>
      </c>
      <c r="O283" t="n">
        <v>0</v>
      </c>
      <c r="P283" t="n">
        <v>0</v>
      </c>
      <c r="Q283" t="n">
        <v>2</v>
      </c>
      <c r="R283" s="2" t="inlineStr">
        <is>
          <t>Gräsull
Fläcknycklar</t>
        </is>
      </c>
      <c r="S283">
        <f>HYPERLINK("https://klasma.github.io/Logging_2283/artfynd/A 20347-2025 artfynd.xlsx", "A 20347-2025")</f>
        <v/>
      </c>
      <c r="T283">
        <f>HYPERLINK("https://klasma.github.io/Logging_2283/kartor/A 20347-2025 karta.png", "A 20347-2025")</f>
        <v/>
      </c>
      <c r="V283">
        <f>HYPERLINK("https://klasma.github.io/Logging_2283/klagomål/A 20347-2025 FSC-klagomål.docx", "A 20347-2025")</f>
        <v/>
      </c>
      <c r="W283">
        <f>HYPERLINK("https://klasma.github.io/Logging_2283/klagomålsmail/A 20347-2025 FSC-klagomål mail.docx", "A 20347-2025")</f>
        <v/>
      </c>
      <c r="X283">
        <f>HYPERLINK("https://klasma.github.io/Logging_2283/tillsyn/A 20347-2025 tillsynsbegäran.docx", "A 20347-2025")</f>
        <v/>
      </c>
      <c r="Y283">
        <f>HYPERLINK("https://klasma.github.io/Logging_2283/tillsynsmail/A 20347-2025 tillsynsbegäran mail.docx", "A 20347-2025")</f>
        <v/>
      </c>
    </row>
    <row r="284" ht="15" customHeight="1">
      <c r="A284" t="inlineStr">
        <is>
          <t>A 13743-2025</t>
        </is>
      </c>
      <c r="B284" s="1" t="n">
        <v>45737.40663194445</v>
      </c>
      <c r="C284" s="1" t="n">
        <v>46082</v>
      </c>
      <c r="D284" t="inlineStr">
        <is>
          <t>VÄSTERNORRLANDS LÄN</t>
        </is>
      </c>
      <c r="E284" t="inlineStr">
        <is>
          <t>SOLLEFTEÅ</t>
        </is>
      </c>
      <c r="F284" t="inlineStr">
        <is>
          <t>SCA</t>
        </is>
      </c>
      <c r="G284" t="n">
        <v>2.1</v>
      </c>
      <c r="H284" t="n">
        <v>2</v>
      </c>
      <c r="I284" t="n">
        <v>0</v>
      </c>
      <c r="J284" t="n">
        <v>0</v>
      </c>
      <c r="K284" t="n">
        <v>0</v>
      </c>
      <c r="L284" t="n">
        <v>0</v>
      </c>
      <c r="M284" t="n">
        <v>0</v>
      </c>
      <c r="N284" t="n">
        <v>0</v>
      </c>
      <c r="O284" t="n">
        <v>0</v>
      </c>
      <c r="P284" t="n">
        <v>0</v>
      </c>
      <c r="Q284" t="n">
        <v>2</v>
      </c>
      <c r="R284" s="2" t="inlineStr">
        <is>
          <t>Vanlig groda
Revlummer</t>
        </is>
      </c>
      <c r="S284">
        <f>HYPERLINK("https://klasma.github.io/Logging_2283/artfynd/A 13743-2025 artfynd.xlsx", "A 13743-2025")</f>
        <v/>
      </c>
      <c r="T284">
        <f>HYPERLINK("https://klasma.github.io/Logging_2283/kartor/A 13743-2025 karta.png", "A 13743-2025")</f>
        <v/>
      </c>
      <c r="V284">
        <f>HYPERLINK("https://klasma.github.io/Logging_2283/klagomål/A 13743-2025 FSC-klagomål.docx", "A 13743-2025")</f>
        <v/>
      </c>
      <c r="W284">
        <f>HYPERLINK("https://klasma.github.io/Logging_2283/klagomålsmail/A 13743-2025 FSC-klagomål mail.docx", "A 13743-2025")</f>
        <v/>
      </c>
      <c r="X284">
        <f>HYPERLINK("https://klasma.github.io/Logging_2283/tillsyn/A 13743-2025 tillsynsbegäran.docx", "A 13743-2025")</f>
        <v/>
      </c>
      <c r="Y284">
        <f>HYPERLINK("https://klasma.github.io/Logging_2283/tillsynsmail/A 13743-2025 tillsynsbegäran mail.docx", "A 13743-2025")</f>
        <v/>
      </c>
    </row>
    <row r="285" ht="15" customHeight="1">
      <c r="A285" t="inlineStr">
        <is>
          <t>A 60255-2025</t>
        </is>
      </c>
      <c r="B285" s="1" t="n">
        <v>45994.60180555555</v>
      </c>
      <c r="C285" s="1" t="n">
        <v>46082</v>
      </c>
      <c r="D285" t="inlineStr">
        <is>
          <t>VÄSTERNORRLANDS LÄN</t>
        </is>
      </c>
      <c r="E285" t="inlineStr">
        <is>
          <t>SOLLEFTEÅ</t>
        </is>
      </c>
      <c r="G285" t="n">
        <v>2.2</v>
      </c>
      <c r="H285" t="n">
        <v>1</v>
      </c>
      <c r="I285" t="n">
        <v>0</v>
      </c>
      <c r="J285" t="n">
        <v>1</v>
      </c>
      <c r="K285" t="n">
        <v>0</v>
      </c>
      <c r="L285" t="n">
        <v>0</v>
      </c>
      <c r="M285" t="n">
        <v>0</v>
      </c>
      <c r="N285" t="n">
        <v>0</v>
      </c>
      <c r="O285" t="n">
        <v>1</v>
      </c>
      <c r="P285" t="n">
        <v>0</v>
      </c>
      <c r="Q285" t="n">
        <v>2</v>
      </c>
      <c r="R285" s="2" t="inlineStr">
        <is>
          <t>Garnlav
Revlummer</t>
        </is>
      </c>
      <c r="S285">
        <f>HYPERLINK("https://klasma.github.io/Logging_2283/artfynd/A 60255-2025 artfynd.xlsx", "A 60255-2025")</f>
        <v/>
      </c>
      <c r="T285">
        <f>HYPERLINK("https://klasma.github.io/Logging_2283/kartor/A 60255-2025 karta.png", "A 60255-2025")</f>
        <v/>
      </c>
      <c r="V285">
        <f>HYPERLINK("https://klasma.github.io/Logging_2283/klagomål/A 60255-2025 FSC-klagomål.docx", "A 60255-2025")</f>
        <v/>
      </c>
      <c r="W285">
        <f>HYPERLINK("https://klasma.github.io/Logging_2283/klagomålsmail/A 60255-2025 FSC-klagomål mail.docx", "A 60255-2025")</f>
        <v/>
      </c>
      <c r="X285">
        <f>HYPERLINK("https://klasma.github.io/Logging_2283/tillsyn/A 60255-2025 tillsynsbegäran.docx", "A 60255-2025")</f>
        <v/>
      </c>
      <c r="Y285">
        <f>HYPERLINK("https://klasma.github.io/Logging_2283/tillsynsmail/A 60255-2025 tillsynsbegäran mail.docx", "A 60255-2025")</f>
        <v/>
      </c>
    </row>
    <row r="286" ht="15" customHeight="1">
      <c r="A286" t="inlineStr">
        <is>
          <t>A 60596-2025</t>
        </is>
      </c>
      <c r="B286" s="1" t="n">
        <v>45996.34466435185</v>
      </c>
      <c r="C286" s="1" t="n">
        <v>46082</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45016-2023</t>
        </is>
      </c>
      <c r="B287" s="1" t="n">
        <v>45190.96188657408</v>
      </c>
      <c r="C287" s="1" t="n">
        <v>46082</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61511-2025</t>
        </is>
      </c>
      <c r="B288" s="1" t="n">
        <v>46001.68375</v>
      </c>
      <c r="C288" s="1" t="n">
        <v>46082</v>
      </c>
      <c r="D288" t="inlineStr">
        <is>
          <t>VÄSTERNORRLANDS LÄN</t>
        </is>
      </c>
      <c r="E288" t="inlineStr">
        <is>
          <t>SOLLEFTEÅ</t>
        </is>
      </c>
      <c r="F288" t="inlineStr">
        <is>
          <t>SCA</t>
        </is>
      </c>
      <c r="G288" t="n">
        <v>5.7</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61511-2025 artfynd.xlsx", "A 61511-2025")</f>
        <v/>
      </c>
      <c r="T288">
        <f>HYPERLINK("https://klasma.github.io/Logging_2283/kartor/A 61511-2025 karta.png", "A 61511-2025")</f>
        <v/>
      </c>
      <c r="V288">
        <f>HYPERLINK("https://klasma.github.io/Logging_2283/klagomål/A 61511-2025 FSC-klagomål.docx", "A 61511-2025")</f>
        <v/>
      </c>
      <c r="W288">
        <f>HYPERLINK("https://klasma.github.io/Logging_2283/klagomålsmail/A 61511-2025 FSC-klagomål mail.docx", "A 61511-2025")</f>
        <v/>
      </c>
      <c r="X288">
        <f>HYPERLINK("https://klasma.github.io/Logging_2283/tillsyn/A 61511-2025 tillsynsbegäran.docx", "A 61511-2025")</f>
        <v/>
      </c>
      <c r="Y288">
        <f>HYPERLINK("https://klasma.github.io/Logging_2283/tillsynsmail/A 61511-2025 tillsynsbegäran mail.docx", "A 61511-2025")</f>
        <v/>
      </c>
    </row>
    <row r="289" ht="15" customHeight="1">
      <c r="A289" t="inlineStr">
        <is>
          <t>A 34814-2024</t>
        </is>
      </c>
      <c r="B289" s="1" t="n">
        <v>45526.70703703703</v>
      </c>
      <c r="C289" s="1" t="n">
        <v>46082</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5111-2026</t>
        </is>
      </c>
      <c r="B290" s="1" t="n">
        <v>46049.57377314815</v>
      </c>
      <c r="C290" s="1" t="n">
        <v>46082</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54486-2024</t>
        </is>
      </c>
      <c r="B291" s="1" t="n">
        <v>45617</v>
      </c>
      <c r="C291" s="1" t="n">
        <v>46082</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8615-2026</t>
        </is>
      </c>
      <c r="B292" s="1" t="n">
        <v>46065.91516203704</v>
      </c>
      <c r="C292" s="1" t="n">
        <v>46082</v>
      </c>
      <c r="D292" t="inlineStr">
        <is>
          <t>VÄSTERNORRLANDS LÄN</t>
        </is>
      </c>
      <c r="E292" t="inlineStr">
        <is>
          <t>SOLLEFTEÅ</t>
        </is>
      </c>
      <c r="G292" t="n">
        <v>4.5</v>
      </c>
      <c r="H292" t="n">
        <v>0</v>
      </c>
      <c r="I292" t="n">
        <v>1</v>
      </c>
      <c r="J292" t="n">
        <v>1</v>
      </c>
      <c r="K292" t="n">
        <v>0</v>
      </c>
      <c r="L292" t="n">
        <v>0</v>
      </c>
      <c r="M292" t="n">
        <v>0</v>
      </c>
      <c r="N292" t="n">
        <v>0</v>
      </c>
      <c r="O292" t="n">
        <v>1</v>
      </c>
      <c r="P292" t="n">
        <v>0</v>
      </c>
      <c r="Q292" t="n">
        <v>2</v>
      </c>
      <c r="R292" s="2" t="inlineStr">
        <is>
          <t>Granticka
Springkorn</t>
        </is>
      </c>
      <c r="S292">
        <f>HYPERLINK("https://klasma.github.io/Logging_2283/artfynd/A 8615-2026 artfynd.xlsx", "A 8615-2026")</f>
        <v/>
      </c>
      <c r="T292">
        <f>HYPERLINK("https://klasma.github.io/Logging_2283/kartor/A 8615-2026 karta.png", "A 8615-2026")</f>
        <v/>
      </c>
      <c r="V292">
        <f>HYPERLINK("https://klasma.github.io/Logging_2283/klagomål/A 8615-2026 FSC-klagomål.docx", "A 8615-2026")</f>
        <v/>
      </c>
      <c r="W292">
        <f>HYPERLINK("https://klasma.github.io/Logging_2283/klagomålsmail/A 8615-2026 FSC-klagomål mail.docx", "A 8615-2026")</f>
        <v/>
      </c>
      <c r="X292">
        <f>HYPERLINK("https://klasma.github.io/Logging_2283/tillsyn/A 8615-2026 tillsynsbegäran.docx", "A 8615-2026")</f>
        <v/>
      </c>
      <c r="Y292">
        <f>HYPERLINK("https://klasma.github.io/Logging_2283/tillsynsmail/A 8615-2026 tillsynsbegäran mail.docx", "A 8615-2026")</f>
        <v/>
      </c>
    </row>
    <row r="293" ht="15" customHeight="1">
      <c r="A293" t="inlineStr">
        <is>
          <t>A 12269-2025</t>
        </is>
      </c>
      <c r="B293" s="1" t="n">
        <v>45729.63542824074</v>
      </c>
      <c r="C293" s="1" t="n">
        <v>46082</v>
      </c>
      <c r="D293" t="inlineStr">
        <is>
          <t>VÄSTERNORRLANDS LÄN</t>
        </is>
      </c>
      <c r="E293" t="inlineStr">
        <is>
          <t>SOLLEFTEÅ</t>
        </is>
      </c>
      <c r="G293" t="n">
        <v>10.9</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12269-2025 artfynd.xlsx", "A 12269-2025")</f>
        <v/>
      </c>
      <c r="T293">
        <f>HYPERLINK("https://klasma.github.io/Logging_2283/kartor/A 12269-2025 karta.png", "A 12269-2025")</f>
        <v/>
      </c>
      <c r="V293">
        <f>HYPERLINK("https://klasma.github.io/Logging_2283/klagomål/A 12269-2025 FSC-klagomål.docx", "A 12269-2025")</f>
        <v/>
      </c>
      <c r="W293">
        <f>HYPERLINK("https://klasma.github.io/Logging_2283/klagomålsmail/A 12269-2025 FSC-klagomål mail.docx", "A 12269-2025")</f>
        <v/>
      </c>
      <c r="X293">
        <f>HYPERLINK("https://klasma.github.io/Logging_2283/tillsyn/A 12269-2025 tillsynsbegäran.docx", "A 12269-2025")</f>
        <v/>
      </c>
      <c r="Y293">
        <f>HYPERLINK("https://klasma.github.io/Logging_2283/tillsynsmail/A 12269-2025 tillsynsbegäran mail.docx", "A 12269-2025")</f>
        <v/>
      </c>
    </row>
    <row r="294" ht="15" customHeight="1">
      <c r="A294" t="inlineStr">
        <is>
          <t>A 7108-2024</t>
        </is>
      </c>
      <c r="B294" s="1" t="n">
        <v>45343</v>
      </c>
      <c r="C294" s="1" t="n">
        <v>46082</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10792-2026</t>
        </is>
      </c>
      <c r="B295" s="1" t="n">
        <v>46078.58736111111</v>
      </c>
      <c r="C295" s="1" t="n">
        <v>46082</v>
      </c>
      <c r="D295" t="inlineStr">
        <is>
          <t>VÄSTERNORRLANDS LÄN</t>
        </is>
      </c>
      <c r="E295" t="inlineStr">
        <is>
          <t>SOLLEFTEÅ</t>
        </is>
      </c>
      <c r="G295" t="n">
        <v>2.4</v>
      </c>
      <c r="H295" t="n">
        <v>0</v>
      </c>
      <c r="I295" t="n">
        <v>0</v>
      </c>
      <c r="J295" t="n">
        <v>1</v>
      </c>
      <c r="K295" t="n">
        <v>1</v>
      </c>
      <c r="L295" t="n">
        <v>0</v>
      </c>
      <c r="M295" t="n">
        <v>0</v>
      </c>
      <c r="N295" t="n">
        <v>0</v>
      </c>
      <c r="O295" t="n">
        <v>2</v>
      </c>
      <c r="P295" t="n">
        <v>1</v>
      </c>
      <c r="Q295" t="n">
        <v>2</v>
      </c>
      <c r="R295" s="2" t="inlineStr">
        <is>
          <t>Mindre barkplattbagge
Garnlav</t>
        </is>
      </c>
      <c r="S295">
        <f>HYPERLINK("https://klasma.github.io/Logging_2283/artfynd/A 10792-2026 artfynd.xlsx", "A 10792-2026")</f>
        <v/>
      </c>
      <c r="T295">
        <f>HYPERLINK("https://klasma.github.io/Logging_2283/kartor/A 10792-2026 karta.png", "A 10792-2026")</f>
        <v/>
      </c>
      <c r="V295">
        <f>HYPERLINK("https://klasma.github.io/Logging_2283/klagomål/A 10792-2026 FSC-klagomål.docx", "A 10792-2026")</f>
        <v/>
      </c>
      <c r="W295">
        <f>HYPERLINK("https://klasma.github.io/Logging_2283/klagomålsmail/A 10792-2026 FSC-klagomål mail.docx", "A 10792-2026")</f>
        <v/>
      </c>
      <c r="X295">
        <f>HYPERLINK("https://klasma.github.io/Logging_2283/tillsyn/A 10792-2026 tillsynsbegäran.docx", "A 10792-2026")</f>
        <v/>
      </c>
      <c r="Y295">
        <f>HYPERLINK("https://klasma.github.io/Logging_2283/tillsynsmail/A 10792-2026 tillsynsbegäran mail.docx", "A 10792-2026")</f>
        <v/>
      </c>
    </row>
    <row r="296" ht="15" customHeight="1">
      <c r="A296" t="inlineStr">
        <is>
          <t>A 53949-2023</t>
        </is>
      </c>
      <c r="B296" s="1" t="n">
        <v>45224</v>
      </c>
      <c r="C296" s="1" t="n">
        <v>46082</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46082</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46082</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46082</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46082</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46082</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46082</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46082</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46082</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46082</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46082</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46082</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34812-2024</t>
        </is>
      </c>
      <c r="B308" s="1" t="n">
        <v>45526</v>
      </c>
      <c r="C308" s="1" t="n">
        <v>46082</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46082</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22808-2025</t>
        </is>
      </c>
      <c r="B310" s="1" t="n">
        <v>45789</v>
      </c>
      <c r="C310" s="1" t="n">
        <v>46082</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22518-2025</t>
        </is>
      </c>
      <c r="B311" s="1" t="n">
        <v>45786.67831018518</v>
      </c>
      <c r="C311" s="1" t="n">
        <v>46082</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25522-2025</t>
        </is>
      </c>
      <c r="B312" s="1" t="n">
        <v>45803.38619212963</v>
      </c>
      <c r="C312" s="1" t="n">
        <v>46082</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46082</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46082</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46082</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46082</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46082</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46082</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46082</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46082</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46082</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46082</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46082</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46082</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46082</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46082</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27106-2022</t>
        </is>
      </c>
      <c r="B327" s="1" t="n">
        <v>44741</v>
      </c>
      <c r="C327" s="1" t="n">
        <v>46082</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54558-2022</t>
        </is>
      </c>
      <c r="B328" s="1" t="n">
        <v>44882</v>
      </c>
      <c r="C328" s="1" t="n">
        <v>46082</v>
      </c>
      <c r="D328" t="inlineStr">
        <is>
          <t>VÄSTERNORRLANDS LÄN</t>
        </is>
      </c>
      <c r="E328" t="inlineStr">
        <is>
          <t>SOLLEFTEÅ</t>
        </is>
      </c>
      <c r="G328" t="n">
        <v>5.8</v>
      </c>
      <c r="H328" t="n">
        <v>0</v>
      </c>
      <c r="I328" t="n">
        <v>1</v>
      </c>
      <c r="J328" t="n">
        <v>0</v>
      </c>
      <c r="K328" t="n">
        <v>0</v>
      </c>
      <c r="L328" t="n">
        <v>0</v>
      </c>
      <c r="M328" t="n">
        <v>0</v>
      </c>
      <c r="N328" t="n">
        <v>0</v>
      </c>
      <c r="O328" t="n">
        <v>0</v>
      </c>
      <c r="P328" t="n">
        <v>0</v>
      </c>
      <c r="Q328" t="n">
        <v>1</v>
      </c>
      <c r="R328" s="2" t="inlineStr">
        <is>
          <t>Strutbräken</t>
        </is>
      </c>
      <c r="S328">
        <f>HYPERLINK("https://klasma.github.io/Logging_2283/artfynd/A 54558-2022 artfynd.xlsx", "A 54558-2022")</f>
        <v/>
      </c>
      <c r="T328">
        <f>HYPERLINK("https://klasma.github.io/Logging_2283/kartor/A 54558-2022 karta.png", "A 54558-2022")</f>
        <v/>
      </c>
      <c r="V328">
        <f>HYPERLINK("https://klasma.github.io/Logging_2283/klagomål/A 54558-2022 FSC-klagomål.docx", "A 54558-2022")</f>
        <v/>
      </c>
      <c r="W328">
        <f>HYPERLINK("https://klasma.github.io/Logging_2283/klagomålsmail/A 54558-2022 FSC-klagomål mail.docx", "A 54558-2022")</f>
        <v/>
      </c>
      <c r="X328">
        <f>HYPERLINK("https://klasma.github.io/Logging_2283/tillsyn/A 54558-2022 tillsynsbegäran.docx", "A 54558-2022")</f>
        <v/>
      </c>
      <c r="Y328">
        <f>HYPERLINK("https://klasma.github.io/Logging_2283/tillsynsmail/A 54558-2022 tillsynsbegäran mail.docx", "A 54558-2022")</f>
        <v/>
      </c>
    </row>
    <row r="329" ht="15" customHeight="1">
      <c r="A329" t="inlineStr">
        <is>
          <t>A 37206-2024</t>
        </is>
      </c>
      <c r="B329" s="1" t="n">
        <v>45539</v>
      </c>
      <c r="C329" s="1" t="n">
        <v>46082</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8903-2024</t>
        </is>
      </c>
      <c r="B330" s="1" t="n">
        <v>45355</v>
      </c>
      <c r="C330" s="1" t="n">
        <v>46082</v>
      </c>
      <c r="D330" t="inlineStr">
        <is>
          <t>VÄSTERNORRLANDS LÄN</t>
        </is>
      </c>
      <c r="E330" t="inlineStr">
        <is>
          <t>SOLLEFTEÅ</t>
        </is>
      </c>
      <c r="G330" t="n">
        <v>1.7</v>
      </c>
      <c r="H330" t="n">
        <v>0</v>
      </c>
      <c r="I330" t="n">
        <v>1</v>
      </c>
      <c r="J330" t="n">
        <v>0</v>
      </c>
      <c r="K330" t="n">
        <v>0</v>
      </c>
      <c r="L330" t="n">
        <v>0</v>
      </c>
      <c r="M330" t="n">
        <v>0</v>
      </c>
      <c r="N330" t="n">
        <v>0</v>
      </c>
      <c r="O330" t="n">
        <v>0</v>
      </c>
      <c r="P330" t="n">
        <v>0</v>
      </c>
      <c r="Q330" t="n">
        <v>1</v>
      </c>
      <c r="R330" s="2" t="inlineStr">
        <is>
          <t>Strutbräken</t>
        </is>
      </c>
      <c r="S330">
        <f>HYPERLINK("https://klasma.github.io/Logging_2283/artfynd/A 8903-2024 artfynd.xlsx", "A 8903-2024")</f>
        <v/>
      </c>
      <c r="T330">
        <f>HYPERLINK("https://klasma.github.io/Logging_2283/kartor/A 8903-2024 karta.png", "A 8903-2024")</f>
        <v/>
      </c>
      <c r="V330">
        <f>HYPERLINK("https://klasma.github.io/Logging_2283/klagomål/A 8903-2024 FSC-klagomål.docx", "A 8903-2024")</f>
        <v/>
      </c>
      <c r="W330">
        <f>HYPERLINK("https://klasma.github.io/Logging_2283/klagomålsmail/A 8903-2024 FSC-klagomål mail.docx", "A 8903-2024")</f>
        <v/>
      </c>
      <c r="X330">
        <f>HYPERLINK("https://klasma.github.io/Logging_2283/tillsyn/A 8903-2024 tillsynsbegäran.docx", "A 8903-2024")</f>
        <v/>
      </c>
      <c r="Y330">
        <f>HYPERLINK("https://klasma.github.io/Logging_2283/tillsynsmail/A 8903-2024 tillsynsbegäran mail.docx", "A 8903-2024")</f>
        <v/>
      </c>
    </row>
    <row r="331" ht="15" customHeight="1">
      <c r="A331" t="inlineStr">
        <is>
          <t>A 39897-2024</t>
        </is>
      </c>
      <c r="B331" s="1" t="n">
        <v>45553.48841435185</v>
      </c>
      <c r="C331" s="1" t="n">
        <v>46082</v>
      </c>
      <c r="D331" t="inlineStr">
        <is>
          <t>VÄSTERNORRLANDS LÄN</t>
        </is>
      </c>
      <c r="E331" t="inlineStr">
        <is>
          <t>SOLLEFTEÅ</t>
        </is>
      </c>
      <c r="G331" t="n">
        <v>1.1</v>
      </c>
      <c r="H331" t="n">
        <v>1</v>
      </c>
      <c r="I331" t="n">
        <v>0</v>
      </c>
      <c r="J331" t="n">
        <v>0</v>
      </c>
      <c r="K331" t="n">
        <v>0</v>
      </c>
      <c r="L331" t="n">
        <v>0</v>
      </c>
      <c r="M331" t="n">
        <v>0</v>
      </c>
      <c r="N331" t="n">
        <v>0</v>
      </c>
      <c r="O331" t="n">
        <v>0</v>
      </c>
      <c r="P331" t="n">
        <v>0</v>
      </c>
      <c r="Q331" t="n">
        <v>1</v>
      </c>
      <c r="R331" s="2" t="inlineStr">
        <is>
          <t>Revlummer</t>
        </is>
      </c>
      <c r="S331">
        <f>HYPERLINK("https://klasma.github.io/Logging_2283/artfynd/A 39897-2024 artfynd.xlsx", "A 39897-2024")</f>
        <v/>
      </c>
      <c r="T331">
        <f>HYPERLINK("https://klasma.github.io/Logging_2283/kartor/A 39897-2024 karta.png", "A 39897-2024")</f>
        <v/>
      </c>
      <c r="V331">
        <f>HYPERLINK("https://klasma.github.io/Logging_2283/klagomål/A 39897-2024 FSC-klagomål.docx", "A 39897-2024")</f>
        <v/>
      </c>
      <c r="W331">
        <f>HYPERLINK("https://klasma.github.io/Logging_2283/klagomålsmail/A 39897-2024 FSC-klagomål mail.docx", "A 39897-2024")</f>
        <v/>
      </c>
      <c r="X331">
        <f>HYPERLINK("https://klasma.github.io/Logging_2283/tillsyn/A 39897-2024 tillsynsbegäran.docx", "A 39897-2024")</f>
        <v/>
      </c>
      <c r="Y331">
        <f>HYPERLINK("https://klasma.github.io/Logging_2283/tillsynsmail/A 39897-2024 tillsynsbegäran mail.docx", "A 39897-2024")</f>
        <v/>
      </c>
    </row>
    <row r="332" ht="15" customHeight="1">
      <c r="A332" t="inlineStr">
        <is>
          <t>A 26501-2025</t>
        </is>
      </c>
      <c r="B332" s="1" t="n">
        <v>45807</v>
      </c>
      <c r="C332" s="1" t="n">
        <v>46082</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39995-2024</t>
        </is>
      </c>
      <c r="B333" s="1" t="n">
        <v>45553.63572916666</v>
      </c>
      <c r="C333" s="1" t="n">
        <v>46082</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HYPERLINK("https://klasma.github.io/Logging_2283/artfynd/A 39995-2024 artfynd.xlsx", "A 39995-2024")</f>
        <v/>
      </c>
      <c r="T333">
        <f>HYPERLINK("https://klasma.github.io/Logging_2283/kartor/A 39995-2024 karta.png", "A 39995-2024")</f>
        <v/>
      </c>
      <c r="V333">
        <f>HYPERLINK("https://klasma.github.io/Logging_2283/klagomål/A 39995-2024 FSC-klagomål.docx", "A 39995-2024")</f>
        <v/>
      </c>
      <c r="W333">
        <f>HYPERLINK("https://klasma.github.io/Logging_2283/klagomålsmail/A 39995-2024 FSC-klagomål mail.docx", "A 39995-2024")</f>
        <v/>
      </c>
      <c r="X333">
        <f>HYPERLINK("https://klasma.github.io/Logging_2283/tillsyn/A 39995-2024 tillsynsbegäran.docx", "A 39995-2024")</f>
        <v/>
      </c>
      <c r="Y333">
        <f>HYPERLINK("https://klasma.github.io/Logging_2283/tillsynsmail/A 39995-2024 tillsynsbegäran mail.docx", "A 39995-2024")</f>
        <v/>
      </c>
    </row>
    <row r="334" ht="15" customHeight="1">
      <c r="A334" t="inlineStr">
        <is>
          <t>A 22428-2025</t>
        </is>
      </c>
      <c r="B334" s="1" t="n">
        <v>45786.57351851852</v>
      </c>
      <c r="C334" s="1" t="n">
        <v>46082</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48948-2024</t>
        </is>
      </c>
      <c r="B335" s="1" t="n">
        <v>45594.42767361111</v>
      </c>
      <c r="C335" s="1" t="n">
        <v>46082</v>
      </c>
      <c r="D335" t="inlineStr">
        <is>
          <t>VÄSTERNORRLANDS LÄN</t>
        </is>
      </c>
      <c r="E335" t="inlineStr">
        <is>
          <t>SOLLEFTEÅ</t>
        </is>
      </c>
      <c r="F335" t="inlineStr">
        <is>
          <t>SCA</t>
        </is>
      </c>
      <c r="G335" t="n">
        <v>15</v>
      </c>
      <c r="H335" t="n">
        <v>1</v>
      </c>
      <c r="I335" t="n">
        <v>0</v>
      </c>
      <c r="J335" t="n">
        <v>0</v>
      </c>
      <c r="K335" t="n">
        <v>0</v>
      </c>
      <c r="L335" t="n">
        <v>0</v>
      </c>
      <c r="M335" t="n">
        <v>0</v>
      </c>
      <c r="N335" t="n">
        <v>0</v>
      </c>
      <c r="O335" t="n">
        <v>0</v>
      </c>
      <c r="P335" t="n">
        <v>0</v>
      </c>
      <c r="Q335" t="n">
        <v>1</v>
      </c>
      <c r="R335" s="2" t="inlineStr">
        <is>
          <t>Mattlummer</t>
        </is>
      </c>
      <c r="S335">
        <f>HYPERLINK("https://klasma.github.io/Logging_2283/artfynd/A 48948-2024 artfynd.xlsx", "A 48948-2024")</f>
        <v/>
      </c>
      <c r="T335">
        <f>HYPERLINK("https://klasma.github.io/Logging_2283/kartor/A 48948-2024 karta.png", "A 48948-2024")</f>
        <v/>
      </c>
      <c r="V335">
        <f>HYPERLINK("https://klasma.github.io/Logging_2283/klagomål/A 48948-2024 FSC-klagomål.docx", "A 48948-2024")</f>
        <v/>
      </c>
      <c r="W335">
        <f>HYPERLINK("https://klasma.github.io/Logging_2283/klagomålsmail/A 48948-2024 FSC-klagomål mail.docx", "A 48948-2024")</f>
        <v/>
      </c>
      <c r="X335">
        <f>HYPERLINK("https://klasma.github.io/Logging_2283/tillsyn/A 48948-2024 tillsynsbegäran.docx", "A 48948-2024")</f>
        <v/>
      </c>
      <c r="Y335">
        <f>HYPERLINK("https://klasma.github.io/Logging_2283/tillsynsmail/A 48948-2024 tillsynsbegäran mail.docx", "A 48948-2024")</f>
        <v/>
      </c>
    </row>
    <row r="336" ht="15" customHeight="1">
      <c r="A336" t="inlineStr">
        <is>
          <t>A 41472-2025</t>
        </is>
      </c>
      <c r="B336" s="1" t="n">
        <v>45901.4693287037</v>
      </c>
      <c r="C336" s="1" t="n">
        <v>46082</v>
      </c>
      <c r="D336" t="inlineStr">
        <is>
          <t>VÄSTERNORRLANDS LÄN</t>
        </is>
      </c>
      <c r="E336" t="inlineStr">
        <is>
          <t>SOLLEFTEÅ</t>
        </is>
      </c>
      <c r="F336" t="inlineStr">
        <is>
          <t>SCA</t>
        </is>
      </c>
      <c r="G336" t="n">
        <v>6.1</v>
      </c>
      <c r="H336" t="n">
        <v>0</v>
      </c>
      <c r="I336" t="n">
        <v>0</v>
      </c>
      <c r="J336" t="n">
        <v>1</v>
      </c>
      <c r="K336" t="n">
        <v>0</v>
      </c>
      <c r="L336" t="n">
        <v>0</v>
      </c>
      <c r="M336" t="n">
        <v>0</v>
      </c>
      <c r="N336" t="n">
        <v>0</v>
      </c>
      <c r="O336" t="n">
        <v>1</v>
      </c>
      <c r="P336" t="n">
        <v>0</v>
      </c>
      <c r="Q336" t="n">
        <v>1</v>
      </c>
      <c r="R336" s="2" t="inlineStr">
        <is>
          <t>Skogshare</t>
        </is>
      </c>
      <c r="S336">
        <f>HYPERLINK("https://klasma.github.io/Logging_2283/artfynd/A 41472-2025 artfynd.xlsx", "A 41472-2025")</f>
        <v/>
      </c>
      <c r="T336">
        <f>HYPERLINK("https://klasma.github.io/Logging_2283/kartor/A 41472-2025 karta.png", "A 41472-2025")</f>
        <v/>
      </c>
      <c r="V336">
        <f>HYPERLINK("https://klasma.github.io/Logging_2283/klagomål/A 41472-2025 FSC-klagomål.docx", "A 41472-2025")</f>
        <v/>
      </c>
      <c r="W336">
        <f>HYPERLINK("https://klasma.github.io/Logging_2283/klagomålsmail/A 41472-2025 FSC-klagomål mail.docx", "A 41472-2025")</f>
        <v/>
      </c>
      <c r="X336">
        <f>HYPERLINK("https://klasma.github.io/Logging_2283/tillsyn/A 41472-2025 tillsynsbegäran.docx", "A 41472-2025")</f>
        <v/>
      </c>
      <c r="Y336">
        <f>HYPERLINK("https://klasma.github.io/Logging_2283/tillsynsmail/A 41472-2025 tillsynsbegäran mail.docx", "A 41472-2025")</f>
        <v/>
      </c>
    </row>
    <row r="337" ht="15" customHeight="1">
      <c r="A337" t="inlineStr">
        <is>
          <t>A 30948-2025</t>
        </is>
      </c>
      <c r="B337" s="1" t="n">
        <v>45832.42745370371</v>
      </c>
      <c r="C337" s="1" t="n">
        <v>46082</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14805-2024</t>
        </is>
      </c>
      <c r="B338" s="1" t="n">
        <v>45397</v>
      </c>
      <c r="C338" s="1" t="n">
        <v>46082</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42554-2025</t>
        </is>
      </c>
      <c r="B339" s="1" t="n">
        <v>45905.59445601852</v>
      </c>
      <c r="C339" s="1" t="n">
        <v>46082</v>
      </c>
      <c r="D339" t="inlineStr">
        <is>
          <t>VÄSTERNORRLANDS LÄN</t>
        </is>
      </c>
      <c r="E339" t="inlineStr">
        <is>
          <t>SOLLEFTEÅ</t>
        </is>
      </c>
      <c r="F339" t="inlineStr">
        <is>
          <t>SCA</t>
        </is>
      </c>
      <c r="G339" t="n">
        <v>0.7</v>
      </c>
      <c r="H339" t="n">
        <v>0</v>
      </c>
      <c r="I339" t="n">
        <v>0</v>
      </c>
      <c r="J339" t="n">
        <v>1</v>
      </c>
      <c r="K339" t="n">
        <v>0</v>
      </c>
      <c r="L339" t="n">
        <v>0</v>
      </c>
      <c r="M339" t="n">
        <v>0</v>
      </c>
      <c r="N339" t="n">
        <v>0</v>
      </c>
      <c r="O339" t="n">
        <v>1</v>
      </c>
      <c r="P339" t="n">
        <v>0</v>
      </c>
      <c r="Q339" t="n">
        <v>1</v>
      </c>
      <c r="R339" s="2" t="inlineStr">
        <is>
          <t>Harticka</t>
        </is>
      </c>
      <c r="S339">
        <f>HYPERLINK("https://klasma.github.io/Logging_2283/artfynd/A 42554-2025 artfynd.xlsx", "A 42554-2025")</f>
        <v/>
      </c>
      <c r="T339">
        <f>HYPERLINK("https://klasma.github.io/Logging_2283/kartor/A 42554-2025 karta.png", "A 42554-2025")</f>
        <v/>
      </c>
      <c r="V339">
        <f>HYPERLINK("https://klasma.github.io/Logging_2283/klagomål/A 42554-2025 FSC-klagomål.docx", "A 42554-2025")</f>
        <v/>
      </c>
      <c r="W339">
        <f>HYPERLINK("https://klasma.github.io/Logging_2283/klagomålsmail/A 42554-2025 FSC-klagomål mail.docx", "A 42554-2025")</f>
        <v/>
      </c>
      <c r="X339">
        <f>HYPERLINK("https://klasma.github.io/Logging_2283/tillsyn/A 42554-2025 tillsynsbegäran.docx", "A 42554-2025")</f>
        <v/>
      </c>
      <c r="Y339">
        <f>HYPERLINK("https://klasma.github.io/Logging_2283/tillsynsmail/A 42554-2025 tillsynsbegäran mail.docx", "A 42554-2025")</f>
        <v/>
      </c>
    </row>
    <row r="340" ht="15" customHeight="1">
      <c r="A340" t="inlineStr">
        <is>
          <t>A 32101-2025</t>
        </is>
      </c>
      <c r="B340" s="1" t="n">
        <v>45835.46914351852</v>
      </c>
      <c r="C340" s="1" t="n">
        <v>46082</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33853-2025</t>
        </is>
      </c>
      <c r="B341" s="1" t="n">
        <v>45842.51097222222</v>
      </c>
      <c r="C341" s="1" t="n">
        <v>46082</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46082</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35217-2025</t>
        </is>
      </c>
      <c r="B343" s="1" t="n">
        <v>45853.49020833334</v>
      </c>
      <c r="C343" s="1" t="n">
        <v>46082</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4501-2023</t>
        </is>
      </c>
      <c r="B344" s="1" t="n">
        <v>44952</v>
      </c>
      <c r="C344" s="1" t="n">
        <v>46082</v>
      </c>
      <c r="D344" t="inlineStr">
        <is>
          <t>VÄSTERNORRLANDS LÄN</t>
        </is>
      </c>
      <c r="E344" t="inlineStr">
        <is>
          <t>SOLLEFTEÅ</t>
        </is>
      </c>
      <c r="F344" t="inlineStr">
        <is>
          <t>Övriga Aktiebolag</t>
        </is>
      </c>
      <c r="G344" t="n">
        <v>5.4</v>
      </c>
      <c r="H344" t="n">
        <v>1</v>
      </c>
      <c r="I344" t="n">
        <v>0</v>
      </c>
      <c r="J344" t="n">
        <v>1</v>
      </c>
      <c r="K344" t="n">
        <v>0</v>
      </c>
      <c r="L344" t="n">
        <v>0</v>
      </c>
      <c r="M344" t="n">
        <v>0</v>
      </c>
      <c r="N344" t="n">
        <v>0</v>
      </c>
      <c r="O344" t="n">
        <v>1</v>
      </c>
      <c r="P344" t="n">
        <v>0</v>
      </c>
      <c r="Q344" t="n">
        <v>1</v>
      </c>
      <c r="R344" s="2" t="inlineStr">
        <is>
          <t>Talltita</t>
        </is>
      </c>
      <c r="S344">
        <f>HYPERLINK("https://klasma.github.io/Logging_2283/artfynd/A 4501-2023 artfynd.xlsx", "A 4501-2023")</f>
        <v/>
      </c>
      <c r="T344">
        <f>HYPERLINK("https://klasma.github.io/Logging_2283/kartor/A 4501-2023 karta.png", "A 4501-2023")</f>
        <v/>
      </c>
      <c r="V344">
        <f>HYPERLINK("https://klasma.github.io/Logging_2283/klagomål/A 4501-2023 FSC-klagomål.docx", "A 4501-2023")</f>
        <v/>
      </c>
      <c r="W344">
        <f>HYPERLINK("https://klasma.github.io/Logging_2283/klagomålsmail/A 4501-2023 FSC-klagomål mail.docx", "A 4501-2023")</f>
        <v/>
      </c>
      <c r="X344">
        <f>HYPERLINK("https://klasma.github.io/Logging_2283/tillsyn/A 4501-2023 tillsynsbegäran.docx", "A 4501-2023")</f>
        <v/>
      </c>
      <c r="Y344">
        <f>HYPERLINK("https://klasma.github.io/Logging_2283/tillsynsmail/A 4501-2023 tillsynsbegäran mail.docx", "A 4501-2023")</f>
        <v/>
      </c>
      <c r="Z344">
        <f>HYPERLINK("https://klasma.github.io/Logging_2283/fåglar/A 4501-2023 prioriterade fågelarter.docx", "A 4501-2023")</f>
        <v/>
      </c>
    </row>
    <row r="345" ht="15" customHeight="1">
      <c r="A345" t="inlineStr">
        <is>
          <t>A 21360-2021</t>
        </is>
      </c>
      <c r="B345" s="1" t="n">
        <v>44320</v>
      </c>
      <c r="C345" s="1" t="n">
        <v>46082</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35618-2025</t>
        </is>
      </c>
      <c r="B346" s="1" t="n">
        <v>45859.41335648148</v>
      </c>
      <c r="C346" s="1" t="n">
        <v>46082</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44556-2025</t>
        </is>
      </c>
      <c r="B347" s="1" t="n">
        <v>45917.34424768519</v>
      </c>
      <c r="C347" s="1" t="n">
        <v>46082</v>
      </c>
      <c r="D347" t="inlineStr">
        <is>
          <t>VÄSTERNORRLANDS LÄN</t>
        </is>
      </c>
      <c r="E347" t="inlineStr">
        <is>
          <t>SOLLEFTEÅ</t>
        </is>
      </c>
      <c r="F347" t="inlineStr">
        <is>
          <t>SCA</t>
        </is>
      </c>
      <c r="G347" t="n">
        <v>8.4</v>
      </c>
      <c r="H347" t="n">
        <v>1</v>
      </c>
      <c r="I347" t="n">
        <v>0</v>
      </c>
      <c r="J347" t="n">
        <v>0</v>
      </c>
      <c r="K347" t="n">
        <v>1</v>
      </c>
      <c r="L347" t="n">
        <v>0</v>
      </c>
      <c r="M347" t="n">
        <v>0</v>
      </c>
      <c r="N347" t="n">
        <v>0</v>
      </c>
      <c r="O347" t="n">
        <v>1</v>
      </c>
      <c r="P347" t="n">
        <v>1</v>
      </c>
      <c r="Q347" t="n">
        <v>1</v>
      </c>
      <c r="R347" s="2" t="inlineStr">
        <is>
          <t>Lappuggla</t>
        </is>
      </c>
      <c r="S347">
        <f>HYPERLINK("https://klasma.github.io/Logging_2283/artfynd/A 44556-2025 artfynd.xlsx", "A 44556-2025")</f>
        <v/>
      </c>
      <c r="T347">
        <f>HYPERLINK("https://klasma.github.io/Logging_2283/kartor/A 44556-2025 karta.png", "A 44556-2025")</f>
        <v/>
      </c>
      <c r="V347">
        <f>HYPERLINK("https://klasma.github.io/Logging_2283/klagomål/A 44556-2025 FSC-klagomål.docx", "A 44556-2025")</f>
        <v/>
      </c>
      <c r="W347">
        <f>HYPERLINK("https://klasma.github.io/Logging_2283/klagomålsmail/A 44556-2025 FSC-klagomål mail.docx", "A 44556-2025")</f>
        <v/>
      </c>
      <c r="X347">
        <f>HYPERLINK("https://klasma.github.io/Logging_2283/tillsyn/A 44556-2025 tillsynsbegäran.docx", "A 44556-2025")</f>
        <v/>
      </c>
      <c r="Y347">
        <f>HYPERLINK("https://klasma.github.io/Logging_2283/tillsynsmail/A 44556-2025 tillsynsbegäran mail.docx", "A 44556-2025")</f>
        <v/>
      </c>
      <c r="Z347">
        <f>HYPERLINK("https://klasma.github.io/Logging_2283/fåglar/A 44556-2025 prioriterade fågelarter.docx", "A 44556-2025")</f>
        <v/>
      </c>
    </row>
    <row r="348" ht="15" customHeight="1">
      <c r="A348" t="inlineStr">
        <is>
          <t>A 46898-2025</t>
        </is>
      </c>
      <c r="B348" s="1" t="n">
        <v>45929.38613425926</v>
      </c>
      <c r="C348" s="1" t="n">
        <v>46082</v>
      </c>
      <c r="D348" t="inlineStr">
        <is>
          <t>VÄSTERNORRLANDS LÄN</t>
        </is>
      </c>
      <c r="E348" t="inlineStr">
        <is>
          <t>SOLLEFTEÅ</t>
        </is>
      </c>
      <c r="F348" t="inlineStr">
        <is>
          <t>SCA</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HYPERLINK("https://klasma.github.io/Logging_2283/artfynd/A 46898-2025 artfynd.xlsx", "A 46898-2025")</f>
        <v/>
      </c>
      <c r="T348">
        <f>HYPERLINK("https://klasma.github.io/Logging_2283/kartor/A 46898-2025 karta.png", "A 46898-2025")</f>
        <v/>
      </c>
      <c r="V348">
        <f>HYPERLINK("https://klasma.github.io/Logging_2283/klagomål/A 46898-2025 FSC-klagomål.docx", "A 46898-2025")</f>
        <v/>
      </c>
      <c r="W348">
        <f>HYPERLINK("https://klasma.github.io/Logging_2283/klagomålsmail/A 46898-2025 FSC-klagomål mail.docx", "A 46898-2025")</f>
        <v/>
      </c>
      <c r="X348">
        <f>HYPERLINK("https://klasma.github.io/Logging_2283/tillsyn/A 46898-2025 tillsynsbegäran.docx", "A 46898-2025")</f>
        <v/>
      </c>
      <c r="Y348">
        <f>HYPERLINK("https://klasma.github.io/Logging_2283/tillsynsmail/A 46898-2025 tillsynsbegäran mail.docx", "A 46898-2025")</f>
        <v/>
      </c>
      <c r="Z348">
        <f>HYPERLINK("https://klasma.github.io/Logging_2283/fåglar/A 46898-2025 prioriterade fågelarter.docx", "A 46898-2025")</f>
        <v/>
      </c>
    </row>
    <row r="349" ht="15" customHeight="1">
      <c r="A349" t="inlineStr">
        <is>
          <t>A 48526-2025</t>
        </is>
      </c>
      <c r="B349" s="1" t="n">
        <v>45936.40723379629</v>
      </c>
      <c r="C349" s="1" t="n">
        <v>46082</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22862-2021</t>
        </is>
      </c>
      <c r="B350" s="1" t="n">
        <v>44326</v>
      </c>
      <c r="C350" s="1" t="n">
        <v>46082</v>
      </c>
      <c r="D350" t="inlineStr">
        <is>
          <t>VÄSTERNORRLANDS LÄN</t>
        </is>
      </c>
      <c r="E350" t="inlineStr">
        <is>
          <t>SOLLEFTEÅ</t>
        </is>
      </c>
      <c r="F350" t="inlineStr">
        <is>
          <t>Kommuner</t>
        </is>
      </c>
      <c r="G350" t="n">
        <v>2</v>
      </c>
      <c r="H350" t="n">
        <v>1</v>
      </c>
      <c r="I350" t="n">
        <v>0</v>
      </c>
      <c r="J350" t="n">
        <v>0</v>
      </c>
      <c r="K350" t="n">
        <v>1</v>
      </c>
      <c r="L350" t="n">
        <v>0</v>
      </c>
      <c r="M350" t="n">
        <v>0</v>
      </c>
      <c r="N350" t="n">
        <v>0</v>
      </c>
      <c r="O350" t="n">
        <v>1</v>
      </c>
      <c r="P350" t="n">
        <v>1</v>
      </c>
      <c r="Q350" t="n">
        <v>1</v>
      </c>
      <c r="R350" s="2" t="inlineStr">
        <is>
          <t>Lappuggla</t>
        </is>
      </c>
      <c r="S350">
        <f>HYPERLINK("https://klasma.github.io/Logging_2283/artfynd/A 22862-2021 artfynd.xlsx", "A 22862-2021")</f>
        <v/>
      </c>
      <c r="T350">
        <f>HYPERLINK("https://klasma.github.io/Logging_2283/kartor/A 22862-2021 karta.png", "A 22862-2021")</f>
        <v/>
      </c>
      <c r="V350">
        <f>HYPERLINK("https://klasma.github.io/Logging_2283/klagomål/A 22862-2021 FSC-klagomål.docx", "A 22862-2021")</f>
        <v/>
      </c>
      <c r="W350">
        <f>HYPERLINK("https://klasma.github.io/Logging_2283/klagomålsmail/A 22862-2021 FSC-klagomål mail.docx", "A 22862-2021")</f>
        <v/>
      </c>
      <c r="X350">
        <f>HYPERLINK("https://klasma.github.io/Logging_2283/tillsyn/A 22862-2021 tillsynsbegäran.docx", "A 22862-2021")</f>
        <v/>
      </c>
      <c r="Y350">
        <f>HYPERLINK("https://klasma.github.io/Logging_2283/tillsynsmail/A 22862-2021 tillsynsbegäran mail.docx", "A 22862-2021")</f>
        <v/>
      </c>
      <c r="Z350">
        <f>HYPERLINK("https://klasma.github.io/Logging_2283/fåglar/A 22862-2021 prioriterade fågelarter.docx", "A 22862-2021")</f>
        <v/>
      </c>
    </row>
    <row r="351" ht="15" customHeight="1">
      <c r="A351" t="inlineStr">
        <is>
          <t>A 5790-2025</t>
        </is>
      </c>
      <c r="B351" s="1" t="n">
        <v>45694.65657407408</v>
      </c>
      <c r="C351" s="1" t="n">
        <v>46082</v>
      </c>
      <c r="D351" t="inlineStr">
        <is>
          <t>VÄSTERNORRLANDS LÄN</t>
        </is>
      </c>
      <c r="E351" t="inlineStr">
        <is>
          <t>SOLLEFTEÅ</t>
        </is>
      </c>
      <c r="F351" t="inlineStr">
        <is>
          <t>SCA</t>
        </is>
      </c>
      <c r="G351" t="n">
        <v>32.7</v>
      </c>
      <c r="H351" t="n">
        <v>0</v>
      </c>
      <c r="I351" t="n">
        <v>0</v>
      </c>
      <c r="J351" t="n">
        <v>1</v>
      </c>
      <c r="K351" t="n">
        <v>0</v>
      </c>
      <c r="L351" t="n">
        <v>0</v>
      </c>
      <c r="M351" t="n">
        <v>0</v>
      </c>
      <c r="N351" t="n">
        <v>0</v>
      </c>
      <c r="O351" t="n">
        <v>1</v>
      </c>
      <c r="P351" t="n">
        <v>0</v>
      </c>
      <c r="Q351" t="n">
        <v>1</v>
      </c>
      <c r="R351" s="2" t="inlineStr">
        <is>
          <t>Lunglav</t>
        </is>
      </c>
      <c r="S351">
        <f>HYPERLINK("https://klasma.github.io/Logging_2283/artfynd/A 5790-2025 artfynd.xlsx", "A 5790-2025")</f>
        <v/>
      </c>
      <c r="T351">
        <f>HYPERLINK("https://klasma.github.io/Logging_2283/kartor/A 5790-2025 karta.png", "A 5790-2025")</f>
        <v/>
      </c>
      <c r="V351">
        <f>HYPERLINK("https://klasma.github.io/Logging_2283/klagomål/A 5790-2025 FSC-klagomål.docx", "A 5790-2025")</f>
        <v/>
      </c>
      <c r="W351">
        <f>HYPERLINK("https://klasma.github.io/Logging_2283/klagomålsmail/A 5790-2025 FSC-klagomål mail.docx", "A 5790-2025")</f>
        <v/>
      </c>
      <c r="X351">
        <f>HYPERLINK("https://klasma.github.io/Logging_2283/tillsyn/A 5790-2025 tillsynsbegäran.docx", "A 5790-2025")</f>
        <v/>
      </c>
      <c r="Y351">
        <f>HYPERLINK("https://klasma.github.io/Logging_2283/tillsynsmail/A 5790-2025 tillsynsbegäran mail.docx", "A 5790-2025")</f>
        <v/>
      </c>
    </row>
    <row r="352" ht="15" customHeight="1">
      <c r="A352" t="inlineStr">
        <is>
          <t>A 49651-2025</t>
        </is>
      </c>
      <c r="B352" s="1" t="n">
        <v>45939.62670138889</v>
      </c>
      <c r="C352" s="1" t="n">
        <v>46082</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49251-2025</t>
        </is>
      </c>
      <c r="B353" s="1" t="n">
        <v>45938</v>
      </c>
      <c r="C353" s="1" t="n">
        <v>46082</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Granticka</t>
        </is>
      </c>
      <c r="S353">
        <f>HYPERLINK("https://klasma.github.io/Logging_2283/artfynd/A 49251-2025 artfynd.xlsx", "A 49251-2025")</f>
        <v/>
      </c>
      <c r="T353">
        <f>HYPERLINK("https://klasma.github.io/Logging_2283/kartor/A 49251-2025 karta.png", "A 49251-2025")</f>
        <v/>
      </c>
      <c r="V353">
        <f>HYPERLINK("https://klasma.github.io/Logging_2283/klagomål/A 49251-2025 FSC-klagomål.docx", "A 49251-2025")</f>
        <v/>
      </c>
      <c r="W353">
        <f>HYPERLINK("https://klasma.github.io/Logging_2283/klagomålsmail/A 49251-2025 FSC-klagomål mail.docx", "A 49251-2025")</f>
        <v/>
      </c>
      <c r="X353">
        <f>HYPERLINK("https://klasma.github.io/Logging_2283/tillsyn/A 49251-2025 tillsynsbegäran.docx", "A 49251-2025")</f>
        <v/>
      </c>
      <c r="Y353">
        <f>HYPERLINK("https://klasma.github.io/Logging_2283/tillsynsmail/A 49251-2025 tillsynsbegäran mail.docx", "A 49251-2025")</f>
        <v/>
      </c>
    </row>
    <row r="354" ht="15" customHeight="1">
      <c r="A354" t="inlineStr">
        <is>
          <t>A 51786-2025</t>
        </is>
      </c>
      <c r="B354" s="1" t="n">
        <v>45951.67787037037</v>
      </c>
      <c r="C354" s="1" t="n">
        <v>46082</v>
      </c>
      <c r="D354" t="inlineStr">
        <is>
          <t>VÄSTERNORRLANDS LÄN</t>
        </is>
      </c>
      <c r="E354" t="inlineStr">
        <is>
          <t>SOLLEFTEÅ</t>
        </is>
      </c>
      <c r="F354" t="inlineStr">
        <is>
          <t>SCA</t>
        </is>
      </c>
      <c r="G354" t="n">
        <v>19.8</v>
      </c>
      <c r="H354" t="n">
        <v>0</v>
      </c>
      <c r="I354" t="n">
        <v>0</v>
      </c>
      <c r="J354" t="n">
        <v>1</v>
      </c>
      <c r="K354" t="n">
        <v>0</v>
      </c>
      <c r="L354" t="n">
        <v>0</v>
      </c>
      <c r="M354" t="n">
        <v>0</v>
      </c>
      <c r="N354" t="n">
        <v>0</v>
      </c>
      <c r="O354" t="n">
        <v>1</v>
      </c>
      <c r="P354" t="n">
        <v>0</v>
      </c>
      <c r="Q354" t="n">
        <v>1</v>
      </c>
      <c r="R354" s="2" t="inlineStr">
        <is>
          <t>Motaggsvamp</t>
        </is>
      </c>
      <c r="S354">
        <f>HYPERLINK("https://klasma.github.io/Logging_2283/artfynd/A 51786-2025 artfynd.xlsx", "A 51786-2025")</f>
        <v/>
      </c>
      <c r="T354">
        <f>HYPERLINK("https://klasma.github.io/Logging_2283/kartor/A 51786-2025 karta.png", "A 51786-2025")</f>
        <v/>
      </c>
      <c r="V354">
        <f>HYPERLINK("https://klasma.github.io/Logging_2283/klagomål/A 51786-2025 FSC-klagomål.docx", "A 51786-2025")</f>
        <v/>
      </c>
      <c r="W354">
        <f>HYPERLINK("https://klasma.github.io/Logging_2283/klagomålsmail/A 51786-2025 FSC-klagomål mail.docx", "A 51786-2025")</f>
        <v/>
      </c>
      <c r="X354">
        <f>HYPERLINK("https://klasma.github.io/Logging_2283/tillsyn/A 51786-2025 tillsynsbegäran.docx", "A 51786-2025")</f>
        <v/>
      </c>
      <c r="Y354">
        <f>HYPERLINK("https://klasma.github.io/Logging_2283/tillsynsmail/A 51786-2025 tillsynsbegäran mail.docx", "A 51786-2025")</f>
        <v/>
      </c>
    </row>
    <row r="355" ht="15" customHeight="1">
      <c r="A355" t="inlineStr">
        <is>
          <t>A 52218-2025</t>
        </is>
      </c>
      <c r="B355" s="1" t="n">
        <v>45953.43634259259</v>
      </c>
      <c r="C355" s="1" t="n">
        <v>46082</v>
      </c>
      <c r="D355" t="inlineStr">
        <is>
          <t>VÄSTERNORRLANDS LÄN</t>
        </is>
      </c>
      <c r="E355" t="inlineStr">
        <is>
          <t>SOLLEFTEÅ</t>
        </is>
      </c>
      <c r="G355" t="n">
        <v>6.7</v>
      </c>
      <c r="H355" t="n">
        <v>1</v>
      </c>
      <c r="I355" t="n">
        <v>0</v>
      </c>
      <c r="J355" t="n">
        <v>0</v>
      </c>
      <c r="K355" t="n">
        <v>0</v>
      </c>
      <c r="L355" t="n">
        <v>0</v>
      </c>
      <c r="M355" t="n">
        <v>0</v>
      </c>
      <c r="N355" t="n">
        <v>0</v>
      </c>
      <c r="O355" t="n">
        <v>0</v>
      </c>
      <c r="P355" t="n">
        <v>0</v>
      </c>
      <c r="Q355" t="n">
        <v>1</v>
      </c>
      <c r="R355" s="2" t="inlineStr">
        <is>
          <t>Revlummer</t>
        </is>
      </c>
      <c r="S355">
        <f>HYPERLINK("https://klasma.github.io/Logging_2283/artfynd/A 52218-2025 artfynd.xlsx", "A 52218-2025")</f>
        <v/>
      </c>
      <c r="T355">
        <f>HYPERLINK("https://klasma.github.io/Logging_2283/kartor/A 52218-2025 karta.png", "A 52218-2025")</f>
        <v/>
      </c>
      <c r="V355">
        <f>HYPERLINK("https://klasma.github.io/Logging_2283/klagomål/A 52218-2025 FSC-klagomål.docx", "A 52218-2025")</f>
        <v/>
      </c>
      <c r="W355">
        <f>HYPERLINK("https://klasma.github.io/Logging_2283/klagomålsmail/A 52218-2025 FSC-klagomål mail.docx", "A 52218-2025")</f>
        <v/>
      </c>
      <c r="X355">
        <f>HYPERLINK("https://klasma.github.io/Logging_2283/tillsyn/A 52218-2025 tillsynsbegäran.docx", "A 52218-2025")</f>
        <v/>
      </c>
      <c r="Y355">
        <f>HYPERLINK("https://klasma.github.io/Logging_2283/tillsynsmail/A 52218-2025 tillsynsbegäran mail.docx", "A 52218-2025")</f>
        <v/>
      </c>
    </row>
    <row r="356" ht="15" customHeight="1">
      <c r="A356" t="inlineStr">
        <is>
          <t>A 53822-2025</t>
        </is>
      </c>
      <c r="B356" s="1" t="n">
        <v>45961.32806712963</v>
      </c>
      <c r="C356" s="1" t="n">
        <v>46082</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46082</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55722-2025</t>
        </is>
      </c>
      <c r="B358" s="1" t="n">
        <v>45972.51136574074</v>
      </c>
      <c r="C358" s="1" t="n">
        <v>46082</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56444-2025</t>
        </is>
      </c>
      <c r="B359" s="1" t="n">
        <v>45975.3480324074</v>
      </c>
      <c r="C359" s="1" t="n">
        <v>46082</v>
      </c>
      <c r="D359" t="inlineStr">
        <is>
          <t>VÄSTERNORRLANDS LÄN</t>
        </is>
      </c>
      <c r="E359" t="inlineStr">
        <is>
          <t>SOLLEFTEÅ</t>
        </is>
      </c>
      <c r="F359" t="inlineStr">
        <is>
          <t>SCA</t>
        </is>
      </c>
      <c r="G359" t="n">
        <v>4.1</v>
      </c>
      <c r="H359" t="n">
        <v>1</v>
      </c>
      <c r="I359" t="n">
        <v>1</v>
      </c>
      <c r="J359" t="n">
        <v>0</v>
      </c>
      <c r="K359" t="n">
        <v>0</v>
      </c>
      <c r="L359" t="n">
        <v>0</v>
      </c>
      <c r="M359" t="n">
        <v>0</v>
      </c>
      <c r="N359" t="n">
        <v>0</v>
      </c>
      <c r="O359" t="n">
        <v>0</v>
      </c>
      <c r="P359" t="n">
        <v>0</v>
      </c>
      <c r="Q359" t="n">
        <v>1</v>
      </c>
      <c r="R359" s="2" t="inlineStr">
        <is>
          <t>Plattlummer</t>
        </is>
      </c>
      <c r="S359">
        <f>HYPERLINK("https://klasma.github.io/Logging_2283/artfynd/A 56444-2025 artfynd.xlsx", "A 56444-2025")</f>
        <v/>
      </c>
      <c r="T359">
        <f>HYPERLINK("https://klasma.github.io/Logging_2283/kartor/A 56444-2025 karta.png", "A 56444-2025")</f>
        <v/>
      </c>
      <c r="V359">
        <f>HYPERLINK("https://klasma.github.io/Logging_2283/klagomål/A 56444-2025 FSC-klagomål.docx", "A 56444-2025")</f>
        <v/>
      </c>
      <c r="W359">
        <f>HYPERLINK("https://klasma.github.io/Logging_2283/klagomålsmail/A 56444-2025 FSC-klagomål mail.docx", "A 56444-2025")</f>
        <v/>
      </c>
      <c r="X359">
        <f>HYPERLINK("https://klasma.github.io/Logging_2283/tillsyn/A 56444-2025 tillsynsbegäran.docx", "A 56444-2025")</f>
        <v/>
      </c>
      <c r="Y359">
        <f>HYPERLINK("https://klasma.github.io/Logging_2283/tillsynsmail/A 56444-2025 tillsynsbegäran mail.docx", "A 56444-2025")</f>
        <v/>
      </c>
    </row>
    <row r="360" ht="15" customHeight="1">
      <c r="A360" t="inlineStr">
        <is>
          <t>A 56048-2025</t>
        </is>
      </c>
      <c r="B360" s="1" t="n">
        <v>45973</v>
      </c>
      <c r="C360" s="1" t="n">
        <v>46082</v>
      </c>
      <c r="D360" t="inlineStr">
        <is>
          <t>VÄSTERNORRLANDS LÄN</t>
        </is>
      </c>
      <c r="E360" t="inlineStr">
        <is>
          <t>SOLLEFTEÅ</t>
        </is>
      </c>
      <c r="G360" t="n">
        <v>3.6</v>
      </c>
      <c r="H360" t="n">
        <v>1</v>
      </c>
      <c r="I360" t="n">
        <v>0</v>
      </c>
      <c r="J360" t="n">
        <v>0</v>
      </c>
      <c r="K360" t="n">
        <v>0</v>
      </c>
      <c r="L360" t="n">
        <v>0</v>
      </c>
      <c r="M360" t="n">
        <v>0</v>
      </c>
      <c r="N360" t="n">
        <v>0</v>
      </c>
      <c r="O360" t="n">
        <v>0</v>
      </c>
      <c r="P360" t="n">
        <v>0</v>
      </c>
      <c r="Q360" t="n">
        <v>1</v>
      </c>
      <c r="R360" s="2" t="inlineStr">
        <is>
          <t>Tjäder</t>
        </is>
      </c>
      <c r="S360">
        <f>HYPERLINK("https://klasma.github.io/Logging_2283/artfynd/A 56048-2025 artfynd.xlsx", "A 56048-2025")</f>
        <v/>
      </c>
      <c r="T360">
        <f>HYPERLINK("https://klasma.github.io/Logging_2283/kartor/A 56048-2025 karta.png", "A 56048-2025")</f>
        <v/>
      </c>
      <c r="V360">
        <f>HYPERLINK("https://klasma.github.io/Logging_2283/klagomål/A 56048-2025 FSC-klagomål.docx", "A 56048-2025")</f>
        <v/>
      </c>
      <c r="W360">
        <f>HYPERLINK("https://klasma.github.io/Logging_2283/klagomålsmail/A 56048-2025 FSC-klagomål mail.docx", "A 56048-2025")</f>
        <v/>
      </c>
      <c r="X360">
        <f>HYPERLINK("https://klasma.github.io/Logging_2283/tillsyn/A 56048-2025 tillsynsbegäran.docx", "A 56048-2025")</f>
        <v/>
      </c>
      <c r="Y360">
        <f>HYPERLINK("https://klasma.github.io/Logging_2283/tillsynsmail/A 56048-2025 tillsynsbegäran mail.docx", "A 56048-2025")</f>
        <v/>
      </c>
      <c r="Z360">
        <f>HYPERLINK("https://klasma.github.io/Logging_2283/fåglar/A 56048-2025 prioriterade fågelarter.docx", "A 56048-2025")</f>
        <v/>
      </c>
    </row>
    <row r="361" ht="15" customHeight="1">
      <c r="A361" t="inlineStr">
        <is>
          <t>A 44632-2024</t>
        </is>
      </c>
      <c r="B361" s="1" t="n">
        <v>45574.51446759259</v>
      </c>
      <c r="C361" s="1" t="n">
        <v>46082</v>
      </c>
      <c r="D361" t="inlineStr">
        <is>
          <t>VÄSTERNORRLANDS LÄN</t>
        </is>
      </c>
      <c r="E361" t="inlineStr">
        <is>
          <t>SOLLEFTEÅ</t>
        </is>
      </c>
      <c r="F361" t="inlineStr">
        <is>
          <t>SCA</t>
        </is>
      </c>
      <c r="G361" t="n">
        <v>3.1</v>
      </c>
      <c r="H361" t="n">
        <v>0</v>
      </c>
      <c r="I361" t="n">
        <v>1</v>
      </c>
      <c r="J361" t="n">
        <v>0</v>
      </c>
      <c r="K361" t="n">
        <v>0</v>
      </c>
      <c r="L361" t="n">
        <v>0</v>
      </c>
      <c r="M361" t="n">
        <v>0</v>
      </c>
      <c r="N361" t="n">
        <v>0</v>
      </c>
      <c r="O361" t="n">
        <v>0</v>
      </c>
      <c r="P361" t="n">
        <v>0</v>
      </c>
      <c r="Q361" t="n">
        <v>1</v>
      </c>
      <c r="R361" s="2" t="inlineStr">
        <is>
          <t>Vedticka</t>
        </is>
      </c>
      <c r="S361">
        <f>HYPERLINK("https://klasma.github.io/Logging_2283/artfynd/A 44632-2024 artfynd.xlsx", "A 44632-2024")</f>
        <v/>
      </c>
      <c r="T361">
        <f>HYPERLINK("https://klasma.github.io/Logging_2283/kartor/A 44632-2024 karta.png", "A 44632-2024")</f>
        <v/>
      </c>
      <c r="V361">
        <f>HYPERLINK("https://klasma.github.io/Logging_2283/klagomål/A 44632-2024 FSC-klagomål.docx", "A 44632-2024")</f>
        <v/>
      </c>
      <c r="W361">
        <f>HYPERLINK("https://klasma.github.io/Logging_2283/klagomålsmail/A 44632-2024 FSC-klagomål mail.docx", "A 44632-2024")</f>
        <v/>
      </c>
      <c r="X361">
        <f>HYPERLINK("https://klasma.github.io/Logging_2283/tillsyn/A 44632-2024 tillsynsbegäran.docx", "A 44632-2024")</f>
        <v/>
      </c>
      <c r="Y361">
        <f>HYPERLINK("https://klasma.github.io/Logging_2283/tillsynsmail/A 44632-2024 tillsynsbegäran mail.docx", "A 44632-2024")</f>
        <v/>
      </c>
    </row>
    <row r="362" ht="15" customHeight="1">
      <c r="A362" t="inlineStr">
        <is>
          <t>A 56421-2025</t>
        </is>
      </c>
      <c r="B362" s="1" t="n">
        <v>45975.34498842592</v>
      </c>
      <c r="C362" s="1" t="n">
        <v>46082</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1343-2025</t>
        </is>
      </c>
      <c r="B363" s="1" t="n">
        <v>45667.6043287037</v>
      </c>
      <c r="C363" s="1" t="n">
        <v>46082</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57987-2025</t>
        </is>
      </c>
      <c r="B364" s="1" t="n">
        <v>45982.41984953704</v>
      </c>
      <c r="C364" s="1" t="n">
        <v>46082</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25310-2023</t>
        </is>
      </c>
      <c r="B365" s="1" t="n">
        <v>45086</v>
      </c>
      <c r="C365" s="1" t="n">
        <v>46082</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54734-2024</t>
        </is>
      </c>
      <c r="B366" s="1" t="n">
        <v>45618.43879629629</v>
      </c>
      <c r="C366" s="1" t="n">
        <v>46082</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49366-2024</t>
        </is>
      </c>
      <c r="B367" s="1" t="n">
        <v>45595.63572916666</v>
      </c>
      <c r="C367" s="1" t="n">
        <v>46082</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49366-2024 artfynd.xlsx", "A 49366-2024")</f>
        <v/>
      </c>
      <c r="T367">
        <f>HYPERLINK("https://klasma.github.io/Logging_2283/kartor/A 49366-2024 karta.png", "A 49366-2024")</f>
        <v/>
      </c>
      <c r="U367">
        <f>HYPERLINK("https://klasma.github.io/Logging_2283/knärot/A 49366-2024 karta knärot.png", "A 49366-2024")</f>
        <v/>
      </c>
      <c r="V367">
        <f>HYPERLINK("https://klasma.github.io/Logging_2283/klagomål/A 49366-2024 FSC-klagomål.docx", "A 49366-2024")</f>
        <v/>
      </c>
      <c r="W367">
        <f>HYPERLINK("https://klasma.github.io/Logging_2283/klagomålsmail/A 49366-2024 FSC-klagomål mail.docx", "A 49366-2024")</f>
        <v/>
      </c>
      <c r="X367">
        <f>HYPERLINK("https://klasma.github.io/Logging_2283/tillsyn/A 49366-2024 tillsynsbegäran.docx", "A 49366-2024")</f>
        <v/>
      </c>
      <c r="Y367">
        <f>HYPERLINK("https://klasma.github.io/Logging_2283/tillsynsmail/A 49366-2024 tillsynsbegäran mail.docx", "A 49366-2024")</f>
        <v/>
      </c>
    </row>
    <row r="368" ht="15" customHeight="1">
      <c r="A368" t="inlineStr">
        <is>
          <t>A 49189-2025</t>
        </is>
      </c>
      <c r="B368" s="1" t="n">
        <v>45938</v>
      </c>
      <c r="C368" s="1" t="n">
        <v>46082</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53039-2023</t>
        </is>
      </c>
      <c r="B369" s="1" t="n">
        <v>45226</v>
      </c>
      <c r="C369" s="1" t="n">
        <v>46082</v>
      </c>
      <c r="D369" t="inlineStr">
        <is>
          <t>VÄSTERNORRLANDS LÄN</t>
        </is>
      </c>
      <c r="E369" t="inlineStr">
        <is>
          <t>SOLLEFTEÅ</t>
        </is>
      </c>
      <c r="F369" t="inlineStr">
        <is>
          <t>SCA</t>
        </is>
      </c>
      <c r="G369" t="n">
        <v>1.8</v>
      </c>
      <c r="H369" t="n">
        <v>1</v>
      </c>
      <c r="I369" t="n">
        <v>0</v>
      </c>
      <c r="J369" t="n">
        <v>1</v>
      </c>
      <c r="K369" t="n">
        <v>0</v>
      </c>
      <c r="L369" t="n">
        <v>0</v>
      </c>
      <c r="M369" t="n">
        <v>0</v>
      </c>
      <c r="N369" t="n">
        <v>0</v>
      </c>
      <c r="O369" t="n">
        <v>1</v>
      </c>
      <c r="P369" t="n">
        <v>0</v>
      </c>
      <c r="Q369" t="n">
        <v>1</v>
      </c>
      <c r="R369" s="2" t="inlineStr">
        <is>
          <t>Nordfladdermus</t>
        </is>
      </c>
      <c r="S369">
        <f>HYPERLINK("https://klasma.github.io/Logging_2283/artfynd/A 53039-2023 artfynd.xlsx", "A 53039-2023")</f>
        <v/>
      </c>
      <c r="T369">
        <f>HYPERLINK("https://klasma.github.io/Logging_2283/kartor/A 53039-2023 karta.png", "A 53039-2023")</f>
        <v/>
      </c>
      <c r="V369">
        <f>HYPERLINK("https://klasma.github.io/Logging_2283/klagomål/A 53039-2023 FSC-klagomål.docx", "A 53039-2023")</f>
        <v/>
      </c>
      <c r="W369">
        <f>HYPERLINK("https://klasma.github.io/Logging_2283/klagomålsmail/A 53039-2023 FSC-klagomål mail.docx", "A 53039-2023")</f>
        <v/>
      </c>
      <c r="X369">
        <f>HYPERLINK("https://klasma.github.io/Logging_2283/tillsyn/A 53039-2023 tillsynsbegäran.docx", "A 53039-2023")</f>
        <v/>
      </c>
      <c r="Y369">
        <f>HYPERLINK("https://klasma.github.io/Logging_2283/tillsynsmail/A 53039-2023 tillsynsbegäran mail.docx", "A 53039-2023")</f>
        <v/>
      </c>
    </row>
    <row r="370" ht="15" customHeight="1">
      <c r="A370" t="inlineStr">
        <is>
          <t>A 15669-2022</t>
        </is>
      </c>
      <c r="B370" s="1" t="n">
        <v>44662</v>
      </c>
      <c r="C370" s="1" t="n">
        <v>46082</v>
      </c>
      <c r="D370" t="inlineStr">
        <is>
          <t>VÄSTERNORRLANDS LÄN</t>
        </is>
      </c>
      <c r="E370" t="inlineStr">
        <is>
          <t>SOLLEFTEÅ</t>
        </is>
      </c>
      <c r="G370" t="n">
        <v>12.1</v>
      </c>
      <c r="H370" t="n">
        <v>0</v>
      </c>
      <c r="I370" t="n">
        <v>1</v>
      </c>
      <c r="J370" t="n">
        <v>0</v>
      </c>
      <c r="K370" t="n">
        <v>0</v>
      </c>
      <c r="L370" t="n">
        <v>0</v>
      </c>
      <c r="M370" t="n">
        <v>0</v>
      </c>
      <c r="N370" t="n">
        <v>0</v>
      </c>
      <c r="O370" t="n">
        <v>0</v>
      </c>
      <c r="P370" t="n">
        <v>0</v>
      </c>
      <c r="Q370" t="n">
        <v>1</v>
      </c>
      <c r="R370" s="2" t="inlineStr">
        <is>
          <t>Skinnlav</t>
        </is>
      </c>
      <c r="S370">
        <f>HYPERLINK("https://klasma.github.io/Logging_2283/artfynd/A 15669-2022 artfynd.xlsx", "A 15669-2022")</f>
        <v/>
      </c>
      <c r="T370">
        <f>HYPERLINK("https://klasma.github.io/Logging_2283/kartor/A 15669-2022 karta.png", "A 15669-2022")</f>
        <v/>
      </c>
      <c r="V370">
        <f>HYPERLINK("https://klasma.github.io/Logging_2283/klagomål/A 15669-2022 FSC-klagomål.docx", "A 15669-2022")</f>
        <v/>
      </c>
      <c r="W370">
        <f>HYPERLINK("https://klasma.github.io/Logging_2283/klagomålsmail/A 15669-2022 FSC-klagomål mail.docx", "A 15669-2022")</f>
        <v/>
      </c>
      <c r="X370">
        <f>HYPERLINK("https://klasma.github.io/Logging_2283/tillsyn/A 15669-2022 tillsynsbegäran.docx", "A 15669-2022")</f>
        <v/>
      </c>
      <c r="Y370">
        <f>HYPERLINK("https://klasma.github.io/Logging_2283/tillsynsmail/A 15669-2022 tillsynsbegäran mail.docx", "A 15669-2022")</f>
        <v/>
      </c>
    </row>
    <row r="371" ht="15" customHeight="1">
      <c r="A371" t="inlineStr">
        <is>
          <t>A 62256-2025</t>
        </is>
      </c>
      <c r="B371" s="1" t="n">
        <v>46006.61503472222</v>
      </c>
      <c r="C371" s="1" t="n">
        <v>46082</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46082</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3804-2026</t>
        </is>
      </c>
      <c r="B373" s="1" t="n">
        <v>46043.58314814815</v>
      </c>
      <c r="C373" s="1" t="n">
        <v>46082</v>
      </c>
      <c r="D373" t="inlineStr">
        <is>
          <t>VÄSTERNORRLANDS LÄN</t>
        </is>
      </c>
      <c r="E373" t="inlineStr">
        <is>
          <t>SOLLEFTEÅ</t>
        </is>
      </c>
      <c r="F373" t="inlineStr">
        <is>
          <t>SCA</t>
        </is>
      </c>
      <c r="G373" t="n">
        <v>11.8</v>
      </c>
      <c r="H373" t="n">
        <v>0</v>
      </c>
      <c r="I373" t="n">
        <v>0</v>
      </c>
      <c r="J373" t="n">
        <v>1</v>
      </c>
      <c r="K373" t="n">
        <v>0</v>
      </c>
      <c r="L373" t="n">
        <v>0</v>
      </c>
      <c r="M373" t="n">
        <v>0</v>
      </c>
      <c r="N373" t="n">
        <v>0</v>
      </c>
      <c r="O373" t="n">
        <v>1</v>
      </c>
      <c r="P373" t="n">
        <v>0</v>
      </c>
      <c r="Q373" t="n">
        <v>1</v>
      </c>
      <c r="R373" s="2" t="inlineStr">
        <is>
          <t>Dofttaggsvamp</t>
        </is>
      </c>
      <c r="S373">
        <f>HYPERLINK("https://klasma.github.io/Logging_2283/artfynd/A 3804-2026 artfynd.xlsx", "A 3804-2026")</f>
        <v/>
      </c>
      <c r="T373">
        <f>HYPERLINK("https://klasma.github.io/Logging_2283/kartor/A 3804-2026 karta.png", "A 3804-2026")</f>
        <v/>
      </c>
      <c r="V373">
        <f>HYPERLINK("https://klasma.github.io/Logging_2283/klagomål/A 3804-2026 FSC-klagomål.docx", "A 3804-2026")</f>
        <v/>
      </c>
      <c r="W373">
        <f>HYPERLINK("https://klasma.github.io/Logging_2283/klagomålsmail/A 3804-2026 FSC-klagomål mail.docx", "A 3804-2026")</f>
        <v/>
      </c>
      <c r="X373">
        <f>HYPERLINK("https://klasma.github.io/Logging_2283/tillsyn/A 3804-2026 tillsynsbegäran.docx", "A 3804-2026")</f>
        <v/>
      </c>
      <c r="Y373">
        <f>HYPERLINK("https://klasma.github.io/Logging_2283/tillsynsmail/A 3804-2026 tillsynsbegäran mail.docx", "A 3804-2026")</f>
        <v/>
      </c>
    </row>
    <row r="374" ht="15" customHeight="1">
      <c r="A374" t="inlineStr">
        <is>
          <t>A 17215-2025</t>
        </is>
      </c>
      <c r="B374" s="1" t="n">
        <v>45756.44856481482</v>
      </c>
      <c r="C374" s="1" t="n">
        <v>46082</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63874-2025</t>
        </is>
      </c>
      <c r="B375" s="1" t="n">
        <v>46020.53168981482</v>
      </c>
      <c r="C375" s="1" t="n">
        <v>46082</v>
      </c>
      <c r="D375" t="inlineStr">
        <is>
          <t>VÄSTERNORRLANDS LÄN</t>
        </is>
      </c>
      <c r="E375" t="inlineStr">
        <is>
          <t>SOLLEFTEÅ</t>
        </is>
      </c>
      <c r="G375" t="n">
        <v>1.2</v>
      </c>
      <c r="H375" t="n">
        <v>0</v>
      </c>
      <c r="I375" t="n">
        <v>1</v>
      </c>
      <c r="J375" t="n">
        <v>0</v>
      </c>
      <c r="K375" t="n">
        <v>0</v>
      </c>
      <c r="L375" t="n">
        <v>0</v>
      </c>
      <c r="M375" t="n">
        <v>0</v>
      </c>
      <c r="N375" t="n">
        <v>0</v>
      </c>
      <c r="O375" t="n">
        <v>0</v>
      </c>
      <c r="P375" t="n">
        <v>0</v>
      </c>
      <c r="Q375" t="n">
        <v>1</v>
      </c>
      <c r="R375" s="2" t="inlineStr">
        <is>
          <t>Stuplav</t>
        </is>
      </c>
      <c r="S375">
        <f>HYPERLINK("https://klasma.github.io/Logging_2283/artfynd/A 63874-2025 artfynd.xlsx", "A 63874-2025")</f>
        <v/>
      </c>
      <c r="T375">
        <f>HYPERLINK("https://klasma.github.io/Logging_2283/kartor/A 63874-2025 karta.png", "A 63874-2025")</f>
        <v/>
      </c>
      <c r="V375">
        <f>HYPERLINK("https://klasma.github.io/Logging_2283/klagomål/A 63874-2025 FSC-klagomål.docx", "A 63874-2025")</f>
        <v/>
      </c>
      <c r="W375">
        <f>HYPERLINK("https://klasma.github.io/Logging_2283/klagomålsmail/A 63874-2025 FSC-klagomål mail.docx", "A 63874-2025")</f>
        <v/>
      </c>
      <c r="X375">
        <f>HYPERLINK("https://klasma.github.io/Logging_2283/tillsyn/A 63874-2025 tillsynsbegäran.docx", "A 63874-2025")</f>
        <v/>
      </c>
      <c r="Y375">
        <f>HYPERLINK("https://klasma.github.io/Logging_2283/tillsynsmail/A 63874-2025 tillsynsbegäran mail.docx", "A 63874-2025")</f>
        <v/>
      </c>
    </row>
    <row r="376" ht="15" customHeight="1">
      <c r="A376" t="inlineStr">
        <is>
          <t>A 21708-2022</t>
        </is>
      </c>
      <c r="B376" s="1" t="n">
        <v>44707</v>
      </c>
      <c r="C376" s="1" t="n">
        <v>46082</v>
      </c>
      <c r="D376" t="inlineStr">
        <is>
          <t>VÄSTERNORRLANDS LÄN</t>
        </is>
      </c>
      <c r="E376" t="inlineStr">
        <is>
          <t>SOLLEFTEÅ</t>
        </is>
      </c>
      <c r="F376" t="inlineStr">
        <is>
          <t>SCA</t>
        </is>
      </c>
      <c r="G376" t="n">
        <v>2.6</v>
      </c>
      <c r="H376" t="n">
        <v>0</v>
      </c>
      <c r="I376" t="n">
        <v>0</v>
      </c>
      <c r="J376" t="n">
        <v>1</v>
      </c>
      <c r="K376" t="n">
        <v>0</v>
      </c>
      <c r="L376" t="n">
        <v>0</v>
      </c>
      <c r="M376" t="n">
        <v>0</v>
      </c>
      <c r="N376" t="n">
        <v>0</v>
      </c>
      <c r="O376" t="n">
        <v>1</v>
      </c>
      <c r="P376" t="n">
        <v>0</v>
      </c>
      <c r="Q376" t="n">
        <v>1</v>
      </c>
      <c r="R376" s="2" t="inlineStr">
        <is>
          <t>Lunglav</t>
        </is>
      </c>
      <c r="S376">
        <f>HYPERLINK("https://klasma.github.io/Logging_2283/artfynd/A 21708-2022 artfynd.xlsx", "A 21708-2022")</f>
        <v/>
      </c>
      <c r="T376">
        <f>HYPERLINK("https://klasma.github.io/Logging_2283/kartor/A 21708-2022 karta.png", "A 21708-2022")</f>
        <v/>
      </c>
      <c r="V376">
        <f>HYPERLINK("https://klasma.github.io/Logging_2283/klagomål/A 21708-2022 FSC-klagomål.docx", "A 21708-2022")</f>
        <v/>
      </c>
      <c r="W376">
        <f>HYPERLINK("https://klasma.github.io/Logging_2283/klagomålsmail/A 21708-2022 FSC-klagomål mail.docx", "A 21708-2022")</f>
        <v/>
      </c>
      <c r="X376">
        <f>HYPERLINK("https://klasma.github.io/Logging_2283/tillsyn/A 21708-2022 tillsynsbegäran.docx", "A 21708-2022")</f>
        <v/>
      </c>
      <c r="Y376">
        <f>HYPERLINK("https://klasma.github.io/Logging_2283/tillsynsmail/A 21708-2022 tillsynsbegäran mail.docx", "A 21708-2022")</f>
        <v/>
      </c>
    </row>
    <row r="377" ht="15" customHeight="1">
      <c r="A377" t="inlineStr">
        <is>
          <t>A 11667-2025</t>
        </is>
      </c>
      <c r="B377" s="1" t="n">
        <v>45727.51074074074</v>
      </c>
      <c r="C377" s="1" t="n">
        <v>46082</v>
      </c>
      <c r="D377" t="inlineStr">
        <is>
          <t>VÄSTERNORRLANDS LÄN</t>
        </is>
      </c>
      <c r="E377" t="inlineStr">
        <is>
          <t>SOLLEFTEÅ</t>
        </is>
      </c>
      <c r="F377" t="inlineStr">
        <is>
          <t>SCA</t>
        </is>
      </c>
      <c r="G377" t="n">
        <v>4.5</v>
      </c>
      <c r="H377" t="n">
        <v>1</v>
      </c>
      <c r="I377" t="n">
        <v>0</v>
      </c>
      <c r="J377" t="n">
        <v>1</v>
      </c>
      <c r="K377" t="n">
        <v>0</v>
      </c>
      <c r="L377" t="n">
        <v>0</v>
      </c>
      <c r="M377" t="n">
        <v>0</v>
      </c>
      <c r="N377" t="n">
        <v>0</v>
      </c>
      <c r="O377" t="n">
        <v>1</v>
      </c>
      <c r="P377" t="n">
        <v>0</v>
      </c>
      <c r="Q377" t="n">
        <v>1</v>
      </c>
      <c r="R377" s="2" t="inlineStr">
        <is>
          <t>Järpe</t>
        </is>
      </c>
      <c r="S377">
        <f>HYPERLINK("https://klasma.github.io/Logging_2283/artfynd/A 11667-2025 artfynd.xlsx", "A 11667-2025")</f>
        <v/>
      </c>
      <c r="T377">
        <f>HYPERLINK("https://klasma.github.io/Logging_2283/kartor/A 11667-2025 karta.png", "A 11667-2025")</f>
        <v/>
      </c>
      <c r="V377">
        <f>HYPERLINK("https://klasma.github.io/Logging_2283/klagomål/A 11667-2025 FSC-klagomål.docx", "A 11667-2025")</f>
        <v/>
      </c>
      <c r="W377">
        <f>HYPERLINK("https://klasma.github.io/Logging_2283/klagomålsmail/A 11667-2025 FSC-klagomål mail.docx", "A 11667-2025")</f>
        <v/>
      </c>
      <c r="X377">
        <f>HYPERLINK("https://klasma.github.io/Logging_2283/tillsyn/A 11667-2025 tillsynsbegäran.docx", "A 11667-2025")</f>
        <v/>
      </c>
      <c r="Y377">
        <f>HYPERLINK("https://klasma.github.io/Logging_2283/tillsynsmail/A 11667-2025 tillsynsbegäran mail.docx", "A 11667-2025")</f>
        <v/>
      </c>
      <c r="Z377">
        <f>HYPERLINK("https://klasma.github.io/Logging_2283/fåglar/A 11667-2025 prioriterade fågelarter.docx", "A 11667-2025")</f>
        <v/>
      </c>
    </row>
    <row r="378" ht="15" customHeight="1">
      <c r="A378" t="inlineStr">
        <is>
          <t>A 18697-2025</t>
        </is>
      </c>
      <c r="B378" s="1" t="n">
        <v>45763.61592592593</v>
      </c>
      <c r="C378" s="1" t="n">
        <v>46082</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Kolflarnlav</t>
        </is>
      </c>
      <c r="S378">
        <f>HYPERLINK("https://klasma.github.io/Logging_2283/artfynd/A 18697-2025 artfynd.xlsx", "A 18697-2025")</f>
        <v/>
      </c>
      <c r="T378">
        <f>HYPERLINK("https://klasma.github.io/Logging_2283/kartor/A 18697-2025 karta.png", "A 18697-2025")</f>
        <v/>
      </c>
      <c r="V378">
        <f>HYPERLINK("https://klasma.github.io/Logging_2283/klagomål/A 18697-2025 FSC-klagomål.docx", "A 18697-2025")</f>
        <v/>
      </c>
      <c r="W378">
        <f>HYPERLINK("https://klasma.github.io/Logging_2283/klagomålsmail/A 18697-2025 FSC-klagomål mail.docx", "A 18697-2025")</f>
        <v/>
      </c>
      <c r="X378">
        <f>HYPERLINK("https://klasma.github.io/Logging_2283/tillsyn/A 18697-2025 tillsynsbegäran.docx", "A 18697-2025")</f>
        <v/>
      </c>
      <c r="Y378">
        <f>HYPERLINK("https://klasma.github.io/Logging_2283/tillsynsmail/A 18697-2025 tillsynsbegäran mail.docx", "A 18697-2025")</f>
        <v/>
      </c>
    </row>
    <row r="379" ht="15" customHeight="1">
      <c r="A379" t="inlineStr">
        <is>
          <t>A 9458-2026</t>
        </is>
      </c>
      <c r="B379" s="1" t="n">
        <v>46071.49013888889</v>
      </c>
      <c r="C379" s="1" t="n">
        <v>46082</v>
      </c>
      <c r="D379" t="inlineStr">
        <is>
          <t>VÄSTERNORRLANDS LÄN</t>
        </is>
      </c>
      <c r="E379" t="inlineStr">
        <is>
          <t>SOLLEFTEÅ</t>
        </is>
      </c>
      <c r="G379" t="n">
        <v>3.4</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9458-2026 artfynd.xlsx", "A 9458-2026")</f>
        <v/>
      </c>
      <c r="T379">
        <f>HYPERLINK("https://klasma.github.io/Logging_2283/kartor/A 9458-2026 karta.png", "A 9458-2026")</f>
        <v/>
      </c>
      <c r="U379">
        <f>HYPERLINK("https://klasma.github.io/Logging_2283/knärot/A 9458-2026 karta knärot.png", "A 9458-2026")</f>
        <v/>
      </c>
      <c r="V379">
        <f>HYPERLINK("https://klasma.github.io/Logging_2283/klagomål/A 9458-2026 FSC-klagomål.docx", "A 9458-2026")</f>
        <v/>
      </c>
      <c r="W379">
        <f>HYPERLINK("https://klasma.github.io/Logging_2283/klagomålsmail/A 9458-2026 FSC-klagomål mail.docx", "A 9458-2026")</f>
        <v/>
      </c>
      <c r="X379">
        <f>HYPERLINK("https://klasma.github.io/Logging_2283/tillsyn/A 9458-2026 tillsynsbegäran.docx", "A 9458-2026")</f>
        <v/>
      </c>
      <c r="Y379">
        <f>HYPERLINK("https://klasma.github.io/Logging_2283/tillsynsmail/A 9458-2026 tillsynsbegäran mail.docx", "A 9458-2026")</f>
        <v/>
      </c>
      <c r="Z379">
        <f>HYPERLINK("https://klasma.github.io/Logging_2283/fåglar/A 9458-2026 prioriterade fågelarter.docx", "A 9458-2026")</f>
        <v/>
      </c>
    </row>
    <row r="380" ht="15" customHeight="1">
      <c r="A380" t="inlineStr">
        <is>
          <t>A 10067-2026</t>
        </is>
      </c>
      <c r="B380" s="1" t="n">
        <v>46073.6360300926</v>
      </c>
      <c r="C380" s="1" t="n">
        <v>46082</v>
      </c>
      <c r="D380" t="inlineStr">
        <is>
          <t>VÄSTERNORRLANDS LÄN</t>
        </is>
      </c>
      <c r="E380" t="inlineStr">
        <is>
          <t>SOLLEFTEÅ</t>
        </is>
      </c>
      <c r="F380" t="inlineStr">
        <is>
          <t>SCA</t>
        </is>
      </c>
      <c r="G380" t="n">
        <v>1.3</v>
      </c>
      <c r="H380" t="n">
        <v>0</v>
      </c>
      <c r="I380" t="n">
        <v>0</v>
      </c>
      <c r="J380" t="n">
        <v>1</v>
      </c>
      <c r="K380" t="n">
        <v>0</v>
      </c>
      <c r="L380" t="n">
        <v>0</v>
      </c>
      <c r="M380" t="n">
        <v>0</v>
      </c>
      <c r="N380" t="n">
        <v>0</v>
      </c>
      <c r="O380" t="n">
        <v>1</v>
      </c>
      <c r="P380" t="n">
        <v>0</v>
      </c>
      <c r="Q380" t="n">
        <v>1</v>
      </c>
      <c r="R380" s="2" t="inlineStr">
        <is>
          <t>Ullticka</t>
        </is>
      </c>
      <c r="S380">
        <f>HYPERLINK("https://klasma.github.io/Logging_2283/artfynd/A 10067-2026 artfynd.xlsx", "A 10067-2026")</f>
        <v/>
      </c>
      <c r="T380">
        <f>HYPERLINK("https://klasma.github.io/Logging_2283/kartor/A 10067-2026 karta.png", "A 10067-2026")</f>
        <v/>
      </c>
      <c r="V380">
        <f>HYPERLINK("https://klasma.github.io/Logging_2283/klagomål/A 10067-2026 FSC-klagomål.docx", "A 10067-2026")</f>
        <v/>
      </c>
      <c r="W380">
        <f>HYPERLINK("https://klasma.github.io/Logging_2283/klagomålsmail/A 10067-2026 FSC-klagomål mail.docx", "A 10067-2026")</f>
        <v/>
      </c>
      <c r="X380">
        <f>HYPERLINK("https://klasma.github.io/Logging_2283/tillsyn/A 10067-2026 tillsynsbegäran.docx", "A 10067-2026")</f>
        <v/>
      </c>
      <c r="Y380">
        <f>HYPERLINK("https://klasma.github.io/Logging_2283/tillsynsmail/A 10067-2026 tillsynsbegäran mail.docx", "A 10067-2026")</f>
        <v/>
      </c>
    </row>
    <row r="381" ht="15" customHeight="1">
      <c r="A381" t="inlineStr">
        <is>
          <t>A 31920-2023</t>
        </is>
      </c>
      <c r="B381" s="1" t="n">
        <v>45118</v>
      </c>
      <c r="C381" s="1" t="n">
        <v>46082</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386-2024</t>
        </is>
      </c>
      <c r="B382" s="1" t="n">
        <v>45296</v>
      </c>
      <c r="C382" s="1" t="n">
        <v>46082</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10793-2026</t>
        </is>
      </c>
      <c r="B383" s="1" t="n">
        <v>46078.59078703704</v>
      </c>
      <c r="C383" s="1" t="n">
        <v>46082</v>
      </c>
      <c r="D383" t="inlineStr">
        <is>
          <t>VÄSTERNORRLANDS LÄN</t>
        </is>
      </c>
      <c r="E383" t="inlineStr">
        <is>
          <t>SOLLEFTEÅ</t>
        </is>
      </c>
      <c r="G383" t="n">
        <v>1.5</v>
      </c>
      <c r="H383" t="n">
        <v>0</v>
      </c>
      <c r="I383" t="n">
        <v>0</v>
      </c>
      <c r="J383" t="n">
        <v>1</v>
      </c>
      <c r="K383" t="n">
        <v>0</v>
      </c>
      <c r="L383" t="n">
        <v>0</v>
      </c>
      <c r="M383" t="n">
        <v>0</v>
      </c>
      <c r="N383" t="n">
        <v>0</v>
      </c>
      <c r="O383" t="n">
        <v>1</v>
      </c>
      <c r="P383" t="n">
        <v>0</v>
      </c>
      <c r="Q383" t="n">
        <v>1</v>
      </c>
      <c r="R383" s="2" t="inlineStr">
        <is>
          <t>Garnlav</t>
        </is>
      </c>
      <c r="S383">
        <f>HYPERLINK("https://klasma.github.io/Logging_2283/artfynd/A 10793-2026 artfynd.xlsx", "A 10793-2026")</f>
        <v/>
      </c>
      <c r="T383">
        <f>HYPERLINK("https://klasma.github.io/Logging_2283/kartor/A 10793-2026 karta.png", "A 10793-2026")</f>
        <v/>
      </c>
      <c r="V383">
        <f>HYPERLINK("https://klasma.github.io/Logging_2283/klagomål/A 10793-2026 FSC-klagomål.docx", "A 10793-2026")</f>
        <v/>
      </c>
      <c r="W383">
        <f>HYPERLINK("https://klasma.github.io/Logging_2283/klagomålsmail/A 10793-2026 FSC-klagomål mail.docx", "A 10793-2026")</f>
        <v/>
      </c>
      <c r="X383">
        <f>HYPERLINK("https://klasma.github.io/Logging_2283/tillsyn/A 10793-2026 tillsynsbegäran.docx", "A 10793-2026")</f>
        <v/>
      </c>
      <c r="Y383">
        <f>HYPERLINK("https://klasma.github.io/Logging_2283/tillsynsmail/A 10793-2026 tillsynsbegäran mail.docx", "A 10793-2026")</f>
        <v/>
      </c>
    </row>
    <row r="384" ht="15" customHeight="1">
      <c r="A384" t="inlineStr">
        <is>
          <t>A 48087-2023</t>
        </is>
      </c>
      <c r="B384" s="1" t="n">
        <v>45204</v>
      </c>
      <c r="C384" s="1" t="n">
        <v>46082</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16269-2022</t>
        </is>
      </c>
      <c r="B385" s="1" t="n">
        <v>44670</v>
      </c>
      <c r="C385" s="1" t="n">
        <v>46082</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49367-2024</t>
        </is>
      </c>
      <c r="B386" s="1" t="n">
        <v>45595.63591435185</v>
      </c>
      <c r="C386" s="1" t="n">
        <v>46082</v>
      </c>
      <c r="D386" t="inlineStr">
        <is>
          <t>VÄSTERNORRLANDS LÄN</t>
        </is>
      </c>
      <c r="E386" t="inlineStr">
        <is>
          <t>SOLLEFTEÅ</t>
        </is>
      </c>
      <c r="F386" t="inlineStr">
        <is>
          <t>SCA</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HYPERLINK("https://klasma.github.io/Logging_2283/artfynd/A 49367-2024 artfynd.xlsx", "A 49367-2024")</f>
        <v/>
      </c>
      <c r="T386">
        <f>HYPERLINK("https://klasma.github.io/Logging_2283/kartor/A 49367-2024 karta.png", "A 49367-2024")</f>
        <v/>
      </c>
      <c r="U386">
        <f>HYPERLINK("https://klasma.github.io/Logging_2283/knärot/A 49367-2024 karta knärot.png", "A 49367-2024")</f>
        <v/>
      </c>
      <c r="V386">
        <f>HYPERLINK("https://klasma.github.io/Logging_2283/klagomål/A 49367-2024 FSC-klagomål.docx", "A 49367-2024")</f>
        <v/>
      </c>
      <c r="W386">
        <f>HYPERLINK("https://klasma.github.io/Logging_2283/klagomålsmail/A 49367-2024 FSC-klagomål mail.docx", "A 49367-2024")</f>
        <v/>
      </c>
      <c r="X386">
        <f>HYPERLINK("https://klasma.github.io/Logging_2283/tillsyn/A 49367-2024 tillsynsbegäran.docx", "A 49367-2024")</f>
        <v/>
      </c>
      <c r="Y386">
        <f>HYPERLINK("https://klasma.github.io/Logging_2283/tillsynsmail/A 49367-2024 tillsynsbegäran mail.docx", "A 49367-2024")</f>
        <v/>
      </c>
    </row>
    <row r="387" ht="15" customHeight="1">
      <c r="A387" t="inlineStr">
        <is>
          <t>A 35295-2023</t>
        </is>
      </c>
      <c r="B387" s="1" t="n">
        <v>45145</v>
      </c>
      <c r="C387" s="1" t="n">
        <v>46082</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8541-2024</t>
        </is>
      </c>
      <c r="B388" s="1" t="n">
        <v>45351</v>
      </c>
      <c r="C388" s="1" t="n">
        <v>46082</v>
      </c>
      <c r="D388" t="inlineStr">
        <is>
          <t>VÄSTERNORRLANDS LÄN</t>
        </is>
      </c>
      <c r="E388" t="inlineStr">
        <is>
          <t>SOLLEFTEÅ</t>
        </is>
      </c>
      <c r="F388" t="inlineStr">
        <is>
          <t>Kommuner</t>
        </is>
      </c>
      <c r="G388" t="n">
        <v>0.6</v>
      </c>
      <c r="H388" t="n">
        <v>0</v>
      </c>
      <c r="I388" t="n">
        <v>0</v>
      </c>
      <c r="J388" t="n">
        <v>1</v>
      </c>
      <c r="K388" t="n">
        <v>0</v>
      </c>
      <c r="L388" t="n">
        <v>0</v>
      </c>
      <c r="M388" t="n">
        <v>0</v>
      </c>
      <c r="N388" t="n">
        <v>0</v>
      </c>
      <c r="O388" t="n">
        <v>1</v>
      </c>
      <c r="P388" t="n">
        <v>0</v>
      </c>
      <c r="Q388" t="n">
        <v>1</v>
      </c>
      <c r="R388" s="2" t="inlineStr">
        <is>
          <t>Granticka</t>
        </is>
      </c>
      <c r="S388">
        <f>HYPERLINK("https://klasma.github.io/Logging_2283/artfynd/A 8541-2024 artfynd.xlsx", "A 8541-2024")</f>
        <v/>
      </c>
      <c r="T388">
        <f>HYPERLINK("https://klasma.github.io/Logging_2283/kartor/A 8541-2024 karta.png", "A 8541-2024")</f>
        <v/>
      </c>
      <c r="V388">
        <f>HYPERLINK("https://klasma.github.io/Logging_2283/klagomål/A 8541-2024 FSC-klagomål.docx", "A 8541-2024")</f>
        <v/>
      </c>
      <c r="W388">
        <f>HYPERLINK("https://klasma.github.io/Logging_2283/klagomålsmail/A 8541-2024 FSC-klagomål mail.docx", "A 8541-2024")</f>
        <v/>
      </c>
      <c r="X388">
        <f>HYPERLINK("https://klasma.github.io/Logging_2283/tillsyn/A 8541-2024 tillsynsbegäran.docx", "A 8541-2024")</f>
        <v/>
      </c>
      <c r="Y388">
        <f>HYPERLINK("https://klasma.github.io/Logging_2283/tillsynsmail/A 8541-2024 tillsynsbegäran mail.docx", "A 8541-2024")</f>
        <v/>
      </c>
    </row>
    <row r="389" ht="15" customHeight="1">
      <c r="A389" t="inlineStr">
        <is>
          <t>A 38363-2022</t>
        </is>
      </c>
      <c r="B389" s="1" t="n">
        <v>44812</v>
      </c>
      <c r="C389" s="1" t="n">
        <v>46082</v>
      </c>
      <c r="D389" t="inlineStr">
        <is>
          <t>VÄSTERNORRLANDS LÄN</t>
        </is>
      </c>
      <c r="E389" t="inlineStr">
        <is>
          <t>SOLLEFTEÅ</t>
        </is>
      </c>
      <c r="F389" t="inlineStr">
        <is>
          <t>Kommuner</t>
        </is>
      </c>
      <c r="G389" t="n">
        <v>16</v>
      </c>
      <c r="H389" t="n">
        <v>0</v>
      </c>
      <c r="I389" t="n">
        <v>0</v>
      </c>
      <c r="J389" t="n">
        <v>1</v>
      </c>
      <c r="K389" t="n">
        <v>0</v>
      </c>
      <c r="L389" t="n">
        <v>0</v>
      </c>
      <c r="M389" t="n">
        <v>0</v>
      </c>
      <c r="N389" t="n">
        <v>0</v>
      </c>
      <c r="O389" t="n">
        <v>1</v>
      </c>
      <c r="P389" t="n">
        <v>0</v>
      </c>
      <c r="Q389" t="n">
        <v>1</v>
      </c>
      <c r="R389" s="2" t="inlineStr">
        <is>
          <t>Garnlav</t>
        </is>
      </c>
      <c r="S389">
        <f>HYPERLINK("https://klasma.github.io/Logging_2283/artfynd/A 38363-2022 artfynd.xlsx", "A 38363-2022")</f>
        <v/>
      </c>
      <c r="T389">
        <f>HYPERLINK("https://klasma.github.io/Logging_2283/kartor/A 38363-2022 karta.png", "A 38363-2022")</f>
        <v/>
      </c>
      <c r="V389">
        <f>HYPERLINK("https://klasma.github.io/Logging_2283/klagomål/A 38363-2022 FSC-klagomål.docx", "A 38363-2022")</f>
        <v/>
      </c>
      <c r="W389">
        <f>HYPERLINK("https://klasma.github.io/Logging_2283/klagomålsmail/A 38363-2022 FSC-klagomål mail.docx", "A 38363-2022")</f>
        <v/>
      </c>
      <c r="X389">
        <f>HYPERLINK("https://klasma.github.io/Logging_2283/tillsyn/A 38363-2022 tillsynsbegäran.docx", "A 38363-2022")</f>
        <v/>
      </c>
      <c r="Y389">
        <f>HYPERLINK("https://klasma.github.io/Logging_2283/tillsynsmail/A 38363-2022 tillsynsbegäran mail.docx", "A 38363-2022")</f>
        <v/>
      </c>
    </row>
    <row r="390" ht="15" customHeight="1">
      <c r="A390" t="inlineStr">
        <is>
          <t>A 3959-2024</t>
        </is>
      </c>
      <c r="B390" s="1" t="n">
        <v>45322</v>
      </c>
      <c r="C390" s="1" t="n">
        <v>46082</v>
      </c>
      <c r="D390" t="inlineStr">
        <is>
          <t>VÄSTERNORRLANDS LÄN</t>
        </is>
      </c>
      <c r="E390" t="inlineStr">
        <is>
          <t>SOLLEFTEÅ</t>
        </is>
      </c>
      <c r="F390" t="inlineStr">
        <is>
          <t>Kommuner</t>
        </is>
      </c>
      <c r="G390" t="n">
        <v>1</v>
      </c>
      <c r="H390" t="n">
        <v>0</v>
      </c>
      <c r="I390" t="n">
        <v>0</v>
      </c>
      <c r="J390" t="n">
        <v>1</v>
      </c>
      <c r="K390" t="n">
        <v>0</v>
      </c>
      <c r="L390" t="n">
        <v>0</v>
      </c>
      <c r="M390" t="n">
        <v>0</v>
      </c>
      <c r="N390" t="n">
        <v>0</v>
      </c>
      <c r="O390" t="n">
        <v>1</v>
      </c>
      <c r="P390" t="n">
        <v>0</v>
      </c>
      <c r="Q390" t="n">
        <v>1</v>
      </c>
      <c r="R390" s="2" t="inlineStr">
        <is>
          <t>Garnlav</t>
        </is>
      </c>
      <c r="S390">
        <f>HYPERLINK("https://klasma.github.io/Logging_2283/artfynd/A 3959-2024 artfynd.xlsx", "A 3959-2024")</f>
        <v/>
      </c>
      <c r="T390">
        <f>HYPERLINK("https://klasma.github.io/Logging_2283/kartor/A 3959-2024 karta.png", "A 3959-2024")</f>
        <v/>
      </c>
      <c r="V390">
        <f>HYPERLINK("https://klasma.github.io/Logging_2283/klagomål/A 3959-2024 FSC-klagomål.docx", "A 3959-2024")</f>
        <v/>
      </c>
      <c r="W390">
        <f>HYPERLINK("https://klasma.github.io/Logging_2283/klagomålsmail/A 3959-2024 FSC-klagomål mail.docx", "A 3959-2024")</f>
        <v/>
      </c>
      <c r="X390">
        <f>HYPERLINK("https://klasma.github.io/Logging_2283/tillsyn/A 3959-2024 tillsynsbegäran.docx", "A 3959-2024")</f>
        <v/>
      </c>
      <c r="Y390">
        <f>HYPERLINK("https://klasma.github.io/Logging_2283/tillsynsmail/A 3959-2024 tillsynsbegäran mail.docx", "A 3959-2024")</f>
        <v/>
      </c>
    </row>
    <row r="391" ht="15" customHeight="1">
      <c r="A391" t="inlineStr">
        <is>
          <t>A 39565-2023</t>
        </is>
      </c>
      <c r="B391" s="1" t="n">
        <v>45167</v>
      </c>
      <c r="C391" s="1" t="n">
        <v>46082</v>
      </c>
      <c r="D391" t="inlineStr">
        <is>
          <t>VÄSTERNORRLANDS LÄN</t>
        </is>
      </c>
      <c r="E391" t="inlineStr">
        <is>
          <t>SOLLEFTEÅ</t>
        </is>
      </c>
      <c r="G391" t="n">
        <v>3.2</v>
      </c>
      <c r="H391" t="n">
        <v>0</v>
      </c>
      <c r="I391" t="n">
        <v>0</v>
      </c>
      <c r="J391" t="n">
        <v>1</v>
      </c>
      <c r="K391" t="n">
        <v>0</v>
      </c>
      <c r="L391" t="n">
        <v>0</v>
      </c>
      <c r="M391" t="n">
        <v>0</v>
      </c>
      <c r="N391" t="n">
        <v>0</v>
      </c>
      <c r="O391" t="n">
        <v>1</v>
      </c>
      <c r="P391" t="n">
        <v>0</v>
      </c>
      <c r="Q391" t="n">
        <v>1</v>
      </c>
      <c r="R391" s="2" t="inlineStr">
        <is>
          <t>Ullticka</t>
        </is>
      </c>
      <c r="S391">
        <f>HYPERLINK("https://klasma.github.io/Logging_2283/artfynd/A 39565-2023 artfynd.xlsx", "A 39565-2023")</f>
        <v/>
      </c>
      <c r="T391">
        <f>HYPERLINK("https://klasma.github.io/Logging_2283/kartor/A 39565-2023 karta.png", "A 39565-2023")</f>
        <v/>
      </c>
      <c r="V391">
        <f>HYPERLINK("https://klasma.github.io/Logging_2283/klagomål/A 39565-2023 FSC-klagomål.docx", "A 39565-2023")</f>
        <v/>
      </c>
      <c r="W391">
        <f>HYPERLINK("https://klasma.github.io/Logging_2283/klagomålsmail/A 39565-2023 FSC-klagomål mail.docx", "A 39565-2023")</f>
        <v/>
      </c>
      <c r="X391">
        <f>HYPERLINK("https://klasma.github.io/Logging_2283/tillsyn/A 39565-2023 tillsynsbegäran.docx", "A 39565-2023")</f>
        <v/>
      </c>
      <c r="Y391">
        <f>HYPERLINK("https://klasma.github.io/Logging_2283/tillsynsmail/A 39565-2023 tillsynsbegäran mail.docx", "A 39565-2023")</f>
        <v/>
      </c>
    </row>
    <row r="392" ht="15" customHeight="1">
      <c r="A392" t="inlineStr">
        <is>
          <t>A 27901-2024</t>
        </is>
      </c>
      <c r="B392" s="1" t="n">
        <v>45475.92859953704</v>
      </c>
      <c r="C392" s="1" t="n">
        <v>46082</v>
      </c>
      <c r="D392" t="inlineStr">
        <is>
          <t>VÄSTERNORRLANDS LÄN</t>
        </is>
      </c>
      <c r="E392" t="inlineStr">
        <is>
          <t>SOLLEFTEÅ</t>
        </is>
      </c>
      <c r="G392" t="n">
        <v>12.7</v>
      </c>
      <c r="H392" t="n">
        <v>0</v>
      </c>
      <c r="I392" t="n">
        <v>0</v>
      </c>
      <c r="J392" t="n">
        <v>1</v>
      </c>
      <c r="K392" t="n">
        <v>0</v>
      </c>
      <c r="L392" t="n">
        <v>0</v>
      </c>
      <c r="M392" t="n">
        <v>0</v>
      </c>
      <c r="N392" t="n">
        <v>0</v>
      </c>
      <c r="O392" t="n">
        <v>1</v>
      </c>
      <c r="P392" t="n">
        <v>0</v>
      </c>
      <c r="Q392" t="n">
        <v>1</v>
      </c>
      <c r="R392" s="2" t="inlineStr">
        <is>
          <t>Garnlav</t>
        </is>
      </c>
      <c r="S392">
        <f>HYPERLINK("https://klasma.github.io/Logging_2283/artfynd/A 27901-2024 artfynd.xlsx", "A 27901-2024")</f>
        <v/>
      </c>
      <c r="T392">
        <f>HYPERLINK("https://klasma.github.io/Logging_2283/kartor/A 27901-2024 karta.png", "A 27901-2024")</f>
        <v/>
      </c>
      <c r="V392">
        <f>HYPERLINK("https://klasma.github.io/Logging_2283/klagomål/A 27901-2024 FSC-klagomål.docx", "A 27901-2024")</f>
        <v/>
      </c>
      <c r="W392">
        <f>HYPERLINK("https://klasma.github.io/Logging_2283/klagomålsmail/A 27901-2024 FSC-klagomål mail.docx", "A 27901-2024")</f>
        <v/>
      </c>
      <c r="X392">
        <f>HYPERLINK("https://klasma.github.io/Logging_2283/tillsyn/A 27901-2024 tillsynsbegäran.docx", "A 27901-2024")</f>
        <v/>
      </c>
      <c r="Y392">
        <f>HYPERLINK("https://klasma.github.io/Logging_2283/tillsynsmail/A 27901-2024 tillsynsbegäran mail.docx", "A 27901-2024")</f>
        <v/>
      </c>
    </row>
    <row r="393" ht="15" customHeight="1">
      <c r="A393" t="inlineStr">
        <is>
          <t>A 22345-2025</t>
        </is>
      </c>
      <c r="B393" s="1" t="n">
        <v>45786.44869212963</v>
      </c>
      <c r="C393" s="1" t="n">
        <v>46082</v>
      </c>
      <c r="D393" t="inlineStr">
        <is>
          <t>VÄSTERNORRLANDS LÄN</t>
        </is>
      </c>
      <c r="E393" t="inlineStr">
        <is>
          <t>SOLLEFTEÅ</t>
        </is>
      </c>
      <c r="F393" t="inlineStr">
        <is>
          <t>SCA</t>
        </is>
      </c>
      <c r="G393" t="n">
        <v>7.2</v>
      </c>
      <c r="H393" t="n">
        <v>0</v>
      </c>
      <c r="I393" t="n">
        <v>0</v>
      </c>
      <c r="J393" t="n">
        <v>1</v>
      </c>
      <c r="K393" t="n">
        <v>0</v>
      </c>
      <c r="L393" t="n">
        <v>0</v>
      </c>
      <c r="M393" t="n">
        <v>0</v>
      </c>
      <c r="N393" t="n">
        <v>0</v>
      </c>
      <c r="O393" t="n">
        <v>1</v>
      </c>
      <c r="P393" t="n">
        <v>0</v>
      </c>
      <c r="Q393" t="n">
        <v>1</v>
      </c>
      <c r="R393" s="2" t="inlineStr">
        <is>
          <t>Gammelgransskål</t>
        </is>
      </c>
      <c r="S393">
        <f>HYPERLINK("https://klasma.github.io/Logging_2283/artfynd/A 22345-2025 artfynd.xlsx", "A 22345-2025")</f>
        <v/>
      </c>
      <c r="T393">
        <f>HYPERLINK("https://klasma.github.io/Logging_2283/kartor/A 22345-2025 karta.png", "A 22345-2025")</f>
        <v/>
      </c>
      <c r="V393">
        <f>HYPERLINK("https://klasma.github.io/Logging_2283/klagomål/A 22345-2025 FSC-klagomål.docx", "A 22345-2025")</f>
        <v/>
      </c>
      <c r="W393">
        <f>HYPERLINK("https://klasma.github.io/Logging_2283/klagomålsmail/A 22345-2025 FSC-klagomål mail.docx", "A 22345-2025")</f>
        <v/>
      </c>
      <c r="X393">
        <f>HYPERLINK("https://klasma.github.io/Logging_2283/tillsyn/A 22345-2025 tillsynsbegäran.docx", "A 22345-2025")</f>
        <v/>
      </c>
      <c r="Y393">
        <f>HYPERLINK("https://klasma.github.io/Logging_2283/tillsynsmail/A 22345-2025 tillsynsbegäran mail.docx", "A 22345-2025")</f>
        <v/>
      </c>
    </row>
    <row r="394" ht="15" customHeight="1">
      <c r="A394" t="inlineStr">
        <is>
          <t>A 22768-2025</t>
        </is>
      </c>
      <c r="B394" s="1" t="n">
        <v>45789.63329861111</v>
      </c>
      <c r="C394" s="1" t="n">
        <v>46082</v>
      </c>
      <c r="D394" t="inlineStr">
        <is>
          <t>VÄSTERNORRLANDS LÄN</t>
        </is>
      </c>
      <c r="E394" t="inlineStr">
        <is>
          <t>SOLLEFTEÅ</t>
        </is>
      </c>
      <c r="G394" t="n">
        <v>1.9</v>
      </c>
      <c r="H394" t="n">
        <v>0</v>
      </c>
      <c r="I394" t="n">
        <v>0</v>
      </c>
      <c r="J394" t="n">
        <v>1</v>
      </c>
      <c r="K394" t="n">
        <v>0</v>
      </c>
      <c r="L394" t="n">
        <v>0</v>
      </c>
      <c r="M394" t="n">
        <v>0</v>
      </c>
      <c r="N394" t="n">
        <v>0</v>
      </c>
      <c r="O394" t="n">
        <v>1</v>
      </c>
      <c r="P394" t="n">
        <v>0</v>
      </c>
      <c r="Q394" t="n">
        <v>1</v>
      </c>
      <c r="R394" s="2" t="inlineStr">
        <is>
          <t>Granticka</t>
        </is>
      </c>
      <c r="S394">
        <f>HYPERLINK("https://klasma.github.io/Logging_2283/artfynd/A 22768-2025 artfynd.xlsx", "A 22768-2025")</f>
        <v/>
      </c>
      <c r="T394">
        <f>HYPERLINK("https://klasma.github.io/Logging_2283/kartor/A 22768-2025 karta.png", "A 22768-2025")</f>
        <v/>
      </c>
      <c r="V394">
        <f>HYPERLINK("https://klasma.github.io/Logging_2283/klagomål/A 22768-2025 FSC-klagomål.docx", "A 22768-2025")</f>
        <v/>
      </c>
      <c r="W394">
        <f>HYPERLINK("https://klasma.github.io/Logging_2283/klagomålsmail/A 22768-2025 FSC-klagomål mail.docx", "A 22768-2025")</f>
        <v/>
      </c>
      <c r="X394">
        <f>HYPERLINK("https://klasma.github.io/Logging_2283/tillsyn/A 22768-2025 tillsynsbegäran.docx", "A 22768-2025")</f>
        <v/>
      </c>
      <c r="Y394">
        <f>HYPERLINK("https://klasma.github.io/Logging_2283/tillsynsmail/A 22768-2025 tillsynsbegäran mail.docx", "A 22768-2025")</f>
        <v/>
      </c>
    </row>
    <row r="395" ht="15" customHeight="1">
      <c r="A395" t="inlineStr">
        <is>
          <t>A 22214-2025</t>
        </is>
      </c>
      <c r="B395" s="1" t="n">
        <v>45785.65792824074</v>
      </c>
      <c r="C395" s="1" t="n">
        <v>46082</v>
      </c>
      <c r="D395" t="inlineStr">
        <is>
          <t>VÄSTERNORRLANDS LÄN</t>
        </is>
      </c>
      <c r="E395" t="inlineStr">
        <is>
          <t>SOLLEFTEÅ</t>
        </is>
      </c>
      <c r="F395" t="inlineStr">
        <is>
          <t>SCA</t>
        </is>
      </c>
      <c r="G395" t="n">
        <v>4.6</v>
      </c>
      <c r="H395" t="n">
        <v>0</v>
      </c>
      <c r="I395" t="n">
        <v>0</v>
      </c>
      <c r="J395" t="n">
        <v>1</v>
      </c>
      <c r="K395" t="n">
        <v>0</v>
      </c>
      <c r="L395" t="n">
        <v>0</v>
      </c>
      <c r="M395" t="n">
        <v>0</v>
      </c>
      <c r="N395" t="n">
        <v>0</v>
      </c>
      <c r="O395" t="n">
        <v>1</v>
      </c>
      <c r="P395" t="n">
        <v>0</v>
      </c>
      <c r="Q395" t="n">
        <v>1</v>
      </c>
      <c r="R395" s="2" t="inlineStr">
        <is>
          <t>Reliktbock</t>
        </is>
      </c>
      <c r="S395">
        <f>HYPERLINK("https://klasma.github.io/Logging_2283/artfynd/A 22214-2025 artfynd.xlsx", "A 22214-2025")</f>
        <v/>
      </c>
      <c r="T395">
        <f>HYPERLINK("https://klasma.github.io/Logging_2283/kartor/A 22214-2025 karta.png", "A 22214-2025")</f>
        <v/>
      </c>
      <c r="V395">
        <f>HYPERLINK("https://klasma.github.io/Logging_2283/klagomål/A 22214-2025 FSC-klagomål.docx", "A 22214-2025")</f>
        <v/>
      </c>
      <c r="W395">
        <f>HYPERLINK("https://klasma.github.io/Logging_2283/klagomålsmail/A 22214-2025 FSC-klagomål mail.docx", "A 22214-2025")</f>
        <v/>
      </c>
      <c r="X395">
        <f>HYPERLINK("https://klasma.github.io/Logging_2283/tillsyn/A 22214-2025 tillsynsbegäran.docx", "A 22214-2025")</f>
        <v/>
      </c>
      <c r="Y395">
        <f>HYPERLINK("https://klasma.github.io/Logging_2283/tillsynsmail/A 22214-2025 tillsynsbegäran mail.docx", "A 22214-2025")</f>
        <v/>
      </c>
    </row>
    <row r="396" ht="15" customHeight="1">
      <c r="A396" t="inlineStr">
        <is>
          <t>A 26019-2025</t>
        </is>
      </c>
      <c r="B396" s="1" t="n">
        <v>45804.67811342593</v>
      </c>
      <c r="C396" s="1" t="n">
        <v>46082</v>
      </c>
      <c r="D396" t="inlineStr">
        <is>
          <t>VÄSTERNORRLANDS LÄN</t>
        </is>
      </c>
      <c r="E396" t="inlineStr">
        <is>
          <t>SOLLEFTEÅ</t>
        </is>
      </c>
      <c r="F396" t="inlineStr">
        <is>
          <t>SCA</t>
        </is>
      </c>
      <c r="G396" t="n">
        <v>3.7</v>
      </c>
      <c r="H396" t="n">
        <v>0</v>
      </c>
      <c r="I396" t="n">
        <v>0</v>
      </c>
      <c r="J396" t="n">
        <v>1</v>
      </c>
      <c r="K396" t="n">
        <v>0</v>
      </c>
      <c r="L396" t="n">
        <v>0</v>
      </c>
      <c r="M396" t="n">
        <v>0</v>
      </c>
      <c r="N396" t="n">
        <v>0</v>
      </c>
      <c r="O396" t="n">
        <v>1</v>
      </c>
      <c r="P396" t="n">
        <v>0</v>
      </c>
      <c r="Q396" t="n">
        <v>1</v>
      </c>
      <c r="R396" s="2" t="inlineStr">
        <is>
          <t>Rosenticka</t>
        </is>
      </c>
      <c r="S396">
        <f>HYPERLINK("https://klasma.github.io/Logging_2283/artfynd/A 26019-2025 artfynd.xlsx", "A 26019-2025")</f>
        <v/>
      </c>
      <c r="T396">
        <f>HYPERLINK("https://klasma.github.io/Logging_2283/kartor/A 26019-2025 karta.png", "A 26019-2025")</f>
        <v/>
      </c>
      <c r="V396">
        <f>HYPERLINK("https://klasma.github.io/Logging_2283/klagomål/A 26019-2025 FSC-klagomål.docx", "A 26019-2025")</f>
        <v/>
      </c>
      <c r="W396">
        <f>HYPERLINK("https://klasma.github.io/Logging_2283/klagomålsmail/A 26019-2025 FSC-klagomål mail.docx", "A 26019-2025")</f>
        <v/>
      </c>
      <c r="X396">
        <f>HYPERLINK("https://klasma.github.io/Logging_2283/tillsyn/A 26019-2025 tillsynsbegäran.docx", "A 26019-2025")</f>
        <v/>
      </c>
      <c r="Y396">
        <f>HYPERLINK("https://klasma.github.io/Logging_2283/tillsynsmail/A 26019-2025 tillsynsbegäran mail.docx", "A 26019-2025")</f>
        <v/>
      </c>
    </row>
    <row r="397" ht="15" customHeight="1">
      <c r="A397" t="inlineStr">
        <is>
          <t>A 23169-2025</t>
        </is>
      </c>
      <c r="B397" s="1" t="n">
        <v>45791.42752314815</v>
      </c>
      <c r="C397" s="1" t="n">
        <v>46082</v>
      </c>
      <c r="D397" t="inlineStr">
        <is>
          <t>VÄSTERNORRLANDS LÄN</t>
        </is>
      </c>
      <c r="E397" t="inlineStr">
        <is>
          <t>SOLLEFTEÅ</t>
        </is>
      </c>
      <c r="F397" t="inlineStr">
        <is>
          <t>SCA</t>
        </is>
      </c>
      <c r="G397" t="n">
        <v>1.8</v>
      </c>
      <c r="H397" t="n">
        <v>1</v>
      </c>
      <c r="I397" t="n">
        <v>0</v>
      </c>
      <c r="J397" t="n">
        <v>1</v>
      </c>
      <c r="K397" t="n">
        <v>0</v>
      </c>
      <c r="L397" t="n">
        <v>0</v>
      </c>
      <c r="M397" t="n">
        <v>0</v>
      </c>
      <c r="N397" t="n">
        <v>0</v>
      </c>
      <c r="O397" t="n">
        <v>1</v>
      </c>
      <c r="P397" t="n">
        <v>0</v>
      </c>
      <c r="Q397" t="n">
        <v>1</v>
      </c>
      <c r="R397" s="2" t="inlineStr">
        <is>
          <t>Järpe</t>
        </is>
      </c>
      <c r="S397">
        <f>HYPERLINK("https://klasma.github.io/Logging_2283/artfynd/A 23169-2025 artfynd.xlsx", "A 23169-2025")</f>
        <v/>
      </c>
      <c r="T397">
        <f>HYPERLINK("https://klasma.github.io/Logging_2283/kartor/A 23169-2025 karta.png", "A 23169-2025")</f>
        <v/>
      </c>
      <c r="V397">
        <f>HYPERLINK("https://klasma.github.io/Logging_2283/klagomål/A 23169-2025 FSC-klagomål.docx", "A 23169-2025")</f>
        <v/>
      </c>
      <c r="W397">
        <f>HYPERLINK("https://klasma.github.io/Logging_2283/klagomålsmail/A 23169-2025 FSC-klagomål mail.docx", "A 23169-2025")</f>
        <v/>
      </c>
      <c r="X397">
        <f>HYPERLINK("https://klasma.github.io/Logging_2283/tillsyn/A 23169-2025 tillsynsbegäran.docx", "A 23169-2025")</f>
        <v/>
      </c>
      <c r="Y397">
        <f>HYPERLINK("https://klasma.github.io/Logging_2283/tillsynsmail/A 23169-2025 tillsynsbegäran mail.docx", "A 23169-2025")</f>
        <v/>
      </c>
      <c r="Z397">
        <f>HYPERLINK("https://klasma.github.io/Logging_2283/fåglar/A 23169-2025 prioriterade fågelarter.docx", "A 23169-2025")</f>
        <v/>
      </c>
    </row>
    <row r="398" ht="15" customHeight="1">
      <c r="A398" t="inlineStr">
        <is>
          <t>A 49181-2022</t>
        </is>
      </c>
      <c r="B398" s="1" t="n">
        <v>44860.95321759259</v>
      </c>
      <c r="C398" s="1" t="n">
        <v>46082</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46082</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21350-2021</t>
        </is>
      </c>
      <c r="B400" s="1" t="n">
        <v>44320.95533564815</v>
      </c>
      <c r="C400" s="1" t="n">
        <v>46082</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18761-2021</t>
        </is>
      </c>
      <c r="B401" s="1" t="n">
        <v>44307</v>
      </c>
      <c r="C401" s="1" t="n">
        <v>46082</v>
      </c>
      <c r="D401" t="inlineStr">
        <is>
          <t>VÄSTERNORRLANDS LÄN</t>
        </is>
      </c>
      <c r="E401" t="inlineStr">
        <is>
          <t>SOLLEFTEÅ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46082</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46082</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46082</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30937-2022</t>
        </is>
      </c>
      <c r="B405" s="1" t="n">
        <v>44767.94092592593</v>
      </c>
      <c r="C405" s="1" t="n">
        <v>46082</v>
      </c>
      <c r="D405" t="inlineStr">
        <is>
          <t>VÄSTERNORRLANDS LÄN</t>
        </is>
      </c>
      <c r="E405" t="inlineStr">
        <is>
          <t>SOLLEFTEÅ</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46082</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12564-2022</t>
        </is>
      </c>
      <c r="B407" s="1" t="n">
        <v>44638.94256944444</v>
      </c>
      <c r="C407" s="1" t="n">
        <v>46082</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46082</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46082</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34542-2022</t>
        </is>
      </c>
      <c r="B410" s="1" t="n">
        <v>44793</v>
      </c>
      <c r="C410" s="1" t="n">
        <v>46082</v>
      </c>
      <c r="D410" t="inlineStr">
        <is>
          <t>VÄSTERNORRLANDS LÄN</t>
        </is>
      </c>
      <c r="E410" t="inlineStr">
        <is>
          <t>SOLLEFTEÅ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58486-2021</t>
        </is>
      </c>
      <c r="B411" s="1" t="n">
        <v>44488</v>
      </c>
      <c r="C411" s="1" t="n">
        <v>46082</v>
      </c>
      <c r="D411" t="inlineStr">
        <is>
          <t>VÄSTERNORRLANDS LÄN</t>
        </is>
      </c>
      <c r="E411" t="inlineStr">
        <is>
          <t>SOLLEFTEÅ</t>
        </is>
      </c>
      <c r="G411" t="n">
        <v>2.4</v>
      </c>
      <c r="H411" t="n">
        <v>0</v>
      </c>
      <c r="I411" t="n">
        <v>0</v>
      </c>
      <c r="J411" t="n">
        <v>0</v>
      </c>
      <c r="K411" t="n">
        <v>0</v>
      </c>
      <c r="L411" t="n">
        <v>0</v>
      </c>
      <c r="M411" t="n">
        <v>0</v>
      </c>
      <c r="N411" t="n">
        <v>0</v>
      </c>
      <c r="O411" t="n">
        <v>0</v>
      </c>
      <c r="P411" t="n">
        <v>0</v>
      </c>
      <c r="Q411" t="n">
        <v>0</v>
      </c>
      <c r="R411" s="2" t="inlineStr"/>
    </row>
    <row r="412" ht="15" customHeight="1">
      <c r="A412" t="inlineStr">
        <is>
          <t>A 29623-2021</t>
        </is>
      </c>
      <c r="B412" s="1" t="n">
        <v>44361</v>
      </c>
      <c r="C412" s="1" t="n">
        <v>46082</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18867-2021</t>
        </is>
      </c>
      <c r="B413" s="1" t="n">
        <v>44307</v>
      </c>
      <c r="C413" s="1" t="n">
        <v>46082</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46082</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39372-2022</t>
        </is>
      </c>
      <c r="B415" s="1" t="n">
        <v>44817.94298611111</v>
      </c>
      <c r="C415" s="1" t="n">
        <v>46082</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17045-2022</t>
        </is>
      </c>
      <c r="B416" s="1" t="n">
        <v>44676</v>
      </c>
      <c r="C416" s="1" t="n">
        <v>46082</v>
      </c>
      <c r="D416" t="inlineStr">
        <is>
          <t>VÄSTERNORRLANDS LÄN</t>
        </is>
      </c>
      <c r="E416" t="inlineStr">
        <is>
          <t>SOLLEFTEÅ</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11710-2021</t>
        </is>
      </c>
      <c r="B417" s="1" t="n">
        <v>44264</v>
      </c>
      <c r="C417" s="1" t="n">
        <v>46082</v>
      </c>
      <c r="D417" t="inlineStr">
        <is>
          <t>VÄSTERNORRLANDS LÄN</t>
        </is>
      </c>
      <c r="E417" t="inlineStr">
        <is>
          <t>SOLLEFTEÅ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32779-2022</t>
        </is>
      </c>
      <c r="B418" s="1" t="n">
        <v>44783.94623842592</v>
      </c>
      <c r="C418" s="1" t="n">
        <v>46082</v>
      </c>
      <c r="D418" t="inlineStr">
        <is>
          <t>VÄSTERNORRLANDS LÄN</t>
        </is>
      </c>
      <c r="E418" t="inlineStr">
        <is>
          <t>SOLLEFTEÅ</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46082</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46082</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67390-2021</t>
        </is>
      </c>
      <c r="B421" s="1" t="n">
        <v>44523.93848379629</v>
      </c>
      <c r="C421" s="1" t="n">
        <v>46082</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19220-2021</t>
        </is>
      </c>
      <c r="B422" s="1" t="n">
        <v>44309</v>
      </c>
      <c r="C422" s="1" t="n">
        <v>46082</v>
      </c>
      <c r="D422" t="inlineStr">
        <is>
          <t>VÄSTERNORRLANDS LÄN</t>
        </is>
      </c>
      <c r="E422" t="inlineStr">
        <is>
          <t>SOLLEFTEÅ</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46082</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46082</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27282-2022</t>
        </is>
      </c>
      <c r="B425" s="1" t="n">
        <v>44741</v>
      </c>
      <c r="C425" s="1" t="n">
        <v>46082</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46082</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46082</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39006-2022</t>
        </is>
      </c>
      <c r="B428" s="1" t="n">
        <v>44816.94675925926</v>
      </c>
      <c r="C428" s="1" t="n">
        <v>46082</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46082</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46082</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21711-2021</t>
        </is>
      </c>
      <c r="B431" s="1" t="n">
        <v>44322</v>
      </c>
      <c r="C431" s="1" t="n">
        <v>46082</v>
      </c>
      <c r="D431" t="inlineStr">
        <is>
          <t>VÄSTERNORRLANDS LÄN</t>
        </is>
      </c>
      <c r="E431" t="inlineStr">
        <is>
          <t>SOLLEFTEÅ</t>
        </is>
      </c>
      <c r="F431" t="inlineStr">
        <is>
          <t>Kyrkan</t>
        </is>
      </c>
      <c r="G431" t="n">
        <v>22.2</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46082</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46082</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21714-2022</t>
        </is>
      </c>
      <c r="B434" s="1" t="n">
        <v>44707.94015046296</v>
      </c>
      <c r="C434" s="1" t="n">
        <v>46082</v>
      </c>
      <c r="D434" t="inlineStr">
        <is>
          <t>VÄSTERNORRLANDS LÄN</t>
        </is>
      </c>
      <c r="E434" t="inlineStr">
        <is>
          <t>SOLLEFTEÅ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30043-2022</t>
        </is>
      </c>
      <c r="B435" s="1" t="n">
        <v>44756</v>
      </c>
      <c r="C435" s="1" t="n">
        <v>46082</v>
      </c>
      <c r="D435" t="inlineStr">
        <is>
          <t>VÄSTERNORRLANDS LÄN</t>
        </is>
      </c>
      <c r="E435" t="inlineStr">
        <is>
          <t>SOLLEFTEÅ</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46082</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46082</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46082</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46082</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46082</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46082</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46082</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12278-2021</t>
        </is>
      </c>
      <c r="B443" s="1" t="n">
        <v>44266</v>
      </c>
      <c r="C443" s="1" t="n">
        <v>46082</v>
      </c>
      <c r="D443" t="inlineStr">
        <is>
          <t>VÄSTERNORRLANDS LÄN</t>
        </is>
      </c>
      <c r="E443" t="inlineStr">
        <is>
          <t>SOLLEFTEÅ</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46082</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46082</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46082</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46082</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46082</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46082</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46082</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46082</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46082</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46082</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46082</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46082</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46082</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46082</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46082</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46664-2022</t>
        </is>
      </c>
      <c r="B459" s="1" t="n">
        <v>44850.94962962963</v>
      </c>
      <c r="C459" s="1" t="n">
        <v>46082</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46082</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46082</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46082</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46082</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46082</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46082</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46082</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46082</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46082</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46082</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46082</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46082</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34534-2022</t>
        </is>
      </c>
      <c r="B472" s="1" t="n">
        <v>44792.94587962963</v>
      </c>
      <c r="C472" s="1" t="n">
        <v>46082</v>
      </c>
      <c r="D472" t="inlineStr">
        <is>
          <t>VÄSTERNORRLANDS LÄN</t>
        </is>
      </c>
      <c r="E472" t="inlineStr">
        <is>
          <t>SOLLEFTEÅ</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43124-2022</t>
        </is>
      </c>
      <c r="B473" s="1" t="n">
        <v>44833.92898148148</v>
      </c>
      <c r="C473" s="1" t="n">
        <v>46082</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27809-2021</t>
        </is>
      </c>
      <c r="B474" s="1" t="n">
        <v>44354</v>
      </c>
      <c r="C474" s="1" t="n">
        <v>46082</v>
      </c>
      <c r="D474" t="inlineStr">
        <is>
          <t>VÄSTERNORRLANDS LÄN</t>
        </is>
      </c>
      <c r="E474" t="inlineStr">
        <is>
          <t>SOLLEFTEÅ</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25183-2021</t>
        </is>
      </c>
      <c r="B475" s="1" t="n">
        <v>44341</v>
      </c>
      <c r="C475" s="1" t="n">
        <v>46082</v>
      </c>
      <c r="D475" t="inlineStr">
        <is>
          <t>VÄSTERNORRLANDS LÄN</t>
        </is>
      </c>
      <c r="E475" t="inlineStr">
        <is>
          <t>SOLLEFTEÅ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43442-2022</t>
        </is>
      </c>
      <c r="B476" s="1" t="n">
        <v>44834</v>
      </c>
      <c r="C476" s="1" t="n">
        <v>46082</v>
      </c>
      <c r="D476" t="inlineStr">
        <is>
          <t>VÄSTERNORRLANDS LÄN</t>
        </is>
      </c>
      <c r="E476" t="inlineStr">
        <is>
          <t>SOLLEFTEÅ</t>
        </is>
      </c>
      <c r="F476" t="inlineStr">
        <is>
          <t>Kyrkan</t>
        </is>
      </c>
      <c r="G476" t="n">
        <v>3</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46082</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46082</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46082</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46082</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46082</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46082</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46082</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57856-2021</t>
        </is>
      </c>
      <c r="B484" s="1" t="n">
        <v>44484.98627314815</v>
      </c>
      <c r="C484" s="1" t="n">
        <v>46082</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46082</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46082</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46082</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46082</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46082</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46082</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46082</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46082</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46082</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46082</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46082</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46082</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46082</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46082</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46082</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61426-2021</t>
        </is>
      </c>
      <c r="B500" s="1" t="n">
        <v>44500</v>
      </c>
      <c r="C500" s="1" t="n">
        <v>46082</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71348-2021</t>
        </is>
      </c>
      <c r="B501" s="1" t="n">
        <v>44539</v>
      </c>
      <c r="C501" s="1" t="n">
        <v>46082</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71351-2021</t>
        </is>
      </c>
      <c r="B502" s="1" t="n">
        <v>44539</v>
      </c>
      <c r="C502" s="1" t="n">
        <v>46082</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46082</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23034-2021</t>
        </is>
      </c>
      <c r="B504" s="1" t="n">
        <v>44328.94113425926</v>
      </c>
      <c r="C504" s="1" t="n">
        <v>46082</v>
      </c>
      <c r="D504" t="inlineStr">
        <is>
          <t>VÄSTERNORRLANDS LÄN</t>
        </is>
      </c>
      <c r="E504" t="inlineStr">
        <is>
          <t>SOLLEFTEÅ</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46082</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26416-2022</t>
        </is>
      </c>
      <c r="B506" s="1" t="n">
        <v>44735.94130787037</v>
      </c>
      <c r="C506" s="1" t="n">
        <v>46082</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46082</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46082</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46082</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61424-2021</t>
        </is>
      </c>
      <c r="B510" s="1" t="n">
        <v>44500.93637731481</v>
      </c>
      <c r="C510" s="1" t="n">
        <v>46082</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46082</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46082</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46082</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46082</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46082</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46082</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46082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46082</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69916-2021</t>
        </is>
      </c>
      <c r="B519" s="1" t="n">
        <v>44532</v>
      </c>
      <c r="C519" s="1" t="n">
        <v>46082</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69919-2021</t>
        </is>
      </c>
      <c r="B520" s="1" t="n">
        <v>44532.94325231481</v>
      </c>
      <c r="C520" s="1" t="n">
        <v>46082</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46082</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31452-2022</t>
        </is>
      </c>
      <c r="B522" s="1" t="n">
        <v>44774.9415162037</v>
      </c>
      <c r="C522" s="1" t="n">
        <v>46082</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46082</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46082</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46082</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46082</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46082</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46082</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46082</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46082</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46082</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46082</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46082</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46082</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46082</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3549-2022</t>
        </is>
      </c>
      <c r="B536" s="1" t="n">
        <v>44585</v>
      </c>
      <c r="C536" s="1" t="n">
        <v>46082</v>
      </c>
      <c r="D536" t="inlineStr">
        <is>
          <t>VÄSTERNORRLANDS LÄN</t>
        </is>
      </c>
      <c r="E536" t="inlineStr">
        <is>
          <t>SOLLEFTEÅ</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46082</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46082</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46082</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46082</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46082</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46082</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46082</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38095-2022</t>
        </is>
      </c>
      <c r="B544" s="1" t="n">
        <v>44811</v>
      </c>
      <c r="C544" s="1" t="n">
        <v>46082</v>
      </c>
      <c r="D544" t="inlineStr">
        <is>
          <t>VÄSTERNORRLANDS LÄN</t>
        </is>
      </c>
      <c r="E544" t="inlineStr">
        <is>
          <t>SOLLEFTEÅ</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46082</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46082</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46082</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46082</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46082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46082</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46082</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46082</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46082</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46082</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46082</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61496-2021</t>
        </is>
      </c>
      <c r="B556" s="1" t="n">
        <v>44501</v>
      </c>
      <c r="C556" s="1" t="n">
        <v>46082</v>
      </c>
      <c r="D556" t="inlineStr">
        <is>
          <t>VÄSTERNORRLANDS LÄN</t>
        </is>
      </c>
      <c r="E556" t="inlineStr">
        <is>
          <t>SOLLEFTEÅ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46082</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46082</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46082</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46082</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46082</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46082</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46082</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46082</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46082</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46082</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46082</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46082</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46082</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46082</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48240-2022</t>
        </is>
      </c>
      <c r="B571" s="1" t="n">
        <v>44858</v>
      </c>
      <c r="C571" s="1" t="n">
        <v>46082</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46082</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14302-2022</t>
        </is>
      </c>
      <c r="B573" s="1" t="n">
        <v>44651</v>
      </c>
      <c r="C573" s="1" t="n">
        <v>46082</v>
      </c>
      <c r="D573" t="inlineStr">
        <is>
          <t>VÄSTERNORRLANDS LÄN</t>
        </is>
      </c>
      <c r="E573" t="inlineStr">
        <is>
          <t>SOLLEFTEÅ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46082</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29294-2022</t>
        </is>
      </c>
      <c r="B575" s="1" t="n">
        <v>44750.9431712963</v>
      </c>
      <c r="C575" s="1" t="n">
        <v>46082</v>
      </c>
      <c r="D575" t="inlineStr">
        <is>
          <t>VÄSTERNORRLANDS LÄN</t>
        </is>
      </c>
      <c r="E575" t="inlineStr">
        <is>
          <t>SOLLEFTEÅ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46082</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46082</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39944-2022</t>
        </is>
      </c>
      <c r="B578" s="1" t="n">
        <v>44819</v>
      </c>
      <c r="C578" s="1" t="n">
        <v>46082</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46082</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46082</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46082</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46082</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46082</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46082</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46082</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46082</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46082</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46082</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46082</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46082</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46082</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46082</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46082</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46082</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46082</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46082</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46082</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46082</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46082</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46082</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46082</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46082</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46082</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46082</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27926-2022</t>
        </is>
      </c>
      <c r="B605" s="1" t="n">
        <v>44743</v>
      </c>
      <c r="C605" s="1" t="n">
        <v>46082</v>
      </c>
      <c r="D605" t="inlineStr">
        <is>
          <t>VÄSTERNORRLANDS LÄN</t>
        </is>
      </c>
      <c r="E605" t="inlineStr">
        <is>
          <t>SOLLEFTEÅ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46082</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46082</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46082</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46082</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46082</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46082</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46082</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72958-2021</t>
        </is>
      </c>
      <c r="B613" s="1" t="n">
        <v>44547</v>
      </c>
      <c r="C613" s="1" t="n">
        <v>46082</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35747-2022</t>
        </is>
      </c>
      <c r="B614" s="1" t="n">
        <v>44799</v>
      </c>
      <c r="C614" s="1" t="n">
        <v>46082</v>
      </c>
      <c r="D614" t="inlineStr">
        <is>
          <t>VÄSTERNORRLANDS LÄN</t>
        </is>
      </c>
      <c r="E614" t="inlineStr">
        <is>
          <t>SOLLEFTEÅ</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46082</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72315-2021</t>
        </is>
      </c>
      <c r="B616" s="1" t="n">
        <v>44545</v>
      </c>
      <c r="C616" s="1" t="n">
        <v>46082</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68317-2021</t>
        </is>
      </c>
      <c r="B617" s="1" t="n">
        <v>44526.94339120371</v>
      </c>
      <c r="C617" s="1" t="n">
        <v>46082</v>
      </c>
      <c r="D617" t="inlineStr">
        <is>
          <t>VÄSTERNORRLANDS LÄN</t>
        </is>
      </c>
      <c r="E617" t="inlineStr">
        <is>
          <t>SOLLEFTEÅ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28893-2022</t>
        </is>
      </c>
      <c r="B618" s="1" t="n">
        <v>44749.53978009259</v>
      </c>
      <c r="C618" s="1" t="n">
        <v>46082</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46082</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46082</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46082</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46082</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46082</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46082</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46082</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46082</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46082</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46082</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46082</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46082</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46082</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46082</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46082</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46082</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41474-2022</t>
        </is>
      </c>
      <c r="B635" s="1" t="n">
        <v>44826.94859953703</v>
      </c>
      <c r="C635" s="1" t="n">
        <v>46082</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26435-2022</t>
        </is>
      </c>
      <c r="B636" s="1" t="n">
        <v>44736.93902777778</v>
      </c>
      <c r="C636" s="1" t="n">
        <v>46082</v>
      </c>
      <c r="D636" t="inlineStr">
        <is>
          <t>VÄSTERNORRLANDS LÄN</t>
        </is>
      </c>
      <c r="E636" t="inlineStr">
        <is>
          <t>SOLLEFTEÅ</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46082</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5034-2024</t>
        </is>
      </c>
      <c r="B638" s="1" t="n">
        <v>45329.86893518519</v>
      </c>
      <c r="C638" s="1" t="n">
        <v>46082</v>
      </c>
      <c r="D638" t="inlineStr">
        <is>
          <t>VÄSTERNORRLANDS LÄN</t>
        </is>
      </c>
      <c r="E638" t="inlineStr">
        <is>
          <t>SOLLEFTEÅ</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46082</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23286-2023</t>
        </is>
      </c>
      <c r="B640" s="1" t="n">
        <v>45075</v>
      </c>
      <c r="C640" s="1" t="n">
        <v>46082</v>
      </c>
      <c r="D640" t="inlineStr">
        <is>
          <t>VÄSTERNORRLANDS LÄN</t>
        </is>
      </c>
      <c r="E640" t="inlineStr">
        <is>
          <t>SOLLEFTEÅ</t>
        </is>
      </c>
      <c r="G640" t="n">
        <v>0.1</v>
      </c>
      <c r="H640" t="n">
        <v>0</v>
      </c>
      <c r="I640" t="n">
        <v>0</v>
      </c>
      <c r="J640" t="n">
        <v>0</v>
      </c>
      <c r="K640" t="n">
        <v>0</v>
      </c>
      <c r="L640" t="n">
        <v>0</v>
      </c>
      <c r="M640" t="n">
        <v>0</v>
      </c>
      <c r="N640" t="n">
        <v>0</v>
      </c>
      <c r="O640" t="n">
        <v>0</v>
      </c>
      <c r="P640" t="n">
        <v>0</v>
      </c>
      <c r="Q640" t="n">
        <v>0</v>
      </c>
      <c r="R640" s="2" t="inlineStr"/>
    </row>
    <row r="641" ht="15" customHeight="1">
      <c r="A641" t="inlineStr">
        <is>
          <t>A 23288-2023</t>
        </is>
      </c>
      <c r="B641" s="1" t="n">
        <v>45075</v>
      </c>
      <c r="C641" s="1" t="n">
        <v>46082</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23289-2023</t>
        </is>
      </c>
      <c r="B642" s="1" t="n">
        <v>45075</v>
      </c>
      <c r="C642" s="1" t="n">
        <v>46082</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14731-2025</t>
        </is>
      </c>
      <c r="B643" s="1" t="n">
        <v>45742.6360300926</v>
      </c>
      <c r="C643" s="1" t="n">
        <v>46082</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14889-2025</t>
        </is>
      </c>
      <c r="B644" s="1" t="n">
        <v>45743.46898148148</v>
      </c>
      <c r="C644" s="1" t="n">
        <v>46082</v>
      </c>
      <c r="D644" t="inlineStr">
        <is>
          <t>VÄSTERNORRLANDS LÄN</t>
        </is>
      </c>
      <c r="E644" t="inlineStr">
        <is>
          <t>SOLLEFTEÅ</t>
        </is>
      </c>
      <c r="G644" t="n">
        <v>5.8</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46082</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45958-2023</t>
        </is>
      </c>
      <c r="B646" s="1" t="n">
        <v>45195</v>
      </c>
      <c r="C646" s="1" t="n">
        <v>46082</v>
      </c>
      <c r="D646" t="inlineStr">
        <is>
          <t>VÄSTERNORRLANDS LÄN</t>
        </is>
      </c>
      <c r="E646" t="inlineStr">
        <is>
          <t>SOLLEFTEÅ</t>
        </is>
      </c>
      <c r="F646" t="inlineStr">
        <is>
          <t>SCA</t>
        </is>
      </c>
      <c r="G646" t="n">
        <v>9.9</v>
      </c>
      <c r="H646" t="n">
        <v>0</v>
      </c>
      <c r="I646" t="n">
        <v>0</v>
      </c>
      <c r="J646" t="n">
        <v>0</v>
      </c>
      <c r="K646" t="n">
        <v>0</v>
      </c>
      <c r="L646" t="n">
        <v>0</v>
      </c>
      <c r="M646" t="n">
        <v>0</v>
      </c>
      <c r="N646" t="n">
        <v>0</v>
      </c>
      <c r="O646" t="n">
        <v>0</v>
      </c>
      <c r="P646" t="n">
        <v>0</v>
      </c>
      <c r="Q646" t="n">
        <v>0</v>
      </c>
      <c r="R646" s="2" t="inlineStr"/>
    </row>
    <row r="647" ht="15" customHeight="1">
      <c r="A647" t="inlineStr">
        <is>
          <t>A 18459-2021</t>
        </is>
      </c>
      <c r="B647" s="1" t="n">
        <v>44305.93701388889</v>
      </c>
      <c r="C647" s="1" t="n">
        <v>46082</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5254-2024</t>
        </is>
      </c>
      <c r="B648" s="1" t="n">
        <v>45330</v>
      </c>
      <c r="C648" s="1" t="n">
        <v>46082</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9557-2024</t>
        </is>
      </c>
      <c r="B649" s="1" t="n">
        <v>45360</v>
      </c>
      <c r="C649" s="1" t="n">
        <v>46082</v>
      </c>
      <c r="D649" t="inlineStr">
        <is>
          <t>VÄSTERNORRLANDS LÄN</t>
        </is>
      </c>
      <c r="E649" t="inlineStr">
        <is>
          <t>SOLLEFTEÅ</t>
        </is>
      </c>
      <c r="F649" t="inlineStr">
        <is>
          <t>SCA</t>
        </is>
      </c>
      <c r="G649" t="n">
        <v>7.4</v>
      </c>
      <c r="H649" t="n">
        <v>0</v>
      </c>
      <c r="I649" t="n">
        <v>0</v>
      </c>
      <c r="J649" t="n">
        <v>0</v>
      </c>
      <c r="K649" t="n">
        <v>0</v>
      </c>
      <c r="L649" t="n">
        <v>0</v>
      </c>
      <c r="M649" t="n">
        <v>0</v>
      </c>
      <c r="N649" t="n">
        <v>0</v>
      </c>
      <c r="O649" t="n">
        <v>0</v>
      </c>
      <c r="P649" t="n">
        <v>0</v>
      </c>
      <c r="Q649" t="n">
        <v>0</v>
      </c>
      <c r="R649" s="2" t="inlineStr"/>
    </row>
    <row r="650" ht="15" customHeight="1">
      <c r="A650" t="inlineStr">
        <is>
          <t>A 5874-2024</t>
        </is>
      </c>
      <c r="B650" s="1" t="n">
        <v>45335.6615625</v>
      </c>
      <c r="C650" s="1" t="n">
        <v>46082</v>
      </c>
      <c r="D650" t="inlineStr">
        <is>
          <t>VÄSTERNORRLANDS LÄN</t>
        </is>
      </c>
      <c r="E650" t="inlineStr">
        <is>
          <t>SOLLEFTEÅ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46082</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31005-2022</t>
        </is>
      </c>
      <c r="B652" s="1" t="n">
        <v>44768</v>
      </c>
      <c r="C652" s="1" t="n">
        <v>46082</v>
      </c>
      <c r="D652" t="inlineStr">
        <is>
          <t>VÄSTERNORRLANDS LÄN</t>
        </is>
      </c>
      <c r="E652" t="inlineStr">
        <is>
          <t>SOLLEFTEÅ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6139-2024</t>
        </is>
      </c>
      <c r="B653" s="1" t="n">
        <v>45337</v>
      </c>
      <c r="C653" s="1" t="n">
        <v>46082</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3194-2025</t>
        </is>
      </c>
      <c r="B654" s="1" t="n">
        <v>45679.42130787037</v>
      </c>
      <c r="C654" s="1" t="n">
        <v>46082</v>
      </c>
      <c r="D654" t="inlineStr">
        <is>
          <t>VÄSTERNORRLANDS LÄN</t>
        </is>
      </c>
      <c r="E654" t="inlineStr">
        <is>
          <t>SOLLEFTEÅ</t>
        </is>
      </c>
      <c r="G654" t="n">
        <v>2.4</v>
      </c>
      <c r="H654" t="n">
        <v>0</v>
      </c>
      <c r="I654" t="n">
        <v>0</v>
      </c>
      <c r="J654" t="n">
        <v>0</v>
      </c>
      <c r="K654" t="n">
        <v>0</v>
      </c>
      <c r="L654" t="n">
        <v>0</v>
      </c>
      <c r="M654" t="n">
        <v>0</v>
      </c>
      <c r="N654" t="n">
        <v>0</v>
      </c>
      <c r="O654" t="n">
        <v>0</v>
      </c>
      <c r="P654" t="n">
        <v>0</v>
      </c>
      <c r="Q654" t="n">
        <v>0</v>
      </c>
      <c r="R654" s="2" t="inlineStr"/>
    </row>
    <row r="655" ht="15" customHeight="1">
      <c r="A655" t="inlineStr">
        <is>
          <t>A 1679-2024</t>
        </is>
      </c>
      <c r="B655" s="1" t="n">
        <v>45306</v>
      </c>
      <c r="C655" s="1" t="n">
        <v>46082</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20334-2025</t>
        </is>
      </c>
      <c r="B656" s="1" t="n">
        <v>45775.36496527777</v>
      </c>
      <c r="C656" s="1" t="n">
        <v>46082</v>
      </c>
      <c r="D656" t="inlineStr">
        <is>
          <t>VÄSTERNORRLANDS LÄN</t>
        </is>
      </c>
      <c r="E656" t="inlineStr">
        <is>
          <t>SOLLEFTEÅ</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46082</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59579-2023</t>
        </is>
      </c>
      <c r="B658" s="1" t="n">
        <v>45253</v>
      </c>
      <c r="C658" s="1" t="n">
        <v>46082</v>
      </c>
      <c r="D658" t="inlineStr">
        <is>
          <t>VÄSTERNORRLANDS LÄN</t>
        </is>
      </c>
      <c r="E658" t="inlineStr">
        <is>
          <t>SOLLEFTEÅ</t>
        </is>
      </c>
      <c r="G658" t="n">
        <v>6.2</v>
      </c>
      <c r="H658" t="n">
        <v>0</v>
      </c>
      <c r="I658" t="n">
        <v>0</v>
      </c>
      <c r="J658" t="n">
        <v>0</v>
      </c>
      <c r="K658" t="n">
        <v>0</v>
      </c>
      <c r="L658" t="n">
        <v>0</v>
      </c>
      <c r="M658" t="n">
        <v>0</v>
      </c>
      <c r="N658" t="n">
        <v>0</v>
      </c>
      <c r="O658" t="n">
        <v>0</v>
      </c>
      <c r="P658" t="n">
        <v>0</v>
      </c>
      <c r="Q658" t="n">
        <v>0</v>
      </c>
      <c r="R658" s="2" t="inlineStr"/>
    </row>
    <row r="659" ht="15" customHeight="1">
      <c r="A659" t="inlineStr">
        <is>
          <t>A 3096-2025</t>
        </is>
      </c>
      <c r="B659" s="1" t="n">
        <v>45678.66643518519</v>
      </c>
      <c r="C659" s="1" t="n">
        <v>46082</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42771-2022</t>
        </is>
      </c>
      <c r="B660" s="1" t="n">
        <v>44832</v>
      </c>
      <c r="C660" s="1" t="n">
        <v>46082</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7463-2024</t>
        </is>
      </c>
      <c r="B661" s="1" t="n">
        <v>45345.94887731481</v>
      </c>
      <c r="C661" s="1" t="n">
        <v>46082</v>
      </c>
      <c r="D661" t="inlineStr">
        <is>
          <t>VÄSTERNORRLANDS LÄN</t>
        </is>
      </c>
      <c r="E661" t="inlineStr">
        <is>
          <t>SOLLEFTEÅ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46082</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49036-2023</t>
        </is>
      </c>
      <c r="B663" s="1" t="n">
        <v>45209.95693287037</v>
      </c>
      <c r="C663" s="1" t="n">
        <v>46082</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49711-2021</t>
        </is>
      </c>
      <c r="B664" s="1" t="n">
        <v>44455</v>
      </c>
      <c r="C664" s="1" t="n">
        <v>46082</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16237-2024</t>
        </is>
      </c>
      <c r="B665" s="1" t="n">
        <v>45407.05681712963</v>
      </c>
      <c r="C665" s="1" t="n">
        <v>46082</v>
      </c>
      <c r="D665" t="inlineStr">
        <is>
          <t>VÄSTERNORRLANDS LÄN</t>
        </is>
      </c>
      <c r="E665" t="inlineStr">
        <is>
          <t>SOLLEFTEÅ</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6816-2024</t>
        </is>
      </c>
      <c r="B666" s="1" t="n">
        <v>45342</v>
      </c>
      <c r="C666" s="1" t="n">
        <v>46082</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54045-2023</t>
        </is>
      </c>
      <c r="B667" s="1" t="n">
        <v>45231.96743055555</v>
      </c>
      <c r="C667" s="1" t="n">
        <v>46082</v>
      </c>
      <c r="D667" t="inlineStr">
        <is>
          <t>VÄSTERNORRLANDS LÄN</t>
        </is>
      </c>
      <c r="E667" t="inlineStr">
        <is>
          <t>SOLLEFTEÅ</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9328-2024</t>
        </is>
      </c>
      <c r="B668" s="1" t="n">
        <v>45358.99144675926</v>
      </c>
      <c r="C668" s="1" t="n">
        <v>46082</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42663-2022</t>
        </is>
      </c>
      <c r="B669" s="1" t="n">
        <v>44831</v>
      </c>
      <c r="C669" s="1" t="n">
        <v>46082</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52267-2023</t>
        </is>
      </c>
      <c r="B670" s="1" t="n">
        <v>45217</v>
      </c>
      <c r="C670" s="1" t="n">
        <v>46082</v>
      </c>
      <c r="D670" t="inlineStr">
        <is>
          <t>VÄSTERNORRLANDS LÄN</t>
        </is>
      </c>
      <c r="E670" t="inlineStr">
        <is>
          <t>SOLLEFTEÅ</t>
        </is>
      </c>
      <c r="G670" t="n">
        <v>6.2</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46082</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46082</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11539-2024</t>
        </is>
      </c>
      <c r="B673" s="1" t="n">
        <v>45372.9560300926</v>
      </c>
      <c r="C673" s="1" t="n">
        <v>46082</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9831-2024</t>
        </is>
      </c>
      <c r="B674" s="1" t="n">
        <v>45363.04699074074</v>
      </c>
      <c r="C674" s="1" t="n">
        <v>46082</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18882-2021</t>
        </is>
      </c>
      <c r="B675" s="1" t="n">
        <v>44307.93505787037</v>
      </c>
      <c r="C675" s="1" t="n">
        <v>46082</v>
      </c>
      <c r="D675" t="inlineStr">
        <is>
          <t>VÄSTERNORRLANDS LÄN</t>
        </is>
      </c>
      <c r="E675" t="inlineStr">
        <is>
          <t>SOLLEFTEÅ</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15273-2025</t>
        </is>
      </c>
      <c r="B676" s="1" t="n">
        <v>45744.67740740741</v>
      </c>
      <c r="C676" s="1" t="n">
        <v>46082</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14094-2025</t>
        </is>
      </c>
      <c r="B677" s="1" t="n">
        <v>45740.44827546296</v>
      </c>
      <c r="C677" s="1" t="n">
        <v>46082</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46082</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21031-2024</t>
        </is>
      </c>
      <c r="B679" s="1" t="n">
        <v>45439</v>
      </c>
      <c r="C679" s="1" t="n">
        <v>46082</v>
      </c>
      <c r="D679" t="inlineStr">
        <is>
          <t>VÄSTERNORRLANDS LÄN</t>
        </is>
      </c>
      <c r="E679" t="inlineStr">
        <is>
          <t>SOLLEFTEÅ</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14975-2024</t>
        </is>
      </c>
      <c r="B680" s="1" t="n">
        <v>45398.94100694444</v>
      </c>
      <c r="C680" s="1" t="n">
        <v>46082</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14983-2024</t>
        </is>
      </c>
      <c r="B681" s="1" t="n">
        <v>45398.94237268518</v>
      </c>
      <c r="C681" s="1" t="n">
        <v>46082</v>
      </c>
      <c r="D681" t="inlineStr">
        <is>
          <t>VÄSTERNORRLANDS LÄN</t>
        </is>
      </c>
      <c r="E681" t="inlineStr">
        <is>
          <t>SOLLEFTEÅ</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46082</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18149-2023</t>
        </is>
      </c>
      <c r="B683" s="1" t="n">
        <v>45040</v>
      </c>
      <c r="C683" s="1" t="n">
        <v>46082</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46082</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46082</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16726-2024</t>
        </is>
      </c>
      <c r="B686" s="1" t="n">
        <v>45409.98535879629</v>
      </c>
      <c r="C686" s="1" t="n">
        <v>46082</v>
      </c>
      <c r="D686" t="inlineStr">
        <is>
          <t>VÄSTERNORRLANDS LÄN</t>
        </is>
      </c>
      <c r="E686" t="inlineStr">
        <is>
          <t>SOLLEFTEÅ</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46082</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57019-2022</t>
        </is>
      </c>
      <c r="B688" s="1" t="n">
        <v>44894.95877314815</v>
      </c>
      <c r="C688" s="1" t="n">
        <v>46082</v>
      </c>
      <c r="D688" t="inlineStr">
        <is>
          <t>VÄSTERNORRLANDS LÄN</t>
        </is>
      </c>
      <c r="E688" t="inlineStr">
        <is>
          <t>SOLLEFTEÅ</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56260-2023</t>
        </is>
      </c>
      <c r="B689" s="1" t="n">
        <v>45240</v>
      </c>
      <c r="C689" s="1" t="n">
        <v>46082</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20133-2025</t>
        </is>
      </c>
      <c r="B690" s="1" t="n">
        <v>45772.51092592593</v>
      </c>
      <c r="C690" s="1" t="n">
        <v>46082</v>
      </c>
      <c r="D690" t="inlineStr">
        <is>
          <t>VÄSTERNORRLANDS LÄN</t>
        </is>
      </c>
      <c r="E690" t="inlineStr">
        <is>
          <t>SOLLEFTEÅ</t>
        </is>
      </c>
      <c r="F690" t="inlineStr">
        <is>
          <t>SCA</t>
        </is>
      </c>
      <c r="G690" t="n">
        <v>58.2</v>
      </c>
      <c r="H690" t="n">
        <v>0</v>
      </c>
      <c r="I690" t="n">
        <v>0</v>
      </c>
      <c r="J690" t="n">
        <v>0</v>
      </c>
      <c r="K690" t="n">
        <v>0</v>
      </c>
      <c r="L690" t="n">
        <v>0</v>
      </c>
      <c r="M690" t="n">
        <v>0</v>
      </c>
      <c r="N690" t="n">
        <v>0</v>
      </c>
      <c r="O690" t="n">
        <v>0</v>
      </c>
      <c r="P690" t="n">
        <v>0</v>
      </c>
      <c r="Q690" t="n">
        <v>0</v>
      </c>
      <c r="R690" s="2" t="inlineStr"/>
    </row>
    <row r="691" ht="15" customHeight="1">
      <c r="A691" t="inlineStr">
        <is>
          <t>A 55912-2023</t>
        </is>
      </c>
      <c r="B691" s="1" t="n">
        <v>45239.92665509259</v>
      </c>
      <c r="C691" s="1" t="n">
        <v>46082</v>
      </c>
      <c r="D691" t="inlineStr">
        <is>
          <t>VÄSTERNORRLANDS LÄN</t>
        </is>
      </c>
      <c r="E691" t="inlineStr">
        <is>
          <t>SOLLEFTEÅ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39230-2021</t>
        </is>
      </c>
      <c r="B692" s="1" t="n">
        <v>44413.43902777778</v>
      </c>
      <c r="C692" s="1" t="n">
        <v>46082</v>
      </c>
      <c r="D692" t="inlineStr">
        <is>
          <t>VÄSTERNORRLANDS LÄN</t>
        </is>
      </c>
      <c r="E692" t="inlineStr">
        <is>
          <t>SOLLEFTEÅ</t>
        </is>
      </c>
      <c r="G692" t="n">
        <v>13.6</v>
      </c>
      <c r="H692" t="n">
        <v>0</v>
      </c>
      <c r="I692" t="n">
        <v>0</v>
      </c>
      <c r="J692" t="n">
        <v>0</v>
      </c>
      <c r="K692" t="n">
        <v>0</v>
      </c>
      <c r="L692" t="n">
        <v>0</v>
      </c>
      <c r="M692" t="n">
        <v>0</v>
      </c>
      <c r="N692" t="n">
        <v>0</v>
      </c>
      <c r="O692" t="n">
        <v>0</v>
      </c>
      <c r="P692" t="n">
        <v>0</v>
      </c>
      <c r="Q692" t="n">
        <v>0</v>
      </c>
      <c r="R692" s="2" t="inlineStr"/>
    </row>
    <row r="693" ht="15" customHeight="1">
      <c r="A693" t="inlineStr">
        <is>
          <t>A 38102-2022</t>
        </is>
      </c>
      <c r="B693" s="1" t="n">
        <v>44811</v>
      </c>
      <c r="C693" s="1" t="n">
        <v>46082</v>
      </c>
      <c r="D693" t="inlineStr">
        <is>
          <t>VÄSTERNORRLANDS LÄN</t>
        </is>
      </c>
      <c r="E693" t="inlineStr">
        <is>
          <t>SOLLEFTEÅ</t>
        </is>
      </c>
      <c r="F693" t="inlineStr">
        <is>
          <t>SCA</t>
        </is>
      </c>
      <c r="G693" t="n">
        <v>4.9</v>
      </c>
      <c r="H693" t="n">
        <v>0</v>
      </c>
      <c r="I693" t="n">
        <v>0</v>
      </c>
      <c r="J693" t="n">
        <v>0</v>
      </c>
      <c r="K693" t="n">
        <v>0</v>
      </c>
      <c r="L693" t="n">
        <v>0</v>
      </c>
      <c r="M693" t="n">
        <v>0</v>
      </c>
      <c r="N693" t="n">
        <v>0</v>
      </c>
      <c r="O693" t="n">
        <v>0</v>
      </c>
      <c r="P693" t="n">
        <v>0</v>
      </c>
      <c r="Q693" t="n">
        <v>0</v>
      </c>
      <c r="R693" s="2" t="inlineStr"/>
      <c r="U693">
        <f>HYPERLINK("https://klasma.github.io/Logging_2283/knärot/A 38102-2022 karta knärot.png", "A 38102-2022")</f>
        <v/>
      </c>
      <c r="V693">
        <f>HYPERLINK("https://klasma.github.io/Logging_2283/klagomål/A 38102-2022 FSC-klagomål.docx", "A 38102-2022")</f>
        <v/>
      </c>
      <c r="W693">
        <f>HYPERLINK("https://klasma.github.io/Logging_2283/klagomålsmail/A 38102-2022 FSC-klagomål mail.docx", "A 38102-2022")</f>
        <v/>
      </c>
      <c r="X693">
        <f>HYPERLINK("https://klasma.github.io/Logging_2283/tillsyn/A 38102-2022 tillsynsbegäran.docx", "A 38102-2022")</f>
        <v/>
      </c>
      <c r="Y693">
        <f>HYPERLINK("https://klasma.github.io/Logging_2283/tillsynsmail/A 38102-2022 tillsynsbegäran mail.docx", "A 38102-2022")</f>
        <v/>
      </c>
    </row>
    <row r="694" ht="15" customHeight="1">
      <c r="A694" t="inlineStr">
        <is>
          <t>A 51847-2021</t>
        </is>
      </c>
      <c r="B694" s="1" t="n">
        <v>44462.69077546296</v>
      </c>
      <c r="C694" s="1" t="n">
        <v>46082</v>
      </c>
      <c r="D694" t="inlineStr">
        <is>
          <t>VÄSTERNORRLANDS LÄN</t>
        </is>
      </c>
      <c r="E694" t="inlineStr">
        <is>
          <t>SOLLEFTEÅ</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31179-2023</t>
        </is>
      </c>
      <c r="B695" s="1" t="n">
        <v>45113.92564814815</v>
      </c>
      <c r="C695" s="1" t="n">
        <v>46082</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22668-2024</t>
        </is>
      </c>
      <c r="B696" s="1" t="n">
        <v>45447.94453703704</v>
      </c>
      <c r="C696" s="1" t="n">
        <v>46082</v>
      </c>
      <c r="D696" t="inlineStr">
        <is>
          <t>VÄSTERNORRLANDS LÄN</t>
        </is>
      </c>
      <c r="E696" t="inlineStr">
        <is>
          <t>SOLLEFTEÅ</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46082</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46082</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58179-2021</t>
        </is>
      </c>
      <c r="B699" s="1" t="n">
        <v>44487</v>
      </c>
      <c r="C699" s="1" t="n">
        <v>46082</v>
      </c>
      <c r="D699" t="inlineStr">
        <is>
          <t>VÄSTERNORRLANDS LÄN</t>
        </is>
      </c>
      <c r="E699" t="inlineStr">
        <is>
          <t>SOLLEFTEÅ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18623-2024</t>
        </is>
      </c>
      <c r="B700" s="1" t="n">
        <v>45425.96378472223</v>
      </c>
      <c r="C700" s="1" t="n">
        <v>46082</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29957-2023</t>
        </is>
      </c>
      <c r="B701" s="1" t="n">
        <v>45107</v>
      </c>
      <c r="C701" s="1" t="n">
        <v>46082</v>
      </c>
      <c r="D701" t="inlineStr">
        <is>
          <t>VÄSTERNORRLANDS LÄN</t>
        </is>
      </c>
      <c r="E701" t="inlineStr">
        <is>
          <t>SOLLEFTEÅ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13009-2023</t>
        </is>
      </c>
      <c r="B702" s="1" t="n">
        <v>45002.03643518518</v>
      </c>
      <c r="C702" s="1" t="n">
        <v>46082</v>
      </c>
      <c r="D702" t="inlineStr">
        <is>
          <t>VÄSTERNORRLANDS LÄN</t>
        </is>
      </c>
      <c r="E702" t="inlineStr">
        <is>
          <t>SOLLEFTEÅ</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10618-2024</t>
        </is>
      </c>
      <c r="B703" s="1" t="n">
        <v>45367</v>
      </c>
      <c r="C703" s="1" t="n">
        <v>46082</v>
      </c>
      <c r="D703" t="inlineStr">
        <is>
          <t>VÄSTERNORRLANDS LÄN</t>
        </is>
      </c>
      <c r="E703" t="inlineStr">
        <is>
          <t>SOLLEFTEÅ</t>
        </is>
      </c>
      <c r="F703" t="inlineStr">
        <is>
          <t>SCA</t>
        </is>
      </c>
      <c r="G703" t="n">
        <v>21.1</v>
      </c>
      <c r="H703" t="n">
        <v>0</v>
      </c>
      <c r="I703" t="n">
        <v>0</v>
      </c>
      <c r="J703" t="n">
        <v>0</v>
      </c>
      <c r="K703" t="n">
        <v>0</v>
      </c>
      <c r="L703" t="n">
        <v>0</v>
      </c>
      <c r="M703" t="n">
        <v>0</v>
      </c>
      <c r="N703" t="n">
        <v>0</v>
      </c>
      <c r="O703" t="n">
        <v>0</v>
      </c>
      <c r="P703" t="n">
        <v>0</v>
      </c>
      <c r="Q703" t="n">
        <v>0</v>
      </c>
      <c r="R703" s="2" t="inlineStr"/>
    </row>
    <row r="704" ht="15" customHeight="1">
      <c r="A704" t="inlineStr">
        <is>
          <t>A 23287-2023</t>
        </is>
      </c>
      <c r="B704" s="1" t="n">
        <v>45075</v>
      </c>
      <c r="C704" s="1" t="n">
        <v>46082</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15154-2024</t>
        </is>
      </c>
      <c r="B705" s="1" t="n">
        <v>45399.94466435185</v>
      </c>
      <c r="C705" s="1" t="n">
        <v>46082</v>
      </c>
      <c r="D705" t="inlineStr">
        <is>
          <t>VÄSTERNORRLANDS LÄN</t>
        </is>
      </c>
      <c r="E705" t="inlineStr">
        <is>
          <t>SOLLEFTEÅ</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57395-2023</t>
        </is>
      </c>
      <c r="B706" s="1" t="n">
        <v>45245.9678125</v>
      </c>
      <c r="C706" s="1" t="n">
        <v>46082</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42755-2022</t>
        </is>
      </c>
      <c r="B707" s="1" t="n">
        <v>44832</v>
      </c>
      <c r="C707" s="1" t="n">
        <v>46082</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54617-2023</t>
        </is>
      </c>
      <c r="B708" s="1" t="n">
        <v>45233.95835648148</v>
      </c>
      <c r="C708" s="1" t="n">
        <v>46082</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34397-2021</t>
        </is>
      </c>
      <c r="B709" s="1" t="n">
        <v>44379</v>
      </c>
      <c r="C709" s="1" t="n">
        <v>46082</v>
      </c>
      <c r="D709" t="inlineStr">
        <is>
          <t>VÄSTERNORRLANDS LÄN</t>
        </is>
      </c>
      <c r="E709" t="inlineStr">
        <is>
          <t>SOLLEFTEÅ</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60420-2022</t>
        </is>
      </c>
      <c r="B710" s="1" t="n">
        <v>44910</v>
      </c>
      <c r="C710" s="1" t="n">
        <v>46082</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60328-2023</t>
        </is>
      </c>
      <c r="B711" s="1" t="n">
        <v>45258</v>
      </c>
      <c r="C711" s="1" t="n">
        <v>46082</v>
      </c>
      <c r="D711" t="inlineStr">
        <is>
          <t>VÄSTERNORRLANDS LÄN</t>
        </is>
      </c>
      <c r="E711" t="inlineStr">
        <is>
          <t>SOLLEFTEÅ</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25847-2024</t>
        </is>
      </c>
      <c r="B712" s="1" t="n">
        <v>45467</v>
      </c>
      <c r="C712" s="1" t="n">
        <v>46082</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25851-2024</t>
        </is>
      </c>
      <c r="B713" s="1" t="n">
        <v>45467.44688657407</v>
      </c>
      <c r="C713" s="1" t="n">
        <v>46082</v>
      </c>
      <c r="D713" t="inlineStr">
        <is>
          <t>VÄSTERNORRLANDS LÄN</t>
        </is>
      </c>
      <c r="E713" t="inlineStr">
        <is>
          <t>SOLLEFTEÅ</t>
        </is>
      </c>
      <c r="G713" t="n">
        <v>1.1</v>
      </c>
      <c r="H713" t="n">
        <v>0</v>
      </c>
      <c r="I713" t="n">
        <v>0</v>
      </c>
      <c r="J713" t="n">
        <v>0</v>
      </c>
      <c r="K713" t="n">
        <v>0</v>
      </c>
      <c r="L713" t="n">
        <v>0</v>
      </c>
      <c r="M713" t="n">
        <v>0</v>
      </c>
      <c r="N713" t="n">
        <v>0</v>
      </c>
      <c r="O713" t="n">
        <v>0</v>
      </c>
      <c r="P713" t="n">
        <v>0</v>
      </c>
      <c r="Q713" t="n">
        <v>0</v>
      </c>
      <c r="R713" s="2" t="inlineStr"/>
    </row>
    <row r="714" ht="15" customHeight="1">
      <c r="A714" t="inlineStr">
        <is>
          <t>A 47272-2022</t>
        </is>
      </c>
      <c r="B714" s="1" t="n">
        <v>44852.95016203704</v>
      </c>
      <c r="C714" s="1" t="n">
        <v>46082</v>
      </c>
      <c r="D714" t="inlineStr">
        <is>
          <t>VÄSTERNORRLANDS LÄN</t>
        </is>
      </c>
      <c r="E714" t="inlineStr">
        <is>
          <t>SOLLEFTEÅ</t>
        </is>
      </c>
      <c r="G714" t="n">
        <v>12.2</v>
      </c>
      <c r="H714" t="n">
        <v>0</v>
      </c>
      <c r="I714" t="n">
        <v>0</v>
      </c>
      <c r="J714" t="n">
        <v>0</v>
      </c>
      <c r="K714" t="n">
        <v>0</v>
      </c>
      <c r="L714" t="n">
        <v>0</v>
      </c>
      <c r="M714" t="n">
        <v>0</v>
      </c>
      <c r="N714" t="n">
        <v>0</v>
      </c>
      <c r="O714" t="n">
        <v>0</v>
      </c>
      <c r="P714" t="n">
        <v>0</v>
      </c>
      <c r="Q714" t="n">
        <v>0</v>
      </c>
      <c r="R714" s="2" t="inlineStr"/>
    </row>
    <row r="715" ht="15" customHeight="1">
      <c r="A715" t="inlineStr">
        <is>
          <t>A 22666-2024</t>
        </is>
      </c>
      <c r="B715" s="1" t="n">
        <v>45447</v>
      </c>
      <c r="C715" s="1" t="n">
        <v>46082</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22208-2024</t>
        </is>
      </c>
      <c r="B716" s="1" t="n">
        <v>45446.38181712963</v>
      </c>
      <c r="C716" s="1" t="n">
        <v>46082</v>
      </c>
      <c r="D716" t="inlineStr">
        <is>
          <t>VÄSTERNORRLANDS LÄN</t>
        </is>
      </c>
      <c r="E716" t="inlineStr">
        <is>
          <t>SOLLEFTEÅ</t>
        </is>
      </c>
      <c r="G716" t="n">
        <v>2.2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46082</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27314-2024</t>
        </is>
      </c>
      <c r="B718" s="1" t="n">
        <v>45471.94633101852</v>
      </c>
      <c r="C718" s="1" t="n">
        <v>46082</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c r="U718">
        <f>HYPERLINK("https://klasma.github.io/Logging_2283/knärot/A 27314-2024 karta knärot.png", "A 27314-2024")</f>
        <v/>
      </c>
      <c r="V718">
        <f>HYPERLINK("https://klasma.github.io/Logging_2283/klagomål/A 27314-2024 FSC-klagomål.docx", "A 27314-2024")</f>
        <v/>
      </c>
      <c r="W718">
        <f>HYPERLINK("https://klasma.github.io/Logging_2283/klagomålsmail/A 27314-2024 FSC-klagomål mail.docx", "A 27314-2024")</f>
        <v/>
      </c>
      <c r="X718">
        <f>HYPERLINK("https://klasma.github.io/Logging_2283/tillsyn/A 27314-2024 tillsynsbegäran.docx", "A 27314-2024")</f>
        <v/>
      </c>
      <c r="Y718">
        <f>HYPERLINK("https://klasma.github.io/Logging_2283/tillsynsmail/A 27314-2024 tillsynsbegäran mail.docx", "A 27314-2024")</f>
        <v/>
      </c>
    </row>
    <row r="719" ht="15" customHeight="1">
      <c r="A719" t="inlineStr">
        <is>
          <t>A 31916-2023</t>
        </is>
      </c>
      <c r="B719" s="1" t="n">
        <v>45118.93978009259</v>
      </c>
      <c r="C719" s="1" t="n">
        <v>46082</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31919-2023</t>
        </is>
      </c>
      <c r="B720" s="1" t="n">
        <v>45118</v>
      </c>
      <c r="C720" s="1" t="n">
        <v>46082</v>
      </c>
      <c r="D720" t="inlineStr">
        <is>
          <t>VÄSTERNORRLANDS LÄN</t>
        </is>
      </c>
      <c r="E720" t="inlineStr">
        <is>
          <t>SOLLEFTEÅ</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49665-2022</t>
        </is>
      </c>
      <c r="B721" s="1" t="n">
        <v>44862</v>
      </c>
      <c r="C721" s="1" t="n">
        <v>46082</v>
      </c>
      <c r="D721" t="inlineStr">
        <is>
          <t>VÄSTERNORRLANDS LÄN</t>
        </is>
      </c>
      <c r="E721" t="inlineStr">
        <is>
          <t>SOLLEFTEÅ</t>
        </is>
      </c>
      <c r="F721" t="inlineStr">
        <is>
          <t>Holmen skog AB</t>
        </is>
      </c>
      <c r="G721" t="n">
        <v>3</v>
      </c>
      <c r="H721" t="n">
        <v>0</v>
      </c>
      <c r="I721" t="n">
        <v>0</v>
      </c>
      <c r="J721" t="n">
        <v>0</v>
      </c>
      <c r="K721" t="n">
        <v>0</v>
      </c>
      <c r="L721" t="n">
        <v>0</v>
      </c>
      <c r="M721" t="n">
        <v>0</v>
      </c>
      <c r="N721" t="n">
        <v>0</v>
      </c>
      <c r="O721" t="n">
        <v>0</v>
      </c>
      <c r="P721" t="n">
        <v>0</v>
      </c>
      <c r="Q721" t="n">
        <v>0</v>
      </c>
      <c r="R721" s="2" t="inlineStr"/>
    </row>
    <row r="722" ht="15" customHeight="1">
      <c r="A722" t="inlineStr">
        <is>
          <t>A 25702-2024</t>
        </is>
      </c>
      <c r="B722" s="1" t="n">
        <v>45463</v>
      </c>
      <c r="C722" s="1" t="n">
        <v>46082</v>
      </c>
      <c r="D722" t="inlineStr">
        <is>
          <t>VÄSTERNORRLANDS LÄN</t>
        </is>
      </c>
      <c r="E722" t="inlineStr">
        <is>
          <t>SOLLEFTEÅ</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25711-2024</t>
        </is>
      </c>
      <c r="B723" s="1" t="n">
        <v>45463</v>
      </c>
      <c r="C723" s="1" t="n">
        <v>46082</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24199-2024</t>
        </is>
      </c>
      <c r="B724" s="1" t="n">
        <v>45456.96634259259</v>
      </c>
      <c r="C724" s="1" t="n">
        <v>46082</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25799-2024</t>
        </is>
      </c>
      <c r="B725" s="1" t="n">
        <v>45463</v>
      </c>
      <c r="C725" s="1" t="n">
        <v>46082</v>
      </c>
      <c r="D725" t="inlineStr">
        <is>
          <t>VÄSTERNORRLANDS LÄN</t>
        </is>
      </c>
      <c r="E725" t="inlineStr">
        <is>
          <t>SOLLEFTEÅ</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62750-2022</t>
        </is>
      </c>
      <c r="B726" s="1" t="n">
        <v>44925.93922453704</v>
      </c>
      <c r="C726" s="1" t="n">
        <v>46082</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55643-2021</t>
        </is>
      </c>
      <c r="B727" s="1" t="n">
        <v>44475</v>
      </c>
      <c r="C727" s="1" t="n">
        <v>46082</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24731-2021</t>
        </is>
      </c>
      <c r="B728" s="1" t="n">
        <v>44340</v>
      </c>
      <c r="C728" s="1" t="n">
        <v>46082</v>
      </c>
      <c r="D728" t="inlineStr">
        <is>
          <t>VÄSTERNORRLANDS LÄN</t>
        </is>
      </c>
      <c r="E728" t="inlineStr">
        <is>
          <t>SOLLEFTEÅ</t>
        </is>
      </c>
      <c r="G728" t="n">
        <v>5.3</v>
      </c>
      <c r="H728" t="n">
        <v>0</v>
      </c>
      <c r="I728" t="n">
        <v>0</v>
      </c>
      <c r="J728" t="n">
        <v>0</v>
      </c>
      <c r="K728" t="n">
        <v>0</v>
      </c>
      <c r="L728" t="n">
        <v>0</v>
      </c>
      <c r="M728" t="n">
        <v>0</v>
      </c>
      <c r="N728" t="n">
        <v>0</v>
      </c>
      <c r="O728" t="n">
        <v>0</v>
      </c>
      <c r="P728" t="n">
        <v>0</v>
      </c>
      <c r="Q728" t="n">
        <v>0</v>
      </c>
      <c r="R728" s="2" t="inlineStr"/>
    </row>
    <row r="729" ht="15" customHeight="1">
      <c r="A729" t="inlineStr">
        <is>
          <t>A 34284-2023</t>
        </is>
      </c>
      <c r="B729" s="1" t="n">
        <v>45128</v>
      </c>
      <c r="C729" s="1" t="n">
        <v>46082</v>
      </c>
      <c r="D729" t="inlineStr">
        <is>
          <t>VÄSTERNORRLANDS LÄN</t>
        </is>
      </c>
      <c r="E729" t="inlineStr">
        <is>
          <t>SOLLEFTEÅ</t>
        </is>
      </c>
      <c r="G729" t="n">
        <v>6.6</v>
      </c>
      <c r="H729" t="n">
        <v>0</v>
      </c>
      <c r="I729" t="n">
        <v>0</v>
      </c>
      <c r="J729" t="n">
        <v>0</v>
      </c>
      <c r="K729" t="n">
        <v>0</v>
      </c>
      <c r="L729" t="n">
        <v>0</v>
      </c>
      <c r="M729" t="n">
        <v>0</v>
      </c>
      <c r="N729" t="n">
        <v>0</v>
      </c>
      <c r="O729" t="n">
        <v>0</v>
      </c>
      <c r="P729" t="n">
        <v>0</v>
      </c>
      <c r="Q729" t="n">
        <v>0</v>
      </c>
      <c r="R729" s="2" t="inlineStr"/>
    </row>
    <row r="730" ht="15" customHeight="1">
      <c r="A730" t="inlineStr">
        <is>
          <t>A 34311-2023</t>
        </is>
      </c>
      <c r="B730" s="1" t="n">
        <v>45138.92317129629</v>
      </c>
      <c r="C730" s="1" t="n">
        <v>46082</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34329-2023</t>
        </is>
      </c>
      <c r="B731" s="1" t="n">
        <v>45138.94997685185</v>
      </c>
      <c r="C731" s="1" t="n">
        <v>46082</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57010-2023</t>
        </is>
      </c>
      <c r="B732" s="1" t="n">
        <v>45239</v>
      </c>
      <c r="C732" s="1" t="n">
        <v>46082</v>
      </c>
      <c r="D732" t="inlineStr">
        <is>
          <t>VÄSTERNORRLANDS LÄN</t>
        </is>
      </c>
      <c r="E732" t="inlineStr">
        <is>
          <t>SOLLEFTEÅ</t>
        </is>
      </c>
      <c r="G732" t="n">
        <v>1.6</v>
      </c>
      <c r="H732" t="n">
        <v>0</v>
      </c>
      <c r="I732" t="n">
        <v>0</v>
      </c>
      <c r="J732" t="n">
        <v>0</v>
      </c>
      <c r="K732" t="n">
        <v>0</v>
      </c>
      <c r="L732" t="n">
        <v>0</v>
      </c>
      <c r="M732" t="n">
        <v>0</v>
      </c>
      <c r="N732" t="n">
        <v>0</v>
      </c>
      <c r="O732" t="n">
        <v>0</v>
      </c>
      <c r="P732" t="n">
        <v>0</v>
      </c>
      <c r="Q732" t="n">
        <v>0</v>
      </c>
      <c r="R732" s="2" t="inlineStr"/>
      <c r="U732">
        <f>HYPERLINK("https://klasma.github.io/Logging_2283/knärot/A 57010-2023 karta knärot.png", "A 57010-2023")</f>
        <v/>
      </c>
      <c r="V732">
        <f>HYPERLINK("https://klasma.github.io/Logging_2283/klagomål/A 57010-2023 FSC-klagomål.docx", "A 57010-2023")</f>
        <v/>
      </c>
      <c r="W732">
        <f>HYPERLINK("https://klasma.github.io/Logging_2283/klagomålsmail/A 57010-2023 FSC-klagomål mail.docx", "A 57010-2023")</f>
        <v/>
      </c>
      <c r="X732">
        <f>HYPERLINK("https://klasma.github.io/Logging_2283/tillsyn/A 57010-2023 tillsynsbegäran.docx", "A 57010-2023")</f>
        <v/>
      </c>
      <c r="Y732">
        <f>HYPERLINK("https://klasma.github.io/Logging_2283/tillsynsmail/A 57010-2023 tillsynsbegäran mail.docx", "A 57010-2023")</f>
        <v/>
      </c>
    </row>
    <row r="733" ht="15" customHeight="1">
      <c r="A733" t="inlineStr">
        <is>
          <t>A 25703-2024</t>
        </is>
      </c>
      <c r="B733" s="1" t="n">
        <v>45463</v>
      </c>
      <c r="C733" s="1" t="n">
        <v>46082</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25704-2024</t>
        </is>
      </c>
      <c r="B734" s="1" t="n">
        <v>45463.94270833334</v>
      </c>
      <c r="C734" s="1" t="n">
        <v>46082</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51314-2022</t>
        </is>
      </c>
      <c r="B735" s="1" t="n">
        <v>44868.950625</v>
      </c>
      <c r="C735" s="1" t="n">
        <v>46082</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56684-2023</t>
        </is>
      </c>
      <c r="B736" s="1" t="n">
        <v>45243.96592592593</v>
      </c>
      <c r="C736" s="1" t="n">
        <v>46082</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63712-2023</t>
        </is>
      </c>
      <c r="B737" s="1" t="n">
        <v>45275.95094907407</v>
      </c>
      <c r="C737" s="1" t="n">
        <v>46082</v>
      </c>
      <c r="D737" t="inlineStr">
        <is>
          <t>VÄSTERNORRLANDS LÄN</t>
        </is>
      </c>
      <c r="E737" t="inlineStr">
        <is>
          <t>SOLLEFTEÅ</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656-2024</t>
        </is>
      </c>
      <c r="B738" s="1" t="n">
        <v>45299</v>
      </c>
      <c r="C738" s="1" t="n">
        <v>46082</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58155-2023</t>
        </is>
      </c>
      <c r="B739" s="1" t="n">
        <v>45250</v>
      </c>
      <c r="C739" s="1" t="n">
        <v>46082</v>
      </c>
      <c r="D739" t="inlineStr">
        <is>
          <t>VÄSTERNORRLANDS LÄN</t>
        </is>
      </c>
      <c r="E739" t="inlineStr">
        <is>
          <t>SOLLEFTEÅ</t>
        </is>
      </c>
      <c r="G739" t="n">
        <v>4.1</v>
      </c>
      <c r="H739" t="n">
        <v>0</v>
      </c>
      <c r="I739" t="n">
        <v>0</v>
      </c>
      <c r="J739" t="n">
        <v>0</v>
      </c>
      <c r="K739" t="n">
        <v>0</v>
      </c>
      <c r="L739" t="n">
        <v>0</v>
      </c>
      <c r="M739" t="n">
        <v>0</v>
      </c>
      <c r="N739" t="n">
        <v>0</v>
      </c>
      <c r="O739" t="n">
        <v>0</v>
      </c>
      <c r="P739" t="n">
        <v>0</v>
      </c>
      <c r="Q739" t="n">
        <v>0</v>
      </c>
      <c r="R739" s="2" t="inlineStr"/>
    </row>
    <row r="740" ht="15" customHeight="1">
      <c r="A740" t="inlineStr">
        <is>
          <t>A 59346-2023</t>
        </is>
      </c>
      <c r="B740" s="1" t="n">
        <v>45253</v>
      </c>
      <c r="C740" s="1" t="n">
        <v>46082</v>
      </c>
      <c r="D740" t="inlineStr">
        <is>
          <t>VÄSTERNORRLANDS LÄN</t>
        </is>
      </c>
      <c r="E740" t="inlineStr">
        <is>
          <t>SOLLEFTEÅ</t>
        </is>
      </c>
      <c r="F740" t="inlineStr">
        <is>
          <t>Holmen skog AB</t>
        </is>
      </c>
      <c r="G740" t="n">
        <v>6.3</v>
      </c>
      <c r="H740" t="n">
        <v>0</v>
      </c>
      <c r="I740" t="n">
        <v>0</v>
      </c>
      <c r="J740" t="n">
        <v>0</v>
      </c>
      <c r="K740" t="n">
        <v>0</v>
      </c>
      <c r="L740" t="n">
        <v>0</v>
      </c>
      <c r="M740" t="n">
        <v>0</v>
      </c>
      <c r="N740" t="n">
        <v>0</v>
      </c>
      <c r="O740" t="n">
        <v>0</v>
      </c>
      <c r="P740" t="n">
        <v>0</v>
      </c>
      <c r="Q740" t="n">
        <v>0</v>
      </c>
      <c r="R740" s="2" t="inlineStr"/>
    </row>
    <row r="741" ht="15" customHeight="1">
      <c r="A741" t="inlineStr">
        <is>
          <t>A 27908-2024</t>
        </is>
      </c>
      <c r="B741" s="1" t="n">
        <v>45475.94615740741</v>
      </c>
      <c r="C741" s="1" t="n">
        <v>46082</v>
      </c>
      <c r="D741" t="inlineStr">
        <is>
          <t>VÄSTERNORRLANDS LÄN</t>
        </is>
      </c>
      <c r="E741" t="inlineStr">
        <is>
          <t>SOLLEFTEÅ</t>
        </is>
      </c>
      <c r="F741" t="inlineStr">
        <is>
          <t>SCA</t>
        </is>
      </c>
      <c r="G741" t="n">
        <v>6.8</v>
      </c>
      <c r="H741" t="n">
        <v>0</v>
      </c>
      <c r="I741" t="n">
        <v>0</v>
      </c>
      <c r="J741" t="n">
        <v>0</v>
      </c>
      <c r="K741" t="n">
        <v>0</v>
      </c>
      <c r="L741" t="n">
        <v>0</v>
      </c>
      <c r="M741" t="n">
        <v>0</v>
      </c>
      <c r="N741" t="n">
        <v>0</v>
      </c>
      <c r="O741" t="n">
        <v>0</v>
      </c>
      <c r="P741" t="n">
        <v>0</v>
      </c>
      <c r="Q741" t="n">
        <v>0</v>
      </c>
      <c r="R741" s="2" t="inlineStr"/>
    </row>
    <row r="742" ht="15" customHeight="1">
      <c r="A742" t="inlineStr">
        <is>
          <t>A 22471-2024</t>
        </is>
      </c>
      <c r="B742" s="1" t="n">
        <v>45446</v>
      </c>
      <c r="C742" s="1" t="n">
        <v>46082</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41146-2023</t>
        </is>
      </c>
      <c r="B743" s="1" t="n">
        <v>45173.94277777777</v>
      </c>
      <c r="C743" s="1" t="n">
        <v>46082</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38234-2024</t>
        </is>
      </c>
      <c r="B744" s="1" t="n">
        <v>45545.56025462963</v>
      </c>
      <c r="C744" s="1" t="n">
        <v>46082</v>
      </c>
      <c r="D744" t="inlineStr">
        <is>
          <t>VÄSTERNORRLANDS LÄN</t>
        </is>
      </c>
      <c r="E744" t="inlineStr">
        <is>
          <t>SOLLEFTEÅ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34313-2024</t>
        </is>
      </c>
      <c r="B745" s="1" t="n">
        <v>45524</v>
      </c>
      <c r="C745" s="1" t="n">
        <v>46082</v>
      </c>
      <c r="D745" t="inlineStr">
        <is>
          <t>VÄSTERNORRLANDS LÄN</t>
        </is>
      </c>
      <c r="E745" t="inlineStr">
        <is>
          <t>SOLLEFTEÅ</t>
        </is>
      </c>
      <c r="F745" t="inlineStr">
        <is>
          <t>Övriga statliga verk och myndigheter</t>
        </is>
      </c>
      <c r="G745" t="n">
        <v>0.6</v>
      </c>
      <c r="H745" t="n">
        <v>0</v>
      </c>
      <c r="I745" t="n">
        <v>0</v>
      </c>
      <c r="J745" t="n">
        <v>0</v>
      </c>
      <c r="K745" t="n">
        <v>0</v>
      </c>
      <c r="L745" t="n">
        <v>0</v>
      </c>
      <c r="M745" t="n">
        <v>0</v>
      </c>
      <c r="N745" t="n">
        <v>0</v>
      </c>
      <c r="O745" t="n">
        <v>0</v>
      </c>
      <c r="P745" t="n">
        <v>0</v>
      </c>
      <c r="Q745" t="n">
        <v>0</v>
      </c>
      <c r="R745" s="2" t="inlineStr"/>
    </row>
    <row r="746" ht="15" customHeight="1">
      <c r="A746" t="inlineStr">
        <is>
          <t>A 34318-2024</t>
        </is>
      </c>
      <c r="B746" s="1" t="n">
        <v>45524</v>
      </c>
      <c r="C746" s="1" t="n">
        <v>46082</v>
      </c>
      <c r="D746" t="inlineStr">
        <is>
          <t>VÄSTERNORRLANDS LÄN</t>
        </is>
      </c>
      <c r="E746" t="inlineStr">
        <is>
          <t>SOLLEFTEÅ</t>
        </is>
      </c>
      <c r="F746" t="inlineStr">
        <is>
          <t>Övriga statliga verk och myndigheter</t>
        </is>
      </c>
      <c r="G746" t="n">
        <v>0.3</v>
      </c>
      <c r="H746" t="n">
        <v>0</v>
      </c>
      <c r="I746" t="n">
        <v>0</v>
      </c>
      <c r="J746" t="n">
        <v>0</v>
      </c>
      <c r="K746" t="n">
        <v>0</v>
      </c>
      <c r="L746" t="n">
        <v>0</v>
      </c>
      <c r="M746" t="n">
        <v>0</v>
      </c>
      <c r="N746" t="n">
        <v>0</v>
      </c>
      <c r="O746" t="n">
        <v>0</v>
      </c>
      <c r="P746" t="n">
        <v>0</v>
      </c>
      <c r="Q746" t="n">
        <v>0</v>
      </c>
      <c r="R746" s="2" t="inlineStr"/>
    </row>
    <row r="747" ht="15" customHeight="1">
      <c r="A747" t="inlineStr">
        <is>
          <t>A 31554-2024</t>
        </is>
      </c>
      <c r="B747" s="1" t="n">
        <v>45505.96472222222</v>
      </c>
      <c r="C747" s="1" t="n">
        <v>46082</v>
      </c>
      <c r="D747" t="inlineStr">
        <is>
          <t>VÄSTERNORRLANDS LÄN</t>
        </is>
      </c>
      <c r="E747" t="inlineStr">
        <is>
          <t>SOLLEFTEÅ</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31556-2024</t>
        </is>
      </c>
      <c r="B748" s="1" t="n">
        <v>45505</v>
      </c>
      <c r="C748" s="1" t="n">
        <v>46082</v>
      </c>
      <c r="D748" t="inlineStr">
        <is>
          <t>VÄSTERNORRLANDS LÄN</t>
        </is>
      </c>
      <c r="E748" t="inlineStr">
        <is>
          <t>SOLLEFTEÅ</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27377-2024</t>
        </is>
      </c>
      <c r="B749" s="1" t="n">
        <v>45473.88317129629</v>
      </c>
      <c r="C749" s="1" t="n">
        <v>46082</v>
      </c>
      <c r="D749" t="inlineStr">
        <is>
          <t>VÄSTERNORRLANDS LÄN</t>
        </is>
      </c>
      <c r="E749" t="inlineStr">
        <is>
          <t>SOLLEFTEÅ</t>
        </is>
      </c>
      <c r="G749" t="n">
        <v>9.1</v>
      </c>
      <c r="H749" t="n">
        <v>0</v>
      </c>
      <c r="I749" t="n">
        <v>0</v>
      </c>
      <c r="J749" t="n">
        <v>0</v>
      </c>
      <c r="K749" t="n">
        <v>0</v>
      </c>
      <c r="L749" t="n">
        <v>0</v>
      </c>
      <c r="M749" t="n">
        <v>0</v>
      </c>
      <c r="N749" t="n">
        <v>0</v>
      </c>
      <c r="O749" t="n">
        <v>0</v>
      </c>
      <c r="P749" t="n">
        <v>0</v>
      </c>
      <c r="Q749" t="n">
        <v>0</v>
      </c>
      <c r="R749" s="2" t="inlineStr"/>
    </row>
    <row r="750" ht="15" customHeight="1">
      <c r="A750" t="inlineStr">
        <is>
          <t>A 1997-2022</t>
        </is>
      </c>
      <c r="B750" s="1" t="n">
        <v>44575</v>
      </c>
      <c r="C750" s="1" t="n">
        <v>46082</v>
      </c>
      <c r="D750" t="inlineStr">
        <is>
          <t>VÄSTERNORRLANDS LÄN</t>
        </is>
      </c>
      <c r="E750" t="inlineStr">
        <is>
          <t>SOLLEFTEÅ</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29869-2024</t>
        </is>
      </c>
      <c r="B751" s="1" t="n">
        <v>45485.94493055555</v>
      </c>
      <c r="C751" s="1" t="n">
        <v>46082</v>
      </c>
      <c r="D751" t="inlineStr">
        <is>
          <t>VÄSTERNORRLANDS LÄN</t>
        </is>
      </c>
      <c r="E751" t="inlineStr">
        <is>
          <t>SOLLEFTEÅ</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51573-2024</t>
        </is>
      </c>
      <c r="B752" s="1" t="n">
        <v>45604</v>
      </c>
      <c r="C752" s="1" t="n">
        <v>46082</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7330-2023</t>
        </is>
      </c>
      <c r="B753" s="1" t="n">
        <v>44970.97920138889</v>
      </c>
      <c r="C753" s="1" t="n">
        <v>46082</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7333-2023</t>
        </is>
      </c>
      <c r="B754" s="1" t="n">
        <v>44970.97947916666</v>
      </c>
      <c r="C754" s="1" t="n">
        <v>46082</v>
      </c>
      <c r="D754" t="inlineStr">
        <is>
          <t>VÄSTERNORRLANDS LÄN</t>
        </is>
      </c>
      <c r="E754" t="inlineStr">
        <is>
          <t>SOLLEFTEÅ</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35793-2024</t>
        </is>
      </c>
      <c r="B755" s="1" t="n">
        <v>45532</v>
      </c>
      <c r="C755" s="1" t="n">
        <v>46082</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35794-2024</t>
        </is>
      </c>
      <c r="B756" s="1" t="n">
        <v>45532.62974537037</v>
      </c>
      <c r="C756" s="1" t="n">
        <v>46082</v>
      </c>
      <c r="D756" t="inlineStr">
        <is>
          <t>VÄSTERNORRLANDS LÄN</t>
        </is>
      </c>
      <c r="E756" t="inlineStr">
        <is>
          <t>SOLLEFTEÅ</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35795-2024</t>
        </is>
      </c>
      <c r="B757" s="1" t="n">
        <v>45532</v>
      </c>
      <c r="C757" s="1" t="n">
        <v>46082</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35803-2024</t>
        </is>
      </c>
      <c r="B758" s="1" t="n">
        <v>45532.64506944444</v>
      </c>
      <c r="C758" s="1" t="n">
        <v>46082</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27916-2024</t>
        </is>
      </c>
      <c r="B759" s="1" t="n">
        <v>45475.94834490741</v>
      </c>
      <c r="C759" s="1" t="n">
        <v>46082</v>
      </c>
      <c r="D759" t="inlineStr">
        <is>
          <t>VÄSTERNORRLANDS LÄN</t>
        </is>
      </c>
      <c r="E759" t="inlineStr">
        <is>
          <t>SOLLEFTEÅ</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13292-2023</t>
        </is>
      </c>
      <c r="B760" s="1" t="n">
        <v>45004</v>
      </c>
      <c r="C760" s="1" t="n">
        <v>46082</v>
      </c>
      <c r="D760" t="inlineStr">
        <is>
          <t>VÄSTERNORRLANDS LÄN</t>
        </is>
      </c>
      <c r="E760" t="inlineStr">
        <is>
          <t>SOLLEFTEÅ</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35417-2024</t>
        </is>
      </c>
      <c r="B761" s="1" t="n">
        <v>45531.40851851852</v>
      </c>
      <c r="C761" s="1" t="n">
        <v>46082</v>
      </c>
      <c r="D761" t="inlineStr">
        <is>
          <t>VÄSTERNORRLANDS LÄN</t>
        </is>
      </c>
      <c r="E761" t="inlineStr">
        <is>
          <t>SOLLEFTEÅ</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38100-2023</t>
        </is>
      </c>
      <c r="B762" s="1" t="n">
        <v>45160.9647800926</v>
      </c>
      <c r="C762" s="1" t="n">
        <v>46082</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35420-2024</t>
        </is>
      </c>
      <c r="B763" s="1" t="n">
        <v>45531</v>
      </c>
      <c r="C763" s="1" t="n">
        <v>46082</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25363-2024</t>
        </is>
      </c>
      <c r="B764" s="1" t="n">
        <v>45462.95833333334</v>
      </c>
      <c r="C764" s="1" t="n">
        <v>46082</v>
      </c>
      <c r="D764" t="inlineStr">
        <is>
          <t>VÄSTERNORRLANDS LÄN</t>
        </is>
      </c>
      <c r="E764" t="inlineStr">
        <is>
          <t>SOLLEFTEÅ</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25384-2024</t>
        </is>
      </c>
      <c r="B765" s="1" t="n">
        <v>45462.96334490741</v>
      </c>
      <c r="C765" s="1" t="n">
        <v>46082</v>
      </c>
      <c r="D765" t="inlineStr">
        <is>
          <t>VÄSTERNORRLANDS LÄN</t>
        </is>
      </c>
      <c r="E765" t="inlineStr">
        <is>
          <t>SOLLEFTEÅ</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61480-2021</t>
        </is>
      </c>
      <c r="B766" s="1" t="n">
        <v>44500</v>
      </c>
      <c r="C766" s="1" t="n">
        <v>46082</v>
      </c>
      <c r="D766" t="inlineStr">
        <is>
          <t>VÄSTERNORRLANDS LÄN</t>
        </is>
      </c>
      <c r="E766" t="inlineStr">
        <is>
          <t>SOLLEFTEÅ</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58276-2021</t>
        </is>
      </c>
      <c r="B767" s="1" t="n">
        <v>44487.94453703704</v>
      </c>
      <c r="C767" s="1" t="n">
        <v>46082</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282-2023</t>
        </is>
      </c>
      <c r="B768" s="1" t="n">
        <v>44928</v>
      </c>
      <c r="C768" s="1" t="n">
        <v>46082</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56176-2022</t>
        </is>
      </c>
      <c r="B769" s="1" t="n">
        <v>44889.94862268519</v>
      </c>
      <c r="C769" s="1" t="n">
        <v>46082</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32140-2024</t>
        </is>
      </c>
      <c r="B770" s="1" t="n">
        <v>45511.54391203704</v>
      </c>
      <c r="C770" s="1" t="n">
        <v>46082</v>
      </c>
      <c r="D770" t="inlineStr">
        <is>
          <t>VÄSTERNORRLANDS LÄN</t>
        </is>
      </c>
      <c r="E770" t="inlineStr">
        <is>
          <t>SOLLEFTEÅ</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6066-2024</t>
        </is>
      </c>
      <c r="B771" s="1" t="n">
        <v>45336.88386574074</v>
      </c>
      <c r="C771" s="1" t="n">
        <v>46082</v>
      </c>
      <c r="D771" t="inlineStr">
        <is>
          <t>VÄSTERNORRLANDS LÄN</t>
        </is>
      </c>
      <c r="E771" t="inlineStr">
        <is>
          <t>SOLLEFTEÅ</t>
        </is>
      </c>
      <c r="F771" t="inlineStr">
        <is>
          <t>Övriga Aktiebolag</t>
        </is>
      </c>
      <c r="G771" t="n">
        <v>14.8</v>
      </c>
      <c r="H771" t="n">
        <v>0</v>
      </c>
      <c r="I771" t="n">
        <v>0</v>
      </c>
      <c r="J771" t="n">
        <v>0</v>
      </c>
      <c r="K771" t="n">
        <v>0</v>
      </c>
      <c r="L771" t="n">
        <v>0</v>
      </c>
      <c r="M771" t="n">
        <v>0</v>
      </c>
      <c r="N771" t="n">
        <v>0</v>
      </c>
      <c r="O771" t="n">
        <v>0</v>
      </c>
      <c r="P771" t="n">
        <v>0</v>
      </c>
      <c r="Q771" t="n">
        <v>0</v>
      </c>
      <c r="R771" s="2" t="inlineStr"/>
    </row>
    <row r="772" ht="15" customHeight="1">
      <c r="A772" t="inlineStr">
        <is>
          <t>A 34765-2024</t>
        </is>
      </c>
      <c r="B772" s="1" t="n">
        <v>45526</v>
      </c>
      <c r="C772" s="1" t="n">
        <v>46082</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26955-2024</t>
        </is>
      </c>
      <c r="B773" s="1" t="n">
        <v>45470.97040509259</v>
      </c>
      <c r="C773" s="1" t="n">
        <v>46082</v>
      </c>
      <c r="D773" t="inlineStr">
        <is>
          <t>VÄSTERNORRLANDS LÄN</t>
        </is>
      </c>
      <c r="E773" t="inlineStr">
        <is>
          <t>SOLLEFTEÅ</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51029-2021</t>
        </is>
      </c>
      <c r="B774" s="1" t="n">
        <v>44460.94086805556</v>
      </c>
      <c r="C774" s="1" t="n">
        <v>46082</v>
      </c>
      <c r="D774" t="inlineStr">
        <is>
          <t>VÄSTERNORRLANDS LÄN</t>
        </is>
      </c>
      <c r="E774" t="inlineStr">
        <is>
          <t>SOLLEFTEÅ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55440-2024</t>
        </is>
      </c>
      <c r="B775" s="1" t="n">
        <v>45622.40679398148</v>
      </c>
      <c r="C775" s="1" t="n">
        <v>46082</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60170-2022</t>
        </is>
      </c>
      <c r="B776" s="1" t="n">
        <v>44909</v>
      </c>
      <c r="C776" s="1" t="n">
        <v>46082</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58694-2024</t>
        </is>
      </c>
      <c r="B777" s="1" t="n">
        <v>45635.63575231482</v>
      </c>
      <c r="C777" s="1" t="n">
        <v>46082</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52035-2022</t>
        </is>
      </c>
      <c r="B778" s="1" t="n">
        <v>44872</v>
      </c>
      <c r="C778" s="1" t="n">
        <v>46082</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18621-2024</t>
        </is>
      </c>
      <c r="B779" s="1" t="n">
        <v>45425</v>
      </c>
      <c r="C779" s="1" t="n">
        <v>46082</v>
      </c>
      <c r="D779" t="inlineStr">
        <is>
          <t>VÄSTERNORRLANDS LÄN</t>
        </is>
      </c>
      <c r="E779" t="inlineStr">
        <is>
          <t>SOLLEFTEÅ</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18622-2024</t>
        </is>
      </c>
      <c r="B780" s="1" t="n">
        <v>45425.96364583333</v>
      </c>
      <c r="C780" s="1" t="n">
        <v>46082</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61997-2022</t>
        </is>
      </c>
      <c r="B781" s="1" t="n">
        <v>44914</v>
      </c>
      <c r="C781" s="1" t="n">
        <v>46082</v>
      </c>
      <c r="D781" t="inlineStr">
        <is>
          <t>VÄSTERNORRLANDS LÄN</t>
        </is>
      </c>
      <c r="E781" t="inlineStr">
        <is>
          <t>SOLLEFTEÅ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20799-2024</t>
        </is>
      </c>
      <c r="B782" s="1" t="n">
        <v>45438</v>
      </c>
      <c r="C782" s="1" t="n">
        <v>46082</v>
      </c>
      <c r="D782" t="inlineStr">
        <is>
          <t>VÄSTERNORRLANDS LÄN</t>
        </is>
      </c>
      <c r="E782" t="inlineStr">
        <is>
          <t>SOLLEFTEÅ</t>
        </is>
      </c>
      <c r="F782" t="inlineStr">
        <is>
          <t>SCA</t>
        </is>
      </c>
      <c r="G782" t="n">
        <v>0.1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46082</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33134-2024</t>
        </is>
      </c>
      <c r="B784" s="1" t="n">
        <v>45518</v>
      </c>
      <c r="C784" s="1" t="n">
        <v>46082</v>
      </c>
      <c r="D784" t="inlineStr">
        <is>
          <t>VÄSTERNORRLANDS LÄN</t>
        </is>
      </c>
      <c r="E784" t="inlineStr">
        <is>
          <t>SOLLEFTEÅ</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33141-2024</t>
        </is>
      </c>
      <c r="B785" s="1" t="n">
        <v>45518</v>
      </c>
      <c r="C785" s="1" t="n">
        <v>46082</v>
      </c>
      <c r="D785" t="inlineStr">
        <is>
          <t>VÄSTERNORRLANDS LÄN</t>
        </is>
      </c>
      <c r="E785" t="inlineStr">
        <is>
          <t>SOLLEFTEÅ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23285-2023</t>
        </is>
      </c>
      <c r="B786" s="1" t="n">
        <v>45075</v>
      </c>
      <c r="C786" s="1" t="n">
        <v>46082</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600-2025</t>
        </is>
      </c>
      <c r="B787" s="1" t="n">
        <v>45664.59428240741</v>
      </c>
      <c r="C787" s="1" t="n">
        <v>46082</v>
      </c>
      <c r="D787" t="inlineStr">
        <is>
          <t>VÄSTERNORRLANDS LÄN</t>
        </is>
      </c>
      <c r="E787" t="inlineStr">
        <is>
          <t>SOLLEFTEÅ</t>
        </is>
      </c>
      <c r="F787" t="inlineStr">
        <is>
          <t>SCA</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27789-2024</t>
        </is>
      </c>
      <c r="B788" s="1" t="n">
        <v>45475</v>
      </c>
      <c r="C788" s="1" t="n">
        <v>46082</v>
      </c>
      <c r="D788" t="inlineStr">
        <is>
          <t>VÄSTERNORRLANDS LÄN</t>
        </is>
      </c>
      <c r="E788" t="inlineStr">
        <is>
          <t>SOLLEFTEÅ</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43177-2023</t>
        </is>
      </c>
      <c r="B789" s="1" t="n">
        <v>45181</v>
      </c>
      <c r="C789" s="1" t="n">
        <v>46082</v>
      </c>
      <c r="D789" t="inlineStr">
        <is>
          <t>VÄSTERNORRLANDS LÄN</t>
        </is>
      </c>
      <c r="E789" t="inlineStr">
        <is>
          <t>SOLLEFTEÅ</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33312-2024</t>
        </is>
      </c>
      <c r="B790" s="1" t="n">
        <v>45518.97113425926</v>
      </c>
      <c r="C790" s="1" t="n">
        <v>46082</v>
      </c>
      <c r="D790" t="inlineStr">
        <is>
          <t>VÄSTERNORRLANDS LÄN</t>
        </is>
      </c>
      <c r="E790" t="inlineStr">
        <is>
          <t>SOLLEFTEÅ</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11551-2023</t>
        </is>
      </c>
      <c r="B791" s="1" t="n">
        <v>44993</v>
      </c>
      <c r="C791" s="1" t="n">
        <v>46082</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279-2023</t>
        </is>
      </c>
      <c r="B792" s="1" t="n">
        <v>44928</v>
      </c>
      <c r="C792" s="1" t="n">
        <v>46082</v>
      </c>
      <c r="D792" t="inlineStr">
        <is>
          <t>VÄSTERNORRLANDS LÄN</t>
        </is>
      </c>
      <c r="E792" t="inlineStr">
        <is>
          <t>SOLLEFTEÅ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10093-2023</t>
        </is>
      </c>
      <c r="B793" s="1" t="n">
        <v>44985</v>
      </c>
      <c r="C793" s="1" t="n">
        <v>46082</v>
      </c>
      <c r="D793" t="inlineStr">
        <is>
          <t>VÄSTERNORRLANDS LÄN</t>
        </is>
      </c>
      <c r="E793" t="inlineStr">
        <is>
          <t>SOLLEFTEÅ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10094-2023</t>
        </is>
      </c>
      <c r="B794" s="1" t="n">
        <v>44985</v>
      </c>
      <c r="C794" s="1" t="n">
        <v>46082</v>
      </c>
      <c r="D794" t="inlineStr">
        <is>
          <t>VÄSTERNORRLANDS LÄN</t>
        </is>
      </c>
      <c r="E794" t="inlineStr">
        <is>
          <t>SOLLEFTEÅ</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60171-2022</t>
        </is>
      </c>
      <c r="B795" s="1" t="n">
        <v>44909</v>
      </c>
      <c r="C795" s="1" t="n">
        <v>46082</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52718-2022</t>
        </is>
      </c>
      <c r="B796" s="1" t="n">
        <v>44874</v>
      </c>
      <c r="C796" s="1" t="n">
        <v>46082</v>
      </c>
      <c r="D796" t="inlineStr">
        <is>
          <t>VÄSTERNORRLANDS LÄN</t>
        </is>
      </c>
      <c r="E796" t="inlineStr">
        <is>
          <t>SOLLEFTEÅ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2431-2025</t>
        </is>
      </c>
      <c r="B797" s="1" t="n">
        <v>45674.40692129629</v>
      </c>
      <c r="C797" s="1" t="n">
        <v>46082</v>
      </c>
      <c r="D797" t="inlineStr">
        <is>
          <t>VÄSTERNORRLANDS LÄN</t>
        </is>
      </c>
      <c r="E797" t="inlineStr">
        <is>
          <t>SOLLEFTEÅ</t>
        </is>
      </c>
      <c r="F797" t="inlineStr">
        <is>
          <t>SCA</t>
        </is>
      </c>
      <c r="G797" t="n">
        <v>19.2</v>
      </c>
      <c r="H797" t="n">
        <v>0</v>
      </c>
      <c r="I797" t="n">
        <v>0</v>
      </c>
      <c r="J797" t="n">
        <v>0</v>
      </c>
      <c r="K797" t="n">
        <v>0</v>
      </c>
      <c r="L797" t="n">
        <v>0</v>
      </c>
      <c r="M797" t="n">
        <v>0</v>
      </c>
      <c r="N797" t="n">
        <v>0</v>
      </c>
      <c r="O797" t="n">
        <v>0</v>
      </c>
      <c r="P797" t="n">
        <v>0</v>
      </c>
      <c r="Q797" t="n">
        <v>0</v>
      </c>
      <c r="R797" s="2" t="inlineStr"/>
    </row>
    <row r="798" ht="15" customHeight="1">
      <c r="A798" t="inlineStr">
        <is>
          <t>A 3234-2024</t>
        </is>
      </c>
      <c r="B798" s="1" t="n">
        <v>45316.94708333333</v>
      </c>
      <c r="C798" s="1" t="n">
        <v>46082</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59474-2024</t>
        </is>
      </c>
      <c r="B799" s="1" t="n">
        <v>45638.504375</v>
      </c>
      <c r="C799" s="1" t="n">
        <v>46082</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25854-2025</t>
        </is>
      </c>
      <c r="B800" s="1" t="n">
        <v>45804.46920138889</v>
      </c>
      <c r="C800" s="1" t="n">
        <v>46082</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42950-2024</t>
        </is>
      </c>
      <c r="B801" s="1" t="n">
        <v>45567.36657407408</v>
      </c>
      <c r="C801" s="1" t="n">
        <v>46082</v>
      </c>
      <c r="D801" t="inlineStr">
        <is>
          <t>VÄSTERNORRLANDS LÄN</t>
        </is>
      </c>
      <c r="E801" t="inlineStr">
        <is>
          <t>SOLLEFTEÅ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38562-2025</t>
        </is>
      </c>
      <c r="B802" s="1" t="n">
        <v>45884.44865740741</v>
      </c>
      <c r="C802" s="1" t="n">
        <v>46082</v>
      </c>
      <c r="D802" t="inlineStr">
        <is>
          <t>VÄSTERNORRLANDS LÄN</t>
        </is>
      </c>
      <c r="E802" t="inlineStr">
        <is>
          <t>SOLLEFTEÅ</t>
        </is>
      </c>
      <c r="G802" t="n">
        <v>7.1</v>
      </c>
      <c r="H802" t="n">
        <v>0</v>
      </c>
      <c r="I802" t="n">
        <v>0</v>
      </c>
      <c r="J802" t="n">
        <v>0</v>
      </c>
      <c r="K802" t="n">
        <v>0</v>
      </c>
      <c r="L802" t="n">
        <v>0</v>
      </c>
      <c r="M802" t="n">
        <v>0</v>
      </c>
      <c r="N802" t="n">
        <v>0</v>
      </c>
      <c r="O802" t="n">
        <v>0</v>
      </c>
      <c r="P802" t="n">
        <v>0</v>
      </c>
      <c r="Q802" t="n">
        <v>0</v>
      </c>
      <c r="R802" s="2" t="inlineStr"/>
    </row>
    <row r="803" ht="15" customHeight="1">
      <c r="A803" t="inlineStr">
        <is>
          <t>A 23527-2023</t>
        </is>
      </c>
      <c r="B803" s="1" t="n">
        <v>45076</v>
      </c>
      <c r="C803" s="1" t="n">
        <v>46082</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61611-2024</t>
        </is>
      </c>
      <c r="B804" s="1" t="n">
        <v>45645</v>
      </c>
      <c r="C804" s="1" t="n">
        <v>46082</v>
      </c>
      <c r="D804" t="inlineStr">
        <is>
          <t>VÄSTERNORRLANDS LÄN</t>
        </is>
      </c>
      <c r="E804" t="inlineStr">
        <is>
          <t>SOLLEFTEÅ</t>
        </is>
      </c>
      <c r="G804" t="n">
        <v>13.9</v>
      </c>
      <c r="H804" t="n">
        <v>0</v>
      </c>
      <c r="I804" t="n">
        <v>0</v>
      </c>
      <c r="J804" t="n">
        <v>0</v>
      </c>
      <c r="K804" t="n">
        <v>0</v>
      </c>
      <c r="L804" t="n">
        <v>0</v>
      </c>
      <c r="M804" t="n">
        <v>0</v>
      </c>
      <c r="N804" t="n">
        <v>0</v>
      </c>
      <c r="O804" t="n">
        <v>0</v>
      </c>
      <c r="P804" t="n">
        <v>0</v>
      </c>
      <c r="Q804" t="n">
        <v>0</v>
      </c>
      <c r="R804" s="2" t="inlineStr"/>
    </row>
    <row r="805" ht="15" customHeight="1">
      <c r="A805" t="inlineStr">
        <is>
          <t>A 38220-2025</t>
        </is>
      </c>
      <c r="B805" s="1" t="n">
        <v>45883.34418981482</v>
      </c>
      <c r="C805" s="1" t="n">
        <v>46082</v>
      </c>
      <c r="D805" t="inlineStr">
        <is>
          <t>VÄSTERNORRLANDS LÄN</t>
        </is>
      </c>
      <c r="E805" t="inlineStr">
        <is>
          <t>SOLLEFTEÅ</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38053-2024</t>
        </is>
      </c>
      <c r="B806" s="1" t="n">
        <v>45544.71903935185</v>
      </c>
      <c r="C806" s="1" t="n">
        <v>46082</v>
      </c>
      <c r="D806" t="inlineStr">
        <is>
          <t>VÄSTERNORRLANDS LÄN</t>
        </is>
      </c>
      <c r="E806" t="inlineStr">
        <is>
          <t>SOLLEFTEÅ</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38561-2025</t>
        </is>
      </c>
      <c r="B807" s="1" t="n">
        <v>45884.44849537037</v>
      </c>
      <c r="C807" s="1" t="n">
        <v>46082</v>
      </c>
      <c r="D807" t="inlineStr">
        <is>
          <t>VÄSTERNORRLANDS LÄN</t>
        </is>
      </c>
      <c r="E807" t="inlineStr">
        <is>
          <t>SOLLEFTEÅ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38330-2025</t>
        </is>
      </c>
      <c r="B808" s="1" t="n">
        <v>45883.49123842592</v>
      </c>
      <c r="C808" s="1" t="n">
        <v>46082</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38768-2024</t>
        </is>
      </c>
      <c r="B809" s="1" t="n">
        <v>45547.44892361111</v>
      </c>
      <c r="C809" s="1" t="n">
        <v>46082</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38492-2025</t>
        </is>
      </c>
      <c r="B810" s="1" t="n">
        <v>45884.36496527777</v>
      </c>
      <c r="C810" s="1" t="n">
        <v>46082</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30464-2024</t>
        </is>
      </c>
      <c r="B811" s="1" t="n">
        <v>45491.94599537037</v>
      </c>
      <c r="C811" s="1" t="n">
        <v>46082</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30466-2024</t>
        </is>
      </c>
      <c r="B812" s="1" t="n">
        <v>45491.94641203704</v>
      </c>
      <c r="C812" s="1" t="n">
        <v>46082</v>
      </c>
      <c r="D812" t="inlineStr">
        <is>
          <t>VÄSTERNORRLANDS LÄN</t>
        </is>
      </c>
      <c r="E812" t="inlineStr">
        <is>
          <t>SOLLEFTEÅ</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73564-2021</t>
        </is>
      </c>
      <c r="B813" s="1" t="n">
        <v>44551.9409375</v>
      </c>
      <c r="C813" s="1" t="n">
        <v>46082</v>
      </c>
      <c r="D813" t="inlineStr">
        <is>
          <t>VÄSTERNORRLANDS LÄN</t>
        </is>
      </c>
      <c r="E813" t="inlineStr">
        <is>
          <t>SOLLEFTEÅ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38581-2025</t>
        </is>
      </c>
      <c r="B814" s="1" t="n">
        <v>45884.46965277778</v>
      </c>
      <c r="C814" s="1" t="n">
        <v>46082</v>
      </c>
      <c r="D814" t="inlineStr">
        <is>
          <t>VÄSTERNORRLANDS LÄN</t>
        </is>
      </c>
      <c r="E814" t="inlineStr">
        <is>
          <t>SOLLEFTEÅ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38596-2025</t>
        </is>
      </c>
      <c r="B815" s="1" t="n">
        <v>45884.49040509259</v>
      </c>
      <c r="C815" s="1" t="n">
        <v>46082</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38598-2025</t>
        </is>
      </c>
      <c r="B816" s="1" t="n">
        <v>45884.49074074074</v>
      </c>
      <c r="C816" s="1" t="n">
        <v>46082</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73367-2021</t>
        </is>
      </c>
      <c r="B817" s="1" t="n">
        <v>44550</v>
      </c>
      <c r="C817" s="1" t="n">
        <v>46082</v>
      </c>
      <c r="D817" t="inlineStr">
        <is>
          <t>VÄSTERNORRLANDS LÄN</t>
        </is>
      </c>
      <c r="E817" t="inlineStr">
        <is>
          <t>SOLLEFTEÅ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38507-2025</t>
        </is>
      </c>
      <c r="B818" s="1" t="n">
        <v>45884.38591435185</v>
      </c>
      <c r="C818" s="1" t="n">
        <v>46082</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26088-2025</t>
        </is>
      </c>
      <c r="B819" s="1" t="n">
        <v>45805.34497685185</v>
      </c>
      <c r="C819" s="1" t="n">
        <v>46082</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40211-2024</t>
        </is>
      </c>
      <c r="B820" s="1" t="n">
        <v>45554.59435185185</v>
      </c>
      <c r="C820" s="1" t="n">
        <v>46082</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15872-2024</t>
        </is>
      </c>
      <c r="B821" s="1" t="n">
        <v>45405</v>
      </c>
      <c r="C821" s="1" t="n">
        <v>46082</v>
      </c>
      <c r="D821" t="inlineStr">
        <is>
          <t>VÄSTERNORRLANDS LÄN</t>
        </is>
      </c>
      <c r="E821" t="inlineStr">
        <is>
          <t>SOLLEFTEÅ</t>
        </is>
      </c>
      <c r="G821" t="n">
        <v>7.1</v>
      </c>
      <c r="H821" t="n">
        <v>0</v>
      </c>
      <c r="I821" t="n">
        <v>0</v>
      </c>
      <c r="J821" t="n">
        <v>0</v>
      </c>
      <c r="K821" t="n">
        <v>0</v>
      </c>
      <c r="L821" t="n">
        <v>0</v>
      </c>
      <c r="M821" t="n">
        <v>0</v>
      </c>
      <c r="N821" t="n">
        <v>0</v>
      </c>
      <c r="O821" t="n">
        <v>0</v>
      </c>
      <c r="P821" t="n">
        <v>0</v>
      </c>
      <c r="Q821" t="n">
        <v>0</v>
      </c>
      <c r="R821" s="2" t="inlineStr"/>
    </row>
    <row r="822" ht="15" customHeight="1">
      <c r="A822" t="inlineStr">
        <is>
          <t>A 61384-2022</t>
        </is>
      </c>
      <c r="B822" s="1" t="n">
        <v>44915</v>
      </c>
      <c r="C822" s="1" t="n">
        <v>46082</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26478-2025</t>
        </is>
      </c>
      <c r="B823" s="1" t="n">
        <v>45807.47013888889</v>
      </c>
      <c r="C823" s="1" t="n">
        <v>46082</v>
      </c>
      <c r="D823" t="inlineStr">
        <is>
          <t>VÄSTERNORRLANDS LÄN</t>
        </is>
      </c>
      <c r="E823" t="inlineStr">
        <is>
          <t>SOLLEFTEÅ</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59038-2022</t>
        </is>
      </c>
      <c r="B824" s="1" t="n">
        <v>44903.9496412037</v>
      </c>
      <c r="C824" s="1" t="n">
        <v>46082</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34560-2024</t>
        </is>
      </c>
      <c r="B825" s="1" t="n">
        <v>45526.31116898148</v>
      </c>
      <c r="C825" s="1" t="n">
        <v>46082</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38958-2025</t>
        </is>
      </c>
      <c r="B826" s="1" t="n">
        <v>45887.67751157407</v>
      </c>
      <c r="C826" s="1" t="n">
        <v>46082</v>
      </c>
      <c r="D826" t="inlineStr">
        <is>
          <t>VÄSTERNORRLANDS LÄN</t>
        </is>
      </c>
      <c r="E826" t="inlineStr">
        <is>
          <t>SOLLEFTEÅ</t>
        </is>
      </c>
      <c r="F826" t="inlineStr">
        <is>
          <t>SCA</t>
        </is>
      </c>
      <c r="G826" t="n">
        <v>9.1</v>
      </c>
      <c r="H826" t="n">
        <v>0</v>
      </c>
      <c r="I826" t="n">
        <v>0</v>
      </c>
      <c r="J826" t="n">
        <v>0</v>
      </c>
      <c r="K826" t="n">
        <v>0</v>
      </c>
      <c r="L826" t="n">
        <v>0</v>
      </c>
      <c r="M826" t="n">
        <v>0</v>
      </c>
      <c r="N826" t="n">
        <v>0</v>
      </c>
      <c r="O826" t="n">
        <v>0</v>
      </c>
      <c r="P826" t="n">
        <v>0</v>
      </c>
      <c r="Q826" t="n">
        <v>0</v>
      </c>
      <c r="R826" s="2" t="inlineStr"/>
    </row>
    <row r="827" ht="15" customHeight="1">
      <c r="A827" t="inlineStr">
        <is>
          <t>A 39195-2025</t>
        </is>
      </c>
      <c r="B827" s="1" t="n">
        <v>45888</v>
      </c>
      <c r="C827" s="1" t="n">
        <v>46082</v>
      </c>
      <c r="D827" t="inlineStr">
        <is>
          <t>VÄSTERNORRLANDS LÄN</t>
        </is>
      </c>
      <c r="E827" t="inlineStr">
        <is>
          <t>SOLLEFTEÅ</t>
        </is>
      </c>
      <c r="G827" t="n">
        <v>4.7</v>
      </c>
      <c r="H827" t="n">
        <v>0</v>
      </c>
      <c r="I827" t="n">
        <v>0</v>
      </c>
      <c r="J827" t="n">
        <v>0</v>
      </c>
      <c r="K827" t="n">
        <v>0</v>
      </c>
      <c r="L827" t="n">
        <v>0</v>
      </c>
      <c r="M827" t="n">
        <v>0</v>
      </c>
      <c r="N827" t="n">
        <v>0</v>
      </c>
      <c r="O827" t="n">
        <v>0</v>
      </c>
      <c r="P827" t="n">
        <v>0</v>
      </c>
      <c r="Q827" t="n">
        <v>0</v>
      </c>
      <c r="R827" s="2" t="inlineStr"/>
    </row>
    <row r="828" ht="15" customHeight="1">
      <c r="A828" t="inlineStr">
        <is>
          <t>A 34388-2024</t>
        </is>
      </c>
      <c r="B828" s="1" t="n">
        <v>45525</v>
      </c>
      <c r="C828" s="1" t="n">
        <v>46082</v>
      </c>
      <c r="D828" t="inlineStr">
        <is>
          <t>VÄSTERNORRLANDS LÄN</t>
        </is>
      </c>
      <c r="E828" t="inlineStr">
        <is>
          <t>SOLLEFTEÅ</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33241-2024</t>
        </is>
      </c>
      <c r="B829" s="1" t="n">
        <v>45518.60484953703</v>
      </c>
      <c r="C829" s="1" t="n">
        <v>46082</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50226-2023</t>
        </is>
      </c>
      <c r="B830" s="1" t="n">
        <v>45215.94767361111</v>
      </c>
      <c r="C830" s="1" t="n">
        <v>46082</v>
      </c>
      <c r="D830" t="inlineStr">
        <is>
          <t>VÄSTERNORRLANDS LÄN</t>
        </is>
      </c>
      <c r="E830" t="inlineStr">
        <is>
          <t>SOLLEFTEÅ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38959-2025</t>
        </is>
      </c>
      <c r="B831" s="1" t="n">
        <v>45887.67769675926</v>
      </c>
      <c r="C831" s="1" t="n">
        <v>46082</v>
      </c>
      <c r="D831" t="inlineStr">
        <is>
          <t>VÄSTERNORRLANDS LÄN</t>
        </is>
      </c>
      <c r="E831" t="inlineStr">
        <is>
          <t>SOLLEFTEÅ</t>
        </is>
      </c>
      <c r="F831" t="inlineStr">
        <is>
          <t>SCA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26426-2025</t>
        </is>
      </c>
      <c r="B832" s="1" t="n">
        <v>45807.38574074074</v>
      </c>
      <c r="C832" s="1" t="n">
        <v>46082</v>
      </c>
      <c r="D832" t="inlineStr">
        <is>
          <t>VÄSTERNORRLANDS LÄN</t>
        </is>
      </c>
      <c r="E832" t="inlineStr">
        <is>
          <t>SOLLEFTEÅ</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49629-2024</t>
        </is>
      </c>
      <c r="B833" s="1" t="n">
        <v>45596</v>
      </c>
      <c r="C833" s="1" t="n">
        <v>46082</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13492-2022</t>
        </is>
      </c>
      <c r="B834" s="1" t="n">
        <v>44646.92120370371</v>
      </c>
      <c r="C834" s="1" t="n">
        <v>46082</v>
      </c>
      <c r="D834" t="inlineStr">
        <is>
          <t>VÄSTERNORRLANDS LÄN</t>
        </is>
      </c>
      <c r="E834" t="inlineStr">
        <is>
          <t>SOLLEFTEÅ</t>
        </is>
      </c>
      <c r="G834" t="n">
        <v>8.4</v>
      </c>
      <c r="H834" t="n">
        <v>0</v>
      </c>
      <c r="I834" t="n">
        <v>0</v>
      </c>
      <c r="J834" t="n">
        <v>0</v>
      </c>
      <c r="K834" t="n">
        <v>0</v>
      </c>
      <c r="L834" t="n">
        <v>0</v>
      </c>
      <c r="M834" t="n">
        <v>0</v>
      </c>
      <c r="N834" t="n">
        <v>0</v>
      </c>
      <c r="O834" t="n">
        <v>0</v>
      </c>
      <c r="P834" t="n">
        <v>0</v>
      </c>
      <c r="Q834" t="n">
        <v>0</v>
      </c>
      <c r="R834" s="2" t="inlineStr"/>
    </row>
    <row r="835" ht="15" customHeight="1">
      <c r="A835" t="inlineStr">
        <is>
          <t>A 40819-2024</t>
        </is>
      </c>
      <c r="B835" s="1" t="n">
        <v>45558.55271990741</v>
      </c>
      <c r="C835" s="1" t="n">
        <v>46082</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26570-2025</t>
        </is>
      </c>
      <c r="B836" s="1" t="n">
        <v>45807.67743055556</v>
      </c>
      <c r="C836" s="1" t="n">
        <v>46082</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31453-2022</t>
        </is>
      </c>
      <c r="B837" s="1" t="n">
        <v>44774.94159722222</v>
      </c>
      <c r="C837" s="1" t="n">
        <v>46082</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22473-2024</t>
        </is>
      </c>
      <c r="B838" s="1" t="n">
        <v>45446</v>
      </c>
      <c r="C838" s="1" t="n">
        <v>46082</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38931-2025</t>
        </is>
      </c>
      <c r="B839" s="1" t="n">
        <v>45887.63664351852</v>
      </c>
      <c r="C839" s="1" t="n">
        <v>46082</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26642-2025</t>
        </is>
      </c>
      <c r="B840" s="1" t="n">
        <v>45810.36521990741</v>
      </c>
      <c r="C840" s="1" t="n">
        <v>46082</v>
      </c>
      <c r="D840" t="inlineStr">
        <is>
          <t>VÄSTERNORRLANDS LÄN</t>
        </is>
      </c>
      <c r="E840" t="inlineStr">
        <is>
          <t>SOLLEFTEÅ</t>
        </is>
      </c>
      <c r="G840" t="n">
        <v>4.2</v>
      </c>
      <c r="H840" t="n">
        <v>0</v>
      </c>
      <c r="I840" t="n">
        <v>0</v>
      </c>
      <c r="J840" t="n">
        <v>0</v>
      </c>
      <c r="K840" t="n">
        <v>0</v>
      </c>
      <c r="L840" t="n">
        <v>0</v>
      </c>
      <c r="M840" t="n">
        <v>0</v>
      </c>
      <c r="N840" t="n">
        <v>0</v>
      </c>
      <c r="O840" t="n">
        <v>0</v>
      </c>
      <c r="P840" t="n">
        <v>0</v>
      </c>
      <c r="Q840" t="n">
        <v>0</v>
      </c>
      <c r="R840" s="2" t="inlineStr"/>
    </row>
    <row r="841" ht="15" customHeight="1">
      <c r="A841" t="inlineStr">
        <is>
          <t>A 26409-2025</t>
        </is>
      </c>
      <c r="B841" s="1" t="n">
        <v>45807.344375</v>
      </c>
      <c r="C841" s="1" t="n">
        <v>46082</v>
      </c>
      <c r="D841" t="inlineStr">
        <is>
          <t>VÄSTERNORRLANDS LÄN</t>
        </is>
      </c>
      <c r="E841" t="inlineStr">
        <is>
          <t>SOLLEFTEÅ</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14612-2025</t>
        </is>
      </c>
      <c r="B842" s="1" t="n">
        <v>45742</v>
      </c>
      <c r="C842" s="1" t="n">
        <v>46082</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14656-2025</t>
        </is>
      </c>
      <c r="B843" s="1" t="n">
        <v>45742.51074074074</v>
      </c>
      <c r="C843" s="1" t="n">
        <v>46082</v>
      </c>
      <c r="D843" t="inlineStr">
        <is>
          <t>VÄSTERNORRLANDS LÄN</t>
        </is>
      </c>
      <c r="E843" t="inlineStr">
        <is>
          <t>SOLLEFTEÅ</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26477-2025</t>
        </is>
      </c>
      <c r="B844" s="1" t="n">
        <v>45807.47011574074</v>
      </c>
      <c r="C844" s="1" t="n">
        <v>46082</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64133-2023</t>
        </is>
      </c>
      <c r="B845" s="1" t="n">
        <v>45279</v>
      </c>
      <c r="C845" s="1" t="n">
        <v>46082</v>
      </c>
      <c r="D845" t="inlineStr">
        <is>
          <t>VÄSTERNORRLANDS LÄN</t>
        </is>
      </c>
      <c r="E845" t="inlineStr">
        <is>
          <t>SOLLEFTEÅ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14109-2023</t>
        </is>
      </c>
      <c r="B846" s="1" t="n">
        <v>45008</v>
      </c>
      <c r="C846" s="1" t="n">
        <v>46082</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26641-2025</t>
        </is>
      </c>
      <c r="B847" s="1" t="n">
        <v>45810.36509259259</v>
      </c>
      <c r="C847" s="1" t="n">
        <v>46082</v>
      </c>
      <c r="D847" t="inlineStr">
        <is>
          <t>VÄSTERNORRLANDS LÄN</t>
        </is>
      </c>
      <c r="E847" t="inlineStr">
        <is>
          <t>SOLLEFTEÅ</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46082</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26733-2025</t>
        </is>
      </c>
      <c r="B849" s="1" t="n">
        <v>45810.51078703703</v>
      </c>
      <c r="C849" s="1" t="n">
        <v>46082</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38910-2025</t>
        </is>
      </c>
      <c r="B850" s="1" t="n">
        <v>45887.61509259259</v>
      </c>
      <c r="C850" s="1" t="n">
        <v>46082</v>
      </c>
      <c r="D850" t="inlineStr">
        <is>
          <t>VÄSTERNORRLANDS LÄN</t>
        </is>
      </c>
      <c r="E850" t="inlineStr">
        <is>
          <t>SOLLEFTEÅ</t>
        </is>
      </c>
      <c r="G850" t="n">
        <v>3.2</v>
      </c>
      <c r="H850" t="n">
        <v>0</v>
      </c>
      <c r="I850" t="n">
        <v>0</v>
      </c>
      <c r="J850" t="n">
        <v>0</v>
      </c>
      <c r="K850" t="n">
        <v>0</v>
      </c>
      <c r="L850" t="n">
        <v>0</v>
      </c>
      <c r="M850" t="n">
        <v>0</v>
      </c>
      <c r="N850" t="n">
        <v>0</v>
      </c>
      <c r="O850" t="n">
        <v>0</v>
      </c>
      <c r="P850" t="n">
        <v>0</v>
      </c>
      <c r="Q850" t="n">
        <v>0</v>
      </c>
      <c r="R850" s="2" t="inlineStr"/>
    </row>
    <row r="851" ht="15" customHeight="1">
      <c r="A851" t="inlineStr">
        <is>
          <t>A 47965-2024</t>
        </is>
      </c>
      <c r="B851" s="1" t="n">
        <v>45589.38638888889</v>
      </c>
      <c r="C851" s="1" t="n">
        <v>46082</v>
      </c>
      <c r="D851" t="inlineStr">
        <is>
          <t>VÄSTERNORRLANDS LÄN</t>
        </is>
      </c>
      <c r="E851" t="inlineStr">
        <is>
          <t>SOLLEFTEÅ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51544-2022</t>
        </is>
      </c>
      <c r="B852" s="1" t="n">
        <v>44869</v>
      </c>
      <c r="C852" s="1" t="n">
        <v>46082</v>
      </c>
      <c r="D852" t="inlineStr">
        <is>
          <t>VÄSTERNORRLANDS LÄN</t>
        </is>
      </c>
      <c r="E852" t="inlineStr">
        <is>
          <t>SOLLEFTEÅ</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32071-2024</t>
        </is>
      </c>
      <c r="B853" s="1" t="n">
        <v>45510.97246527778</v>
      </c>
      <c r="C853" s="1" t="n">
        <v>46082</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40679-2024</t>
        </is>
      </c>
      <c r="B854" s="1" t="n">
        <v>45558</v>
      </c>
      <c r="C854" s="1" t="n">
        <v>46082</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7258-2024</t>
        </is>
      </c>
      <c r="B855" s="1" t="n">
        <v>45344.74564814815</v>
      </c>
      <c r="C855" s="1" t="n">
        <v>46082</v>
      </c>
      <c r="D855" t="inlineStr">
        <is>
          <t>VÄSTERNORRLANDS LÄN</t>
        </is>
      </c>
      <c r="E855" t="inlineStr">
        <is>
          <t>SOLLEFTEÅ</t>
        </is>
      </c>
      <c r="G855" t="n">
        <v>4.1</v>
      </c>
      <c r="H855" t="n">
        <v>0</v>
      </c>
      <c r="I855" t="n">
        <v>0</v>
      </c>
      <c r="J855" t="n">
        <v>0</v>
      </c>
      <c r="K855" t="n">
        <v>0</v>
      </c>
      <c r="L855" t="n">
        <v>0</v>
      </c>
      <c r="M855" t="n">
        <v>0</v>
      </c>
      <c r="N855" t="n">
        <v>0</v>
      </c>
      <c r="O855" t="n">
        <v>0</v>
      </c>
      <c r="P855" t="n">
        <v>0</v>
      </c>
      <c r="Q855" t="n">
        <v>0</v>
      </c>
      <c r="R855" s="2" t="inlineStr"/>
    </row>
    <row r="856" ht="15" customHeight="1">
      <c r="A856" t="inlineStr">
        <is>
          <t>A 2114-2023</t>
        </is>
      </c>
      <c r="B856" s="1" t="n">
        <v>44939.93809027778</v>
      </c>
      <c r="C856" s="1" t="n">
        <v>46082</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30329-2024</t>
        </is>
      </c>
      <c r="B857" s="1" t="n">
        <v>45490.95304398148</v>
      </c>
      <c r="C857" s="1" t="n">
        <v>46082</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11318-2022</t>
        </is>
      </c>
      <c r="B858" s="1" t="n">
        <v>44629.94743055556</v>
      </c>
      <c r="C858" s="1" t="n">
        <v>46082</v>
      </c>
      <c r="D858" t="inlineStr">
        <is>
          <t>VÄSTERNORRLANDS LÄN</t>
        </is>
      </c>
      <c r="E858" t="inlineStr">
        <is>
          <t>SOLLEFTEÅ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40571-2024</t>
        </is>
      </c>
      <c r="B859" s="1" t="n">
        <v>45555.67759259259</v>
      </c>
      <c r="C859" s="1" t="n">
        <v>46082</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25243-2025</t>
        </is>
      </c>
      <c r="B860" s="1" t="n">
        <v>45800.49063657408</v>
      </c>
      <c r="C860" s="1" t="n">
        <v>46082</v>
      </c>
      <c r="D860" t="inlineStr">
        <is>
          <t>VÄSTERNORRLANDS LÄN</t>
        </is>
      </c>
      <c r="E860" t="inlineStr">
        <is>
          <t>SOLLEFTEÅ</t>
        </is>
      </c>
      <c r="G860" t="n">
        <v>3.2</v>
      </c>
      <c r="H860" t="n">
        <v>0</v>
      </c>
      <c r="I860" t="n">
        <v>0</v>
      </c>
      <c r="J860" t="n">
        <v>0</v>
      </c>
      <c r="K860" t="n">
        <v>0</v>
      </c>
      <c r="L860" t="n">
        <v>0</v>
      </c>
      <c r="M860" t="n">
        <v>0</v>
      </c>
      <c r="N860" t="n">
        <v>0</v>
      </c>
      <c r="O860" t="n">
        <v>0</v>
      </c>
      <c r="P860" t="n">
        <v>0</v>
      </c>
      <c r="Q860" t="n">
        <v>0</v>
      </c>
      <c r="R860" s="2" t="inlineStr"/>
    </row>
    <row r="861" ht="15" customHeight="1">
      <c r="A861" t="inlineStr">
        <is>
          <t>A 25242-2025</t>
        </is>
      </c>
      <c r="B861" s="1" t="n">
        <v>45800.49059027778</v>
      </c>
      <c r="C861" s="1" t="n">
        <v>46082</v>
      </c>
      <c r="D861" t="inlineStr">
        <is>
          <t>VÄSTERNORRLANDS LÄN</t>
        </is>
      </c>
      <c r="E861" t="inlineStr">
        <is>
          <t>SOLLEFTEÅ</t>
        </is>
      </c>
      <c r="G861" t="n">
        <v>4</v>
      </c>
      <c r="H861" t="n">
        <v>0</v>
      </c>
      <c r="I861" t="n">
        <v>0</v>
      </c>
      <c r="J861" t="n">
        <v>0</v>
      </c>
      <c r="K861" t="n">
        <v>0</v>
      </c>
      <c r="L861" t="n">
        <v>0</v>
      </c>
      <c r="M861" t="n">
        <v>0</v>
      </c>
      <c r="N861" t="n">
        <v>0</v>
      </c>
      <c r="O861" t="n">
        <v>0</v>
      </c>
      <c r="P861" t="n">
        <v>0</v>
      </c>
      <c r="Q861" t="n">
        <v>0</v>
      </c>
      <c r="R861" s="2" t="inlineStr"/>
    </row>
    <row r="862" ht="15" customHeight="1">
      <c r="A862" t="inlineStr">
        <is>
          <t>A 31662-2024</t>
        </is>
      </c>
      <c r="B862" s="1" t="n">
        <v>45506.92857638889</v>
      </c>
      <c r="C862" s="1" t="n">
        <v>46082</v>
      </c>
      <c r="D862" t="inlineStr">
        <is>
          <t>VÄSTERNORRLANDS LÄN</t>
        </is>
      </c>
      <c r="E862" t="inlineStr">
        <is>
          <t>SOLLEFTEÅ</t>
        </is>
      </c>
      <c r="G862" t="n">
        <v>11.7</v>
      </c>
      <c r="H862" t="n">
        <v>0</v>
      </c>
      <c r="I862" t="n">
        <v>0</v>
      </c>
      <c r="J862" t="n">
        <v>0</v>
      </c>
      <c r="K862" t="n">
        <v>0</v>
      </c>
      <c r="L862" t="n">
        <v>0</v>
      </c>
      <c r="M862" t="n">
        <v>0</v>
      </c>
      <c r="N862" t="n">
        <v>0</v>
      </c>
      <c r="O862" t="n">
        <v>0</v>
      </c>
      <c r="P862" t="n">
        <v>0</v>
      </c>
      <c r="Q862" t="n">
        <v>0</v>
      </c>
      <c r="R862" s="2" t="inlineStr"/>
    </row>
    <row r="863" ht="15" customHeight="1">
      <c r="A863" t="inlineStr">
        <is>
          <t>A 72244-2021</t>
        </is>
      </c>
      <c r="B863" s="1" t="n">
        <v>44544.9390162037</v>
      </c>
      <c r="C863" s="1" t="n">
        <v>46082</v>
      </c>
      <c r="D863" t="inlineStr">
        <is>
          <t>VÄSTERNORRLANDS LÄN</t>
        </is>
      </c>
      <c r="E863" t="inlineStr">
        <is>
          <t>SOLLEFTEÅ</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27288-2025</t>
        </is>
      </c>
      <c r="B864" s="1" t="n">
        <v>45812.55234953704</v>
      </c>
      <c r="C864" s="1" t="n">
        <v>46082</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17096-2025</t>
        </is>
      </c>
      <c r="B865" s="1" t="n">
        <v>45755.65662037037</v>
      </c>
      <c r="C865" s="1" t="n">
        <v>46082</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41834-2024</t>
        </is>
      </c>
      <c r="B866" s="1" t="n">
        <v>45561.4084375</v>
      </c>
      <c r="C866" s="1" t="n">
        <v>46082</v>
      </c>
      <c r="D866" t="inlineStr">
        <is>
          <t>VÄSTERNORRLANDS LÄN</t>
        </is>
      </c>
      <c r="E866" t="inlineStr">
        <is>
          <t>SOLLEFTEÅ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41975-2024</t>
        </is>
      </c>
      <c r="B867" s="1" t="n">
        <v>45561</v>
      </c>
      <c r="C867" s="1" t="n">
        <v>46082</v>
      </c>
      <c r="D867" t="inlineStr">
        <is>
          <t>VÄSTERNORRLANDS LÄN</t>
        </is>
      </c>
      <c r="E867" t="inlineStr">
        <is>
          <t>SOLLEFTEÅ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26921-2025</t>
        </is>
      </c>
      <c r="B868" s="1" t="n">
        <v>45811.38575231482</v>
      </c>
      <c r="C868" s="1" t="n">
        <v>46082</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56416-2023</t>
        </is>
      </c>
      <c r="B869" s="1" t="n">
        <v>45237</v>
      </c>
      <c r="C869" s="1" t="n">
        <v>46082</v>
      </c>
      <c r="D869" t="inlineStr">
        <is>
          <t>VÄSTERNORRLANDS LÄN</t>
        </is>
      </c>
      <c r="E869" t="inlineStr">
        <is>
          <t>SOLLEFTEÅ</t>
        </is>
      </c>
      <c r="G869" t="n">
        <v>11.2</v>
      </c>
      <c r="H869" t="n">
        <v>0</v>
      </c>
      <c r="I869" t="n">
        <v>0</v>
      </c>
      <c r="J869" t="n">
        <v>0</v>
      </c>
      <c r="K869" t="n">
        <v>0</v>
      </c>
      <c r="L869" t="n">
        <v>0</v>
      </c>
      <c r="M869" t="n">
        <v>0</v>
      </c>
      <c r="N869" t="n">
        <v>0</v>
      </c>
      <c r="O869" t="n">
        <v>0</v>
      </c>
      <c r="P869" t="n">
        <v>0</v>
      </c>
      <c r="Q869" t="n">
        <v>0</v>
      </c>
      <c r="R869" s="2" t="inlineStr"/>
    </row>
    <row r="870" ht="15" customHeight="1">
      <c r="A870" t="inlineStr">
        <is>
          <t>A 26953-2025</t>
        </is>
      </c>
      <c r="B870" s="1" t="n">
        <v>45811.44856481482</v>
      </c>
      <c r="C870" s="1" t="n">
        <v>46082</v>
      </c>
      <c r="D870" t="inlineStr">
        <is>
          <t>VÄSTERNORRLANDS LÄN</t>
        </is>
      </c>
      <c r="E870" t="inlineStr">
        <is>
          <t>SOLLEFTEÅ</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64115-2023</t>
        </is>
      </c>
      <c r="B871" s="1" t="n">
        <v>45279</v>
      </c>
      <c r="C871" s="1" t="n">
        <v>46082</v>
      </c>
      <c r="D871" t="inlineStr">
        <is>
          <t>VÄSTERNORRLANDS LÄN</t>
        </is>
      </c>
      <c r="E871" t="inlineStr">
        <is>
          <t>SOLLEFTEÅ</t>
        </is>
      </c>
      <c r="G871" t="n">
        <v>16.1</v>
      </c>
      <c r="H871" t="n">
        <v>0</v>
      </c>
      <c r="I871" t="n">
        <v>0</v>
      </c>
      <c r="J871" t="n">
        <v>0</v>
      </c>
      <c r="K871" t="n">
        <v>0</v>
      </c>
      <c r="L871" t="n">
        <v>0</v>
      </c>
      <c r="M871" t="n">
        <v>0</v>
      </c>
      <c r="N871" t="n">
        <v>0</v>
      </c>
      <c r="O871" t="n">
        <v>0</v>
      </c>
      <c r="P871" t="n">
        <v>0</v>
      </c>
      <c r="Q871" t="n">
        <v>0</v>
      </c>
      <c r="R871" s="2" t="inlineStr"/>
    </row>
    <row r="872" ht="15" customHeight="1">
      <c r="A872" t="inlineStr">
        <is>
          <t>A 26935-2025</t>
        </is>
      </c>
      <c r="B872" s="1" t="n">
        <v>45811.40413194444</v>
      </c>
      <c r="C872" s="1" t="n">
        <v>46082</v>
      </c>
      <c r="D872" t="inlineStr">
        <is>
          <t>VÄSTERNORRLANDS LÄN</t>
        </is>
      </c>
      <c r="E872" t="inlineStr">
        <is>
          <t>SOLLEFTEÅ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26952-2025</t>
        </is>
      </c>
      <c r="B873" s="1" t="n">
        <v>45811.4484375</v>
      </c>
      <c r="C873" s="1" t="n">
        <v>46082</v>
      </c>
      <c r="D873" t="inlineStr">
        <is>
          <t>VÄSTERNORRLANDS LÄN</t>
        </is>
      </c>
      <c r="E873" t="inlineStr">
        <is>
          <t>SOLLEFTEÅ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27167-2025</t>
        </is>
      </c>
      <c r="B874" s="1" t="n">
        <v>45812.34465277778</v>
      </c>
      <c r="C874" s="1" t="n">
        <v>46082</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26916-2025</t>
        </is>
      </c>
      <c r="B875" s="1" t="n">
        <v>45811.37184027778</v>
      </c>
      <c r="C875" s="1" t="n">
        <v>46082</v>
      </c>
      <c r="D875" t="inlineStr">
        <is>
          <t>VÄSTERNORRLANDS LÄN</t>
        </is>
      </c>
      <c r="E875" t="inlineStr">
        <is>
          <t>SOLLEFTEÅ</t>
        </is>
      </c>
      <c r="G875" t="n">
        <v>6.7</v>
      </c>
      <c r="H875" t="n">
        <v>0</v>
      </c>
      <c r="I875" t="n">
        <v>0</v>
      </c>
      <c r="J875" t="n">
        <v>0</v>
      </c>
      <c r="K875" t="n">
        <v>0</v>
      </c>
      <c r="L875" t="n">
        <v>0</v>
      </c>
      <c r="M875" t="n">
        <v>0</v>
      </c>
      <c r="N875" t="n">
        <v>0</v>
      </c>
      <c r="O875" t="n">
        <v>0</v>
      </c>
      <c r="P875" t="n">
        <v>0</v>
      </c>
      <c r="Q875" t="n">
        <v>0</v>
      </c>
      <c r="R875" s="2" t="inlineStr"/>
    </row>
    <row r="876" ht="15" customHeight="1">
      <c r="A876" t="inlineStr">
        <is>
          <t>A 27407-2025</t>
        </is>
      </c>
      <c r="B876" s="1" t="n">
        <v>45812.74519675926</v>
      </c>
      <c r="C876" s="1" t="n">
        <v>46082</v>
      </c>
      <c r="D876" t="inlineStr">
        <is>
          <t>VÄSTERNORRLANDS LÄN</t>
        </is>
      </c>
      <c r="E876" t="inlineStr">
        <is>
          <t>SOLLEFTEÅ</t>
        </is>
      </c>
      <c r="G876" t="n">
        <v>23.2</v>
      </c>
      <c r="H876" t="n">
        <v>0</v>
      </c>
      <c r="I876" t="n">
        <v>0</v>
      </c>
      <c r="J876" t="n">
        <v>0</v>
      </c>
      <c r="K876" t="n">
        <v>0</v>
      </c>
      <c r="L876" t="n">
        <v>0</v>
      </c>
      <c r="M876" t="n">
        <v>0</v>
      </c>
      <c r="N876" t="n">
        <v>0</v>
      </c>
      <c r="O876" t="n">
        <v>0</v>
      </c>
      <c r="P876" t="n">
        <v>0</v>
      </c>
      <c r="Q876" t="n">
        <v>0</v>
      </c>
      <c r="R876" s="2" t="inlineStr"/>
    </row>
    <row r="877" ht="15" customHeight="1">
      <c r="A877" t="inlineStr">
        <is>
          <t>A 30069-2024</t>
        </is>
      </c>
      <c r="B877" s="1" t="n">
        <v>45488.9489699074</v>
      </c>
      <c r="C877" s="1" t="n">
        <v>46082</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42987-2024</t>
        </is>
      </c>
      <c r="B878" s="1" t="n">
        <v>45567</v>
      </c>
      <c r="C878" s="1" t="n">
        <v>46082</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33642-2023</t>
        </is>
      </c>
      <c r="B879" s="1" t="n">
        <v>45119</v>
      </c>
      <c r="C879" s="1" t="n">
        <v>46082</v>
      </c>
      <c r="D879" t="inlineStr">
        <is>
          <t>VÄSTERNORRLANDS LÄN</t>
        </is>
      </c>
      <c r="E879" t="inlineStr">
        <is>
          <t>SOLLEFTEÅ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27142-2025</t>
        </is>
      </c>
      <c r="B880" s="1" t="n">
        <v>45812.28087962963</v>
      </c>
      <c r="C880" s="1" t="n">
        <v>46082</v>
      </c>
      <c r="D880" t="inlineStr">
        <is>
          <t>VÄSTERNORRLANDS LÄN</t>
        </is>
      </c>
      <c r="E880" t="inlineStr">
        <is>
          <t>SOLLEFTEÅ</t>
        </is>
      </c>
      <c r="G880" t="n">
        <v>3.1</v>
      </c>
      <c r="H880" t="n">
        <v>0</v>
      </c>
      <c r="I880" t="n">
        <v>0</v>
      </c>
      <c r="J880" t="n">
        <v>0</v>
      </c>
      <c r="K880" t="n">
        <v>0</v>
      </c>
      <c r="L880" t="n">
        <v>0</v>
      </c>
      <c r="M880" t="n">
        <v>0</v>
      </c>
      <c r="N880" t="n">
        <v>0</v>
      </c>
      <c r="O880" t="n">
        <v>0</v>
      </c>
      <c r="P880" t="n">
        <v>0</v>
      </c>
      <c r="Q880" t="n">
        <v>0</v>
      </c>
      <c r="R880" s="2" t="inlineStr"/>
    </row>
    <row r="881" ht="15" customHeight="1">
      <c r="A881" t="inlineStr">
        <is>
          <t>A 33713-2023</t>
        </is>
      </c>
      <c r="B881" s="1" t="n">
        <v>45132.94952546297</v>
      </c>
      <c r="C881" s="1" t="n">
        <v>46082</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59388-2024</t>
        </is>
      </c>
      <c r="B882" s="1" t="n">
        <v>45638.365</v>
      </c>
      <c r="C882" s="1" t="n">
        <v>46082</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26896-2025</t>
        </is>
      </c>
      <c r="B883" s="1" t="n">
        <v>45811.33834490741</v>
      </c>
      <c r="C883" s="1" t="n">
        <v>46082</v>
      </c>
      <c r="D883" t="inlineStr">
        <is>
          <t>VÄSTERNORRLANDS LÄN</t>
        </is>
      </c>
      <c r="E883" t="inlineStr">
        <is>
          <t>SOLLEFTEÅ</t>
        </is>
      </c>
      <c r="G883" t="n">
        <v>8.5</v>
      </c>
      <c r="H883" t="n">
        <v>0</v>
      </c>
      <c r="I883" t="n">
        <v>0</v>
      </c>
      <c r="J883" t="n">
        <v>0</v>
      </c>
      <c r="K883" t="n">
        <v>0</v>
      </c>
      <c r="L883" t="n">
        <v>0</v>
      </c>
      <c r="M883" t="n">
        <v>0</v>
      </c>
      <c r="N883" t="n">
        <v>0</v>
      </c>
      <c r="O883" t="n">
        <v>0</v>
      </c>
      <c r="P883" t="n">
        <v>0</v>
      </c>
      <c r="Q883" t="n">
        <v>0</v>
      </c>
      <c r="R883" s="2" t="inlineStr"/>
    </row>
    <row r="884" ht="15" customHeight="1">
      <c r="A884" t="inlineStr">
        <is>
          <t>A 7157-2025</t>
        </is>
      </c>
      <c r="B884" s="1" t="n">
        <v>45702.38637731481</v>
      </c>
      <c r="C884" s="1" t="n">
        <v>46082</v>
      </c>
      <c r="D884" t="inlineStr">
        <is>
          <t>VÄSTERNORRLANDS LÄN</t>
        </is>
      </c>
      <c r="E884" t="inlineStr">
        <is>
          <t>SOLLEFTEÅ</t>
        </is>
      </c>
      <c r="G884" t="n">
        <v>12.5</v>
      </c>
      <c r="H884" t="n">
        <v>0</v>
      </c>
      <c r="I884" t="n">
        <v>0</v>
      </c>
      <c r="J884" t="n">
        <v>0</v>
      </c>
      <c r="K884" t="n">
        <v>0</v>
      </c>
      <c r="L884" t="n">
        <v>0</v>
      </c>
      <c r="M884" t="n">
        <v>0</v>
      </c>
      <c r="N884" t="n">
        <v>0</v>
      </c>
      <c r="O884" t="n">
        <v>0</v>
      </c>
      <c r="P884" t="n">
        <v>0</v>
      </c>
      <c r="Q884" t="n">
        <v>0</v>
      </c>
      <c r="R884" s="2" t="inlineStr"/>
    </row>
    <row r="885" ht="15" customHeight="1">
      <c r="A885" t="inlineStr">
        <is>
          <t>A 46261-2024</t>
        </is>
      </c>
      <c r="B885" s="1" t="n">
        <v>45581.61048611111</v>
      </c>
      <c r="C885" s="1" t="n">
        <v>46082</v>
      </c>
      <c r="D885" t="inlineStr">
        <is>
          <t>VÄSTERNORRLANDS LÄN</t>
        </is>
      </c>
      <c r="E885" t="inlineStr">
        <is>
          <t>SOLLEFTEÅ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39568-2025</t>
        </is>
      </c>
      <c r="B886" s="1" t="n">
        <v>45890.48993055556</v>
      </c>
      <c r="C886" s="1" t="n">
        <v>46082</v>
      </c>
      <c r="D886" t="inlineStr">
        <is>
          <t>VÄSTERNORRLANDS LÄN</t>
        </is>
      </c>
      <c r="E886" t="inlineStr">
        <is>
          <t>SOLLEFTEÅ</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39602-2025</t>
        </is>
      </c>
      <c r="B887" s="1" t="n">
        <v>45890.55296296296</v>
      </c>
      <c r="C887" s="1" t="n">
        <v>46082</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39664-2025</t>
        </is>
      </c>
      <c r="B888" s="1" t="n">
        <v>45890.63596064815</v>
      </c>
      <c r="C888" s="1" t="n">
        <v>46082</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39671-2025</t>
        </is>
      </c>
      <c r="B889" s="1" t="n">
        <v>45890</v>
      </c>
      <c r="C889" s="1" t="n">
        <v>46082</v>
      </c>
      <c r="D889" t="inlineStr">
        <is>
          <t>VÄSTERNORRLANDS LÄN</t>
        </is>
      </c>
      <c r="E889" t="inlineStr">
        <is>
          <t>SOLLEFTEÅ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27519-2025</t>
        </is>
      </c>
      <c r="B890" s="1" t="n">
        <v>45813.44186342593</v>
      </c>
      <c r="C890" s="1" t="n">
        <v>46082</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27592-2025</t>
        </is>
      </c>
      <c r="B891" s="1" t="n">
        <v>45813.5191550926</v>
      </c>
      <c r="C891" s="1" t="n">
        <v>46082</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27660-2025</t>
        </is>
      </c>
      <c r="B892" s="1" t="n">
        <v>45813.61490740741</v>
      </c>
      <c r="C892" s="1" t="n">
        <v>46082</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2677-2025</t>
        </is>
      </c>
      <c r="B893" s="1" t="n">
        <v>45677</v>
      </c>
      <c r="C893" s="1" t="n">
        <v>46082</v>
      </c>
      <c r="D893" t="inlineStr">
        <is>
          <t>VÄSTERNORRLANDS LÄN</t>
        </is>
      </c>
      <c r="E893" t="inlineStr">
        <is>
          <t>SOLLEFTEÅ</t>
        </is>
      </c>
      <c r="F893" t="inlineStr">
        <is>
          <t>SCA</t>
        </is>
      </c>
      <c r="G893" t="n">
        <v>11.9</v>
      </c>
      <c r="H893" t="n">
        <v>0</v>
      </c>
      <c r="I893" t="n">
        <v>0</v>
      </c>
      <c r="J893" t="n">
        <v>0</v>
      </c>
      <c r="K893" t="n">
        <v>0</v>
      </c>
      <c r="L893" t="n">
        <v>0</v>
      </c>
      <c r="M893" t="n">
        <v>0</v>
      </c>
      <c r="N893" t="n">
        <v>0</v>
      </c>
      <c r="O893" t="n">
        <v>0</v>
      </c>
      <c r="P893" t="n">
        <v>0</v>
      </c>
      <c r="Q893" t="n">
        <v>0</v>
      </c>
      <c r="R893" s="2" t="inlineStr"/>
    </row>
    <row r="894" ht="15" customHeight="1">
      <c r="A894" t="inlineStr">
        <is>
          <t>A 27427-2025</t>
        </is>
      </c>
      <c r="B894" s="1" t="n">
        <v>45813.28706018518</v>
      </c>
      <c r="C894" s="1" t="n">
        <v>46082</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23025-2024</t>
        </is>
      </c>
      <c r="B895" s="1" t="n">
        <v>45450.36578703704</v>
      </c>
      <c r="C895" s="1" t="n">
        <v>46082</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41595-2024</t>
        </is>
      </c>
      <c r="B896" s="1" t="n">
        <v>45560.57378472222</v>
      </c>
      <c r="C896" s="1" t="n">
        <v>46082</v>
      </c>
      <c r="D896" t="inlineStr">
        <is>
          <t>VÄSTERNORRLANDS LÄN</t>
        </is>
      </c>
      <c r="E896" t="inlineStr">
        <is>
          <t>SOLLEFTEÅ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39515-2025</t>
        </is>
      </c>
      <c r="B897" s="1" t="n">
        <v>45890.42078703704</v>
      </c>
      <c r="C897" s="1" t="n">
        <v>46082</v>
      </c>
      <c r="D897" t="inlineStr">
        <is>
          <t>VÄSTERNORRLANDS LÄN</t>
        </is>
      </c>
      <c r="E897" t="inlineStr">
        <is>
          <t>SOLLEFTEÅ</t>
        </is>
      </c>
      <c r="G897" t="n">
        <v>5.3</v>
      </c>
      <c r="H897" t="n">
        <v>0</v>
      </c>
      <c r="I897" t="n">
        <v>0</v>
      </c>
      <c r="J897" t="n">
        <v>0</v>
      </c>
      <c r="K897" t="n">
        <v>0</v>
      </c>
      <c r="L897" t="n">
        <v>0</v>
      </c>
      <c r="M897" t="n">
        <v>0</v>
      </c>
      <c r="N897" t="n">
        <v>0</v>
      </c>
      <c r="O897" t="n">
        <v>0</v>
      </c>
      <c r="P897" t="n">
        <v>0</v>
      </c>
      <c r="Q897" t="n">
        <v>0</v>
      </c>
      <c r="R897" s="2" t="inlineStr"/>
    </row>
    <row r="898" ht="15" customHeight="1">
      <c r="A898" t="inlineStr">
        <is>
          <t>A 43845-2024</t>
        </is>
      </c>
      <c r="B898" s="1" t="n">
        <v>45572.34483796296</v>
      </c>
      <c r="C898" s="1" t="n">
        <v>46082</v>
      </c>
      <c r="D898" t="inlineStr">
        <is>
          <t>VÄSTERNORRLANDS LÄN</t>
        </is>
      </c>
      <c r="E898" t="inlineStr">
        <is>
          <t>SOLLEFTEÅ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39270-2025</t>
        </is>
      </c>
      <c r="B899" s="1" t="n">
        <v>45889.38609953703</v>
      </c>
      <c r="C899" s="1" t="n">
        <v>46082</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39286-2025</t>
        </is>
      </c>
      <c r="B900" s="1" t="n">
        <v>45889.40690972222</v>
      </c>
      <c r="C900" s="1" t="n">
        <v>46082</v>
      </c>
      <c r="D900" t="inlineStr">
        <is>
          <t>VÄSTERNORRLANDS LÄN</t>
        </is>
      </c>
      <c r="E900" t="inlineStr">
        <is>
          <t>SOLLEFTEÅ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39475-2025</t>
        </is>
      </c>
      <c r="B901" s="1" t="n">
        <v>45890.34447916667</v>
      </c>
      <c r="C901" s="1" t="n">
        <v>46082</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36004-2024</t>
        </is>
      </c>
      <c r="B902" s="1" t="n">
        <v>45533.54848379629</v>
      </c>
      <c r="C902" s="1" t="n">
        <v>46082</v>
      </c>
      <c r="D902" t="inlineStr">
        <is>
          <t>VÄSTERNORRLANDS LÄN</t>
        </is>
      </c>
      <c r="E902" t="inlineStr">
        <is>
          <t>SOLLEFTEÅ</t>
        </is>
      </c>
      <c r="G902" t="n">
        <v>3.7</v>
      </c>
      <c r="H902" t="n">
        <v>0</v>
      </c>
      <c r="I902" t="n">
        <v>0</v>
      </c>
      <c r="J902" t="n">
        <v>0</v>
      </c>
      <c r="K902" t="n">
        <v>0</v>
      </c>
      <c r="L902" t="n">
        <v>0</v>
      </c>
      <c r="M902" t="n">
        <v>0</v>
      </c>
      <c r="N902" t="n">
        <v>0</v>
      </c>
      <c r="O902" t="n">
        <v>0</v>
      </c>
      <c r="P902" t="n">
        <v>0</v>
      </c>
      <c r="Q902" t="n">
        <v>0</v>
      </c>
      <c r="R902" s="2" t="inlineStr"/>
    </row>
    <row r="903" ht="15" customHeight="1">
      <c r="A903" t="inlineStr">
        <is>
          <t>A 12617-2025</t>
        </is>
      </c>
      <c r="B903" s="1" t="n">
        <v>45733.34895833334</v>
      </c>
      <c r="C903" s="1" t="n">
        <v>46082</v>
      </c>
      <c r="D903" t="inlineStr">
        <is>
          <t>VÄSTERNORRLANDS LÄN</t>
        </is>
      </c>
      <c r="E903" t="inlineStr">
        <is>
          <t>SOLLEFTEÅ</t>
        </is>
      </c>
      <c r="G903" t="n">
        <v>5.6</v>
      </c>
      <c r="H903" t="n">
        <v>0</v>
      </c>
      <c r="I903" t="n">
        <v>0</v>
      </c>
      <c r="J903" t="n">
        <v>0</v>
      </c>
      <c r="K903" t="n">
        <v>0</v>
      </c>
      <c r="L903" t="n">
        <v>0</v>
      </c>
      <c r="M903" t="n">
        <v>0</v>
      </c>
      <c r="N903" t="n">
        <v>0</v>
      </c>
      <c r="O903" t="n">
        <v>0</v>
      </c>
      <c r="P903" t="n">
        <v>0</v>
      </c>
      <c r="Q903" t="n">
        <v>0</v>
      </c>
      <c r="R903" s="2" t="inlineStr"/>
    </row>
    <row r="904" ht="15" customHeight="1">
      <c r="A904" t="inlineStr">
        <is>
          <t>A 39287-2025</t>
        </is>
      </c>
      <c r="B904" s="1" t="n">
        <v>45889.40693287037</v>
      </c>
      <c r="C904" s="1" t="n">
        <v>46082</v>
      </c>
      <c r="D904" t="inlineStr">
        <is>
          <t>VÄSTERNORRLANDS LÄN</t>
        </is>
      </c>
      <c r="E904" t="inlineStr">
        <is>
          <t>SOLLEFTEÅ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38275-2024</t>
        </is>
      </c>
      <c r="B905" s="1" t="n">
        <v>45545</v>
      </c>
      <c r="C905" s="1" t="n">
        <v>46082</v>
      </c>
      <c r="D905" t="inlineStr">
        <is>
          <t>VÄSTERNORRLANDS LÄN</t>
        </is>
      </c>
      <c r="E905" t="inlineStr">
        <is>
          <t>SOLLEFTEÅ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15429-2025</t>
        </is>
      </c>
      <c r="B906" s="1" t="n">
        <v>45747.47</v>
      </c>
      <c r="C906" s="1" t="n">
        <v>46082</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39619-2025</t>
        </is>
      </c>
      <c r="B907" s="1" t="n">
        <v>45890.57347222222</v>
      </c>
      <c r="C907" s="1" t="n">
        <v>46082</v>
      </c>
      <c r="D907" t="inlineStr">
        <is>
          <t>VÄSTERNORRLANDS LÄN</t>
        </is>
      </c>
      <c r="E907" t="inlineStr">
        <is>
          <t>SOLLEFTEÅ</t>
        </is>
      </c>
      <c r="F907" t="inlineStr">
        <is>
          <t>SCA</t>
        </is>
      </c>
      <c r="G907" t="n">
        <v>6.6</v>
      </c>
      <c r="H907" t="n">
        <v>0</v>
      </c>
      <c r="I907" t="n">
        <v>0</v>
      </c>
      <c r="J907" t="n">
        <v>0</v>
      </c>
      <c r="K907" t="n">
        <v>0</v>
      </c>
      <c r="L907" t="n">
        <v>0</v>
      </c>
      <c r="M907" t="n">
        <v>0</v>
      </c>
      <c r="N907" t="n">
        <v>0</v>
      </c>
      <c r="O907" t="n">
        <v>0</v>
      </c>
      <c r="P907" t="n">
        <v>0</v>
      </c>
      <c r="Q907" t="n">
        <v>0</v>
      </c>
      <c r="R907" s="2" t="inlineStr"/>
    </row>
    <row r="908" ht="15" customHeight="1">
      <c r="A908" t="inlineStr">
        <is>
          <t>A 67702-2021</t>
        </is>
      </c>
      <c r="B908" s="1" t="n">
        <v>44524.94660879629</v>
      </c>
      <c r="C908" s="1" t="n">
        <v>46082</v>
      </c>
      <c r="D908" t="inlineStr">
        <is>
          <t>VÄSTERNORRLANDS LÄN</t>
        </is>
      </c>
      <c r="E908" t="inlineStr">
        <is>
          <t>SOLLEFTEÅ</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10870-2024</t>
        </is>
      </c>
      <c r="B909" s="1" t="n">
        <v>45370.02083333334</v>
      </c>
      <c r="C909" s="1" t="n">
        <v>46082</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39433-2025</t>
        </is>
      </c>
      <c r="B910" s="1" t="n">
        <v>45889.67799768518</v>
      </c>
      <c r="C910" s="1" t="n">
        <v>46082</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58995-2024</t>
        </is>
      </c>
      <c r="B911" s="1" t="n">
        <v>45636.63726851852</v>
      </c>
      <c r="C911" s="1" t="n">
        <v>46082</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4909-2025</t>
        </is>
      </c>
      <c r="B912" s="1" t="n">
        <v>45688</v>
      </c>
      <c r="C912" s="1" t="n">
        <v>46082</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39656-2025</t>
        </is>
      </c>
      <c r="B913" s="1" t="n">
        <v>45890</v>
      </c>
      <c r="C913" s="1" t="n">
        <v>46082</v>
      </c>
      <c r="D913" t="inlineStr">
        <is>
          <t>VÄSTERNORRLANDS LÄN</t>
        </is>
      </c>
      <c r="E913" t="inlineStr">
        <is>
          <t>SOLLEFTEÅ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39319-2025</t>
        </is>
      </c>
      <c r="B914" s="1" t="n">
        <v>45889.46916666667</v>
      </c>
      <c r="C914" s="1" t="n">
        <v>46082</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51505-2024</t>
        </is>
      </c>
      <c r="B915" s="1" t="n">
        <v>45604</v>
      </c>
      <c r="C915" s="1" t="n">
        <v>46082</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40175-2025</t>
        </is>
      </c>
      <c r="B916" s="1" t="n">
        <v>45894.63609953703</v>
      </c>
      <c r="C916" s="1" t="n">
        <v>46082</v>
      </c>
      <c r="D916" t="inlineStr">
        <is>
          <t>VÄSTERNORRLANDS LÄN</t>
        </is>
      </c>
      <c r="E916" t="inlineStr">
        <is>
          <t>SOLLEFTEÅ</t>
        </is>
      </c>
      <c r="F916" t="inlineStr">
        <is>
          <t>SCA</t>
        </is>
      </c>
      <c r="G916" t="n">
        <v>21.2</v>
      </c>
      <c r="H916" t="n">
        <v>0</v>
      </c>
      <c r="I916" t="n">
        <v>0</v>
      </c>
      <c r="J916" t="n">
        <v>0</v>
      </c>
      <c r="K916" t="n">
        <v>0</v>
      </c>
      <c r="L916" t="n">
        <v>0</v>
      </c>
      <c r="M916" t="n">
        <v>0</v>
      </c>
      <c r="N916" t="n">
        <v>0</v>
      </c>
      <c r="O916" t="n">
        <v>0</v>
      </c>
      <c r="P916" t="n">
        <v>0</v>
      </c>
      <c r="Q916" t="n">
        <v>0</v>
      </c>
      <c r="R916" s="2" t="inlineStr"/>
    </row>
    <row r="917" ht="15" customHeight="1">
      <c r="A917" t="inlineStr">
        <is>
          <t>A 469-2025</t>
        </is>
      </c>
      <c r="B917" s="1" t="n">
        <v>45664</v>
      </c>
      <c r="C917" s="1" t="n">
        <v>46082</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5867-2024</t>
        </is>
      </c>
      <c r="B918" s="1" t="n">
        <v>45335.64733796296</v>
      </c>
      <c r="C918" s="1" t="n">
        <v>46082</v>
      </c>
      <c r="D918" t="inlineStr">
        <is>
          <t>VÄSTERNORRLANDS LÄN</t>
        </is>
      </c>
      <c r="E918" t="inlineStr">
        <is>
          <t>SOLLEFTEÅ</t>
        </is>
      </c>
      <c r="F918" t="inlineStr">
        <is>
          <t>Övriga Aktiebolag</t>
        </is>
      </c>
      <c r="G918" t="n">
        <v>2.6</v>
      </c>
      <c r="H918" t="n">
        <v>0</v>
      </c>
      <c r="I918" t="n">
        <v>0</v>
      </c>
      <c r="J918" t="n">
        <v>0</v>
      </c>
      <c r="K918" t="n">
        <v>0</v>
      </c>
      <c r="L918" t="n">
        <v>0</v>
      </c>
      <c r="M918" t="n">
        <v>0</v>
      </c>
      <c r="N918" t="n">
        <v>0</v>
      </c>
      <c r="O918" t="n">
        <v>0</v>
      </c>
      <c r="P918" t="n">
        <v>0</v>
      </c>
      <c r="Q918" t="n">
        <v>0</v>
      </c>
      <c r="R918" s="2" t="inlineStr"/>
    </row>
    <row r="919" ht="15" customHeight="1">
      <c r="A919" t="inlineStr">
        <is>
          <t>A 27956-2025</t>
        </is>
      </c>
      <c r="B919" s="1" t="n">
        <v>45817.5344675926</v>
      </c>
      <c r="C919" s="1" t="n">
        <v>46082</v>
      </c>
      <c r="D919" t="inlineStr">
        <is>
          <t>VÄSTERNORRLANDS LÄN</t>
        </is>
      </c>
      <c r="E919" t="inlineStr">
        <is>
          <t>SOLLEFTEÅ</t>
        </is>
      </c>
      <c r="F919" t="inlineStr">
        <is>
          <t>Holmen skog AB</t>
        </is>
      </c>
      <c r="G919" t="n">
        <v>4</v>
      </c>
      <c r="H919" t="n">
        <v>0</v>
      </c>
      <c r="I919" t="n">
        <v>0</v>
      </c>
      <c r="J919" t="n">
        <v>0</v>
      </c>
      <c r="K919" t="n">
        <v>0</v>
      </c>
      <c r="L919" t="n">
        <v>0</v>
      </c>
      <c r="M919" t="n">
        <v>0</v>
      </c>
      <c r="N919" t="n">
        <v>0</v>
      </c>
      <c r="O919" t="n">
        <v>0</v>
      </c>
      <c r="P919" t="n">
        <v>0</v>
      </c>
      <c r="Q919" t="n">
        <v>0</v>
      </c>
      <c r="R919" s="2" t="inlineStr"/>
    </row>
    <row r="920" ht="15" customHeight="1">
      <c r="A920" t="inlineStr">
        <is>
          <t>A 40575-2024</t>
        </is>
      </c>
      <c r="B920" s="1" t="n">
        <v>45555</v>
      </c>
      <c r="C920" s="1" t="n">
        <v>46082</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40190-2025</t>
        </is>
      </c>
      <c r="B921" s="1" t="n">
        <v>45894.65664351852</v>
      </c>
      <c r="C921" s="1" t="n">
        <v>46082</v>
      </c>
      <c r="D921" t="inlineStr">
        <is>
          <t>VÄSTERNORRLANDS LÄN</t>
        </is>
      </c>
      <c r="E921" t="inlineStr">
        <is>
          <t>SOLLEFTEÅ</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28142-2025</t>
        </is>
      </c>
      <c r="B922" s="1" t="n">
        <v>45818.34538194445</v>
      </c>
      <c r="C922" s="1" t="n">
        <v>46082</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40174-2025</t>
        </is>
      </c>
      <c r="B923" s="1" t="n">
        <v>45894.63587962963</v>
      </c>
      <c r="C923" s="1" t="n">
        <v>46082</v>
      </c>
      <c r="D923" t="inlineStr">
        <is>
          <t>VÄSTERNORRLANDS LÄN</t>
        </is>
      </c>
      <c r="E923" t="inlineStr">
        <is>
          <t>SOLLEFTEÅ</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40049-2025</t>
        </is>
      </c>
      <c r="B924" s="1" t="n">
        <v>45894</v>
      </c>
      <c r="C924" s="1" t="n">
        <v>46082</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13008-2023</t>
        </is>
      </c>
      <c r="B925" s="1" t="n">
        <v>45002</v>
      </c>
      <c r="C925" s="1" t="n">
        <v>46082</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11009-2024</t>
        </is>
      </c>
      <c r="B926" s="1" t="n">
        <v>45370</v>
      </c>
      <c r="C926" s="1" t="n">
        <v>46082</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27748-2025</t>
        </is>
      </c>
      <c r="B927" s="1" t="n">
        <v>45815.67740740741</v>
      </c>
      <c r="C927" s="1" t="n">
        <v>46082</v>
      </c>
      <c r="D927" t="inlineStr">
        <is>
          <t>VÄSTERNORRLANDS LÄN</t>
        </is>
      </c>
      <c r="E927" t="inlineStr">
        <is>
          <t>SOLLEFTEÅ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27822-2025</t>
        </is>
      </c>
      <c r="B928" s="1" t="n">
        <v>45817.34410879629</v>
      </c>
      <c r="C928" s="1" t="n">
        <v>46082</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28195-2025</t>
        </is>
      </c>
      <c r="B929" s="1" t="n">
        <v>45818</v>
      </c>
      <c r="C929" s="1" t="n">
        <v>46082</v>
      </c>
      <c r="D929" t="inlineStr">
        <is>
          <t>VÄSTERNORRLANDS LÄN</t>
        </is>
      </c>
      <c r="E929" t="inlineStr">
        <is>
          <t>SOLLEFTEÅ</t>
        </is>
      </c>
      <c r="G929" t="n">
        <v>5.2</v>
      </c>
      <c r="H929" t="n">
        <v>0</v>
      </c>
      <c r="I929" t="n">
        <v>0</v>
      </c>
      <c r="J929" t="n">
        <v>0</v>
      </c>
      <c r="K929" t="n">
        <v>0</v>
      </c>
      <c r="L929" t="n">
        <v>0</v>
      </c>
      <c r="M929" t="n">
        <v>0</v>
      </c>
      <c r="N929" t="n">
        <v>0</v>
      </c>
      <c r="O929" t="n">
        <v>0</v>
      </c>
      <c r="P929" t="n">
        <v>0</v>
      </c>
      <c r="Q929" t="n">
        <v>0</v>
      </c>
      <c r="R929" s="2" t="inlineStr"/>
    </row>
    <row r="930" ht="15" customHeight="1">
      <c r="A930" t="inlineStr">
        <is>
          <t>A 5548-2025</t>
        </is>
      </c>
      <c r="B930" s="1" t="n">
        <v>45693.46940972222</v>
      </c>
      <c r="C930" s="1" t="n">
        <v>46082</v>
      </c>
      <c r="D930" t="inlineStr">
        <is>
          <t>VÄSTERNORRLANDS LÄN</t>
        </is>
      </c>
      <c r="E930" t="inlineStr">
        <is>
          <t>SOLLEFTEÅ</t>
        </is>
      </c>
      <c r="G930" t="n">
        <v>7.9</v>
      </c>
      <c r="H930" t="n">
        <v>0</v>
      </c>
      <c r="I930" t="n">
        <v>0</v>
      </c>
      <c r="J930" t="n">
        <v>0</v>
      </c>
      <c r="K930" t="n">
        <v>0</v>
      </c>
      <c r="L930" t="n">
        <v>0</v>
      </c>
      <c r="M930" t="n">
        <v>0</v>
      </c>
      <c r="N930" t="n">
        <v>0</v>
      </c>
      <c r="O930" t="n">
        <v>0</v>
      </c>
      <c r="P930" t="n">
        <v>0</v>
      </c>
      <c r="Q930" t="n">
        <v>0</v>
      </c>
      <c r="R930" s="2" t="inlineStr"/>
    </row>
    <row r="931" ht="15" customHeight="1">
      <c r="A931" t="inlineStr">
        <is>
          <t>A 38973-2025</t>
        </is>
      </c>
      <c r="B931" s="1" t="n">
        <v>45887</v>
      </c>
      <c r="C931" s="1" t="n">
        <v>46082</v>
      </c>
      <c r="D931" t="inlineStr">
        <is>
          <t>VÄSTERNORRLANDS LÄN</t>
        </is>
      </c>
      <c r="E931" t="inlineStr">
        <is>
          <t>SOLLEFTEÅ</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21852-2024</t>
        </is>
      </c>
      <c r="B932" s="1" t="n">
        <v>45442.9628125</v>
      </c>
      <c r="C932" s="1" t="n">
        <v>46082</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28579-2025</t>
        </is>
      </c>
      <c r="B933" s="1" t="n">
        <v>45819.57334490741</v>
      </c>
      <c r="C933" s="1" t="n">
        <v>46082</v>
      </c>
      <c r="D933" t="inlineStr">
        <is>
          <t>VÄSTERNORRLANDS LÄN</t>
        </is>
      </c>
      <c r="E933" t="inlineStr">
        <is>
          <t>SOLLEFTEÅ</t>
        </is>
      </c>
      <c r="G933" t="n">
        <v>5.2</v>
      </c>
      <c r="H933" t="n">
        <v>0</v>
      </c>
      <c r="I933" t="n">
        <v>0</v>
      </c>
      <c r="J933" t="n">
        <v>0</v>
      </c>
      <c r="K933" t="n">
        <v>0</v>
      </c>
      <c r="L933" t="n">
        <v>0</v>
      </c>
      <c r="M933" t="n">
        <v>0</v>
      </c>
      <c r="N933" t="n">
        <v>0</v>
      </c>
      <c r="O933" t="n">
        <v>0</v>
      </c>
      <c r="P933" t="n">
        <v>0</v>
      </c>
      <c r="Q933" t="n">
        <v>0</v>
      </c>
      <c r="R933" s="2" t="inlineStr"/>
    </row>
    <row r="934" ht="15" customHeight="1">
      <c r="A934" t="inlineStr">
        <is>
          <t>A 40014-2025</t>
        </is>
      </c>
      <c r="B934" s="1" t="n">
        <v>45894</v>
      </c>
      <c r="C934" s="1" t="n">
        <v>46082</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28686-2025</t>
        </is>
      </c>
      <c r="B935" s="1" t="n">
        <v>45819</v>
      </c>
      <c r="C935" s="1" t="n">
        <v>46082</v>
      </c>
      <c r="D935" t="inlineStr">
        <is>
          <t>VÄSTERNORRLANDS LÄN</t>
        </is>
      </c>
      <c r="E935" t="inlineStr">
        <is>
          <t>SOLLEFTEÅ</t>
        </is>
      </c>
      <c r="G935" t="n">
        <v>5.7</v>
      </c>
      <c r="H935" t="n">
        <v>0</v>
      </c>
      <c r="I935" t="n">
        <v>0</v>
      </c>
      <c r="J935" t="n">
        <v>0</v>
      </c>
      <c r="K935" t="n">
        <v>0</v>
      </c>
      <c r="L935" t="n">
        <v>0</v>
      </c>
      <c r="M935" t="n">
        <v>0</v>
      </c>
      <c r="N935" t="n">
        <v>0</v>
      </c>
      <c r="O935" t="n">
        <v>0</v>
      </c>
      <c r="P935" t="n">
        <v>0</v>
      </c>
      <c r="Q935" t="n">
        <v>0</v>
      </c>
      <c r="R935" s="2" t="inlineStr"/>
    </row>
    <row r="936" ht="15" customHeight="1">
      <c r="A936" t="inlineStr">
        <is>
          <t>A 40048-2025</t>
        </is>
      </c>
      <c r="B936" s="1" t="n">
        <v>45894.40679398148</v>
      </c>
      <c r="C936" s="1" t="n">
        <v>46082</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40050-2025</t>
        </is>
      </c>
      <c r="B937" s="1" t="n">
        <v>45894.40717592592</v>
      </c>
      <c r="C937" s="1" t="n">
        <v>46082</v>
      </c>
      <c r="D937" t="inlineStr">
        <is>
          <t>VÄSTERNORRLANDS LÄN</t>
        </is>
      </c>
      <c r="E937" t="inlineStr">
        <is>
          <t>SOLLEFTEÅ</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5394-2025</t>
        </is>
      </c>
      <c r="B938" s="1" t="n">
        <v>45692.63591435185</v>
      </c>
      <c r="C938" s="1" t="n">
        <v>46082</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39935-2025</t>
        </is>
      </c>
      <c r="B939" s="1" t="n">
        <v>45891</v>
      </c>
      <c r="C939" s="1" t="n">
        <v>46082</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28743-2025</t>
        </is>
      </c>
      <c r="B940" s="1" t="n">
        <v>45820.38586805556</v>
      </c>
      <c r="C940" s="1" t="n">
        <v>46082</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28715-2025</t>
        </is>
      </c>
      <c r="B941" s="1" t="n">
        <v>45820</v>
      </c>
      <c r="C941" s="1" t="n">
        <v>46082</v>
      </c>
      <c r="D941" t="inlineStr">
        <is>
          <t>VÄSTERNORRLANDS LÄN</t>
        </is>
      </c>
      <c r="E941" t="inlineStr">
        <is>
          <t>SOLLEFTEÅ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28719-2025</t>
        </is>
      </c>
      <c r="B942" s="1" t="n">
        <v>45820</v>
      </c>
      <c r="C942" s="1" t="n">
        <v>46082</v>
      </c>
      <c r="D942" t="inlineStr">
        <is>
          <t>VÄSTERNORRLANDS LÄN</t>
        </is>
      </c>
      <c r="E942" t="inlineStr">
        <is>
          <t>SOLLEFTEÅ</t>
        </is>
      </c>
      <c r="F942" t="inlineStr">
        <is>
          <t>SCA</t>
        </is>
      </c>
      <c r="G942" t="n">
        <v>4.3</v>
      </c>
      <c r="H942" t="n">
        <v>0</v>
      </c>
      <c r="I942" t="n">
        <v>0</v>
      </c>
      <c r="J942" t="n">
        <v>0</v>
      </c>
      <c r="K942" t="n">
        <v>0</v>
      </c>
      <c r="L942" t="n">
        <v>0</v>
      </c>
      <c r="M942" t="n">
        <v>0</v>
      </c>
      <c r="N942" t="n">
        <v>0</v>
      </c>
      <c r="O942" t="n">
        <v>0</v>
      </c>
      <c r="P942" t="n">
        <v>0</v>
      </c>
      <c r="Q942" t="n">
        <v>0</v>
      </c>
      <c r="R942" s="2" t="inlineStr"/>
    </row>
    <row r="943" ht="15" customHeight="1">
      <c r="A943" t="inlineStr">
        <is>
          <t>A 47329-2023</t>
        </is>
      </c>
      <c r="B943" s="1" t="n">
        <v>45196</v>
      </c>
      <c r="C943" s="1" t="n">
        <v>46082</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20461-2023</t>
        </is>
      </c>
      <c r="B944" s="1" t="n">
        <v>45056.95284722222</v>
      </c>
      <c r="C944" s="1" t="n">
        <v>46082</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42983-2024</t>
        </is>
      </c>
      <c r="B945" s="1" t="n">
        <v>45567.37471064815</v>
      </c>
      <c r="C945" s="1" t="n">
        <v>46082</v>
      </c>
      <c r="D945" t="inlineStr">
        <is>
          <t>VÄSTERNORRLANDS LÄN</t>
        </is>
      </c>
      <c r="E945" t="inlineStr">
        <is>
          <t>SOLLEFTEÅ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42984-2024</t>
        </is>
      </c>
      <c r="B946" s="1" t="n">
        <v>45567.37532407408</v>
      </c>
      <c r="C946" s="1" t="n">
        <v>46082</v>
      </c>
      <c r="D946" t="inlineStr">
        <is>
          <t>VÄSTERNORRLANDS LÄN</t>
        </is>
      </c>
      <c r="E946" t="inlineStr">
        <is>
          <t>SOLLEFTEÅ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42985-2024</t>
        </is>
      </c>
      <c r="B947" s="1" t="n">
        <v>45567.37533564815</v>
      </c>
      <c r="C947" s="1" t="n">
        <v>46082</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28698-2025</t>
        </is>
      </c>
      <c r="B948" s="1" t="n">
        <v>45819.925625</v>
      </c>
      <c r="C948" s="1" t="n">
        <v>46082</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28672-2025</t>
        </is>
      </c>
      <c r="B949" s="1" t="n">
        <v>45819.6754050926</v>
      </c>
      <c r="C949" s="1" t="n">
        <v>46082</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58357-2024</t>
        </is>
      </c>
      <c r="B950" s="1" t="n">
        <v>45632</v>
      </c>
      <c r="C950" s="1" t="n">
        <v>46082</v>
      </c>
      <c r="D950" t="inlineStr">
        <is>
          <t>VÄSTERNORRLANDS LÄN</t>
        </is>
      </c>
      <c r="E950" t="inlineStr">
        <is>
          <t>SOLLEFTEÅ</t>
        </is>
      </c>
      <c r="G950" t="n">
        <v>3.3</v>
      </c>
      <c r="H950" t="n">
        <v>0</v>
      </c>
      <c r="I950" t="n">
        <v>0</v>
      </c>
      <c r="J950" t="n">
        <v>0</v>
      </c>
      <c r="K950" t="n">
        <v>0</v>
      </c>
      <c r="L950" t="n">
        <v>0</v>
      </c>
      <c r="M950" t="n">
        <v>0</v>
      </c>
      <c r="N950" t="n">
        <v>0</v>
      </c>
      <c r="O950" t="n">
        <v>0</v>
      </c>
      <c r="P950" t="n">
        <v>0</v>
      </c>
      <c r="Q950" t="n">
        <v>0</v>
      </c>
      <c r="R950" s="2" t="inlineStr"/>
    </row>
    <row r="951" ht="15" customHeight="1">
      <c r="A951" t="inlineStr">
        <is>
          <t>A 58360-2024</t>
        </is>
      </c>
      <c r="B951" s="1" t="n">
        <v>45632</v>
      </c>
      <c r="C951" s="1" t="n">
        <v>46082</v>
      </c>
      <c r="D951" t="inlineStr">
        <is>
          <t>VÄSTERNORRLANDS LÄN</t>
        </is>
      </c>
      <c r="E951" t="inlineStr">
        <is>
          <t>SOLLEFTEÅ</t>
        </is>
      </c>
      <c r="G951" t="n">
        <v>3.7</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46082</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7009-2023</t>
        </is>
      </c>
      <c r="B953" s="1" t="n">
        <v>44967.92959490741</v>
      </c>
      <c r="C953" s="1" t="n">
        <v>46082</v>
      </c>
      <c r="D953" t="inlineStr">
        <is>
          <t>VÄSTERNORRLANDS LÄN</t>
        </is>
      </c>
      <c r="E953" t="inlineStr">
        <is>
          <t>SOLLEFTEÅ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34638-2024</t>
        </is>
      </c>
      <c r="B954" s="1" t="n">
        <v>45526</v>
      </c>
      <c r="C954" s="1" t="n">
        <v>46082</v>
      </c>
      <c r="D954" t="inlineStr">
        <is>
          <t>VÄSTERNORRLANDS LÄN</t>
        </is>
      </c>
      <c r="E954" t="inlineStr">
        <is>
          <t>SOLLEFTEÅ</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HYPERLINK("https://klasma.github.io/Logging_2283/knärot/A 34638-2024 karta knärot.png", "A 34638-2024")</f>
        <v/>
      </c>
      <c r="V954">
        <f>HYPERLINK("https://klasma.github.io/Logging_2283/klagomål/A 34638-2024 FSC-klagomål.docx", "A 34638-2024")</f>
        <v/>
      </c>
      <c r="W954">
        <f>HYPERLINK("https://klasma.github.io/Logging_2283/klagomålsmail/A 34638-2024 FSC-klagomål mail.docx", "A 34638-2024")</f>
        <v/>
      </c>
      <c r="X954">
        <f>HYPERLINK("https://klasma.github.io/Logging_2283/tillsyn/A 34638-2024 tillsynsbegäran.docx", "A 34638-2024")</f>
        <v/>
      </c>
      <c r="Y954">
        <f>HYPERLINK("https://klasma.github.io/Logging_2283/tillsynsmail/A 34638-2024 tillsynsbegäran mail.docx", "A 34638-2024")</f>
        <v/>
      </c>
    </row>
    <row r="955" ht="15" customHeight="1">
      <c r="A955" t="inlineStr">
        <is>
          <t>A 29309-2025</t>
        </is>
      </c>
      <c r="B955" s="1" t="n">
        <v>45824.46333333333</v>
      </c>
      <c r="C955" s="1" t="n">
        <v>46082</v>
      </c>
      <c r="D955" t="inlineStr">
        <is>
          <t>VÄSTERNORRLANDS LÄN</t>
        </is>
      </c>
      <c r="E955" t="inlineStr">
        <is>
          <t>SOLLEFTEÅ</t>
        </is>
      </c>
      <c r="F955" t="inlineStr">
        <is>
          <t>Holmen skog AB</t>
        </is>
      </c>
      <c r="G955" t="n">
        <v>9.9</v>
      </c>
      <c r="H955" t="n">
        <v>0</v>
      </c>
      <c r="I955" t="n">
        <v>0</v>
      </c>
      <c r="J955" t="n">
        <v>0</v>
      </c>
      <c r="K955" t="n">
        <v>0</v>
      </c>
      <c r="L955" t="n">
        <v>0</v>
      </c>
      <c r="M955" t="n">
        <v>0</v>
      </c>
      <c r="N955" t="n">
        <v>0</v>
      </c>
      <c r="O955" t="n">
        <v>0</v>
      </c>
      <c r="P955" t="n">
        <v>0</v>
      </c>
      <c r="Q955" t="n">
        <v>0</v>
      </c>
      <c r="R955" s="2" t="inlineStr"/>
    </row>
    <row r="956" ht="15" customHeight="1">
      <c r="A956" t="inlineStr">
        <is>
          <t>A 28995-2025</t>
        </is>
      </c>
      <c r="B956" s="1" t="n">
        <v>45821.38596064815</v>
      </c>
      <c r="C956" s="1" t="n">
        <v>46082</v>
      </c>
      <c r="D956" t="inlineStr">
        <is>
          <t>VÄSTERNORRLANDS LÄN</t>
        </is>
      </c>
      <c r="E956" t="inlineStr">
        <is>
          <t>SOLLEFTEÅ</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40008-2025</t>
        </is>
      </c>
      <c r="B957" s="1" t="n">
        <v>45894.34431712963</v>
      </c>
      <c r="C957" s="1" t="n">
        <v>46082</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28998-2025</t>
        </is>
      </c>
      <c r="B958" s="1" t="n">
        <v>45821.38626157407</v>
      </c>
      <c r="C958" s="1" t="n">
        <v>46082</v>
      </c>
      <c r="D958" t="inlineStr">
        <is>
          <t>VÄSTERNORRLANDS LÄN</t>
        </is>
      </c>
      <c r="E958" t="inlineStr">
        <is>
          <t>SOLLEFTEÅ</t>
        </is>
      </c>
      <c r="F958" t="inlineStr">
        <is>
          <t>SCA</t>
        </is>
      </c>
      <c r="G958" t="n">
        <v>14.2</v>
      </c>
      <c r="H958" t="n">
        <v>0</v>
      </c>
      <c r="I958" t="n">
        <v>0</v>
      </c>
      <c r="J958" t="n">
        <v>0</v>
      </c>
      <c r="K958" t="n">
        <v>0</v>
      </c>
      <c r="L958" t="n">
        <v>0</v>
      </c>
      <c r="M958" t="n">
        <v>0</v>
      </c>
      <c r="N958" t="n">
        <v>0</v>
      </c>
      <c r="O958" t="n">
        <v>0</v>
      </c>
      <c r="P958" t="n">
        <v>0</v>
      </c>
      <c r="Q958" t="n">
        <v>0</v>
      </c>
      <c r="R958" s="2" t="inlineStr"/>
    </row>
    <row r="959" ht="15" customHeight="1">
      <c r="A959" t="inlineStr">
        <is>
          <t>A 29103-2025</t>
        </is>
      </c>
      <c r="B959" s="1" t="n">
        <v>45821.57219907407</v>
      </c>
      <c r="C959" s="1" t="n">
        <v>46082</v>
      </c>
      <c r="D959" t="inlineStr">
        <is>
          <t>VÄSTERNORRLANDS LÄN</t>
        </is>
      </c>
      <c r="E959" t="inlineStr">
        <is>
          <t>SOLLEFTEÅ</t>
        </is>
      </c>
      <c r="G959" t="n">
        <v>9.1</v>
      </c>
      <c r="H959" t="n">
        <v>0</v>
      </c>
      <c r="I959" t="n">
        <v>0</v>
      </c>
      <c r="J959" t="n">
        <v>0</v>
      </c>
      <c r="K959" t="n">
        <v>0</v>
      </c>
      <c r="L959" t="n">
        <v>0</v>
      </c>
      <c r="M959" t="n">
        <v>0</v>
      </c>
      <c r="N959" t="n">
        <v>0</v>
      </c>
      <c r="O959" t="n">
        <v>0</v>
      </c>
      <c r="P959" t="n">
        <v>0</v>
      </c>
      <c r="Q959" t="n">
        <v>0</v>
      </c>
      <c r="R959" s="2" t="inlineStr"/>
    </row>
    <row r="960" ht="15" customHeight="1">
      <c r="A960" t="inlineStr">
        <is>
          <t>A 29039-2025</t>
        </is>
      </c>
      <c r="B960" s="1" t="n">
        <v>45821.44844907407</v>
      </c>
      <c r="C960" s="1" t="n">
        <v>46082</v>
      </c>
      <c r="D960" t="inlineStr">
        <is>
          <t>VÄSTERNORRLANDS LÄN</t>
        </is>
      </c>
      <c r="E960" t="inlineStr">
        <is>
          <t>SOLLEFTEÅ</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29435-2025</t>
        </is>
      </c>
      <c r="B961" s="1" t="n">
        <v>45824.65762731482</v>
      </c>
      <c r="C961" s="1" t="n">
        <v>46082</v>
      </c>
      <c r="D961" t="inlineStr">
        <is>
          <t>VÄSTERNORRLANDS LÄN</t>
        </is>
      </c>
      <c r="E961" t="inlineStr">
        <is>
          <t>SOLLEFTEÅ</t>
        </is>
      </c>
      <c r="G961" t="n">
        <v>8</v>
      </c>
      <c r="H961" t="n">
        <v>0</v>
      </c>
      <c r="I961" t="n">
        <v>0</v>
      </c>
      <c r="J961" t="n">
        <v>0</v>
      </c>
      <c r="K961" t="n">
        <v>0</v>
      </c>
      <c r="L961" t="n">
        <v>0</v>
      </c>
      <c r="M961" t="n">
        <v>0</v>
      </c>
      <c r="N961" t="n">
        <v>0</v>
      </c>
      <c r="O961" t="n">
        <v>0</v>
      </c>
      <c r="P961" t="n">
        <v>0</v>
      </c>
      <c r="Q961" t="n">
        <v>0</v>
      </c>
      <c r="R961" s="2" t="inlineStr"/>
    </row>
    <row r="962" ht="15" customHeight="1">
      <c r="A962" t="inlineStr">
        <is>
          <t>A 29011-2025</t>
        </is>
      </c>
      <c r="B962" s="1" t="n">
        <v>45821.40659722222</v>
      </c>
      <c r="C962" s="1" t="n">
        <v>46082</v>
      </c>
      <c r="D962" t="inlineStr">
        <is>
          <t>VÄSTERNORRLANDS LÄN</t>
        </is>
      </c>
      <c r="E962" t="inlineStr">
        <is>
          <t>SOLLEFTEÅ</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40136-2025</t>
        </is>
      </c>
      <c r="B963" s="1" t="n">
        <v>45894.5588425926</v>
      </c>
      <c r="C963" s="1" t="n">
        <v>46082</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38972-2025</t>
        </is>
      </c>
      <c r="B964" s="1" t="n">
        <v>45887</v>
      </c>
      <c r="C964" s="1" t="n">
        <v>46082</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28994-2025</t>
        </is>
      </c>
      <c r="B965" s="1" t="n">
        <v>45821.38587962963</v>
      </c>
      <c r="C965" s="1" t="n">
        <v>46082</v>
      </c>
      <c r="D965" t="inlineStr">
        <is>
          <t>VÄSTERNORRLANDS LÄN</t>
        </is>
      </c>
      <c r="E965" t="inlineStr">
        <is>
          <t>SOLLEFTEÅ</t>
        </is>
      </c>
      <c r="F965" t="inlineStr">
        <is>
          <t>SCA</t>
        </is>
      </c>
      <c r="G965" t="n">
        <v>10.8</v>
      </c>
      <c r="H965" t="n">
        <v>0</v>
      </c>
      <c r="I965" t="n">
        <v>0</v>
      </c>
      <c r="J965" t="n">
        <v>0</v>
      </c>
      <c r="K965" t="n">
        <v>0</v>
      </c>
      <c r="L965" t="n">
        <v>0</v>
      </c>
      <c r="M965" t="n">
        <v>0</v>
      </c>
      <c r="N965" t="n">
        <v>0</v>
      </c>
      <c r="O965" t="n">
        <v>0</v>
      </c>
      <c r="P965" t="n">
        <v>0</v>
      </c>
      <c r="Q965" t="n">
        <v>0</v>
      </c>
      <c r="R965" s="2" t="inlineStr"/>
    </row>
    <row r="966" ht="15" customHeight="1">
      <c r="A966" t="inlineStr">
        <is>
          <t>A 29273-2025</t>
        </is>
      </c>
      <c r="B966" s="1" t="n">
        <v>45824.41125</v>
      </c>
      <c r="C966" s="1" t="n">
        <v>46082</v>
      </c>
      <c r="D966" t="inlineStr">
        <is>
          <t>VÄSTERNORRLANDS LÄN</t>
        </is>
      </c>
      <c r="E966" t="inlineStr">
        <is>
          <t>SOLLEFTEÅ</t>
        </is>
      </c>
      <c r="G966" t="n">
        <v>6.6</v>
      </c>
      <c r="H966" t="n">
        <v>0</v>
      </c>
      <c r="I966" t="n">
        <v>0</v>
      </c>
      <c r="J966" t="n">
        <v>0</v>
      </c>
      <c r="K966" t="n">
        <v>0</v>
      </c>
      <c r="L966" t="n">
        <v>0</v>
      </c>
      <c r="M966" t="n">
        <v>0</v>
      </c>
      <c r="N966" t="n">
        <v>0</v>
      </c>
      <c r="O966" t="n">
        <v>0</v>
      </c>
      <c r="P966" t="n">
        <v>0</v>
      </c>
      <c r="Q966" t="n">
        <v>0</v>
      </c>
      <c r="R966" s="2" t="inlineStr"/>
    </row>
    <row r="967" ht="15" customHeight="1">
      <c r="A967" t="inlineStr">
        <is>
          <t>A 28993-2025</t>
        </is>
      </c>
      <c r="B967" s="1" t="n">
        <v>45821.38574074074</v>
      </c>
      <c r="C967" s="1" t="n">
        <v>46082</v>
      </c>
      <c r="D967" t="inlineStr">
        <is>
          <t>VÄSTERNORRLANDS LÄN</t>
        </is>
      </c>
      <c r="E967" t="inlineStr">
        <is>
          <t>SOLLEFTEÅ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29142-2025</t>
        </is>
      </c>
      <c r="B968" s="1" t="n">
        <v>45821.61518518518</v>
      </c>
      <c r="C968" s="1" t="n">
        <v>46082</v>
      </c>
      <c r="D968" t="inlineStr">
        <is>
          <t>VÄSTERNORRLANDS LÄN</t>
        </is>
      </c>
      <c r="E968" t="inlineStr">
        <is>
          <t>SOLLEFTEÅ</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4623-2023</t>
        </is>
      </c>
      <c r="B969" s="1" t="n">
        <v>44956.94013888889</v>
      </c>
      <c r="C969" s="1" t="n">
        <v>46082</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49156-2024</t>
        </is>
      </c>
      <c r="B970" s="1" t="n">
        <v>45594.834375</v>
      </c>
      <c r="C970" s="1" t="n">
        <v>46082</v>
      </c>
      <c r="D970" t="inlineStr">
        <is>
          <t>VÄSTERNORRLANDS LÄN</t>
        </is>
      </c>
      <c r="E970" t="inlineStr">
        <is>
          <t>SOLLEFTEÅ</t>
        </is>
      </c>
      <c r="G970" t="n">
        <v>2.1</v>
      </c>
      <c r="H970" t="n">
        <v>0</v>
      </c>
      <c r="I970" t="n">
        <v>0</v>
      </c>
      <c r="J970" t="n">
        <v>0</v>
      </c>
      <c r="K970" t="n">
        <v>0</v>
      </c>
      <c r="L970" t="n">
        <v>0</v>
      </c>
      <c r="M970" t="n">
        <v>0</v>
      </c>
      <c r="N970" t="n">
        <v>0</v>
      </c>
      <c r="O970" t="n">
        <v>0</v>
      </c>
      <c r="P970" t="n">
        <v>0</v>
      </c>
      <c r="Q970" t="n">
        <v>0</v>
      </c>
      <c r="R970" s="2" t="inlineStr"/>
    </row>
    <row r="971" ht="15" customHeight="1">
      <c r="A971" t="inlineStr">
        <is>
          <t>A 7721-2023</t>
        </is>
      </c>
      <c r="B971" s="1" t="n">
        <v>44972.94123842593</v>
      </c>
      <c r="C971" s="1" t="n">
        <v>46082</v>
      </c>
      <c r="D971" t="inlineStr">
        <is>
          <t>VÄSTERNORRLANDS LÄN</t>
        </is>
      </c>
      <c r="E971" t="inlineStr">
        <is>
          <t>SOLLEFTEÅ</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41478-2022</t>
        </is>
      </c>
      <c r="B972" s="1" t="n">
        <v>44826.94892361111</v>
      </c>
      <c r="C972" s="1" t="n">
        <v>46082</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29445-2025</t>
        </is>
      </c>
      <c r="B973" s="1" t="n">
        <v>45824.66322916667</v>
      </c>
      <c r="C973" s="1" t="n">
        <v>46082</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48038-2024</t>
        </is>
      </c>
      <c r="B974" s="1" t="n">
        <v>45589.49350694445</v>
      </c>
      <c r="C974" s="1" t="n">
        <v>46082</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29436-2025</t>
        </is>
      </c>
      <c r="B975" s="1" t="n">
        <v>45824.65766203704</v>
      </c>
      <c r="C975" s="1" t="n">
        <v>46082</v>
      </c>
      <c r="D975" t="inlineStr">
        <is>
          <t>VÄSTERNORRLANDS LÄN</t>
        </is>
      </c>
      <c r="E975" t="inlineStr">
        <is>
          <t>SOLLEFTEÅ</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55439-2024</t>
        </is>
      </c>
      <c r="B976" s="1" t="n">
        <v>45622.40663194445</v>
      </c>
      <c r="C976" s="1" t="n">
        <v>46082</v>
      </c>
      <c r="D976" t="inlineStr">
        <is>
          <t>VÄSTERNORRLANDS LÄN</t>
        </is>
      </c>
      <c r="E976" t="inlineStr">
        <is>
          <t>SOLLEFTEÅ</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40450-2025</t>
        </is>
      </c>
      <c r="B977" s="1" t="n">
        <v>45895.63584490741</v>
      </c>
      <c r="C977" s="1" t="n">
        <v>46082</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29760-2025</t>
        </is>
      </c>
      <c r="B978" s="1" t="n">
        <v>45825.61805555555</v>
      </c>
      <c r="C978" s="1" t="n">
        <v>46082</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29769-2025</t>
        </is>
      </c>
      <c r="B979" s="1" t="n">
        <v>45825.62796296296</v>
      </c>
      <c r="C979" s="1" t="n">
        <v>46082</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29762-2025</t>
        </is>
      </c>
      <c r="B980" s="1" t="n">
        <v>45825.61826388889</v>
      </c>
      <c r="C980" s="1" t="n">
        <v>46082</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30073-2025</t>
        </is>
      </c>
      <c r="B981" s="1" t="n">
        <v>45826.63643518519</v>
      </c>
      <c r="C981" s="1" t="n">
        <v>46082</v>
      </c>
      <c r="D981" t="inlineStr">
        <is>
          <t>VÄSTERNORRLANDS LÄN</t>
        </is>
      </c>
      <c r="E981" t="inlineStr">
        <is>
          <t>SOLLEFTEÅ</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30018-2025</t>
        </is>
      </c>
      <c r="B982" s="1" t="n">
        <v>45826.55332175926</v>
      </c>
      <c r="C982" s="1" t="n">
        <v>46082</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30020-2025</t>
        </is>
      </c>
      <c r="B983" s="1" t="n">
        <v>45826.55337962963</v>
      </c>
      <c r="C983" s="1" t="n">
        <v>46082</v>
      </c>
      <c r="D983" t="inlineStr">
        <is>
          <t>VÄSTERNORRLANDS LÄN</t>
        </is>
      </c>
      <c r="E983" t="inlineStr">
        <is>
          <t>SOLLEFTEÅ</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40358-2025</t>
        </is>
      </c>
      <c r="B984" s="1" t="n">
        <v>45895.48995370371</v>
      </c>
      <c r="C984" s="1" t="n">
        <v>46082</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40468-2025</t>
        </is>
      </c>
      <c r="B985" s="1" t="n">
        <v>45895.66416666667</v>
      </c>
      <c r="C985" s="1" t="n">
        <v>46082</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40492-2025</t>
        </is>
      </c>
      <c r="B986" s="1" t="n">
        <v>45896</v>
      </c>
      <c r="C986" s="1" t="n">
        <v>46082</v>
      </c>
      <c r="D986" t="inlineStr">
        <is>
          <t>VÄSTERNORRLANDS LÄN</t>
        </is>
      </c>
      <c r="E986" t="inlineStr">
        <is>
          <t>SOLLEFTEÅ</t>
        </is>
      </c>
      <c r="F986" t="inlineStr">
        <is>
          <t>Holmen skog AB</t>
        </is>
      </c>
      <c r="G986" t="n">
        <v>7.8</v>
      </c>
      <c r="H986" t="n">
        <v>0</v>
      </c>
      <c r="I986" t="n">
        <v>0</v>
      </c>
      <c r="J986" t="n">
        <v>0</v>
      </c>
      <c r="K986" t="n">
        <v>0</v>
      </c>
      <c r="L986" t="n">
        <v>0</v>
      </c>
      <c r="M986" t="n">
        <v>0</v>
      </c>
      <c r="N986" t="n">
        <v>0</v>
      </c>
      <c r="O986" t="n">
        <v>0</v>
      </c>
      <c r="P986" t="n">
        <v>0</v>
      </c>
      <c r="Q986" t="n">
        <v>0</v>
      </c>
      <c r="R986" s="2" t="inlineStr"/>
    </row>
    <row r="987" ht="15" customHeight="1">
      <c r="A987" t="inlineStr">
        <is>
          <t>A 40662-2025</t>
        </is>
      </c>
      <c r="B987" s="1" t="n">
        <v>45896.6487037037</v>
      </c>
      <c r="C987" s="1" t="n">
        <v>46082</v>
      </c>
      <c r="D987" t="inlineStr">
        <is>
          <t>VÄSTERNORRLANDS LÄN</t>
        </is>
      </c>
      <c r="E987" t="inlineStr">
        <is>
          <t>SOLLEFTEÅ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29562-2025</t>
        </is>
      </c>
      <c r="B988" s="1" t="n">
        <v>45825</v>
      </c>
      <c r="C988" s="1" t="n">
        <v>46082</v>
      </c>
      <c r="D988" t="inlineStr">
        <is>
          <t>VÄSTERNORRLANDS LÄN</t>
        </is>
      </c>
      <c r="E988" t="inlineStr">
        <is>
          <t>SOLLEFTEÅ</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40515-2025</t>
        </is>
      </c>
      <c r="B989" s="1" t="n">
        <v>45896</v>
      </c>
      <c r="C989" s="1" t="n">
        <v>46082</v>
      </c>
      <c r="D989" t="inlineStr">
        <is>
          <t>VÄSTERNORRLANDS LÄN</t>
        </is>
      </c>
      <c r="E989" t="inlineStr">
        <is>
          <t>SOLLEFTEÅ</t>
        </is>
      </c>
      <c r="G989" t="n">
        <v>7.3</v>
      </c>
      <c r="H989" t="n">
        <v>0</v>
      </c>
      <c r="I989" t="n">
        <v>0</v>
      </c>
      <c r="J989" t="n">
        <v>0</v>
      </c>
      <c r="K989" t="n">
        <v>0</v>
      </c>
      <c r="L989" t="n">
        <v>0</v>
      </c>
      <c r="M989" t="n">
        <v>0</v>
      </c>
      <c r="N989" t="n">
        <v>0</v>
      </c>
      <c r="O989" t="n">
        <v>0</v>
      </c>
      <c r="P989" t="n">
        <v>0</v>
      </c>
      <c r="Q989" t="n">
        <v>0</v>
      </c>
      <c r="R989" s="2" t="inlineStr"/>
    </row>
    <row r="990" ht="15" customHeight="1">
      <c r="A990" t="inlineStr">
        <is>
          <t>A 40304-2025</t>
        </is>
      </c>
      <c r="B990" s="1" t="n">
        <v>45895.40690972222</v>
      </c>
      <c r="C990" s="1" t="n">
        <v>46082</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40302-2025</t>
        </is>
      </c>
      <c r="B991" s="1" t="n">
        <v>45895.40662037037</v>
      </c>
      <c r="C991" s="1" t="n">
        <v>46082</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40651-2025</t>
        </is>
      </c>
      <c r="B992" s="1" t="n">
        <v>45896.63585648148</v>
      </c>
      <c r="C992" s="1" t="n">
        <v>46082</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41305-2025</t>
        </is>
      </c>
      <c r="B993" s="1" t="n">
        <v>45898.69850694444</v>
      </c>
      <c r="C993" s="1" t="n">
        <v>46082</v>
      </c>
      <c r="D993" t="inlineStr">
        <is>
          <t>VÄSTERNORRLANDS LÄN</t>
        </is>
      </c>
      <c r="E993" t="inlineStr">
        <is>
          <t>SOLLEFTEÅ</t>
        </is>
      </c>
      <c r="F993" t="inlineStr">
        <is>
          <t>SCA</t>
        </is>
      </c>
      <c r="G993" t="n">
        <v>6.3</v>
      </c>
      <c r="H993" t="n">
        <v>0</v>
      </c>
      <c r="I993" t="n">
        <v>0</v>
      </c>
      <c r="J993" t="n">
        <v>0</v>
      </c>
      <c r="K993" t="n">
        <v>0</v>
      </c>
      <c r="L993" t="n">
        <v>0</v>
      </c>
      <c r="M993" t="n">
        <v>0</v>
      </c>
      <c r="N993" t="n">
        <v>0</v>
      </c>
      <c r="O993" t="n">
        <v>0</v>
      </c>
      <c r="P993" t="n">
        <v>0</v>
      </c>
      <c r="Q993" t="n">
        <v>0</v>
      </c>
      <c r="R993" s="2" t="inlineStr"/>
    </row>
    <row r="994" ht="15" customHeight="1">
      <c r="A994" t="inlineStr">
        <is>
          <t>A 7184-2025</t>
        </is>
      </c>
      <c r="B994" s="1" t="n">
        <v>45702</v>
      </c>
      <c r="C994" s="1" t="n">
        <v>46082</v>
      </c>
      <c r="D994" t="inlineStr">
        <is>
          <t>VÄSTERNORRLANDS LÄN</t>
        </is>
      </c>
      <c r="E994" t="inlineStr">
        <is>
          <t>SOLLEFTEÅ</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29535-2025</t>
        </is>
      </c>
      <c r="B995" s="1" t="n">
        <v>45825.34486111111</v>
      </c>
      <c r="C995" s="1" t="n">
        <v>46082</v>
      </c>
      <c r="D995" t="inlineStr">
        <is>
          <t>VÄSTERNORRLANDS LÄN</t>
        </is>
      </c>
      <c r="E995" t="inlineStr">
        <is>
          <t>SOLLEFTEÅ</t>
        </is>
      </c>
      <c r="F995" t="inlineStr">
        <is>
          <t>SCA</t>
        </is>
      </c>
      <c r="G995" t="n">
        <v>20.6</v>
      </c>
      <c r="H995" t="n">
        <v>0</v>
      </c>
      <c r="I995" t="n">
        <v>0</v>
      </c>
      <c r="J995" t="n">
        <v>0</v>
      </c>
      <c r="K995" t="n">
        <v>0</v>
      </c>
      <c r="L995" t="n">
        <v>0</v>
      </c>
      <c r="M995" t="n">
        <v>0</v>
      </c>
      <c r="N995" t="n">
        <v>0</v>
      </c>
      <c r="O995" t="n">
        <v>0</v>
      </c>
      <c r="P995" t="n">
        <v>0</v>
      </c>
      <c r="Q995" t="n">
        <v>0</v>
      </c>
      <c r="R995" s="2" t="inlineStr"/>
    </row>
    <row r="996" ht="15" customHeight="1">
      <c r="A996" t="inlineStr">
        <is>
          <t>A 29759-2025</t>
        </is>
      </c>
      <c r="B996" s="1" t="n">
        <v>45825</v>
      </c>
      <c r="C996" s="1" t="n">
        <v>46082</v>
      </c>
      <c r="D996" t="inlineStr">
        <is>
          <t>VÄSTERNORRLANDS LÄN</t>
        </is>
      </c>
      <c r="E996" t="inlineStr">
        <is>
          <t>SOLLEFTEÅ</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10725-2025</t>
        </is>
      </c>
      <c r="B997" s="1" t="n">
        <v>45722</v>
      </c>
      <c r="C997" s="1" t="n">
        <v>46082</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10737-2025</t>
        </is>
      </c>
      <c r="B998" s="1" t="n">
        <v>45722</v>
      </c>
      <c r="C998" s="1" t="n">
        <v>46082</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6896-2025</t>
        </is>
      </c>
      <c r="B999" s="1" t="n">
        <v>45701.38577546296</v>
      </c>
      <c r="C999" s="1" t="n">
        <v>46082</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42631-2024</t>
        </is>
      </c>
      <c r="B1000" s="1" t="n">
        <v>45565</v>
      </c>
      <c r="C1000" s="1" t="n">
        <v>46082</v>
      </c>
      <c r="D1000" t="inlineStr">
        <is>
          <t>VÄSTERNORRLANDS LÄN</t>
        </is>
      </c>
      <c r="E1000" t="inlineStr">
        <is>
          <t>SOLLEFTEÅ</t>
        </is>
      </c>
      <c r="F1000" t="inlineStr">
        <is>
          <t>Holmen skog AB</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40701-2025</t>
        </is>
      </c>
      <c r="B1001" s="1" t="n">
        <v>45897.32884259259</v>
      </c>
      <c r="C1001" s="1" t="n">
        <v>46082</v>
      </c>
      <c r="D1001" t="inlineStr">
        <is>
          <t>VÄSTERNORRLANDS LÄN</t>
        </is>
      </c>
      <c r="E1001" t="inlineStr">
        <is>
          <t>SOLLEFTEÅ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40754-2025</t>
        </is>
      </c>
      <c r="B1002" s="1" t="n">
        <v>45897.38653935185</v>
      </c>
      <c r="C1002" s="1" t="n">
        <v>46082</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29884-2025</t>
        </is>
      </c>
      <c r="B1003" s="1" t="n">
        <v>45826.36582175926</v>
      </c>
      <c r="C1003" s="1" t="n">
        <v>46082</v>
      </c>
      <c r="D1003" t="inlineStr">
        <is>
          <t>VÄSTERNORRLANDS LÄN</t>
        </is>
      </c>
      <c r="E1003" t="inlineStr">
        <is>
          <t>SOLLEFTEÅ</t>
        </is>
      </c>
      <c r="F1003" t="inlineStr">
        <is>
          <t>SCA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29793-2025</t>
        </is>
      </c>
      <c r="B1004" s="1" t="n">
        <v>45825</v>
      </c>
      <c r="C1004" s="1" t="n">
        <v>46082</v>
      </c>
      <c r="D1004" t="inlineStr">
        <is>
          <t>VÄSTERNORRLANDS LÄN</t>
        </is>
      </c>
      <c r="E1004" t="inlineStr">
        <is>
          <t>SOLLEFTEÅ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26014-2025</t>
        </is>
      </c>
      <c r="B1005" s="1" t="n">
        <v>45804.67773148148</v>
      </c>
      <c r="C1005" s="1" t="n">
        <v>46082</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29883-2025</t>
        </is>
      </c>
      <c r="B1006" s="1" t="n">
        <v>45826.36568287037</v>
      </c>
      <c r="C1006" s="1" t="n">
        <v>46082</v>
      </c>
      <c r="D1006" t="inlineStr">
        <is>
          <t>VÄSTERNORRLANDS LÄN</t>
        </is>
      </c>
      <c r="E1006" t="inlineStr">
        <is>
          <t>SOLLEFTEÅ</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46759-2024</t>
        </is>
      </c>
      <c r="B1007" s="1" t="n">
        <v>45583.49101851852</v>
      </c>
      <c r="C1007" s="1" t="n">
        <v>46082</v>
      </c>
      <c r="D1007" t="inlineStr">
        <is>
          <t>VÄSTERNORRLANDS LÄN</t>
        </is>
      </c>
      <c r="E1007" t="inlineStr">
        <is>
          <t>SOLLEFTEÅ</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40752-2025</t>
        </is>
      </c>
      <c r="B1008" s="1" t="n">
        <v>45897.38592592593</v>
      </c>
      <c r="C1008" s="1" t="n">
        <v>46082</v>
      </c>
      <c r="D1008" t="inlineStr">
        <is>
          <t>VÄSTERNORRLANDS LÄN</t>
        </is>
      </c>
      <c r="E1008" t="inlineStr">
        <is>
          <t>SOLLEFTEÅ</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40962-2025</t>
        </is>
      </c>
      <c r="B1009" s="1" t="n">
        <v>45897.6983912037</v>
      </c>
      <c r="C1009" s="1" t="n">
        <v>46082</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40997-2025</t>
        </is>
      </c>
      <c r="B1010" s="1" t="n">
        <v>45898.34453703704</v>
      </c>
      <c r="C1010" s="1" t="n">
        <v>46082</v>
      </c>
      <c r="D1010" t="inlineStr">
        <is>
          <t>VÄSTERNORRLANDS LÄN</t>
        </is>
      </c>
      <c r="E1010" t="inlineStr">
        <is>
          <t>SOLLEFTEÅ</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41001-2025</t>
        </is>
      </c>
      <c r="B1011" s="1" t="n">
        <v>45898</v>
      </c>
      <c r="C1011" s="1" t="n">
        <v>46082</v>
      </c>
      <c r="D1011" t="inlineStr">
        <is>
          <t>VÄSTERNORRLANDS LÄN</t>
        </is>
      </c>
      <c r="E1011" t="inlineStr">
        <is>
          <t>SOLLEFTEÅ</t>
        </is>
      </c>
      <c r="F1011" t="inlineStr">
        <is>
          <t>SCA</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48265-2024</t>
        </is>
      </c>
      <c r="B1012" s="1" t="n">
        <v>45590.42751157407</v>
      </c>
      <c r="C1012" s="1" t="n">
        <v>46082</v>
      </c>
      <c r="D1012" t="inlineStr">
        <is>
          <t>VÄSTERNORRLANDS LÄN</t>
        </is>
      </c>
      <c r="E1012" t="inlineStr">
        <is>
          <t>SOLLEFTEÅ</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30311-2025</t>
        </is>
      </c>
      <c r="B1013" s="1" t="n">
        <v>45827.49015046296</v>
      </c>
      <c r="C1013" s="1" t="n">
        <v>46082</v>
      </c>
      <c r="D1013" t="inlineStr">
        <is>
          <t>VÄSTERNORRLANDS LÄN</t>
        </is>
      </c>
      <c r="E1013" t="inlineStr">
        <is>
          <t>SOLLEFTEÅ</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47631-2024</t>
        </is>
      </c>
      <c r="B1014" s="1" t="n">
        <v>45588.34465277778</v>
      </c>
      <c r="C1014" s="1" t="n">
        <v>46082</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30369-2025</t>
        </is>
      </c>
      <c r="B1015" s="1" t="n">
        <v>45827.55729166666</v>
      </c>
      <c r="C1015" s="1" t="n">
        <v>46082</v>
      </c>
      <c r="D1015" t="inlineStr">
        <is>
          <t>VÄSTERNORRLANDS LÄN</t>
        </is>
      </c>
      <c r="E1015" t="inlineStr">
        <is>
          <t>SOLLEFTEÅ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30389-2025</t>
        </is>
      </c>
      <c r="B1016" s="1" t="n">
        <v>45827.57356481482</v>
      </c>
      <c r="C1016" s="1" t="n">
        <v>46082</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54575-2024</t>
        </is>
      </c>
      <c r="B1017" s="1" t="n">
        <v>45617.65232638889</v>
      </c>
      <c r="C1017" s="1" t="n">
        <v>46082</v>
      </c>
      <c r="D1017" t="inlineStr">
        <is>
          <t>VÄSTERNORRLANDS LÄN</t>
        </is>
      </c>
      <c r="E1017" t="inlineStr">
        <is>
          <t>SOLLEFTEÅ</t>
        </is>
      </c>
      <c r="F1017" t="inlineStr">
        <is>
          <t>Holmen skog AB</t>
        </is>
      </c>
      <c r="G1017" t="n">
        <v>1.7</v>
      </c>
      <c r="H1017" t="n">
        <v>0</v>
      </c>
      <c r="I1017" t="n">
        <v>0</v>
      </c>
      <c r="J1017" t="n">
        <v>0</v>
      </c>
      <c r="K1017" t="n">
        <v>0</v>
      </c>
      <c r="L1017" t="n">
        <v>0</v>
      </c>
      <c r="M1017" t="n">
        <v>0</v>
      </c>
      <c r="N1017" t="n">
        <v>0</v>
      </c>
      <c r="O1017" t="n">
        <v>0</v>
      </c>
      <c r="P1017" t="n">
        <v>0</v>
      </c>
      <c r="Q1017" t="n">
        <v>0</v>
      </c>
      <c r="R1017" s="2" t="inlineStr"/>
      <c r="U1017">
        <f>HYPERLINK("https://klasma.github.io/Logging_2283/knärot/A 54575-2024 karta knärot.png", "A 54575-2024")</f>
        <v/>
      </c>
      <c r="V1017">
        <f>HYPERLINK("https://klasma.github.io/Logging_2283/klagomål/A 54575-2024 FSC-klagomål.docx", "A 54575-2024")</f>
        <v/>
      </c>
      <c r="W1017">
        <f>HYPERLINK("https://klasma.github.io/Logging_2283/klagomålsmail/A 54575-2024 FSC-klagomål mail.docx", "A 54575-2024")</f>
        <v/>
      </c>
      <c r="X1017">
        <f>HYPERLINK("https://klasma.github.io/Logging_2283/tillsyn/A 54575-2024 tillsynsbegäran.docx", "A 54575-2024")</f>
        <v/>
      </c>
      <c r="Y1017">
        <f>HYPERLINK("https://klasma.github.io/Logging_2283/tillsynsmail/A 54575-2024 tillsynsbegäran mail.docx", "A 54575-2024")</f>
        <v/>
      </c>
    </row>
    <row r="1018" ht="15" customHeight="1">
      <c r="A1018" t="inlineStr">
        <is>
          <t>A 41025-2025</t>
        </is>
      </c>
      <c r="B1018" s="1" t="n">
        <v>45897</v>
      </c>
      <c r="C1018" s="1" t="n">
        <v>46082</v>
      </c>
      <c r="D1018" t="inlineStr">
        <is>
          <t>VÄSTERNORRLANDS LÄN</t>
        </is>
      </c>
      <c r="E1018" t="inlineStr">
        <is>
          <t>SOLLEFTEÅ</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30279-2025</t>
        </is>
      </c>
      <c r="B1019" s="1" t="n">
        <v>45827</v>
      </c>
      <c r="C1019" s="1" t="n">
        <v>46082</v>
      </c>
      <c r="D1019" t="inlineStr">
        <is>
          <t>VÄSTERNORRLANDS LÄN</t>
        </is>
      </c>
      <c r="E1019" t="inlineStr">
        <is>
          <t>SOLLEFTEÅ</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30401-2025</t>
        </is>
      </c>
      <c r="B1020" s="1" t="n">
        <v>45827.59135416667</v>
      </c>
      <c r="C1020" s="1" t="n">
        <v>46082</v>
      </c>
      <c r="D1020" t="inlineStr">
        <is>
          <t>VÄSTERNORRLANDS LÄN</t>
        </is>
      </c>
      <c r="E1020" t="inlineStr">
        <is>
          <t>SOLLEFTEÅ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7261-2024</t>
        </is>
      </c>
      <c r="B1021" s="1" t="n">
        <v>45344</v>
      </c>
      <c r="C1021" s="1" t="n">
        <v>46082</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30478-2025</t>
        </is>
      </c>
      <c r="B1022" s="1" t="n">
        <v>45828.45866898148</v>
      </c>
      <c r="C1022" s="1" t="n">
        <v>46082</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c r="U1022">
        <f>HYPERLINK("https://klasma.github.io/Logging_2283/knärot/A 30478-2025 karta knärot.png", "A 30478-2025")</f>
        <v/>
      </c>
      <c r="V1022">
        <f>HYPERLINK("https://klasma.github.io/Logging_2283/klagomål/A 30478-2025 FSC-klagomål.docx", "A 30478-2025")</f>
        <v/>
      </c>
      <c r="W1022">
        <f>HYPERLINK("https://klasma.github.io/Logging_2283/klagomålsmail/A 30478-2025 FSC-klagomål mail.docx", "A 30478-2025")</f>
        <v/>
      </c>
      <c r="X1022">
        <f>HYPERLINK("https://klasma.github.io/Logging_2283/tillsyn/A 30478-2025 tillsynsbegäran.docx", "A 30478-2025")</f>
        <v/>
      </c>
      <c r="Y1022">
        <f>HYPERLINK("https://klasma.github.io/Logging_2283/tillsynsmail/A 30478-2025 tillsynsbegäran mail.docx", "A 30478-2025")</f>
        <v/>
      </c>
    </row>
    <row r="1023" ht="15" customHeight="1">
      <c r="A1023" t="inlineStr">
        <is>
          <t>A 41494-2025</t>
        </is>
      </c>
      <c r="B1023" s="1" t="n">
        <v>45901</v>
      </c>
      <c r="C1023" s="1" t="n">
        <v>46082</v>
      </c>
      <c r="D1023" t="inlineStr">
        <is>
          <t>VÄSTERNORRLANDS LÄN</t>
        </is>
      </c>
      <c r="E1023" t="inlineStr">
        <is>
          <t>SOLLEFTEÅ</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41540-2025</t>
        </is>
      </c>
      <c r="B1024" s="1" t="n">
        <v>45901.56833333334</v>
      </c>
      <c r="C1024" s="1" t="n">
        <v>46082</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41473-2025</t>
        </is>
      </c>
      <c r="B1025" s="1" t="n">
        <v>45901.46952546296</v>
      </c>
      <c r="C1025" s="1" t="n">
        <v>46082</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42081-2025</t>
        </is>
      </c>
      <c r="B1026" s="1" t="n">
        <v>45902</v>
      </c>
      <c r="C1026" s="1" t="n">
        <v>46082</v>
      </c>
      <c r="D1026" t="inlineStr">
        <is>
          <t>VÄSTERNORRLANDS LÄN</t>
        </is>
      </c>
      <c r="E1026" t="inlineStr">
        <is>
          <t>SOLLEFTEÅ</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3689-2023</t>
        </is>
      </c>
      <c r="B1027" s="1" t="n">
        <v>44950</v>
      </c>
      <c r="C1027" s="1" t="n">
        <v>46082</v>
      </c>
      <c r="D1027" t="inlineStr">
        <is>
          <t>VÄSTERNORRLANDS LÄN</t>
        </is>
      </c>
      <c r="E1027" t="inlineStr">
        <is>
          <t>SOLLEFTEÅ</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41449-2025</t>
        </is>
      </c>
      <c r="B1028" s="1" t="n">
        <v>45901.42787037037</v>
      </c>
      <c r="C1028" s="1" t="n">
        <v>46082</v>
      </c>
      <c r="D1028" t="inlineStr">
        <is>
          <t>VÄSTERNORRLANDS LÄN</t>
        </is>
      </c>
      <c r="E1028" t="inlineStr">
        <is>
          <t>SOLLEFTEÅ</t>
        </is>
      </c>
      <c r="F1028" t="inlineStr">
        <is>
          <t>SCA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31555-2024</t>
        </is>
      </c>
      <c r="B1029" s="1" t="n">
        <v>45505.96484953703</v>
      </c>
      <c r="C1029" s="1" t="n">
        <v>46082</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36139-2024</t>
        </is>
      </c>
      <c r="B1030" s="1" t="n">
        <v>45534.35474537037</v>
      </c>
      <c r="C1030" s="1" t="n">
        <v>46082</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36144-2024</t>
        </is>
      </c>
      <c r="B1031" s="1" t="n">
        <v>45534.36309027778</v>
      </c>
      <c r="C1031" s="1" t="n">
        <v>46082</v>
      </c>
      <c r="D1031" t="inlineStr">
        <is>
          <t>VÄSTERNORRLANDS LÄN</t>
        </is>
      </c>
      <c r="E1031" t="inlineStr">
        <is>
          <t>SOLLEFTEÅ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41617-2025</t>
        </is>
      </c>
      <c r="B1032" s="1" t="n">
        <v>45901.69834490741</v>
      </c>
      <c r="C1032" s="1" t="n">
        <v>46082</v>
      </c>
      <c r="D1032" t="inlineStr">
        <is>
          <t>VÄSTERNORRLANDS LÄN</t>
        </is>
      </c>
      <c r="E1032" t="inlineStr">
        <is>
          <t>SOLLEFTEÅ</t>
        </is>
      </c>
      <c r="F1032" t="inlineStr">
        <is>
          <t>SCA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41829-2025</t>
        </is>
      </c>
      <c r="B1033" s="1" t="n">
        <v>45902</v>
      </c>
      <c r="C1033" s="1" t="n">
        <v>46082</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30834-2025</t>
        </is>
      </c>
      <c r="B1034" s="1" t="n">
        <v>45831.6984837963</v>
      </c>
      <c r="C1034" s="1" t="n">
        <v>46082</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29246-2025</t>
        </is>
      </c>
      <c r="B1035" s="1" t="n">
        <v>45824</v>
      </c>
      <c r="C1035" s="1" t="n">
        <v>46082</v>
      </c>
      <c r="D1035" t="inlineStr">
        <is>
          <t>VÄSTERNORRLANDS LÄN</t>
        </is>
      </c>
      <c r="E1035" t="inlineStr">
        <is>
          <t>SOLLEFTEÅ</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22468-2024</t>
        </is>
      </c>
      <c r="B1036" s="1" t="n">
        <v>45446.95068287037</v>
      </c>
      <c r="C1036" s="1" t="n">
        <v>46082</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30733-2025</t>
        </is>
      </c>
      <c r="B1037" s="1" t="n">
        <v>45831.57340277778</v>
      </c>
      <c r="C1037" s="1" t="n">
        <v>46082</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30734-2025</t>
        </is>
      </c>
      <c r="B1038" s="1" t="n">
        <v>45831.5734375</v>
      </c>
      <c r="C1038" s="1" t="n">
        <v>46082</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41513-2025</t>
        </is>
      </c>
      <c r="B1039" s="1" t="n">
        <v>45901.54069444445</v>
      </c>
      <c r="C1039" s="1" t="n">
        <v>46082</v>
      </c>
      <c r="D1039" t="inlineStr">
        <is>
          <t>VÄSTERNORRLANDS LÄN</t>
        </is>
      </c>
      <c r="E1039" t="inlineStr">
        <is>
          <t>SOLLEFTEÅ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10077-2023</t>
        </is>
      </c>
      <c r="B1040" s="1" t="n">
        <v>44985.94408564815</v>
      </c>
      <c r="C1040" s="1" t="n">
        <v>46082</v>
      </c>
      <c r="D1040" t="inlineStr">
        <is>
          <t>VÄSTERNORRLANDS LÄN</t>
        </is>
      </c>
      <c r="E1040" t="inlineStr">
        <is>
          <t>SOLLEFTEÅ</t>
        </is>
      </c>
      <c r="F1040" t="inlineStr">
        <is>
          <t>SCA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41543-2025</t>
        </is>
      </c>
      <c r="B1041" s="1" t="n">
        <v>45901.57386574074</v>
      </c>
      <c r="C1041" s="1" t="n">
        <v>46082</v>
      </c>
      <c r="D1041" t="inlineStr">
        <is>
          <t>VÄSTERNORRLANDS LÄN</t>
        </is>
      </c>
      <c r="E1041" t="inlineStr">
        <is>
          <t>SOLLEFTEÅ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41502-2025</t>
        </is>
      </c>
      <c r="B1042" s="1" t="n">
        <v>45901</v>
      </c>
      <c r="C1042" s="1" t="n">
        <v>46082</v>
      </c>
      <c r="D1042" t="inlineStr">
        <is>
          <t>VÄSTERNORRLANDS LÄN</t>
        </is>
      </c>
      <c r="E1042" t="inlineStr">
        <is>
          <t>SOLLEFTEÅ</t>
        </is>
      </c>
      <c r="F1042" t="inlineStr">
        <is>
          <t>Holmen skog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42064-2025</t>
        </is>
      </c>
      <c r="B1043" s="1" t="n">
        <v>45903.6527199074</v>
      </c>
      <c r="C1043" s="1" t="n">
        <v>46082</v>
      </c>
      <c r="D1043" t="inlineStr">
        <is>
          <t>VÄSTERNORRLANDS LÄN</t>
        </is>
      </c>
      <c r="E1043" t="inlineStr">
        <is>
          <t>SOLLEFTEÅ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41925-2025</t>
        </is>
      </c>
      <c r="B1044" s="1" t="n">
        <v>45903.4275</v>
      </c>
      <c r="C1044" s="1" t="n">
        <v>46082</v>
      </c>
      <c r="D1044" t="inlineStr">
        <is>
          <t>VÄSTERNORRLANDS LÄN</t>
        </is>
      </c>
      <c r="E1044" t="inlineStr">
        <is>
          <t>SOLLEFTEÅ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42191-2025</t>
        </is>
      </c>
      <c r="B1045" s="1" t="n">
        <v>45904.47394675926</v>
      </c>
      <c r="C1045" s="1" t="n">
        <v>46082</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54330-2023</t>
        </is>
      </c>
      <c r="B1046" s="1" t="n">
        <v>45232.95814814815</v>
      </c>
      <c r="C1046" s="1" t="n">
        <v>46082</v>
      </c>
      <c r="D1046" t="inlineStr">
        <is>
          <t>VÄSTERNORRLANDS LÄN</t>
        </is>
      </c>
      <c r="E1046" t="inlineStr">
        <is>
          <t>SOLLEFTEÅ</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30964-2025</t>
        </is>
      </c>
      <c r="B1047" s="1" t="n">
        <v>45832.45111111111</v>
      </c>
      <c r="C1047" s="1" t="n">
        <v>46082</v>
      </c>
      <c r="D1047" t="inlineStr">
        <is>
          <t>VÄSTERNORRLANDS LÄN</t>
        </is>
      </c>
      <c r="E1047" t="inlineStr">
        <is>
          <t>SOLLEFTEÅ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41948-2025</t>
        </is>
      </c>
      <c r="B1048" s="1" t="n">
        <v>45903.45092592593</v>
      </c>
      <c r="C1048" s="1" t="n">
        <v>46082</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42192-2025</t>
        </is>
      </c>
      <c r="B1049" s="1" t="n">
        <v>45904.47975694444</v>
      </c>
      <c r="C1049" s="1" t="n">
        <v>46082</v>
      </c>
      <c r="D1049" t="inlineStr">
        <is>
          <t>VÄSTERNORRLANDS LÄN</t>
        </is>
      </c>
      <c r="E1049" t="inlineStr">
        <is>
          <t>SOLLEFTEÅ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42199-2025</t>
        </is>
      </c>
      <c r="B1050" s="1" t="n">
        <v>45904.48640046296</v>
      </c>
      <c r="C1050" s="1" t="n">
        <v>46082</v>
      </c>
      <c r="D1050" t="inlineStr">
        <is>
          <t>VÄSTERNORRLANDS LÄN</t>
        </is>
      </c>
      <c r="E1050" t="inlineStr">
        <is>
          <t>SOLLEFTEÅ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6284-2025</t>
        </is>
      </c>
      <c r="B1051" s="1" t="n">
        <v>45698.63611111111</v>
      </c>
      <c r="C1051" s="1" t="n">
        <v>46082</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62357-2023</t>
        </is>
      </c>
      <c r="B1052" s="1" t="n">
        <v>45267.95109953704</v>
      </c>
      <c r="C1052" s="1" t="n">
        <v>46082</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20516-2024</t>
        </is>
      </c>
      <c r="B1053" s="1" t="n">
        <v>45435</v>
      </c>
      <c r="C1053" s="1" t="n">
        <v>46082</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31183-2025</t>
        </is>
      </c>
      <c r="B1054" s="1" t="n">
        <v>45832.67774305555</v>
      </c>
      <c r="C1054" s="1" t="n">
        <v>46082</v>
      </c>
      <c r="D1054" t="inlineStr">
        <is>
          <t>VÄSTERNORRLANDS LÄN</t>
        </is>
      </c>
      <c r="E1054" t="inlineStr">
        <is>
          <t>SOLLEFTEÅ</t>
        </is>
      </c>
      <c r="F1054" t="inlineStr">
        <is>
          <t>SCA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42041-2025</t>
        </is>
      </c>
      <c r="B1055" s="1" t="n">
        <v>45903.61568287037</v>
      </c>
      <c r="C1055" s="1" t="n">
        <v>46082</v>
      </c>
      <c r="D1055" t="inlineStr">
        <is>
          <t>VÄSTERNORRLANDS LÄN</t>
        </is>
      </c>
      <c r="E1055" t="inlineStr">
        <is>
          <t>SOLLEFTEÅ</t>
        </is>
      </c>
      <c r="F1055" t="inlineStr">
        <is>
          <t>SCA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30889-2025</t>
        </is>
      </c>
      <c r="B1056" s="1" t="n">
        <v>45832.34618055556</v>
      </c>
      <c r="C1056" s="1" t="n">
        <v>46082</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11057-2025</t>
        </is>
      </c>
      <c r="B1057" s="1" t="n">
        <v>45723.51069444444</v>
      </c>
      <c r="C1057" s="1" t="n">
        <v>46082</v>
      </c>
      <c r="D1057" t="inlineStr">
        <is>
          <t>VÄSTERNORRLANDS LÄN</t>
        </is>
      </c>
      <c r="E1057" t="inlineStr">
        <is>
          <t>SOLLEFTEÅ</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15147-2024</t>
        </is>
      </c>
      <c r="B1058" s="1" t="n">
        <v>45399.94372685185</v>
      </c>
      <c r="C1058" s="1" t="n">
        <v>46082</v>
      </c>
      <c r="D1058" t="inlineStr">
        <is>
          <t>VÄSTERNORRLANDS LÄN</t>
        </is>
      </c>
      <c r="E1058" t="inlineStr">
        <is>
          <t>SOLLEFTEÅ</t>
        </is>
      </c>
      <c r="F1058" t="inlineStr">
        <is>
          <t>SCA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30750-2025</t>
        </is>
      </c>
      <c r="B1059" s="1" t="n">
        <v>45831.58900462963</v>
      </c>
      <c r="C1059" s="1" t="n">
        <v>46082</v>
      </c>
      <c r="D1059" t="inlineStr">
        <is>
          <t>VÄSTERNORRLANDS LÄN</t>
        </is>
      </c>
      <c r="E1059" t="inlineStr">
        <is>
          <t>SOLLEFTEÅ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30754-2025</t>
        </is>
      </c>
      <c r="B1060" s="1" t="n">
        <v>45831.59417824074</v>
      </c>
      <c r="C1060" s="1" t="n">
        <v>46082</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30774-2025</t>
        </is>
      </c>
      <c r="B1061" s="1" t="n">
        <v>45831.61501157407</v>
      </c>
      <c r="C1061" s="1" t="n">
        <v>46082</v>
      </c>
      <c r="D1061" t="inlineStr">
        <is>
          <t>VÄSTERNORRLANDS LÄN</t>
        </is>
      </c>
      <c r="E1061" t="inlineStr">
        <is>
          <t>SOLLEFTEÅ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42127-2025</t>
        </is>
      </c>
      <c r="B1062" s="1" t="n">
        <v>45904.34502314815</v>
      </c>
      <c r="C1062" s="1" t="n">
        <v>46082</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41924-2023</t>
        </is>
      </c>
      <c r="B1063" s="1" t="n">
        <v>45176</v>
      </c>
      <c r="C1063" s="1" t="n">
        <v>46082</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42201-2025</t>
        </is>
      </c>
      <c r="B1064" s="1" t="n">
        <v>45904.48965277777</v>
      </c>
      <c r="C1064" s="1" t="n">
        <v>46082</v>
      </c>
      <c r="D1064" t="inlineStr">
        <is>
          <t>VÄSTERNORRLANDS LÄN</t>
        </is>
      </c>
      <c r="E1064" t="inlineStr">
        <is>
          <t>SOLLEFTEÅ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42901-2025</t>
        </is>
      </c>
      <c r="B1065" s="1" t="n">
        <v>45908.67736111111</v>
      </c>
      <c r="C1065" s="1" t="n">
        <v>46082</v>
      </c>
      <c r="D1065" t="inlineStr">
        <is>
          <t>VÄSTERNORRLANDS LÄN</t>
        </is>
      </c>
      <c r="E1065" t="inlineStr">
        <is>
          <t>SOLLEFTEÅ</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31396-2025</t>
        </is>
      </c>
      <c r="B1066" s="1" t="n">
        <v>45833.4658912037</v>
      </c>
      <c r="C1066" s="1" t="n">
        <v>46082</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42789-2025</t>
        </is>
      </c>
      <c r="B1067" s="1" t="n">
        <v>45908</v>
      </c>
      <c r="C1067" s="1" t="n">
        <v>46082</v>
      </c>
      <c r="D1067" t="inlineStr">
        <is>
          <t>VÄSTERNORRLANDS LÄN</t>
        </is>
      </c>
      <c r="E1067" t="inlineStr">
        <is>
          <t>SOLLEFTEÅ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53831-2024</t>
        </is>
      </c>
      <c r="B1068" s="1" t="n">
        <v>45615.61575231481</v>
      </c>
      <c r="C1068" s="1" t="n">
        <v>46082</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31423-2025</t>
        </is>
      </c>
      <c r="B1069" s="1" t="n">
        <v>45833.48957175926</v>
      </c>
      <c r="C1069" s="1" t="n">
        <v>46082</v>
      </c>
      <c r="D1069" t="inlineStr">
        <is>
          <t>VÄSTERNORRLANDS LÄN</t>
        </is>
      </c>
      <c r="E1069" t="inlineStr">
        <is>
          <t>SOLLEFTEÅ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31435-2025</t>
        </is>
      </c>
      <c r="B1070" s="1" t="n">
        <v>45833.49708333334</v>
      </c>
      <c r="C1070" s="1" t="n">
        <v>46082</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45435-2024</t>
        </is>
      </c>
      <c r="B1071" s="1" t="n">
        <v>45576.61538194444</v>
      </c>
      <c r="C1071" s="1" t="n">
        <v>46082</v>
      </c>
      <c r="D1071" t="inlineStr">
        <is>
          <t>VÄSTERNORRLANDS LÄN</t>
        </is>
      </c>
      <c r="E1071" t="inlineStr">
        <is>
          <t>SOLLEFTEÅ</t>
        </is>
      </c>
      <c r="F1071" t="inlineStr">
        <is>
          <t>SCA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42808-2025</t>
        </is>
      </c>
      <c r="B1072" s="1" t="n">
        <v>45908.55265046296</v>
      </c>
      <c r="C1072" s="1" t="n">
        <v>46082</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31345-2025</t>
        </is>
      </c>
      <c r="B1073" s="1" t="n">
        <v>45833.42854166667</v>
      </c>
      <c r="C1073" s="1" t="n">
        <v>46082</v>
      </c>
      <c r="D1073" t="inlineStr">
        <is>
          <t>VÄSTERNORRLANDS LÄN</t>
        </is>
      </c>
      <c r="E1073" t="inlineStr">
        <is>
          <t>SOLLEFTEÅ</t>
        </is>
      </c>
      <c r="F1073" t="inlineStr">
        <is>
          <t>SCA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31347-2025</t>
        </is>
      </c>
      <c r="B1074" s="1" t="n">
        <v>45833</v>
      </c>
      <c r="C1074" s="1" t="n">
        <v>46082</v>
      </c>
      <c r="D1074" t="inlineStr">
        <is>
          <t>VÄSTERNORRLANDS LÄN</t>
        </is>
      </c>
      <c r="E1074" t="inlineStr">
        <is>
          <t>SOLLEFTEÅ</t>
        </is>
      </c>
      <c r="F1074" t="inlineStr">
        <is>
          <t>SCA</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43585-2024</t>
        </is>
      </c>
      <c r="B1075" s="1" t="n">
        <v>45569.42770833334</v>
      </c>
      <c r="C1075" s="1" t="n">
        <v>46082</v>
      </c>
      <c r="D1075" t="inlineStr">
        <is>
          <t>VÄSTERNORRLANDS LÄN</t>
        </is>
      </c>
      <c r="E1075" t="inlineStr">
        <is>
          <t>SOLLEFTEÅ</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31306-2025</t>
        </is>
      </c>
      <c r="B1076" s="1" t="n">
        <v>45833</v>
      </c>
      <c r="C1076" s="1" t="n">
        <v>46082</v>
      </c>
      <c r="D1076" t="inlineStr">
        <is>
          <t>VÄSTERNORRLANDS LÄN</t>
        </is>
      </c>
      <c r="E1076" t="inlineStr">
        <is>
          <t>SOLLEFTEÅ</t>
        </is>
      </c>
      <c r="F1076" t="inlineStr">
        <is>
          <t>SCA</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31337-2025</t>
        </is>
      </c>
      <c r="B1077" s="1" t="n">
        <v>45833.42751157407</v>
      </c>
      <c r="C1077" s="1" t="n">
        <v>46082</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52438-2024</t>
        </is>
      </c>
      <c r="B1078" s="1" t="n">
        <v>45609.48300925926</v>
      </c>
      <c r="C1078" s="1" t="n">
        <v>46082</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12311-2023</t>
        </is>
      </c>
      <c r="B1079" s="1" t="n">
        <v>44995</v>
      </c>
      <c r="C1079" s="1" t="n">
        <v>46082</v>
      </c>
      <c r="D1079" t="inlineStr">
        <is>
          <t>VÄSTERNORRLANDS LÄN</t>
        </is>
      </c>
      <c r="E1079" t="inlineStr">
        <is>
          <t>SOLLEFTEÅ</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12764-2022</t>
        </is>
      </c>
      <c r="B1080" s="1" t="n">
        <v>44641.93445601852</v>
      </c>
      <c r="C1080" s="1" t="n">
        <v>46082</v>
      </c>
      <c r="D1080" t="inlineStr">
        <is>
          <t>VÄSTERNORRLANDS LÄN</t>
        </is>
      </c>
      <c r="E1080" t="inlineStr">
        <is>
          <t>SOLLEFTEÅ</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31479-2025</t>
        </is>
      </c>
      <c r="B1081" s="1" t="n">
        <v>45833.57333333333</v>
      </c>
      <c r="C1081" s="1" t="n">
        <v>46082</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50008-2024</t>
        </is>
      </c>
      <c r="B1082" s="1" t="n">
        <v>45598.57908564815</v>
      </c>
      <c r="C1082" s="1" t="n">
        <v>46082</v>
      </c>
      <c r="D1082" t="inlineStr">
        <is>
          <t>VÄSTERNORRLANDS LÄN</t>
        </is>
      </c>
      <c r="E1082" t="inlineStr">
        <is>
          <t>SOLLEFTEÅ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31304-2025</t>
        </is>
      </c>
      <c r="B1083" s="1" t="n">
        <v>45833.38600694444</v>
      </c>
      <c r="C1083" s="1" t="n">
        <v>46082</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31338-2025</t>
        </is>
      </c>
      <c r="B1084" s="1" t="n">
        <v>45833.42768518518</v>
      </c>
      <c r="C1084" s="1" t="n">
        <v>46082</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31432-2025</t>
        </is>
      </c>
      <c r="B1085" s="1" t="n">
        <v>45833.49442129629</v>
      </c>
      <c r="C1085" s="1" t="n">
        <v>46082</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18951-2025</t>
        </is>
      </c>
      <c r="B1086" s="1" t="n">
        <v>45764.51086805556</v>
      </c>
      <c r="C1086" s="1" t="n">
        <v>46082</v>
      </c>
      <c r="D1086" t="inlineStr">
        <is>
          <t>VÄSTERNORRLANDS LÄN</t>
        </is>
      </c>
      <c r="E1086" t="inlineStr">
        <is>
          <t>SOLLEFTEÅ</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62038-2024</t>
        </is>
      </c>
      <c r="B1087" s="1" t="n">
        <v>45656.34410879629</v>
      </c>
      <c r="C1087" s="1" t="n">
        <v>46082</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22166-2025</t>
        </is>
      </c>
      <c r="B1088" s="1" t="n">
        <v>45785.59480324074</v>
      </c>
      <c r="C1088" s="1" t="n">
        <v>46082</v>
      </c>
      <c r="D1088" t="inlineStr">
        <is>
          <t>VÄSTERNORRLANDS LÄN</t>
        </is>
      </c>
      <c r="E1088" t="inlineStr">
        <is>
          <t>SOLLEFTEÅ</t>
        </is>
      </c>
      <c r="F1088" t="inlineStr">
        <is>
          <t>SCA</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31437-2025</t>
        </is>
      </c>
      <c r="B1089" s="1" t="n">
        <v>45833.49855324074</v>
      </c>
      <c r="C1089" s="1" t="n">
        <v>46082</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42697-2025</t>
        </is>
      </c>
      <c r="B1090" s="1" t="n">
        <v>45908.36498842593</v>
      </c>
      <c r="C1090" s="1" t="n">
        <v>46082</v>
      </c>
      <c r="D1090" t="inlineStr">
        <is>
          <t>VÄSTERNORRLANDS LÄN</t>
        </is>
      </c>
      <c r="E1090" t="inlineStr">
        <is>
          <t>SOLLEFTEÅ</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32969-2022</t>
        </is>
      </c>
      <c r="B1091" s="1" t="n">
        <v>44784.9402662037</v>
      </c>
      <c r="C1091" s="1" t="n">
        <v>46082</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31545-2025</t>
        </is>
      </c>
      <c r="B1092" s="1" t="n">
        <v>45833.63615740741</v>
      </c>
      <c r="C1092" s="1" t="n">
        <v>46082</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42396-2025</t>
        </is>
      </c>
      <c r="B1093" s="1" t="n">
        <v>45905.36559027778</v>
      </c>
      <c r="C1093" s="1" t="n">
        <v>46082</v>
      </c>
      <c r="D1093" t="inlineStr">
        <is>
          <t>VÄSTERNORRLANDS LÄN</t>
        </is>
      </c>
      <c r="E1093" t="inlineStr">
        <is>
          <t>SOLLEFTEÅ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14448-2022</t>
        </is>
      </c>
      <c r="B1094" s="1" t="n">
        <v>44652</v>
      </c>
      <c r="C1094" s="1" t="n">
        <v>46082</v>
      </c>
      <c r="D1094" t="inlineStr">
        <is>
          <t>VÄSTERNORRLANDS LÄN</t>
        </is>
      </c>
      <c r="E1094" t="inlineStr">
        <is>
          <t>SOLLEFTEÅ</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31665-2025</t>
        </is>
      </c>
      <c r="B1095" s="1" t="n">
        <v>45834.36497685185</v>
      </c>
      <c r="C1095" s="1" t="n">
        <v>46082</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31801-2025</t>
        </is>
      </c>
      <c r="B1096" s="1" t="n">
        <v>45834.55290509259</v>
      </c>
      <c r="C1096" s="1" t="n">
        <v>46082</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32069-2025</t>
        </is>
      </c>
      <c r="B1097" s="1" t="n">
        <v>45835.4487037037</v>
      </c>
      <c r="C1097" s="1" t="n">
        <v>46082</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41041-2024</t>
        </is>
      </c>
      <c r="B1098" s="1" t="n">
        <v>45558</v>
      </c>
      <c r="C1098" s="1" t="n">
        <v>46082</v>
      </c>
      <c r="D1098" t="inlineStr">
        <is>
          <t>VÄSTERNORRLANDS LÄN</t>
        </is>
      </c>
      <c r="E1098" t="inlineStr">
        <is>
          <t>SOLLEFTEÅ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41042-2024</t>
        </is>
      </c>
      <c r="B1099" s="1" t="n">
        <v>45559.36490740741</v>
      </c>
      <c r="C1099" s="1" t="n">
        <v>46082</v>
      </c>
      <c r="D1099" t="inlineStr">
        <is>
          <t>VÄSTERNORRLANDS LÄN</t>
        </is>
      </c>
      <c r="E1099" t="inlineStr">
        <is>
          <t>SOLLEFTEÅ</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31428-2025</t>
        </is>
      </c>
      <c r="B1100" s="1" t="n">
        <v>45833.4930787037</v>
      </c>
      <c r="C1100" s="1" t="n">
        <v>46082</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39801-2024</t>
        </is>
      </c>
      <c r="B1101" s="1" t="n">
        <v>45553.34439814815</v>
      </c>
      <c r="C1101" s="1" t="n">
        <v>46082</v>
      </c>
      <c r="D1101" t="inlineStr">
        <is>
          <t>VÄSTERNORRLANDS LÄN</t>
        </is>
      </c>
      <c r="E1101" t="inlineStr">
        <is>
          <t>SOLLEFTEÅ</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32291-2025</t>
        </is>
      </c>
      <c r="B1102" s="1" t="n">
        <v>45835.69961805556</v>
      </c>
      <c r="C1102" s="1" t="n">
        <v>46082</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9163-2025</t>
        </is>
      </c>
      <c r="B1103" s="1" t="n">
        <v>45714.36503472222</v>
      </c>
      <c r="C1103" s="1" t="n">
        <v>46082</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32271-2025</t>
        </is>
      </c>
      <c r="B1104" s="1" t="n">
        <v>45835.65662037037</v>
      </c>
      <c r="C1104" s="1" t="n">
        <v>46082</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29956-2023</t>
        </is>
      </c>
      <c r="B1105" s="1" t="n">
        <v>45107</v>
      </c>
      <c r="C1105" s="1" t="n">
        <v>46082</v>
      </c>
      <c r="D1105" t="inlineStr">
        <is>
          <t>VÄSTERNORRLANDS LÄN</t>
        </is>
      </c>
      <c r="E1105" t="inlineStr">
        <is>
          <t>SOLLEFTEÅ</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39799-2024</t>
        </is>
      </c>
      <c r="B1106" s="1" t="n">
        <v>45553.34415509259</v>
      </c>
      <c r="C1106" s="1" t="n">
        <v>46082</v>
      </c>
      <c r="D1106" t="inlineStr">
        <is>
          <t>VÄSTERNORRLANDS LÄN</t>
        </is>
      </c>
      <c r="E1106" t="inlineStr">
        <is>
          <t>SOLLEFTEÅ</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48555-2021</t>
        </is>
      </c>
      <c r="B1107" s="1" t="n">
        <v>44452</v>
      </c>
      <c r="C1107" s="1" t="n">
        <v>46082</v>
      </c>
      <c r="D1107" t="inlineStr">
        <is>
          <t>VÄSTERNORRLANDS LÄN</t>
        </is>
      </c>
      <c r="E1107" t="inlineStr">
        <is>
          <t>SOLLEFTEÅ</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42733-2025</t>
        </is>
      </c>
      <c r="B1108" s="1" t="n">
        <v>45908.4071875</v>
      </c>
      <c r="C1108" s="1" t="n">
        <v>46082</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42778-2025</t>
        </is>
      </c>
      <c r="B1109" s="1" t="n">
        <v>45908</v>
      </c>
      <c r="C1109" s="1" t="n">
        <v>46082</v>
      </c>
      <c r="D1109" t="inlineStr">
        <is>
          <t>VÄSTERNORRLANDS LÄN</t>
        </is>
      </c>
      <c r="E1109" t="inlineStr">
        <is>
          <t>SOLLEFTEÅ</t>
        </is>
      </c>
      <c r="F1109" t="inlineStr">
        <is>
          <t>Holmen skog AB</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31963-2025</t>
        </is>
      </c>
      <c r="B1110" s="1" t="n">
        <v>45835.34480324074</v>
      </c>
      <c r="C1110" s="1" t="n">
        <v>46082</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42115-2024</t>
        </is>
      </c>
      <c r="B1111" s="1" t="n">
        <v>45562.38615740741</v>
      </c>
      <c r="C1111" s="1" t="n">
        <v>46082</v>
      </c>
      <c r="D1111" t="inlineStr">
        <is>
          <t>VÄSTERNORRLANDS LÄN</t>
        </is>
      </c>
      <c r="E1111" t="inlineStr">
        <is>
          <t>SOLLEFTEÅ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2408-2023</t>
        </is>
      </c>
      <c r="B1112" s="1" t="n">
        <v>44942</v>
      </c>
      <c r="C1112" s="1" t="n">
        <v>46082</v>
      </c>
      <c r="D1112" t="inlineStr">
        <is>
          <t>VÄSTERNORRLANDS LÄN</t>
        </is>
      </c>
      <c r="E1112" t="inlineStr">
        <is>
          <t>SOLLEFTEÅ</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32338-2025</t>
        </is>
      </c>
      <c r="B1113" s="1" t="n">
        <v>45836.67751157407</v>
      </c>
      <c r="C1113" s="1" t="n">
        <v>46082</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42806-2025</t>
        </is>
      </c>
      <c r="B1114" s="1" t="n">
        <v>45908</v>
      </c>
      <c r="C1114" s="1" t="n">
        <v>46082</v>
      </c>
      <c r="D1114" t="inlineStr">
        <is>
          <t>VÄSTERNORRLANDS LÄN</t>
        </is>
      </c>
      <c r="E1114" t="inlineStr">
        <is>
          <t>SOLLEFTEÅ</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32139-2025</t>
        </is>
      </c>
      <c r="B1115" s="1" t="n">
        <v>45835</v>
      </c>
      <c r="C1115" s="1" t="n">
        <v>46082</v>
      </c>
      <c r="D1115" t="inlineStr">
        <is>
          <t>VÄSTERNORRLANDS LÄN</t>
        </is>
      </c>
      <c r="E1115" t="inlineStr">
        <is>
          <t>SOLLEFTEÅ</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59407-2024</t>
        </is>
      </c>
      <c r="B1116" s="1" t="n">
        <v>45638.38917824074</v>
      </c>
      <c r="C1116" s="1" t="n">
        <v>46082</v>
      </c>
      <c r="D1116" t="inlineStr">
        <is>
          <t>VÄSTERNORRLANDS LÄN</t>
        </is>
      </c>
      <c r="E1116" t="inlineStr">
        <is>
          <t>SOLLEFTEÅ</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48019-2024</t>
        </is>
      </c>
      <c r="B1117" s="1" t="n">
        <v>45589.47023148148</v>
      </c>
      <c r="C1117" s="1" t="n">
        <v>46082</v>
      </c>
      <c r="D1117" t="inlineStr">
        <is>
          <t>VÄSTERNORRLANDS LÄN</t>
        </is>
      </c>
      <c r="E1117" t="inlineStr">
        <is>
          <t>SOLLEFTEÅ</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32537-2025</t>
        </is>
      </c>
      <c r="B1118" s="1" t="n">
        <v>45838.49689814815</v>
      </c>
      <c r="C1118" s="1" t="n">
        <v>46082</v>
      </c>
      <c r="D1118" t="inlineStr">
        <is>
          <t>VÄSTERNORRLANDS LÄN</t>
        </is>
      </c>
      <c r="E1118" t="inlineStr">
        <is>
          <t>SOLLEFTEÅ</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32029-2025</t>
        </is>
      </c>
      <c r="B1119" s="1" t="n">
        <v>45835.40788194445</v>
      </c>
      <c r="C1119" s="1" t="n">
        <v>46082</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32112-2025</t>
        </is>
      </c>
      <c r="B1120" s="1" t="n">
        <v>45835.48392361111</v>
      </c>
      <c r="C1120" s="1" t="n">
        <v>46082</v>
      </c>
      <c r="D1120" t="inlineStr">
        <is>
          <t>VÄSTERNORRLANDS LÄN</t>
        </is>
      </c>
      <c r="E1120" t="inlineStr">
        <is>
          <t>SOLLEFTEÅ</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25356-2024</t>
        </is>
      </c>
      <c r="B1121" s="1" t="n">
        <v>45462.9565162037</v>
      </c>
      <c r="C1121" s="1" t="n">
        <v>46082</v>
      </c>
      <c r="D1121" t="inlineStr">
        <is>
          <t>VÄSTERNORRLANDS LÄN</t>
        </is>
      </c>
      <c r="E1121" t="inlineStr">
        <is>
          <t>SOLLEFTEÅ</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16308-2025</t>
        </is>
      </c>
      <c r="B1122" s="1" t="n">
        <v>45751.34700231482</v>
      </c>
      <c r="C1122" s="1" t="n">
        <v>46082</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32073-2025</t>
        </is>
      </c>
      <c r="B1123" s="1" t="n">
        <v>45835.44931712963</v>
      </c>
      <c r="C1123" s="1" t="n">
        <v>46082</v>
      </c>
      <c r="D1123" t="inlineStr">
        <is>
          <t>VÄSTERNORRLANDS LÄN</t>
        </is>
      </c>
      <c r="E1123" t="inlineStr">
        <is>
          <t>SOLLEFTEÅ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32346-2025</t>
        </is>
      </c>
      <c r="B1124" s="1" t="n">
        <v>45837.44827546296</v>
      </c>
      <c r="C1124" s="1" t="n">
        <v>46082</v>
      </c>
      <c r="D1124" t="inlineStr">
        <is>
          <t>VÄSTERNORRLANDS LÄN</t>
        </is>
      </c>
      <c r="E1124" t="inlineStr">
        <is>
          <t>SOLLEFTEÅ</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14055-2022</t>
        </is>
      </c>
      <c r="B1125" s="1" t="n">
        <v>44650.93824074074</v>
      </c>
      <c r="C1125" s="1" t="n">
        <v>46082</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32280-2025</t>
        </is>
      </c>
      <c r="B1126" s="1" t="n">
        <v>45835.67638888889</v>
      </c>
      <c r="C1126" s="1" t="n">
        <v>46082</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28658-2025</t>
        </is>
      </c>
      <c r="B1127" s="1" t="n">
        <v>45819</v>
      </c>
      <c r="C1127" s="1" t="n">
        <v>46082</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7234-2024</t>
        </is>
      </c>
      <c r="B1128" s="1" t="n">
        <v>45344.65627314815</v>
      </c>
      <c r="C1128" s="1" t="n">
        <v>46082</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17512-2024</t>
        </is>
      </c>
      <c r="B1129" s="1" t="n">
        <v>45415</v>
      </c>
      <c r="C1129" s="1" t="n">
        <v>46082</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33013-2025</t>
        </is>
      </c>
      <c r="B1130" s="1" t="n">
        <v>45840.36518518518</v>
      </c>
      <c r="C1130" s="1" t="n">
        <v>46082</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20204-2025</t>
        </is>
      </c>
      <c r="B1131" s="1" t="n">
        <v>45772.61537037037</v>
      </c>
      <c r="C1131" s="1" t="n">
        <v>46082</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31559-2024</t>
        </is>
      </c>
      <c r="B1132" s="1" t="n">
        <v>45505.96555555556</v>
      </c>
      <c r="C1132" s="1" t="n">
        <v>46082</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4894-2025</t>
        </is>
      </c>
      <c r="B1133" s="1" t="n">
        <v>45688.67888888889</v>
      </c>
      <c r="C1133" s="1" t="n">
        <v>46082</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4931-2025</t>
        </is>
      </c>
      <c r="B1134" s="1" t="n">
        <v>45688.68476851852</v>
      </c>
      <c r="C1134" s="1" t="n">
        <v>46082</v>
      </c>
      <c r="D1134" t="inlineStr">
        <is>
          <t>VÄSTERNORRLANDS LÄN</t>
        </is>
      </c>
      <c r="E1134" t="inlineStr">
        <is>
          <t>SOLLEFTEÅ</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14718-2023</t>
        </is>
      </c>
      <c r="B1135" s="1" t="n">
        <v>45012</v>
      </c>
      <c r="C1135" s="1" t="n">
        <v>46082</v>
      </c>
      <c r="D1135" t="inlineStr">
        <is>
          <t>VÄSTERNORRLANDS LÄN</t>
        </is>
      </c>
      <c r="E1135" t="inlineStr">
        <is>
          <t>SOLLEFTEÅ</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32745-2025</t>
        </is>
      </c>
      <c r="B1136" s="1" t="n">
        <v>45839.42753472222</v>
      </c>
      <c r="C1136" s="1" t="n">
        <v>46082</v>
      </c>
      <c r="D1136" t="inlineStr">
        <is>
          <t>VÄSTERNORRLANDS LÄN</t>
        </is>
      </c>
      <c r="E1136" t="inlineStr">
        <is>
          <t>SOLLEFTEÅ</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28580-2024</t>
        </is>
      </c>
      <c r="B1137" s="1" t="n">
        <v>45478</v>
      </c>
      <c r="C1137" s="1" t="n">
        <v>46082</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32749-2025</t>
        </is>
      </c>
      <c r="B1138" s="1" t="n">
        <v>45839.42834490741</v>
      </c>
      <c r="C1138" s="1" t="n">
        <v>46082</v>
      </c>
      <c r="D1138" t="inlineStr">
        <is>
          <t>VÄSTERNORRLANDS LÄN</t>
        </is>
      </c>
      <c r="E1138" t="inlineStr">
        <is>
          <t>SOLLEFTEÅ</t>
        </is>
      </c>
      <c r="F1138" t="inlineStr">
        <is>
          <t>SCA</t>
        </is>
      </c>
      <c r="G1138" t="n">
        <v>15.3</v>
      </c>
      <c r="H1138" t="n">
        <v>0</v>
      </c>
      <c r="I1138" t="n">
        <v>0</v>
      </c>
      <c r="J1138" t="n">
        <v>0</v>
      </c>
      <c r="K1138" t="n">
        <v>0</v>
      </c>
      <c r="L1138" t="n">
        <v>0</v>
      </c>
      <c r="M1138" t="n">
        <v>0</v>
      </c>
      <c r="N1138" t="n">
        <v>0</v>
      </c>
      <c r="O1138" t="n">
        <v>0</v>
      </c>
      <c r="P1138" t="n">
        <v>0</v>
      </c>
      <c r="Q1138" t="n">
        <v>0</v>
      </c>
      <c r="R1138" s="2" t="inlineStr"/>
    </row>
    <row r="1139" ht="15" customHeight="1">
      <c r="A1139" t="inlineStr">
        <is>
          <t>A 33012-2025</t>
        </is>
      </c>
      <c r="B1139" s="1" t="n">
        <v>45840.36498842593</v>
      </c>
      <c r="C1139" s="1" t="n">
        <v>46082</v>
      </c>
      <c r="D1139" t="inlineStr">
        <is>
          <t>VÄSTERNORRLANDS LÄN</t>
        </is>
      </c>
      <c r="E1139" t="inlineStr">
        <is>
          <t>SOLLEFTEÅ</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23030-2021</t>
        </is>
      </c>
      <c r="B1140" s="1" t="n">
        <v>44328.94091435185</v>
      </c>
      <c r="C1140" s="1" t="n">
        <v>46082</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55710-2024</t>
        </is>
      </c>
      <c r="B1141" s="1" t="n">
        <v>45622.6985300926</v>
      </c>
      <c r="C1141" s="1" t="n">
        <v>46082</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33675-2025</t>
        </is>
      </c>
      <c r="B1142" s="1" t="n">
        <v>45841.67796296296</v>
      </c>
      <c r="C1142" s="1" t="n">
        <v>46082</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33855-2025</t>
        </is>
      </c>
      <c r="B1143" s="1" t="n">
        <v>45842.51125</v>
      </c>
      <c r="C1143" s="1" t="n">
        <v>46082</v>
      </c>
      <c r="D1143" t="inlineStr">
        <is>
          <t>VÄSTERNORRLANDS LÄN</t>
        </is>
      </c>
      <c r="E1143" t="inlineStr">
        <is>
          <t>SOLLEFTEÅ</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33676-2025</t>
        </is>
      </c>
      <c r="B1144" s="1" t="n">
        <v>45841.67818287037</v>
      </c>
      <c r="C1144" s="1" t="n">
        <v>46082</v>
      </c>
      <c r="D1144" t="inlineStr">
        <is>
          <t>VÄSTERNORRLANDS LÄN</t>
        </is>
      </c>
      <c r="E1144" t="inlineStr">
        <is>
          <t>SOLLEFTEÅ</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33957-2025</t>
        </is>
      </c>
      <c r="B1145" s="1" t="n">
        <v>45842.67762731481</v>
      </c>
      <c r="C1145" s="1" t="n">
        <v>46082</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55726-2024</t>
        </is>
      </c>
      <c r="B1146" s="1" t="n">
        <v>45622.84653935185</v>
      </c>
      <c r="C1146" s="1" t="n">
        <v>46082</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55756-2024</t>
        </is>
      </c>
      <c r="B1147" s="1" t="n">
        <v>45623</v>
      </c>
      <c r="C1147" s="1" t="n">
        <v>46082</v>
      </c>
      <c r="D1147" t="inlineStr">
        <is>
          <t>VÄSTERNORRLANDS LÄN</t>
        </is>
      </c>
      <c r="E1147" t="inlineStr">
        <is>
          <t>SOLLEFTEÅ</t>
        </is>
      </c>
      <c r="F1147" t="inlineStr">
        <is>
          <t>Holmen skog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55769-2024</t>
        </is>
      </c>
      <c r="B1148" s="1" t="n">
        <v>45623.38574074074</v>
      </c>
      <c r="C1148" s="1" t="n">
        <v>46082</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56204-2024</t>
        </is>
      </c>
      <c r="B1149" s="1" t="n">
        <v>45624</v>
      </c>
      <c r="C1149" s="1" t="n">
        <v>46082</v>
      </c>
      <c r="D1149" t="inlineStr">
        <is>
          <t>VÄSTERNORRLANDS LÄN</t>
        </is>
      </c>
      <c r="E1149" t="inlineStr">
        <is>
          <t>SOLLEFTEÅ</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57107-2024</t>
        </is>
      </c>
      <c r="B1150" s="1" t="n">
        <v>45629</v>
      </c>
      <c r="C1150" s="1" t="n">
        <v>46082</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5519-2023</t>
        </is>
      </c>
      <c r="B1151" s="1" t="n">
        <v>44960.42409722223</v>
      </c>
      <c r="C1151" s="1" t="n">
        <v>46082</v>
      </c>
      <c r="D1151" t="inlineStr">
        <is>
          <t>VÄSTERNORRLANDS LÄN</t>
        </is>
      </c>
      <c r="E1151" t="inlineStr">
        <is>
          <t>SOLLEFTEÅ</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33917-2025</t>
        </is>
      </c>
      <c r="B1152" s="1" t="n">
        <v>45842.61491898148</v>
      </c>
      <c r="C1152" s="1" t="n">
        <v>46082</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55824-2024</t>
        </is>
      </c>
      <c r="B1153" s="1" t="n">
        <v>45623.47813657407</v>
      </c>
      <c r="C1153" s="1" t="n">
        <v>46082</v>
      </c>
      <c r="D1153" t="inlineStr">
        <is>
          <t>VÄSTERNORRLANDS LÄN</t>
        </is>
      </c>
      <c r="E1153" t="inlineStr">
        <is>
          <t>SOLLEFTEÅ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33430-2025</t>
        </is>
      </c>
      <c r="B1154" s="1" t="n">
        <v>45841.44829861111</v>
      </c>
      <c r="C1154" s="1" t="n">
        <v>46082</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33436-2025</t>
        </is>
      </c>
      <c r="B1155" s="1" t="n">
        <v>45841.44898148148</v>
      </c>
      <c r="C1155" s="1" t="n">
        <v>46082</v>
      </c>
      <c r="D1155" t="inlineStr">
        <is>
          <t>VÄSTERNORRLANDS LÄN</t>
        </is>
      </c>
      <c r="E1155" t="inlineStr">
        <is>
          <t>SOLLEFTEÅ</t>
        </is>
      </c>
      <c r="F1155" t="inlineStr">
        <is>
          <t>SCA</t>
        </is>
      </c>
      <c r="G1155" t="n">
        <v>19.2</v>
      </c>
      <c r="H1155" t="n">
        <v>0</v>
      </c>
      <c r="I1155" t="n">
        <v>0</v>
      </c>
      <c r="J1155" t="n">
        <v>0</v>
      </c>
      <c r="K1155" t="n">
        <v>0</v>
      </c>
      <c r="L1155" t="n">
        <v>0</v>
      </c>
      <c r="M1155" t="n">
        <v>0</v>
      </c>
      <c r="N1155" t="n">
        <v>0</v>
      </c>
      <c r="O1155" t="n">
        <v>0</v>
      </c>
      <c r="P1155" t="n">
        <v>0</v>
      </c>
      <c r="Q1155" t="n">
        <v>0</v>
      </c>
      <c r="R1155" s="2" t="inlineStr"/>
    </row>
    <row r="1156" ht="15" customHeight="1">
      <c r="A1156" t="inlineStr">
        <is>
          <t>A 33674-2025</t>
        </is>
      </c>
      <c r="B1156" s="1" t="n">
        <v>45841.67770833334</v>
      </c>
      <c r="C1156" s="1" t="n">
        <v>46082</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33442-2025</t>
        </is>
      </c>
      <c r="B1157" s="1" t="n">
        <v>45841.46092592592</v>
      </c>
      <c r="C1157" s="1" t="n">
        <v>46082</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33437-2025</t>
        </is>
      </c>
      <c r="B1158" s="1" t="n">
        <v>45841.4502199074</v>
      </c>
      <c r="C1158" s="1" t="n">
        <v>46082</v>
      </c>
      <c r="D1158" t="inlineStr">
        <is>
          <t>VÄSTERNORRLANDS LÄN</t>
        </is>
      </c>
      <c r="E1158" t="inlineStr">
        <is>
          <t>SOLLEFTEÅ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62406-2022</t>
        </is>
      </c>
      <c r="B1159" s="1" t="n">
        <v>44923</v>
      </c>
      <c r="C1159" s="1" t="n">
        <v>46082</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33936-2025</t>
        </is>
      </c>
      <c r="B1160" s="1" t="n">
        <v>45842.63630787037</v>
      </c>
      <c r="C1160" s="1" t="n">
        <v>46082</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33825-2025</t>
        </is>
      </c>
      <c r="B1161" s="1" t="n">
        <v>45842.46930555555</v>
      </c>
      <c r="C1161" s="1" t="n">
        <v>46082</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59421-2024</t>
        </is>
      </c>
      <c r="B1162" s="1" t="n">
        <v>45638.41244212963</v>
      </c>
      <c r="C1162" s="1" t="n">
        <v>46082</v>
      </c>
      <c r="D1162" t="inlineStr">
        <is>
          <t>VÄSTERNORRLANDS LÄN</t>
        </is>
      </c>
      <c r="E1162" t="inlineStr">
        <is>
          <t>SOLLEFTEÅ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59491-2024</t>
        </is>
      </c>
      <c r="B1163" s="1" t="n">
        <v>45637</v>
      </c>
      <c r="C1163" s="1" t="n">
        <v>46082</v>
      </c>
      <c r="D1163" t="inlineStr">
        <is>
          <t>VÄSTERNORRLANDS LÄN</t>
        </is>
      </c>
      <c r="E1163" t="inlineStr">
        <is>
          <t>SOLLEFTEÅ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33607-2025</t>
        </is>
      </c>
      <c r="B1164" s="1" t="n">
        <v>45841.61521990741</v>
      </c>
      <c r="C1164" s="1" t="n">
        <v>46082</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33673-2025</t>
        </is>
      </c>
      <c r="B1165" s="1" t="n">
        <v>45841.67761574074</v>
      </c>
      <c r="C1165" s="1" t="n">
        <v>46082</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22444-2025</t>
        </is>
      </c>
      <c r="B1166" s="1" t="n">
        <v>45786</v>
      </c>
      <c r="C1166" s="1" t="n">
        <v>46082</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33935-2025</t>
        </is>
      </c>
      <c r="B1167" s="1" t="n">
        <v>45842.63614583333</v>
      </c>
      <c r="C1167" s="1" t="n">
        <v>46082</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33502-2025</t>
        </is>
      </c>
      <c r="B1168" s="1" t="n">
        <v>45841.51101851852</v>
      </c>
      <c r="C1168" s="1" t="n">
        <v>46082</v>
      </c>
      <c r="D1168" t="inlineStr">
        <is>
          <t>VÄSTERNORRLANDS LÄN</t>
        </is>
      </c>
      <c r="E1168" t="inlineStr">
        <is>
          <t>SOLLEFTEÅ</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19433-2021</t>
        </is>
      </c>
      <c r="B1169" s="1" t="n">
        <v>44309.94400462963</v>
      </c>
      <c r="C1169" s="1" t="n">
        <v>46082</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33452-2025</t>
        </is>
      </c>
      <c r="B1170" s="1" t="n">
        <v>45841.46940972222</v>
      </c>
      <c r="C1170" s="1" t="n">
        <v>46082</v>
      </c>
      <c r="D1170" t="inlineStr">
        <is>
          <t>VÄSTERNORRLANDS LÄN</t>
        </is>
      </c>
      <c r="E1170" t="inlineStr">
        <is>
          <t>SOLLEFTEÅ</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43603-2025</t>
        </is>
      </c>
      <c r="B1171" s="1" t="n">
        <v>45911</v>
      </c>
      <c r="C1171" s="1" t="n">
        <v>46082</v>
      </c>
      <c r="D1171" t="inlineStr">
        <is>
          <t>VÄSTERNORRLANDS LÄN</t>
        </is>
      </c>
      <c r="E1171" t="inlineStr">
        <is>
          <t>SOLLEFTEÅ</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33852-2025</t>
        </is>
      </c>
      <c r="B1172" s="1" t="n">
        <v>45842.51079861111</v>
      </c>
      <c r="C1172" s="1" t="n">
        <v>46082</v>
      </c>
      <c r="D1172" t="inlineStr">
        <is>
          <t>VÄSTERNORRLANDS LÄN</t>
        </is>
      </c>
      <c r="E1172" t="inlineStr">
        <is>
          <t>SOLLEFTEÅ</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55851-2024</t>
        </is>
      </c>
      <c r="B1173" s="1" t="n">
        <v>45623.51140046296</v>
      </c>
      <c r="C1173" s="1" t="n">
        <v>46082</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54806-2024</t>
        </is>
      </c>
      <c r="B1174" s="1" t="n">
        <v>45618.51133101852</v>
      </c>
      <c r="C1174" s="1" t="n">
        <v>46082</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34000-2025</t>
        </is>
      </c>
      <c r="B1175" s="1" t="n">
        <v>45844.37024305556</v>
      </c>
      <c r="C1175" s="1" t="n">
        <v>46082</v>
      </c>
      <c r="D1175" t="inlineStr">
        <is>
          <t>VÄSTERNORRLANDS LÄN</t>
        </is>
      </c>
      <c r="E1175" t="inlineStr">
        <is>
          <t>SOLLEFTEÅ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21582-2022</t>
        </is>
      </c>
      <c r="B1176" s="1" t="n">
        <v>44706</v>
      </c>
      <c r="C1176" s="1" t="n">
        <v>46082</v>
      </c>
      <c r="D1176" t="inlineStr">
        <is>
          <t>VÄSTERNORRLANDS LÄN</t>
        </is>
      </c>
      <c r="E1176" t="inlineStr">
        <is>
          <t>SOLLEFTEÅ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43620-2025</t>
        </is>
      </c>
      <c r="B1177" s="1" t="n">
        <v>45911</v>
      </c>
      <c r="C1177" s="1" t="n">
        <v>46082</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43462-2025</t>
        </is>
      </c>
      <c r="B1178" s="1" t="n">
        <v>45911.46943287037</v>
      </c>
      <c r="C1178" s="1" t="n">
        <v>46082</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43627-2024</t>
        </is>
      </c>
      <c r="B1179" s="1" t="n">
        <v>45569.49006944444</v>
      </c>
      <c r="C1179" s="1" t="n">
        <v>46082</v>
      </c>
      <c r="D1179" t="inlineStr">
        <is>
          <t>VÄSTERNORRLANDS LÄN</t>
        </is>
      </c>
      <c r="E1179" t="inlineStr">
        <is>
          <t>SOLLEFTEÅ</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12734-2023</t>
        </is>
      </c>
      <c r="B1180" s="1" t="n">
        <v>45000.92436342593</v>
      </c>
      <c r="C1180" s="1" t="n">
        <v>46082</v>
      </c>
      <c r="D1180" t="inlineStr">
        <is>
          <t>VÄSTERNORRLANDS LÄN</t>
        </is>
      </c>
      <c r="E1180" t="inlineStr">
        <is>
          <t>SOLLEFTEÅ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12820-2023</t>
        </is>
      </c>
      <c r="B1181" s="1" t="n">
        <v>45000</v>
      </c>
      <c r="C1181" s="1" t="n">
        <v>46082</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27391-2023</t>
        </is>
      </c>
      <c r="B1182" s="1" t="n">
        <v>45096.93991898148</v>
      </c>
      <c r="C1182" s="1" t="n">
        <v>46082</v>
      </c>
      <c r="D1182" t="inlineStr">
        <is>
          <t>VÄSTERNORRLANDS LÄN</t>
        </is>
      </c>
      <c r="E1182" t="inlineStr">
        <is>
          <t>SOLLEFTEÅ</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43863-2025</t>
        </is>
      </c>
      <c r="B1183" s="1" t="n">
        <v>45912.65672453704</v>
      </c>
      <c r="C1183" s="1" t="n">
        <v>46082</v>
      </c>
      <c r="D1183" t="inlineStr">
        <is>
          <t>VÄSTERNORRLANDS LÄN</t>
        </is>
      </c>
      <c r="E1183" t="inlineStr">
        <is>
          <t>SOLLEFTEÅ</t>
        </is>
      </c>
      <c r="F1183" t="inlineStr">
        <is>
          <t>SCA</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43879-2025</t>
        </is>
      </c>
      <c r="B1184" s="1" t="n">
        <v>45912.67804398148</v>
      </c>
      <c r="C1184" s="1" t="n">
        <v>46082</v>
      </c>
      <c r="D1184" t="inlineStr">
        <is>
          <t>VÄSTERNORRLANDS LÄN</t>
        </is>
      </c>
      <c r="E1184" t="inlineStr">
        <is>
          <t>SOLLEFTEÅ</t>
        </is>
      </c>
      <c r="F1184" t="inlineStr">
        <is>
          <t>SCA</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20599-2023</t>
        </is>
      </c>
      <c r="B1185" s="1" t="n">
        <v>45057.94172453704</v>
      </c>
      <c r="C1185" s="1" t="n">
        <v>46082</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11039-2023</t>
        </is>
      </c>
      <c r="B1186" s="1" t="n">
        <v>44991.94622685185</v>
      </c>
      <c r="C1186" s="1" t="n">
        <v>46082</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33999-2025</t>
        </is>
      </c>
      <c r="B1187" s="1" t="n">
        <v>45844.36113425926</v>
      </c>
      <c r="C1187" s="1" t="n">
        <v>46082</v>
      </c>
      <c r="D1187" t="inlineStr">
        <is>
          <t>VÄSTERNORRLANDS LÄN</t>
        </is>
      </c>
      <c r="E1187" t="inlineStr">
        <is>
          <t>SOLLEFTEÅ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26962-2024</t>
        </is>
      </c>
      <c r="B1188" s="1" t="n">
        <v>45470.9716087963</v>
      </c>
      <c r="C1188" s="1" t="n">
        <v>46082</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34051-2025</t>
        </is>
      </c>
      <c r="B1189" s="1" t="n">
        <v>45845.40672453704</v>
      </c>
      <c r="C1189" s="1" t="n">
        <v>46082</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22235-2024</t>
        </is>
      </c>
      <c r="B1190" s="1" t="n">
        <v>45446</v>
      </c>
      <c r="C1190" s="1" t="n">
        <v>46082</v>
      </c>
      <c r="D1190" t="inlineStr">
        <is>
          <t>VÄSTERNORRLANDS LÄN</t>
        </is>
      </c>
      <c r="E1190" t="inlineStr">
        <is>
          <t>SOLLEFTEÅ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57094-2024</t>
        </is>
      </c>
      <c r="B1191" s="1" t="n">
        <v>45629.35780092593</v>
      </c>
      <c r="C1191" s="1" t="n">
        <v>46082</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3873-2025</t>
        </is>
      </c>
      <c r="B1192" s="1" t="n">
        <v>45684</v>
      </c>
      <c r="C1192" s="1" t="n">
        <v>46082</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34476-2025</t>
        </is>
      </c>
      <c r="B1193" s="1" t="n">
        <v>45847.36752314815</v>
      </c>
      <c r="C1193" s="1" t="n">
        <v>46082</v>
      </c>
      <c r="D1193" t="inlineStr">
        <is>
          <t>VÄSTERNORRLANDS LÄN</t>
        </is>
      </c>
      <c r="E1193" t="inlineStr">
        <is>
          <t>SOLLEFTEÅ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61201-2024</t>
        </is>
      </c>
      <c r="B1194" s="1" t="n">
        <v>45645.6360300926</v>
      </c>
      <c r="C1194" s="1" t="n">
        <v>46082</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43490-2025</t>
        </is>
      </c>
      <c r="B1195" s="1" t="n">
        <v>45911</v>
      </c>
      <c r="C1195" s="1" t="n">
        <v>46082</v>
      </c>
      <c r="D1195" t="inlineStr">
        <is>
          <t>VÄSTERNORRLANDS LÄN</t>
        </is>
      </c>
      <c r="E1195" t="inlineStr">
        <is>
          <t>SOLLEFTEÅ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11125-2022</t>
        </is>
      </c>
      <c r="B1196" s="1" t="n">
        <v>44628</v>
      </c>
      <c r="C1196" s="1" t="n">
        <v>46082</v>
      </c>
      <c r="D1196" t="inlineStr">
        <is>
          <t>VÄSTERNORRLANDS LÄN</t>
        </is>
      </c>
      <c r="E1196" t="inlineStr">
        <is>
          <t>SOLLEFTEÅ</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34459-2025</t>
        </is>
      </c>
      <c r="B1197" s="1" t="n">
        <v>45847.34442129629</v>
      </c>
      <c r="C1197" s="1" t="n">
        <v>46082</v>
      </c>
      <c r="D1197" t="inlineStr">
        <is>
          <t>VÄSTERNORRLANDS LÄN</t>
        </is>
      </c>
      <c r="E1197" t="inlineStr">
        <is>
          <t>SOLLEFTEÅ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46082</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17604-2021</t>
        </is>
      </c>
      <c r="B1199" s="1" t="n">
        <v>44299</v>
      </c>
      <c r="C1199" s="1" t="n">
        <v>46082</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43503-2025</t>
        </is>
      </c>
      <c r="B1200" s="1" t="n">
        <v>45911.55266203704</v>
      </c>
      <c r="C1200" s="1" t="n">
        <v>46082</v>
      </c>
      <c r="D1200" t="inlineStr">
        <is>
          <t>VÄSTERNORRLANDS LÄN</t>
        </is>
      </c>
      <c r="E1200" t="inlineStr">
        <is>
          <t>SOLLEFTEÅ</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34462-2025</t>
        </is>
      </c>
      <c r="B1201" s="1" t="n">
        <v>45847.34498842592</v>
      </c>
      <c r="C1201" s="1" t="n">
        <v>46082</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34473-2025</t>
        </is>
      </c>
      <c r="B1202" s="1" t="n">
        <v>45847.36511574074</v>
      </c>
      <c r="C1202" s="1" t="n">
        <v>46082</v>
      </c>
      <c r="D1202" t="inlineStr">
        <is>
          <t>VÄSTERNORRLANDS LÄN</t>
        </is>
      </c>
      <c r="E1202" t="inlineStr">
        <is>
          <t>SOLLEFTEÅ</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9120-2024</t>
        </is>
      </c>
      <c r="B1203" s="1" t="n">
        <v>45358.04091435186</v>
      </c>
      <c r="C1203" s="1" t="n">
        <v>46082</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9122-2024</t>
        </is>
      </c>
      <c r="B1204" s="1" t="n">
        <v>45358.04107638889</v>
      </c>
      <c r="C1204" s="1" t="n">
        <v>46082</v>
      </c>
      <c r="D1204" t="inlineStr">
        <is>
          <t>VÄSTERNORRLANDS LÄN</t>
        </is>
      </c>
      <c r="E1204" t="inlineStr">
        <is>
          <t>SOLLEFTEÅ</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35041-2025</t>
        </is>
      </c>
      <c r="B1205" s="1" t="n">
        <v>45852.3443287037</v>
      </c>
      <c r="C1205" s="1" t="n">
        <v>46082</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46082</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44327-2025</t>
        </is>
      </c>
      <c r="B1207" s="1" t="n">
        <v>45916.40755787037</v>
      </c>
      <c r="C1207" s="1" t="n">
        <v>46082</v>
      </c>
      <c r="D1207" t="inlineStr">
        <is>
          <t>VÄSTERNORRLANDS LÄN</t>
        </is>
      </c>
      <c r="E1207" t="inlineStr">
        <is>
          <t>SOLLEFTEÅ</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35086-2025</t>
        </is>
      </c>
      <c r="B1208" s="1" t="n">
        <v>45852.51719907407</v>
      </c>
      <c r="C1208" s="1" t="n">
        <v>46082</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60827-2024</t>
        </is>
      </c>
      <c r="B1209" s="1" t="n">
        <v>45644.63590277778</v>
      </c>
      <c r="C1209" s="1" t="n">
        <v>46082</v>
      </c>
      <c r="D1209" t="inlineStr">
        <is>
          <t>VÄSTERNORRLANDS LÄN</t>
        </is>
      </c>
      <c r="E1209" t="inlineStr">
        <is>
          <t>SOLLEFTEÅ</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20738-2022</t>
        </is>
      </c>
      <c r="B1210" s="1" t="n">
        <v>44700</v>
      </c>
      <c r="C1210" s="1" t="n">
        <v>46082</v>
      </c>
      <c r="D1210" t="inlineStr">
        <is>
          <t>VÄSTERNORRLANDS LÄN</t>
        </is>
      </c>
      <c r="E1210" t="inlineStr">
        <is>
          <t>SOLLEFTEÅ</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43980-2025</t>
        </is>
      </c>
      <c r="B1211" s="1" t="n">
        <v>45915.4221412037</v>
      </c>
      <c r="C1211" s="1" t="n">
        <v>46082</v>
      </c>
      <c r="D1211" t="inlineStr">
        <is>
          <t>VÄSTERNORRLANDS LÄN</t>
        </is>
      </c>
      <c r="E1211" t="inlineStr">
        <is>
          <t>SOLLEFTEÅ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35132-2025</t>
        </is>
      </c>
      <c r="B1212" s="1" t="n">
        <v>45852.63618055556</v>
      </c>
      <c r="C1212" s="1" t="n">
        <v>46082</v>
      </c>
      <c r="D1212" t="inlineStr">
        <is>
          <t>VÄSTERNORRLANDS LÄN</t>
        </is>
      </c>
      <c r="E1212" t="inlineStr">
        <is>
          <t>SOLLEFTEÅ</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21095-2024</t>
        </is>
      </c>
      <c r="B1213" s="1" t="n">
        <v>45439.95034722222</v>
      </c>
      <c r="C1213" s="1" t="n">
        <v>46082</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34870-2025</t>
        </is>
      </c>
      <c r="B1214" s="1" t="n">
        <v>45849.44729166666</v>
      </c>
      <c r="C1214" s="1" t="n">
        <v>46082</v>
      </c>
      <c r="D1214" t="inlineStr">
        <is>
          <t>VÄSTERNORRLANDS LÄN</t>
        </is>
      </c>
      <c r="E1214" t="inlineStr">
        <is>
          <t>SOLLEFTEÅ</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8959-2023</t>
        </is>
      </c>
      <c r="B1215" s="1" t="n">
        <v>44974</v>
      </c>
      <c r="C1215" s="1" t="n">
        <v>46082</v>
      </c>
      <c r="D1215" t="inlineStr">
        <is>
          <t>VÄSTERNORRLANDS LÄN</t>
        </is>
      </c>
      <c r="E1215" t="inlineStr">
        <is>
          <t>SOLLEFTEÅ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2345-2025</t>
        </is>
      </c>
      <c r="B1216" s="1" t="n">
        <v>45673.67747685185</v>
      </c>
      <c r="C1216" s="1" t="n">
        <v>46082</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3414-2025</t>
        </is>
      </c>
      <c r="B1217" s="1" t="n">
        <v>45680</v>
      </c>
      <c r="C1217" s="1" t="n">
        <v>46082</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12539-2023</t>
        </is>
      </c>
      <c r="B1218" s="1" t="n">
        <v>45000.01452546296</v>
      </c>
      <c r="C1218" s="1" t="n">
        <v>46082</v>
      </c>
      <c r="D1218" t="inlineStr">
        <is>
          <t>VÄSTERNORRLANDS LÄN</t>
        </is>
      </c>
      <c r="E1218" t="inlineStr">
        <is>
          <t>SOLLEFTEÅ</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2481-2025</t>
        </is>
      </c>
      <c r="B1219" s="1" t="n">
        <v>45674.48996527777</v>
      </c>
      <c r="C1219" s="1" t="n">
        <v>46082</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35066-2025</t>
        </is>
      </c>
      <c r="B1220" s="1" t="n">
        <v>45852.45013888889</v>
      </c>
      <c r="C1220" s="1" t="n">
        <v>46082</v>
      </c>
      <c r="D1220" t="inlineStr">
        <is>
          <t>VÄSTERNORRLANDS LÄN</t>
        </is>
      </c>
      <c r="E1220" t="inlineStr">
        <is>
          <t>SOLLEFTEÅ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44335-2025</t>
        </is>
      </c>
      <c r="B1221" s="1" t="n">
        <v>45916.423125</v>
      </c>
      <c r="C1221" s="1" t="n">
        <v>46082</v>
      </c>
      <c r="D1221" t="inlineStr">
        <is>
          <t>VÄSTERNORRLANDS LÄN</t>
        </is>
      </c>
      <c r="E1221" t="inlineStr">
        <is>
          <t>SOLLEFTEÅ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62262-2022</t>
        </is>
      </c>
      <c r="B1222" s="1" t="n">
        <v>44922.94387731481</v>
      </c>
      <c r="C1222" s="1" t="n">
        <v>46082</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3082-2025</t>
        </is>
      </c>
      <c r="B1223" s="1" t="n">
        <v>45678.64443287037</v>
      </c>
      <c r="C1223" s="1" t="n">
        <v>46082</v>
      </c>
      <c r="D1223" t="inlineStr">
        <is>
          <t>VÄSTERNORRLANDS LÄN</t>
        </is>
      </c>
      <c r="E1223" t="inlineStr">
        <is>
          <t>SOLLEFTEÅ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3095-2025</t>
        </is>
      </c>
      <c r="B1224" s="1" t="n">
        <v>45678.66633101852</v>
      </c>
      <c r="C1224" s="1" t="n">
        <v>46082</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3103-2025</t>
        </is>
      </c>
      <c r="B1225" s="1" t="n">
        <v>45678.67739583334</v>
      </c>
      <c r="C1225" s="1" t="n">
        <v>46082</v>
      </c>
      <c r="D1225" t="inlineStr">
        <is>
          <t>VÄSTERNORRLANDS LÄN</t>
        </is>
      </c>
      <c r="E1225" t="inlineStr">
        <is>
          <t>SOLLEFTEÅ</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53483-2024</t>
        </is>
      </c>
      <c r="B1226" s="1" t="n">
        <v>45611</v>
      </c>
      <c r="C1226" s="1" t="n">
        <v>46082</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25945-2025</t>
        </is>
      </c>
      <c r="B1227" s="1" t="n">
        <v>45804</v>
      </c>
      <c r="C1227" s="1" t="n">
        <v>46082</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2582-2025</t>
        </is>
      </c>
      <c r="B1228" s="1" t="n">
        <v>45674.67787037037</v>
      </c>
      <c r="C1228" s="1" t="n">
        <v>46082</v>
      </c>
      <c r="D1228" t="inlineStr">
        <is>
          <t>VÄSTERNORRLANDS LÄN</t>
        </is>
      </c>
      <c r="E1228" t="inlineStr">
        <is>
          <t>SOLLEFTEÅ</t>
        </is>
      </c>
      <c r="F1228" t="inlineStr">
        <is>
          <t>SCA</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12379-2025</t>
        </is>
      </c>
      <c r="B1229" s="1" t="n">
        <v>45730</v>
      </c>
      <c r="C1229" s="1" t="n">
        <v>46082</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12107-2023</t>
        </is>
      </c>
      <c r="B1230" s="1" t="n">
        <v>44995</v>
      </c>
      <c r="C1230" s="1" t="n">
        <v>46082</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35286-2025</t>
        </is>
      </c>
      <c r="B1231" s="1" t="n">
        <v>45854.36512731481</v>
      </c>
      <c r="C1231" s="1" t="n">
        <v>46082</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64638-2021</t>
        </is>
      </c>
      <c r="B1232" s="1" t="n">
        <v>44511</v>
      </c>
      <c r="C1232" s="1" t="n">
        <v>46082</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46082</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35572-2025</t>
        </is>
      </c>
      <c r="B1234" s="1" t="n">
        <v>45856.59423611111</v>
      </c>
      <c r="C1234" s="1" t="n">
        <v>46082</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35448-2025</t>
        </is>
      </c>
      <c r="B1235" s="1" t="n">
        <v>45855.55247685185</v>
      </c>
      <c r="C1235" s="1" t="n">
        <v>46082</v>
      </c>
      <c r="D1235" t="inlineStr">
        <is>
          <t>VÄSTERNORRLANDS LÄN</t>
        </is>
      </c>
      <c r="E1235" t="inlineStr">
        <is>
          <t>SOLLEFTEÅ</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35506-2025</t>
        </is>
      </c>
      <c r="B1236" s="1" t="n">
        <v>45856</v>
      </c>
      <c r="C1236" s="1" t="n">
        <v>46082</v>
      </c>
      <c r="D1236" t="inlineStr">
        <is>
          <t>VÄSTERNORRLANDS LÄN</t>
        </is>
      </c>
      <c r="E1236" t="inlineStr">
        <is>
          <t>SOLLEFTEÅ</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35513-2025</t>
        </is>
      </c>
      <c r="B1237" s="1" t="n">
        <v>45856.36520833334</v>
      </c>
      <c r="C1237" s="1" t="n">
        <v>46082</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54307-2023</t>
        </is>
      </c>
      <c r="B1238" s="1" t="n">
        <v>45225</v>
      </c>
      <c r="C1238" s="1" t="n">
        <v>46082</v>
      </c>
      <c r="D1238" t="inlineStr">
        <is>
          <t>VÄSTERNORRLANDS LÄN</t>
        </is>
      </c>
      <c r="E1238" t="inlineStr">
        <is>
          <t>SOLLEFTEÅ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25079-2023</t>
        </is>
      </c>
      <c r="B1239" s="1" t="n">
        <v>45086</v>
      </c>
      <c r="C1239" s="1" t="n">
        <v>46082</v>
      </c>
      <c r="D1239" t="inlineStr">
        <is>
          <t>VÄSTERNORRLANDS LÄN</t>
        </is>
      </c>
      <c r="E1239" t="inlineStr">
        <is>
          <t>SOLLEFTEÅ</t>
        </is>
      </c>
      <c r="F1239" t="inlineStr">
        <is>
          <t>Kommuner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6063-2024</t>
        </is>
      </c>
      <c r="B1240" s="1" t="n">
        <v>45336.86584490741</v>
      </c>
      <c r="C1240" s="1" t="n">
        <v>46082</v>
      </c>
      <c r="D1240" t="inlineStr">
        <is>
          <t>VÄSTERNORRLANDS LÄN</t>
        </is>
      </c>
      <c r="E1240" t="inlineStr">
        <is>
          <t>SOLLEFTEÅ</t>
        </is>
      </c>
      <c r="F1240" t="inlineStr">
        <is>
          <t>Övriga Aktiebolag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62171-2024</t>
        </is>
      </c>
      <c r="B1241" s="1" t="n">
        <v>45657.65657407408</v>
      </c>
      <c r="C1241" s="1" t="n">
        <v>46082</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657-2025</t>
        </is>
      </c>
      <c r="B1242" s="1" t="n">
        <v>45664.67766203704</v>
      </c>
      <c r="C1242" s="1" t="n">
        <v>46082</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23160-2025</t>
        </is>
      </c>
      <c r="B1243" s="1" t="n">
        <v>45791.40760416666</v>
      </c>
      <c r="C1243" s="1" t="n">
        <v>46082</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34376-2024</t>
        </is>
      </c>
      <c r="B1244" s="1" t="n">
        <v>45525</v>
      </c>
      <c r="C1244" s="1" t="n">
        <v>46082</v>
      </c>
      <c r="D1244" t="inlineStr">
        <is>
          <t>VÄSTERNORRLANDS LÄN</t>
        </is>
      </c>
      <c r="E1244" t="inlineStr">
        <is>
          <t>SOLLEFTEÅ</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35703-2025</t>
        </is>
      </c>
      <c r="B1245" s="1" t="n">
        <v>45860.36497685185</v>
      </c>
      <c r="C1245" s="1" t="n">
        <v>46082</v>
      </c>
      <c r="D1245" t="inlineStr">
        <is>
          <t>VÄSTERNORRLANDS LÄN</t>
        </is>
      </c>
      <c r="E1245" t="inlineStr">
        <is>
          <t>SOLLEFTEÅ</t>
        </is>
      </c>
      <c r="F1245" t="inlineStr">
        <is>
          <t>SCA</t>
        </is>
      </c>
      <c r="G1245" t="n">
        <v>16.5</v>
      </c>
      <c r="H1245" t="n">
        <v>0</v>
      </c>
      <c r="I1245" t="n">
        <v>0</v>
      </c>
      <c r="J1245" t="n">
        <v>0</v>
      </c>
      <c r="K1245" t="n">
        <v>0</v>
      </c>
      <c r="L1245" t="n">
        <v>0</v>
      </c>
      <c r="M1245" t="n">
        <v>0</v>
      </c>
      <c r="N1245" t="n">
        <v>0</v>
      </c>
      <c r="O1245" t="n">
        <v>0</v>
      </c>
      <c r="P1245" t="n">
        <v>0</v>
      </c>
      <c r="Q1245" t="n">
        <v>0</v>
      </c>
      <c r="R1245" s="2" t="inlineStr"/>
    </row>
    <row r="1246" ht="15" customHeight="1">
      <c r="A1246" t="inlineStr">
        <is>
          <t>A 35704-2025</t>
        </is>
      </c>
      <c r="B1246" s="1" t="n">
        <v>45860.36518518518</v>
      </c>
      <c r="C1246" s="1" t="n">
        <v>46082</v>
      </c>
      <c r="D1246" t="inlineStr">
        <is>
          <t>VÄSTERNORRLANDS LÄN</t>
        </is>
      </c>
      <c r="E1246" t="inlineStr">
        <is>
          <t>SOLLEFTEÅ</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37726-2023</t>
        </is>
      </c>
      <c r="B1247" s="1" t="n">
        <v>45156</v>
      </c>
      <c r="C1247" s="1" t="n">
        <v>46082</v>
      </c>
      <c r="D1247" t="inlineStr">
        <is>
          <t>VÄSTERNORRLANDS LÄN</t>
        </is>
      </c>
      <c r="E1247" t="inlineStr">
        <is>
          <t>SOLLEFTEÅ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44241-2025</t>
        </is>
      </c>
      <c r="B1248" s="1" t="n">
        <v>45915.67747685185</v>
      </c>
      <c r="C1248" s="1" t="n">
        <v>46082</v>
      </c>
      <c r="D1248" t="inlineStr">
        <is>
          <t>VÄSTERNORRLANDS LÄN</t>
        </is>
      </c>
      <c r="E1248" t="inlineStr">
        <is>
          <t>SOLLEFTEÅ</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44243-2025</t>
        </is>
      </c>
      <c r="B1249" s="1" t="n">
        <v>45915</v>
      </c>
      <c r="C1249" s="1" t="n">
        <v>46082</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8712-2025</t>
        </is>
      </c>
      <c r="B1250" s="1" t="n">
        <v>45712.49872685185</v>
      </c>
      <c r="C1250" s="1" t="n">
        <v>46082</v>
      </c>
      <c r="D1250" t="inlineStr">
        <is>
          <t>VÄSTERNORRLANDS LÄN</t>
        </is>
      </c>
      <c r="E1250" t="inlineStr">
        <is>
          <t>SOLLEFTEÅ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44736-2025</t>
        </is>
      </c>
      <c r="B1251" s="1" t="n">
        <v>45917.656875</v>
      </c>
      <c r="C1251" s="1" t="n">
        <v>46082</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44873-2025</t>
        </is>
      </c>
      <c r="B1252" s="1" t="n">
        <v>45918.46966435185</v>
      </c>
      <c r="C1252" s="1" t="n">
        <v>46082</v>
      </c>
      <c r="D1252" t="inlineStr">
        <is>
          <t>VÄSTERNORRLANDS LÄN</t>
        </is>
      </c>
      <c r="E1252" t="inlineStr">
        <is>
          <t>SOLLEFTEÅ</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49567-2024</t>
        </is>
      </c>
      <c r="B1253" s="1" t="n">
        <v>45596.49003472222</v>
      </c>
      <c r="C1253" s="1" t="n">
        <v>46082</v>
      </c>
      <c r="D1253" t="inlineStr">
        <is>
          <t>VÄSTERNORRLANDS LÄN</t>
        </is>
      </c>
      <c r="E1253" t="inlineStr">
        <is>
          <t>SOLLEFTEÅ</t>
        </is>
      </c>
      <c r="F1253" t="inlineStr">
        <is>
          <t>SCA</t>
        </is>
      </c>
      <c r="G1253" t="n">
        <v>4.3</v>
      </c>
      <c r="H1253" t="n">
        <v>0</v>
      </c>
      <c r="I1253" t="n">
        <v>0</v>
      </c>
      <c r="J1253" t="n">
        <v>0</v>
      </c>
      <c r="K1253" t="n">
        <v>0</v>
      </c>
      <c r="L1253" t="n">
        <v>0</v>
      </c>
      <c r="M1253" t="n">
        <v>0</v>
      </c>
      <c r="N1253" t="n">
        <v>0</v>
      </c>
      <c r="O1253" t="n">
        <v>0</v>
      </c>
      <c r="P1253" t="n">
        <v>0</v>
      </c>
      <c r="Q1253" t="n">
        <v>0</v>
      </c>
      <c r="R1253" s="2" t="inlineStr"/>
      <c r="U1253">
        <f>HYPERLINK("https://klasma.github.io/Logging_2283/knärot/A 49567-2024 karta knärot.png", "A 49567-2024")</f>
        <v/>
      </c>
      <c r="V1253">
        <f>HYPERLINK("https://klasma.github.io/Logging_2283/klagomål/A 49567-2024 FSC-klagomål.docx", "A 49567-2024")</f>
        <v/>
      </c>
      <c r="W1253">
        <f>HYPERLINK("https://klasma.github.io/Logging_2283/klagomålsmail/A 49567-2024 FSC-klagomål mail.docx", "A 49567-2024")</f>
        <v/>
      </c>
      <c r="X1253">
        <f>HYPERLINK("https://klasma.github.io/Logging_2283/tillsyn/A 49567-2024 tillsynsbegäran.docx", "A 49567-2024")</f>
        <v/>
      </c>
      <c r="Y1253">
        <f>HYPERLINK("https://klasma.github.io/Logging_2283/tillsynsmail/A 49567-2024 tillsynsbegäran mail.docx", "A 49567-2024")</f>
        <v/>
      </c>
    </row>
    <row r="1254" ht="15" customHeight="1">
      <c r="A1254" t="inlineStr">
        <is>
          <t>A 45028-2025</t>
        </is>
      </c>
      <c r="B1254" s="1" t="n">
        <v>45918.69828703703</v>
      </c>
      <c r="C1254" s="1" t="n">
        <v>46082</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22446-2025</t>
        </is>
      </c>
      <c r="B1255" s="1" t="n">
        <v>45786.59439814815</v>
      </c>
      <c r="C1255" s="1" t="n">
        <v>46082</v>
      </c>
      <c r="D1255" t="inlineStr">
        <is>
          <t>VÄSTERNORRLANDS LÄN</t>
        </is>
      </c>
      <c r="E1255" t="inlineStr">
        <is>
          <t>SOLLEFTEÅ</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7007-2025</t>
        </is>
      </c>
      <c r="B1256" s="1" t="n">
        <v>45701</v>
      </c>
      <c r="C1256" s="1" t="n">
        <v>46082</v>
      </c>
      <c r="D1256" t="inlineStr">
        <is>
          <t>VÄSTERNORRLANDS LÄN</t>
        </is>
      </c>
      <c r="E1256" t="inlineStr">
        <is>
          <t>SOLLEFTEÅ</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35924-2025</t>
        </is>
      </c>
      <c r="B1257" s="1" t="n">
        <v>45862.57326388889</v>
      </c>
      <c r="C1257" s="1" t="n">
        <v>46082</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44746-2025</t>
        </is>
      </c>
      <c r="B1258" s="1" t="n">
        <v>45917.67760416667</v>
      </c>
      <c r="C1258" s="1" t="n">
        <v>46082</v>
      </c>
      <c r="D1258" t="inlineStr">
        <is>
          <t>VÄSTERNORRLANDS LÄN</t>
        </is>
      </c>
      <c r="E1258" t="inlineStr">
        <is>
          <t>SOLLEFTEÅ</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44747-2025</t>
        </is>
      </c>
      <c r="B1259" s="1" t="n">
        <v>45917.67769675926</v>
      </c>
      <c r="C1259" s="1" t="n">
        <v>46082</v>
      </c>
      <c r="D1259" t="inlineStr">
        <is>
          <t>VÄSTERNORRLANDS LÄN</t>
        </is>
      </c>
      <c r="E1259" t="inlineStr">
        <is>
          <t>SOLLEFTEÅ</t>
        </is>
      </c>
      <c r="F1259" t="inlineStr">
        <is>
          <t>SCA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31451-2025</t>
        </is>
      </c>
      <c r="B1260" s="1" t="n">
        <v>45833.53167824074</v>
      </c>
      <c r="C1260" s="1" t="n">
        <v>46082</v>
      </c>
      <c r="D1260" t="inlineStr">
        <is>
          <t>VÄSTERNORRLANDS LÄN</t>
        </is>
      </c>
      <c r="E1260" t="inlineStr">
        <is>
          <t>SOLLEFTEÅ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35807-2025</t>
        </is>
      </c>
      <c r="B1261" s="1" t="n">
        <v>45861.40663194445</v>
      </c>
      <c r="C1261" s="1" t="n">
        <v>46082</v>
      </c>
      <c r="D1261" t="inlineStr">
        <is>
          <t>VÄSTERNORRLANDS LÄN</t>
        </is>
      </c>
      <c r="E1261" t="inlineStr">
        <is>
          <t>SOLLEFTEÅ</t>
        </is>
      </c>
      <c r="F1261" t="inlineStr">
        <is>
          <t>SCA</t>
        </is>
      </c>
      <c r="G1261" t="n">
        <v>16.7</v>
      </c>
      <c r="H1261" t="n">
        <v>0</v>
      </c>
      <c r="I1261" t="n">
        <v>0</v>
      </c>
      <c r="J1261" t="n">
        <v>0</v>
      </c>
      <c r="K1261" t="n">
        <v>0</v>
      </c>
      <c r="L1261" t="n">
        <v>0</v>
      </c>
      <c r="M1261" t="n">
        <v>0</v>
      </c>
      <c r="N1261" t="n">
        <v>0</v>
      </c>
      <c r="O1261" t="n">
        <v>0</v>
      </c>
      <c r="P1261" t="n">
        <v>0</v>
      </c>
      <c r="Q1261" t="n">
        <v>0</v>
      </c>
      <c r="R1261" s="2" t="inlineStr"/>
    </row>
    <row r="1262" ht="15" customHeight="1">
      <c r="A1262" t="inlineStr">
        <is>
          <t>A 44839-2025</t>
        </is>
      </c>
      <c r="B1262" s="1" t="n">
        <v>45918.42751157407</v>
      </c>
      <c r="C1262" s="1" t="n">
        <v>46082</v>
      </c>
      <c r="D1262" t="inlineStr">
        <is>
          <t>VÄSTERNORRLANDS LÄN</t>
        </is>
      </c>
      <c r="E1262" t="inlineStr">
        <is>
          <t>SOLLEFTEÅ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14730-2025</t>
        </is>
      </c>
      <c r="B1263" s="1" t="n">
        <v>45742.63587962963</v>
      </c>
      <c r="C1263" s="1" t="n">
        <v>46082</v>
      </c>
      <c r="D1263" t="inlineStr">
        <is>
          <t>VÄSTERNORRLANDS LÄN</t>
        </is>
      </c>
      <c r="E1263" t="inlineStr">
        <is>
          <t>SOLLEFTEÅ</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33495-2025</t>
        </is>
      </c>
      <c r="B1264" s="1" t="n">
        <v>45841</v>
      </c>
      <c r="C1264" s="1" t="n">
        <v>46082</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36068-2025</t>
        </is>
      </c>
      <c r="B1265" s="1" t="n">
        <v>45866.42752314815</v>
      </c>
      <c r="C1265" s="1" t="n">
        <v>46082</v>
      </c>
      <c r="D1265" t="inlineStr">
        <is>
          <t>VÄSTERNORRLANDS LÄN</t>
        </is>
      </c>
      <c r="E1265" t="inlineStr">
        <is>
          <t>SOLLEFTEÅ</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44871-2025</t>
        </is>
      </c>
      <c r="B1266" s="1" t="n">
        <v>45918.46938657408</v>
      </c>
      <c r="C1266" s="1" t="n">
        <v>46082</v>
      </c>
      <c r="D1266" t="inlineStr">
        <is>
          <t>VÄSTERNORRLANDS LÄN</t>
        </is>
      </c>
      <c r="E1266" t="inlineStr">
        <is>
          <t>SOLLEFTEÅ</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44907-2025</t>
        </is>
      </c>
      <c r="B1267" s="1" t="n">
        <v>45918.531875</v>
      </c>
      <c r="C1267" s="1" t="n">
        <v>46082</v>
      </c>
      <c r="D1267" t="inlineStr">
        <is>
          <t>VÄSTERNORRLANDS LÄN</t>
        </is>
      </c>
      <c r="E1267" t="inlineStr">
        <is>
          <t>SOLLEFTEÅ</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33496-2025</t>
        </is>
      </c>
      <c r="B1268" s="1" t="n">
        <v>45841</v>
      </c>
      <c r="C1268" s="1" t="n">
        <v>46082</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44906-2025</t>
        </is>
      </c>
      <c r="B1269" s="1" t="n">
        <v>45918.53174768519</v>
      </c>
      <c r="C1269" s="1" t="n">
        <v>46082</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42478-2025</t>
        </is>
      </c>
      <c r="B1270" s="1" t="n">
        <v>45905</v>
      </c>
      <c r="C1270" s="1" t="n">
        <v>46082</v>
      </c>
      <c r="D1270" t="inlineStr">
        <is>
          <t>VÄSTERNORRLANDS LÄN</t>
        </is>
      </c>
      <c r="E1270" t="inlineStr">
        <is>
          <t>SOLLEFTEÅ</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9072-2025</t>
        </is>
      </c>
      <c r="B1271" s="1" t="n">
        <v>45713.65673611111</v>
      </c>
      <c r="C1271" s="1" t="n">
        <v>46082</v>
      </c>
      <c r="D1271" t="inlineStr">
        <is>
          <t>VÄSTERNORRLANDS LÄN</t>
        </is>
      </c>
      <c r="E1271" t="inlineStr">
        <is>
          <t>SOLLEFTEÅ</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34309-2023</t>
        </is>
      </c>
      <c r="B1272" s="1" t="n">
        <v>45138.92300925926</v>
      </c>
      <c r="C1272" s="1" t="n">
        <v>46082</v>
      </c>
      <c r="D1272" t="inlineStr">
        <is>
          <t>VÄSTERNORRLANDS LÄN</t>
        </is>
      </c>
      <c r="E1272" t="inlineStr">
        <is>
          <t>SOLLEFTEÅ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34328-2023</t>
        </is>
      </c>
      <c r="B1273" s="1" t="n">
        <v>45138.9499074074</v>
      </c>
      <c r="C1273" s="1" t="n">
        <v>46082</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34330-2023</t>
        </is>
      </c>
      <c r="B1274" s="1" t="n">
        <v>45138</v>
      </c>
      <c r="C1274" s="1" t="n">
        <v>46082</v>
      </c>
      <c r="D1274" t="inlineStr">
        <is>
          <t>VÄSTERNORRLANDS LÄN</t>
        </is>
      </c>
      <c r="E1274" t="inlineStr">
        <is>
          <t>SOLLEFTEÅ</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36135-2025</t>
        </is>
      </c>
      <c r="B1275" s="1" t="n">
        <v>45866.63594907407</v>
      </c>
      <c r="C1275" s="1" t="n">
        <v>46082</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12062-2025</t>
        </is>
      </c>
      <c r="B1276" s="1" t="n">
        <v>45728.6984837963</v>
      </c>
      <c r="C1276" s="1" t="n">
        <v>46082</v>
      </c>
      <c r="D1276" t="inlineStr">
        <is>
          <t>VÄSTERNORRLANDS LÄN</t>
        </is>
      </c>
      <c r="E1276" t="inlineStr">
        <is>
          <t>SOLLEFTEÅ</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774-2025</t>
        </is>
      </c>
      <c r="B1277" s="1" t="n">
        <v>45659</v>
      </c>
      <c r="C1277" s="1" t="n">
        <v>46082</v>
      </c>
      <c r="D1277" t="inlineStr">
        <is>
          <t>VÄSTERNORRLANDS LÄN</t>
        </is>
      </c>
      <c r="E1277" t="inlineStr">
        <is>
          <t>SOLLEFTEÅ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775-2025</t>
        </is>
      </c>
      <c r="B1278" s="1" t="n">
        <v>45659</v>
      </c>
      <c r="C1278" s="1" t="n">
        <v>46082</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31177-2023</t>
        </is>
      </c>
      <c r="B1279" s="1" t="n">
        <v>45113</v>
      </c>
      <c r="C1279" s="1" t="n">
        <v>46082</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5040-2024</t>
        </is>
      </c>
      <c r="B1280" s="1" t="n">
        <v>45329.88962962963</v>
      </c>
      <c r="C1280" s="1" t="n">
        <v>46082</v>
      </c>
      <c r="D1280" t="inlineStr">
        <is>
          <t>VÄSTERNORRLANDS LÄN</t>
        </is>
      </c>
      <c r="E1280" t="inlineStr">
        <is>
          <t>SOLLEFTEÅ</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62099-2023</t>
        </is>
      </c>
      <c r="B1281" s="1" t="n">
        <v>45266</v>
      </c>
      <c r="C1281" s="1" t="n">
        <v>46082</v>
      </c>
      <c r="D1281" t="inlineStr">
        <is>
          <t>VÄSTERNORRLANDS LÄN</t>
        </is>
      </c>
      <c r="E1281" t="inlineStr">
        <is>
          <t>SOLLEFTEÅ</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13539-2024</t>
        </is>
      </c>
      <c r="B1282" s="1" t="n">
        <v>45387.92583333333</v>
      </c>
      <c r="C1282" s="1" t="n">
        <v>46082</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36095-2025</t>
        </is>
      </c>
      <c r="B1283" s="1" t="n">
        <v>45866.49006944444</v>
      </c>
      <c r="C1283" s="1" t="n">
        <v>46082</v>
      </c>
      <c r="D1283" t="inlineStr">
        <is>
          <t>VÄSTERNORRLANDS LÄN</t>
        </is>
      </c>
      <c r="E1283" t="inlineStr">
        <is>
          <t>SOLLEFTEÅ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29125-2025</t>
        </is>
      </c>
      <c r="B1284" s="1" t="n">
        <v>45821.59459490741</v>
      </c>
      <c r="C1284" s="1" t="n">
        <v>46082</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36063-2025</t>
        </is>
      </c>
      <c r="B1285" s="1" t="n">
        <v>45866</v>
      </c>
      <c r="C1285" s="1" t="n">
        <v>46082</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36064-2025</t>
        </is>
      </c>
      <c r="B1286" s="1" t="n">
        <v>45866</v>
      </c>
      <c r="C1286" s="1" t="n">
        <v>46082</v>
      </c>
      <c r="D1286" t="inlineStr">
        <is>
          <t>VÄSTERNORRLANDS LÄN</t>
        </is>
      </c>
      <c r="E1286" t="inlineStr">
        <is>
          <t>SOLLEFTEÅ</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29860-2025</t>
        </is>
      </c>
      <c r="B1287" s="1" t="n">
        <v>45826.34638888889</v>
      </c>
      <c r="C1287" s="1" t="n">
        <v>46082</v>
      </c>
      <c r="D1287" t="inlineStr">
        <is>
          <t>VÄSTERNORRLANDS LÄN</t>
        </is>
      </c>
      <c r="E1287" t="inlineStr">
        <is>
          <t>SOLLEFTEÅ</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57846-2024</t>
        </is>
      </c>
      <c r="B1288" s="1" t="n">
        <v>45631.40759259259</v>
      </c>
      <c r="C1288" s="1" t="n">
        <v>46082</v>
      </c>
      <c r="D1288" t="inlineStr">
        <is>
          <t>VÄSTERNORRLANDS LÄN</t>
        </is>
      </c>
      <c r="E1288" t="inlineStr">
        <is>
          <t>SOLLEFTEÅ</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58808-2024</t>
        </is>
      </c>
      <c r="B1289" s="1" t="n">
        <v>45636.34446759259</v>
      </c>
      <c r="C1289" s="1" t="n">
        <v>46082</v>
      </c>
      <c r="D1289" t="inlineStr">
        <is>
          <t>VÄSTERNORRLANDS LÄN</t>
        </is>
      </c>
      <c r="E1289" t="inlineStr">
        <is>
          <t>SOLLEFTEÅ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36373-2025</t>
        </is>
      </c>
      <c r="B1290" s="1" t="n">
        <v>45868.55256944444</v>
      </c>
      <c r="C1290" s="1" t="n">
        <v>46082</v>
      </c>
      <c r="D1290" t="inlineStr">
        <is>
          <t>VÄSTERNORRLANDS LÄN</t>
        </is>
      </c>
      <c r="E1290" t="inlineStr">
        <is>
          <t>SOLLEFTEÅ</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45252-2025</t>
        </is>
      </c>
      <c r="B1291" s="1" t="n">
        <v>45919.61493055556</v>
      </c>
      <c r="C1291" s="1" t="n">
        <v>46082</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35261-2025</t>
        </is>
      </c>
      <c r="B1292" s="1" t="n">
        <v>45853</v>
      </c>
      <c r="C1292" s="1" t="n">
        <v>46082</v>
      </c>
      <c r="D1292" t="inlineStr">
        <is>
          <t>VÄSTERNORRLANDS LÄN</t>
        </is>
      </c>
      <c r="E1292" t="inlineStr">
        <is>
          <t>SOLLEFTEÅ</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45593-2025</t>
        </is>
      </c>
      <c r="B1293" s="1" t="n">
        <v>45922.67783564814</v>
      </c>
      <c r="C1293" s="1" t="n">
        <v>46082</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43842-2025</t>
        </is>
      </c>
      <c r="B1294" s="1" t="n">
        <v>45912.63587962963</v>
      </c>
      <c r="C1294" s="1" t="n">
        <v>46082</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3750-2025</t>
        </is>
      </c>
      <c r="B1295" s="1" t="n">
        <v>45681.580625</v>
      </c>
      <c r="C1295" s="1" t="n">
        <v>46082</v>
      </c>
      <c r="D1295" t="inlineStr">
        <is>
          <t>VÄSTERNORRLANDS LÄN</t>
        </is>
      </c>
      <c r="E1295" t="inlineStr">
        <is>
          <t>SOLLEFTEÅ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45236-2025</t>
        </is>
      </c>
      <c r="B1296" s="1" t="n">
        <v>45919.59450231482</v>
      </c>
      <c r="C1296" s="1" t="n">
        <v>46082</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45569-2025</t>
        </is>
      </c>
      <c r="B1297" s="1" t="n">
        <v>45922.65694444445</v>
      </c>
      <c r="C1297" s="1" t="n">
        <v>46082</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42879-2025</t>
        </is>
      </c>
      <c r="B1298" s="1" t="n">
        <v>45908</v>
      </c>
      <c r="C1298" s="1" t="n">
        <v>46082</v>
      </c>
      <c r="D1298" t="inlineStr">
        <is>
          <t>VÄSTERNORRLANDS LÄN</t>
        </is>
      </c>
      <c r="E1298" t="inlineStr">
        <is>
          <t>SOLLEFTEÅ</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45340-2025</t>
        </is>
      </c>
      <c r="B1299" s="1" t="n">
        <v>45922.34421296296</v>
      </c>
      <c r="C1299" s="1" t="n">
        <v>46082</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45952-2025</t>
        </is>
      </c>
      <c r="B1300" s="1" t="n">
        <v>45924.34430555555</v>
      </c>
      <c r="C1300" s="1" t="n">
        <v>46082</v>
      </c>
      <c r="D1300" t="inlineStr">
        <is>
          <t>VÄSTERNORRLANDS LÄN</t>
        </is>
      </c>
      <c r="E1300" t="inlineStr">
        <is>
          <t>SOLLEFTEÅ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27293-2024</t>
        </is>
      </c>
      <c r="B1301" s="1" t="n">
        <v>45471.94259259259</v>
      </c>
      <c r="C1301" s="1" t="n">
        <v>46082</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45978-2025</t>
        </is>
      </c>
      <c r="B1302" s="1" t="n">
        <v>45924.37491898148</v>
      </c>
      <c r="C1302" s="1" t="n">
        <v>46082</v>
      </c>
      <c r="D1302" t="inlineStr">
        <is>
          <t>VÄSTERNORRLANDS LÄN</t>
        </is>
      </c>
      <c r="E1302" t="inlineStr">
        <is>
          <t>SOLLEFTEÅ</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46003-2025</t>
        </is>
      </c>
      <c r="B1303" s="1" t="n">
        <v>45924.40726851852</v>
      </c>
      <c r="C1303" s="1" t="n">
        <v>46082</v>
      </c>
      <c r="D1303" t="inlineStr">
        <is>
          <t>VÄSTERNORRLANDS LÄN</t>
        </is>
      </c>
      <c r="E1303" t="inlineStr">
        <is>
          <t>SOLLEFTEÅ</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46174-2025</t>
        </is>
      </c>
      <c r="B1304" s="1" t="n">
        <v>45924.64704861111</v>
      </c>
      <c r="C1304" s="1" t="n">
        <v>46082</v>
      </c>
      <c r="D1304" t="inlineStr">
        <is>
          <t>VÄSTERNORRLANDS LÄN</t>
        </is>
      </c>
      <c r="E1304" t="inlineStr">
        <is>
          <t>SOLLEFTEÅ</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20101-2025</t>
        </is>
      </c>
      <c r="B1305" s="1" t="n">
        <v>45772</v>
      </c>
      <c r="C1305" s="1" t="n">
        <v>46082</v>
      </c>
      <c r="D1305" t="inlineStr">
        <is>
          <t>VÄSTERNORRLANDS LÄN</t>
        </is>
      </c>
      <c r="E1305" t="inlineStr">
        <is>
          <t>SOLLEFTEÅ</t>
        </is>
      </c>
      <c r="F1305" t="inlineStr">
        <is>
          <t>SCA</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43531-2023</t>
        </is>
      </c>
      <c r="B1306" s="1" t="n">
        <v>45184.52731481481</v>
      </c>
      <c r="C1306" s="1" t="n">
        <v>46082</v>
      </c>
      <c r="D1306" t="inlineStr">
        <is>
          <t>VÄSTERNORRLANDS LÄN</t>
        </is>
      </c>
      <c r="E1306" t="inlineStr">
        <is>
          <t>SOLLEFTEÅ</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36324-2025</t>
        </is>
      </c>
      <c r="B1307" s="1" t="n">
        <v>45868.40707175926</v>
      </c>
      <c r="C1307" s="1" t="n">
        <v>46082</v>
      </c>
      <c r="D1307" t="inlineStr">
        <is>
          <t>VÄSTERNORRLANDS LÄN</t>
        </is>
      </c>
      <c r="E1307" t="inlineStr">
        <is>
          <t>SOLLEFTEÅ</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36224-2025</t>
        </is>
      </c>
      <c r="B1308" s="1" t="n">
        <v>45867.51116898148</v>
      </c>
      <c r="C1308" s="1" t="n">
        <v>46082</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21589-2021</t>
        </is>
      </c>
      <c r="B1309" s="1" t="n">
        <v>44321.66534722222</v>
      </c>
      <c r="C1309" s="1" t="n">
        <v>46082</v>
      </c>
      <c r="D1309" t="inlineStr">
        <is>
          <t>VÄSTERNORRLANDS LÄN</t>
        </is>
      </c>
      <c r="E1309" t="inlineStr">
        <is>
          <t>SOLLEFTEÅ</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11727-2025</t>
        </is>
      </c>
      <c r="B1310" s="1" t="n">
        <v>45727.61512731481</v>
      </c>
      <c r="C1310" s="1" t="n">
        <v>46082</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36300-2025</t>
        </is>
      </c>
      <c r="B1311" s="1" t="n">
        <v>45867.6984375</v>
      </c>
      <c r="C1311" s="1" t="n">
        <v>46082</v>
      </c>
      <c r="D1311" t="inlineStr">
        <is>
          <t>VÄSTERNORRLANDS LÄN</t>
        </is>
      </c>
      <c r="E1311" t="inlineStr">
        <is>
          <t>SOLLEFTEÅ</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36312-2025</t>
        </is>
      </c>
      <c r="B1312" s="1" t="n">
        <v>45868.34444444445</v>
      </c>
      <c r="C1312" s="1" t="n">
        <v>46082</v>
      </c>
      <c r="D1312" t="inlineStr">
        <is>
          <t>VÄSTERNORRLANDS LÄN</t>
        </is>
      </c>
      <c r="E1312" t="inlineStr">
        <is>
          <t>SOLLEFTEÅ</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23753-2021</t>
        </is>
      </c>
      <c r="B1313" s="1" t="n">
        <v>44334</v>
      </c>
      <c r="C1313" s="1" t="n">
        <v>46082</v>
      </c>
      <c r="D1313" t="inlineStr">
        <is>
          <t>VÄSTERNORRLANDS LÄN</t>
        </is>
      </c>
      <c r="E1313" t="inlineStr">
        <is>
          <t>SOLLEFTEÅ</t>
        </is>
      </c>
      <c r="G1313" t="n">
        <v>14.8</v>
      </c>
      <c r="H1313" t="n">
        <v>0</v>
      </c>
      <c r="I1313" t="n">
        <v>0</v>
      </c>
      <c r="J1313" t="n">
        <v>0</v>
      </c>
      <c r="K1313" t="n">
        <v>0</v>
      </c>
      <c r="L1313" t="n">
        <v>0</v>
      </c>
      <c r="M1313" t="n">
        <v>0</v>
      </c>
      <c r="N1313" t="n">
        <v>0</v>
      </c>
      <c r="O1313" t="n">
        <v>0</v>
      </c>
      <c r="P1313" t="n">
        <v>0</v>
      </c>
      <c r="Q1313" t="n">
        <v>0</v>
      </c>
      <c r="R1313" s="2" t="inlineStr"/>
    </row>
    <row r="1314" ht="15" customHeight="1">
      <c r="A1314" t="inlineStr">
        <is>
          <t>A 45843-2025</t>
        </is>
      </c>
      <c r="B1314" s="1" t="n">
        <v>45923.61541666667</v>
      </c>
      <c r="C1314" s="1" t="n">
        <v>46082</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46037-2025</t>
        </is>
      </c>
      <c r="B1315" s="1" t="n">
        <v>45924.44836805556</v>
      </c>
      <c r="C1315" s="1" t="n">
        <v>46082</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45977-2025</t>
        </is>
      </c>
      <c r="B1316" s="1" t="n">
        <v>45924.37170138889</v>
      </c>
      <c r="C1316" s="1" t="n">
        <v>46082</v>
      </c>
      <c r="D1316" t="inlineStr">
        <is>
          <t>VÄSTERNORRLANDS LÄN</t>
        </is>
      </c>
      <c r="E1316" t="inlineStr">
        <is>
          <t>SOLLEFTEÅ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45794-2025</t>
        </is>
      </c>
      <c r="B1317" s="1" t="n">
        <v>45923.57380787037</v>
      </c>
      <c r="C1317" s="1" t="n">
        <v>46082</v>
      </c>
      <c r="D1317" t="inlineStr">
        <is>
          <t>VÄSTERNORRLANDS LÄN</t>
        </is>
      </c>
      <c r="E1317" t="inlineStr">
        <is>
          <t>SOLLEFTEÅ</t>
        </is>
      </c>
      <c r="F1317" t="inlineStr">
        <is>
          <t>SCA</t>
        </is>
      </c>
      <c r="G1317" t="n">
        <v>34.9</v>
      </c>
      <c r="H1317" t="n">
        <v>0</v>
      </c>
      <c r="I1317" t="n">
        <v>0</v>
      </c>
      <c r="J1317" t="n">
        <v>0</v>
      </c>
      <c r="K1317" t="n">
        <v>0</v>
      </c>
      <c r="L1317" t="n">
        <v>0</v>
      </c>
      <c r="M1317" t="n">
        <v>0</v>
      </c>
      <c r="N1317" t="n">
        <v>0</v>
      </c>
      <c r="O1317" t="n">
        <v>0</v>
      </c>
      <c r="P1317" t="n">
        <v>0</v>
      </c>
      <c r="Q1317" t="n">
        <v>0</v>
      </c>
      <c r="R1317" s="2" t="inlineStr"/>
    </row>
    <row r="1318" ht="15" customHeight="1">
      <c r="A1318" t="inlineStr">
        <is>
          <t>A 8084-2025</t>
        </is>
      </c>
      <c r="B1318" s="1" t="n">
        <v>45707</v>
      </c>
      <c r="C1318" s="1" t="n">
        <v>46082</v>
      </c>
      <c r="D1318" t="inlineStr">
        <is>
          <t>VÄSTERNORRLANDS LÄN</t>
        </is>
      </c>
      <c r="E1318" t="inlineStr">
        <is>
          <t>SOLLEFTEÅ</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36274-2025</t>
        </is>
      </c>
      <c r="B1319" s="1" t="n">
        <v>45867.63579861111</v>
      </c>
      <c r="C1319" s="1" t="n">
        <v>46082</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36313-2025</t>
        </is>
      </c>
      <c r="B1320" s="1" t="n">
        <v>45868.34456018519</v>
      </c>
      <c r="C1320" s="1" t="n">
        <v>46082</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11026-2025</t>
        </is>
      </c>
      <c r="B1321" s="1" t="n">
        <v>45723.46961805555</v>
      </c>
      <c r="C1321" s="1" t="n">
        <v>46082</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36558-2025</t>
        </is>
      </c>
      <c r="B1322" s="1" t="n">
        <v>45870.35769675926</v>
      </c>
      <c r="C1322" s="1" t="n">
        <v>46082</v>
      </c>
      <c r="D1322" t="inlineStr">
        <is>
          <t>VÄSTERNORRLANDS LÄN</t>
        </is>
      </c>
      <c r="E1322" t="inlineStr">
        <is>
          <t>SOLLEFTEÅ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36561-2025</t>
        </is>
      </c>
      <c r="B1323" s="1" t="n">
        <v>45870.36722222222</v>
      </c>
      <c r="C1323" s="1" t="n">
        <v>46082</v>
      </c>
      <c r="D1323" t="inlineStr">
        <is>
          <t>VÄSTERNORRLANDS LÄN</t>
        </is>
      </c>
      <c r="E1323" t="inlineStr">
        <is>
          <t>SOLLEFTEÅ</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36571-2025</t>
        </is>
      </c>
      <c r="B1324" s="1" t="n">
        <v>45870.38778935185</v>
      </c>
      <c r="C1324" s="1" t="n">
        <v>46082</v>
      </c>
      <c r="D1324" t="inlineStr">
        <is>
          <t>VÄSTERNORRLANDS LÄN</t>
        </is>
      </c>
      <c r="E1324" t="inlineStr">
        <is>
          <t>SOLLEFTEÅ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22205-2025</t>
        </is>
      </c>
      <c r="B1325" s="1" t="n">
        <v>45785.65686342592</v>
      </c>
      <c r="C1325" s="1" t="n">
        <v>46082</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36545-2025</t>
        </is>
      </c>
      <c r="B1326" s="1" t="n">
        <v>45869.67761574074</v>
      </c>
      <c r="C1326" s="1" t="n">
        <v>46082</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36432-2025</t>
        </is>
      </c>
      <c r="B1327" s="1" t="n">
        <v>45869.36505787037</v>
      </c>
      <c r="C1327" s="1" t="n">
        <v>46082</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36567-2025</t>
        </is>
      </c>
      <c r="B1328" s="1" t="n">
        <v>45870.38320601852</v>
      </c>
      <c r="C1328" s="1" t="n">
        <v>46082</v>
      </c>
      <c r="D1328" t="inlineStr">
        <is>
          <t>VÄSTERNORRLANDS LÄN</t>
        </is>
      </c>
      <c r="E1328" t="inlineStr">
        <is>
          <t>SOLLEFTEÅ</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46750-2025</t>
        </is>
      </c>
      <c r="B1329" s="1" t="n">
        <v>45926.61511574074</v>
      </c>
      <c r="C1329" s="1" t="n">
        <v>46082</v>
      </c>
      <c r="D1329" t="inlineStr">
        <is>
          <t>VÄSTERNORRLANDS LÄN</t>
        </is>
      </c>
      <c r="E1329" t="inlineStr">
        <is>
          <t>SOLLEFTEÅ</t>
        </is>
      </c>
      <c r="F1329" t="inlineStr">
        <is>
          <t>SCA</t>
        </is>
      </c>
      <c r="G1329" t="n">
        <v>59.9</v>
      </c>
      <c r="H1329" t="n">
        <v>0</v>
      </c>
      <c r="I1329" t="n">
        <v>0</v>
      </c>
      <c r="J1329" t="n">
        <v>0</v>
      </c>
      <c r="K1329" t="n">
        <v>0</v>
      </c>
      <c r="L1329" t="n">
        <v>0</v>
      </c>
      <c r="M1329" t="n">
        <v>0</v>
      </c>
      <c r="N1329" t="n">
        <v>0</v>
      </c>
      <c r="O1329" t="n">
        <v>0</v>
      </c>
      <c r="P1329" t="n">
        <v>0</v>
      </c>
      <c r="Q1329" t="n">
        <v>0</v>
      </c>
      <c r="R1329" s="2" t="inlineStr"/>
    </row>
    <row r="1330" ht="15" customHeight="1">
      <c r="A1330" t="inlineStr">
        <is>
          <t>A 40280-2025</t>
        </is>
      </c>
      <c r="B1330" s="1" t="n">
        <v>45895</v>
      </c>
      <c r="C1330" s="1" t="n">
        <v>46082</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60583-2024</t>
        </is>
      </c>
      <c r="B1331" s="1" t="n">
        <v>45644</v>
      </c>
      <c r="C1331" s="1" t="n">
        <v>46082</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46784-2025</t>
        </is>
      </c>
      <c r="B1332" s="1" t="n">
        <v>45926</v>
      </c>
      <c r="C1332" s="1" t="n">
        <v>46082</v>
      </c>
      <c r="D1332" t="inlineStr">
        <is>
          <t>VÄSTERNORRLANDS LÄN</t>
        </is>
      </c>
      <c r="E1332" t="inlineStr">
        <is>
          <t>SOLLEFTEÅ</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31395-2025</t>
        </is>
      </c>
      <c r="B1333" s="1" t="n">
        <v>45833.46438657407</v>
      </c>
      <c r="C1333" s="1" t="n">
        <v>46082</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40098-2023</t>
        </is>
      </c>
      <c r="B1334" s="1" t="n">
        <v>45168.93726851852</v>
      </c>
      <c r="C1334" s="1" t="n">
        <v>46082</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61616-2024</t>
        </is>
      </c>
      <c r="B1335" s="1" t="n">
        <v>45645</v>
      </c>
      <c r="C1335" s="1" t="n">
        <v>46082</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23488-2023</t>
        </is>
      </c>
      <c r="B1336" s="1" t="n">
        <v>45072</v>
      </c>
      <c r="C1336" s="1" t="n">
        <v>46082</v>
      </c>
      <c r="D1336" t="inlineStr">
        <is>
          <t>VÄSTERNORRLANDS LÄN</t>
        </is>
      </c>
      <c r="E1336" t="inlineStr">
        <is>
          <t>SOLLEFTEÅ</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47218-2025</t>
        </is>
      </c>
      <c r="B1337" s="1" t="n">
        <v>45930.38640046296</v>
      </c>
      <c r="C1337" s="1" t="n">
        <v>46082</v>
      </c>
      <c r="D1337" t="inlineStr">
        <is>
          <t>VÄSTERNORRLANDS LÄN</t>
        </is>
      </c>
      <c r="E1337" t="inlineStr">
        <is>
          <t>SOLLEFTEÅ</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47219-2025</t>
        </is>
      </c>
      <c r="B1338" s="1" t="n">
        <v>45930.38649305556</v>
      </c>
      <c r="C1338" s="1" t="n">
        <v>46082</v>
      </c>
      <c r="D1338" t="inlineStr">
        <is>
          <t>VÄSTERNORRLANDS LÄN</t>
        </is>
      </c>
      <c r="E1338" t="inlineStr">
        <is>
          <t>SOLLEFTEÅ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22390-2025</t>
        </is>
      </c>
      <c r="B1339" s="1" t="n">
        <v>45786.51107638889</v>
      </c>
      <c r="C1339" s="1" t="n">
        <v>46082</v>
      </c>
      <c r="D1339" t="inlineStr">
        <is>
          <t>VÄSTERNORRLANDS LÄN</t>
        </is>
      </c>
      <c r="E1339" t="inlineStr">
        <is>
          <t>SOLLEFTEÅ</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47291-2025</t>
        </is>
      </c>
      <c r="B1340" s="1" t="n">
        <v>45930.49019675926</v>
      </c>
      <c r="C1340" s="1" t="n">
        <v>46082</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47448-2025</t>
        </is>
      </c>
      <c r="B1341" s="1" t="n">
        <v>45930.64592592593</v>
      </c>
      <c r="C1341" s="1" t="n">
        <v>46082</v>
      </c>
      <c r="D1341" t="inlineStr">
        <is>
          <t>VÄSTERNORRLANDS LÄN</t>
        </is>
      </c>
      <c r="E1341" t="inlineStr">
        <is>
          <t>SOLLEFTEÅ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47376-2025</t>
        </is>
      </c>
      <c r="B1342" s="1" t="n">
        <v>45930.59454861111</v>
      </c>
      <c r="C1342" s="1" t="n">
        <v>46082</v>
      </c>
      <c r="D1342" t="inlineStr">
        <is>
          <t>VÄSTERNORRLANDS LÄN</t>
        </is>
      </c>
      <c r="E1342" t="inlineStr">
        <is>
          <t>SOLLEFTEÅ</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46968-2025</t>
        </is>
      </c>
      <c r="B1343" s="1" t="n">
        <v>45929.50158564815</v>
      </c>
      <c r="C1343" s="1" t="n">
        <v>46082</v>
      </c>
      <c r="D1343" t="inlineStr">
        <is>
          <t>VÄSTERNORRLANDS LÄN</t>
        </is>
      </c>
      <c r="E1343" t="inlineStr">
        <is>
          <t>SOLLEFTEÅ</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46973-2025</t>
        </is>
      </c>
      <c r="B1344" s="1" t="n">
        <v>45929.51083333333</v>
      </c>
      <c r="C1344" s="1" t="n">
        <v>46082</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47234-2025</t>
        </is>
      </c>
      <c r="B1345" s="1" t="n">
        <v>45930.40663194445</v>
      </c>
      <c r="C1345" s="1" t="n">
        <v>46082</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1030-2025</t>
        </is>
      </c>
      <c r="B1346" s="1" t="n">
        <v>45666</v>
      </c>
      <c r="C1346" s="1" t="n">
        <v>46082</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46873-2025</t>
        </is>
      </c>
      <c r="B1347" s="1" t="n">
        <v>45929.34421296296</v>
      </c>
      <c r="C1347" s="1" t="n">
        <v>46082</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36967-2025</t>
        </is>
      </c>
      <c r="B1348" s="1" t="n">
        <v>45874.63642361111</v>
      </c>
      <c r="C1348" s="1" t="n">
        <v>46082</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48489-2024</t>
        </is>
      </c>
      <c r="B1349" s="1" t="n">
        <v>45592</v>
      </c>
      <c r="C1349" s="1" t="n">
        <v>46082</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46905-2025</t>
        </is>
      </c>
      <c r="B1350" s="1" t="n">
        <v>45929.40055555556</v>
      </c>
      <c r="C1350" s="1" t="n">
        <v>46082</v>
      </c>
      <c r="D1350" t="inlineStr">
        <is>
          <t>VÄSTERNORRLANDS LÄN</t>
        </is>
      </c>
      <c r="E1350" t="inlineStr">
        <is>
          <t>SOLLEFTEÅ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46920-2025</t>
        </is>
      </c>
      <c r="B1351" s="1" t="n">
        <v>45929.43368055556</v>
      </c>
      <c r="C1351" s="1" t="n">
        <v>46082</v>
      </c>
      <c r="D1351" t="inlineStr">
        <is>
          <t>VÄSTERNORRLANDS LÄN</t>
        </is>
      </c>
      <c r="E1351" t="inlineStr">
        <is>
          <t>SOLLEFTEÅ</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8670-2023</t>
        </is>
      </c>
      <c r="B1352" s="1" t="n">
        <v>44977</v>
      </c>
      <c r="C1352" s="1" t="n">
        <v>46082</v>
      </c>
      <c r="D1352" t="inlineStr">
        <is>
          <t>VÄSTERNORRLANDS LÄN</t>
        </is>
      </c>
      <c r="E1352" t="inlineStr">
        <is>
          <t>SOLLEFTEÅ</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44533-2023</t>
        </is>
      </c>
      <c r="B1353" s="1" t="n">
        <v>45183</v>
      </c>
      <c r="C1353" s="1" t="n">
        <v>46082</v>
      </c>
      <c r="D1353" t="inlineStr">
        <is>
          <t>VÄSTERNORRLANDS LÄN</t>
        </is>
      </c>
      <c r="E1353" t="inlineStr">
        <is>
          <t>SOLLEFTEÅ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10726-2025</t>
        </is>
      </c>
      <c r="B1354" s="1" t="n">
        <v>45722.38599537037</v>
      </c>
      <c r="C1354" s="1" t="n">
        <v>46082</v>
      </c>
      <c r="D1354" t="inlineStr">
        <is>
          <t>VÄSTERNORRLANDS LÄN</t>
        </is>
      </c>
      <c r="E1354" t="inlineStr">
        <is>
          <t>SOLLEFTEÅ</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36065-2025</t>
        </is>
      </c>
      <c r="B1355" s="1" t="n">
        <v>45866</v>
      </c>
      <c r="C1355" s="1" t="n">
        <v>46082</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36927-2025</t>
        </is>
      </c>
      <c r="B1356" s="1" t="n">
        <v>45874.55273148148</v>
      </c>
      <c r="C1356" s="1" t="n">
        <v>46082</v>
      </c>
      <c r="D1356" t="inlineStr">
        <is>
          <t>VÄSTERNORRLANDS LÄN</t>
        </is>
      </c>
      <c r="E1356" t="inlineStr">
        <is>
          <t>SOLLEFTEÅ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36966-2025</t>
        </is>
      </c>
      <c r="B1357" s="1" t="n">
        <v>45874.63614583333</v>
      </c>
      <c r="C1357" s="1" t="n">
        <v>46082</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36850-2025</t>
        </is>
      </c>
      <c r="B1358" s="1" t="n">
        <v>45874.39098379629</v>
      </c>
      <c r="C1358" s="1" t="n">
        <v>46082</v>
      </c>
      <c r="D1358" t="inlineStr">
        <is>
          <t>VÄSTERNORRLANDS LÄN</t>
        </is>
      </c>
      <c r="E1358" t="inlineStr">
        <is>
          <t>SOLLEFTEÅ</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47217-2025</t>
        </is>
      </c>
      <c r="B1359" s="1" t="n">
        <v>45930.38625</v>
      </c>
      <c r="C1359" s="1" t="n">
        <v>46082</v>
      </c>
      <c r="D1359" t="inlineStr">
        <is>
          <t>VÄSTERNORRLANDS LÄN</t>
        </is>
      </c>
      <c r="E1359" t="inlineStr">
        <is>
          <t>SOLLEFTEÅ</t>
        </is>
      </c>
      <c r="F1359" t="inlineStr">
        <is>
          <t>SCA</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47069-2025</t>
        </is>
      </c>
      <c r="B1360" s="1" t="n">
        <v>45929.63596064815</v>
      </c>
      <c r="C1360" s="1" t="n">
        <v>46082</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47292-2025</t>
        </is>
      </c>
      <c r="B1361" s="1" t="n">
        <v>45930.4903125</v>
      </c>
      <c r="C1361" s="1" t="n">
        <v>46082</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47293-2025</t>
        </is>
      </c>
      <c r="B1362" s="1" t="n">
        <v>45930.49034722222</v>
      </c>
      <c r="C1362" s="1" t="n">
        <v>46082</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47489-2025</t>
        </is>
      </c>
      <c r="B1363" s="1" t="n">
        <v>45930.69912037037</v>
      </c>
      <c r="C1363" s="1" t="n">
        <v>46082</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47490-2025</t>
        </is>
      </c>
      <c r="B1364" s="1" t="n">
        <v>45930.69918981481</v>
      </c>
      <c r="C1364" s="1" t="n">
        <v>46082</v>
      </c>
      <c r="D1364" t="inlineStr">
        <is>
          <t>VÄSTERNORRLANDS LÄN</t>
        </is>
      </c>
      <c r="E1364" t="inlineStr">
        <is>
          <t>SOLLEFTEÅ</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6876-2025</t>
        </is>
      </c>
      <c r="B1365" s="1" t="n">
        <v>45701.34446759259</v>
      </c>
      <c r="C1365" s="1" t="n">
        <v>46082</v>
      </c>
      <c r="D1365" t="inlineStr">
        <is>
          <t>VÄSTERNORRLANDS LÄN</t>
        </is>
      </c>
      <c r="E1365" t="inlineStr">
        <is>
          <t>SOLLEFTEÅ</t>
        </is>
      </c>
      <c r="F1365" t="inlineStr">
        <is>
          <t>SCA</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36968-2025</t>
        </is>
      </c>
      <c r="B1366" s="1" t="n">
        <v>45874.63667824074</v>
      </c>
      <c r="C1366" s="1" t="n">
        <v>46082</v>
      </c>
      <c r="D1366" t="inlineStr">
        <is>
          <t>VÄSTERNORRLANDS LÄN</t>
        </is>
      </c>
      <c r="E1366" t="inlineStr">
        <is>
          <t>SOLLEFTEÅ</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47702-2025</t>
        </is>
      </c>
      <c r="B1367" s="1" t="n">
        <v>45931.60685185185</v>
      </c>
      <c r="C1367" s="1" t="n">
        <v>46082</v>
      </c>
      <c r="D1367" t="inlineStr">
        <is>
          <t>VÄSTERNORRLANDS LÄN</t>
        </is>
      </c>
      <c r="E1367" t="inlineStr">
        <is>
          <t>SOLLEFTEÅ</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46804-2023</t>
        </is>
      </c>
      <c r="B1368" s="1" t="n">
        <v>45198</v>
      </c>
      <c r="C1368" s="1" t="n">
        <v>46082</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58578-2024</t>
        </is>
      </c>
      <c r="B1369" s="1" t="n">
        <v>45635</v>
      </c>
      <c r="C1369" s="1" t="n">
        <v>46082</v>
      </c>
      <c r="D1369" t="inlineStr">
        <is>
          <t>VÄSTERNORRLANDS LÄN</t>
        </is>
      </c>
      <c r="E1369" t="inlineStr">
        <is>
          <t>SOLLEFTEÅ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58588-2024</t>
        </is>
      </c>
      <c r="B1370" s="1" t="n">
        <v>45635.50605324074</v>
      </c>
      <c r="C1370" s="1" t="n">
        <v>46082</v>
      </c>
      <c r="D1370" t="inlineStr">
        <is>
          <t>VÄSTERNORRLANDS LÄN</t>
        </is>
      </c>
      <c r="E1370" t="inlineStr">
        <is>
          <t>SOLLEFTEÅ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10738-2025</t>
        </is>
      </c>
      <c r="B1371" s="1" t="n">
        <v>45722.40704861111</v>
      </c>
      <c r="C1371" s="1" t="n">
        <v>46082</v>
      </c>
      <c r="D1371" t="inlineStr">
        <is>
          <t>VÄSTERNORRLANDS LÄN</t>
        </is>
      </c>
      <c r="E1371" t="inlineStr">
        <is>
          <t>SOLLEFTEÅ</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56408-2024</t>
        </is>
      </c>
      <c r="B1372" s="1" t="n">
        <v>45625</v>
      </c>
      <c r="C1372" s="1" t="n">
        <v>46082</v>
      </c>
      <c r="D1372" t="inlineStr">
        <is>
          <t>VÄSTERNORRLANDS LÄN</t>
        </is>
      </c>
      <c r="E1372" t="inlineStr">
        <is>
          <t>SOLLEFTEÅ</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36928-2025</t>
        </is>
      </c>
      <c r="B1373" s="1" t="n">
        <v>45874.55299768518</v>
      </c>
      <c r="C1373" s="1" t="n">
        <v>46082</v>
      </c>
      <c r="D1373" t="inlineStr">
        <is>
          <t>VÄSTERNORRLANDS LÄN</t>
        </is>
      </c>
      <c r="E1373" t="inlineStr">
        <is>
          <t>SOLLEFTEÅ</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47532-2025</t>
        </is>
      </c>
      <c r="B1374" s="1" t="n">
        <v>45931.34635416666</v>
      </c>
      <c r="C1374" s="1" t="n">
        <v>46082</v>
      </c>
      <c r="D1374" t="inlineStr">
        <is>
          <t>VÄSTERNORRLANDS LÄN</t>
        </is>
      </c>
      <c r="E1374" t="inlineStr">
        <is>
          <t>SOLLEFTEÅ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38054-2024</t>
        </is>
      </c>
      <c r="B1375" s="1" t="n">
        <v>45544.71916666667</v>
      </c>
      <c r="C1375" s="1" t="n">
        <v>46082</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37019-2025</t>
        </is>
      </c>
      <c r="B1376" s="1" t="n">
        <v>45874</v>
      </c>
      <c r="C1376" s="1" t="n">
        <v>46082</v>
      </c>
      <c r="D1376" t="inlineStr">
        <is>
          <t>VÄSTERNORRLANDS LÄN</t>
        </is>
      </c>
      <c r="E1376" t="inlineStr">
        <is>
          <t>SOLLEFTEÅ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47636-2025</t>
        </is>
      </c>
      <c r="B1377" s="1" t="n">
        <v>45931.49577546296</v>
      </c>
      <c r="C1377" s="1" t="n">
        <v>46082</v>
      </c>
      <c r="D1377" t="inlineStr">
        <is>
          <t>VÄSTERNORRLANDS LÄN</t>
        </is>
      </c>
      <c r="E1377" t="inlineStr">
        <is>
          <t>SOLLEFTEÅ</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47851-2025</t>
        </is>
      </c>
      <c r="B1378" s="1" t="n">
        <v>45932.38645833333</v>
      </c>
      <c r="C1378" s="1" t="n">
        <v>46082</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37018-2025</t>
        </is>
      </c>
      <c r="B1379" s="1" t="n">
        <v>45874</v>
      </c>
      <c r="C1379" s="1" t="n">
        <v>46082</v>
      </c>
      <c r="D1379" t="inlineStr">
        <is>
          <t>VÄSTERNORRLANDS LÄN</t>
        </is>
      </c>
      <c r="E1379" t="inlineStr">
        <is>
          <t>SOLLEFTEÅ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8104-2025</t>
        </is>
      </c>
      <c r="B1380" s="1" t="n">
        <v>45707.69835648148</v>
      </c>
      <c r="C1380" s="1" t="n">
        <v>46082</v>
      </c>
      <c r="D1380" t="inlineStr">
        <is>
          <t>VÄSTERNORRLANDS LÄN</t>
        </is>
      </c>
      <c r="E1380" t="inlineStr">
        <is>
          <t>SOLLEFTEÅ</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8124-2025</t>
        </is>
      </c>
      <c r="B1381" s="1" t="n">
        <v>45707</v>
      </c>
      <c r="C1381" s="1" t="n">
        <v>46082</v>
      </c>
      <c r="D1381" t="inlineStr">
        <is>
          <t>VÄSTERNORRLANDS LÄN</t>
        </is>
      </c>
      <c r="E1381" t="inlineStr">
        <is>
          <t>SOLLEFTEÅ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48070-2025</t>
        </is>
      </c>
      <c r="B1382" s="1" t="n">
        <v>45932.69886574074</v>
      </c>
      <c r="C1382" s="1" t="n">
        <v>46082</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48035-2025</t>
        </is>
      </c>
      <c r="B1383" s="1" t="n">
        <v>45932</v>
      </c>
      <c r="C1383" s="1" t="n">
        <v>46082</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37053-2025</t>
        </is>
      </c>
      <c r="B1384" s="1" t="n">
        <v>45875.36493055556</v>
      </c>
      <c r="C1384" s="1" t="n">
        <v>46082</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37242-2025</t>
        </is>
      </c>
      <c r="B1385" s="1" t="n">
        <v>45876.38614583333</v>
      </c>
      <c r="C1385" s="1" t="n">
        <v>46082</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61790-2024</t>
        </is>
      </c>
      <c r="B1386" s="1" t="n">
        <v>45649</v>
      </c>
      <c r="C1386" s="1" t="n">
        <v>46082</v>
      </c>
      <c r="D1386" t="inlineStr">
        <is>
          <t>VÄSTERNORRLANDS LÄN</t>
        </is>
      </c>
      <c r="E1386" t="inlineStr">
        <is>
          <t>SOLLEFTEÅ</t>
        </is>
      </c>
      <c r="F1386" t="inlineStr">
        <is>
          <t>Övriga statliga verk och myndigheter</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11455-2025</t>
        </is>
      </c>
      <c r="B1387" s="1" t="n">
        <v>45726.64886574074</v>
      </c>
      <c r="C1387" s="1" t="n">
        <v>46082</v>
      </c>
      <c r="D1387" t="inlineStr">
        <is>
          <t>VÄSTERNORRLANDS LÄN</t>
        </is>
      </c>
      <c r="E1387" t="inlineStr">
        <is>
          <t>SOLLEFTEÅ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37084-2025</t>
        </is>
      </c>
      <c r="B1388" s="1" t="n">
        <v>45875.44826388889</v>
      </c>
      <c r="C1388" s="1" t="n">
        <v>46082</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37278-2025</t>
        </is>
      </c>
      <c r="B1389" s="1" t="n">
        <v>45876.490625</v>
      </c>
      <c r="C1389" s="1" t="n">
        <v>46082</v>
      </c>
      <c r="D1389" t="inlineStr">
        <is>
          <t>VÄSTERNORRLANDS LÄN</t>
        </is>
      </c>
      <c r="E1389" t="inlineStr">
        <is>
          <t>SOLLEFTEÅ</t>
        </is>
      </c>
      <c r="F1389" t="inlineStr">
        <is>
          <t>SCA</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37304-2025</t>
        </is>
      </c>
      <c r="B1390" s="1" t="n">
        <v>45876.59458333333</v>
      </c>
      <c r="C1390" s="1" t="n">
        <v>46082</v>
      </c>
      <c r="D1390" t="inlineStr">
        <is>
          <t>VÄSTERNORRLANDS LÄN</t>
        </is>
      </c>
      <c r="E1390" t="inlineStr">
        <is>
          <t>SOLLEFTEÅ</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37325-2025</t>
        </is>
      </c>
      <c r="B1391" s="1" t="n">
        <v>45876.63581018519</v>
      </c>
      <c r="C1391" s="1" t="n">
        <v>46082</v>
      </c>
      <c r="D1391" t="inlineStr">
        <is>
          <t>VÄSTERNORRLANDS LÄN</t>
        </is>
      </c>
      <c r="E1391" t="inlineStr">
        <is>
          <t>SOLLEFTEÅ</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10865-2025</t>
        </is>
      </c>
      <c r="B1392" s="1" t="n">
        <v>45722.61526620371</v>
      </c>
      <c r="C1392" s="1" t="n">
        <v>46082</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37065-2025</t>
        </is>
      </c>
      <c r="B1393" s="1" t="n">
        <v>45875.38619212963</v>
      </c>
      <c r="C1393" s="1" t="n">
        <v>46082</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37073-2025</t>
        </is>
      </c>
      <c r="B1394" s="1" t="n">
        <v>45875.40703703704</v>
      </c>
      <c r="C1394" s="1" t="n">
        <v>46082</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38432-2022</t>
        </is>
      </c>
      <c r="B1395" s="1" t="n">
        <v>44812</v>
      </c>
      <c r="C1395" s="1" t="n">
        <v>46082</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30692-2021</t>
        </is>
      </c>
      <c r="B1396" s="1" t="n">
        <v>44365</v>
      </c>
      <c r="C1396" s="1" t="n">
        <v>46082</v>
      </c>
      <c r="D1396" t="inlineStr">
        <is>
          <t>VÄSTERNORRLANDS LÄN</t>
        </is>
      </c>
      <c r="E1396" t="inlineStr">
        <is>
          <t>SOLLEFTEÅ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48053-2025</t>
        </is>
      </c>
      <c r="B1397" s="1" t="n">
        <v>45932.67856481481</v>
      </c>
      <c r="C1397" s="1" t="n">
        <v>46082</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56356-2023</t>
        </is>
      </c>
      <c r="B1398" s="1" t="n">
        <v>45236</v>
      </c>
      <c r="C1398" s="1" t="n">
        <v>46082</v>
      </c>
      <c r="D1398" t="inlineStr">
        <is>
          <t>VÄSTERNORRLANDS LÄN</t>
        </is>
      </c>
      <c r="E1398" t="inlineStr">
        <is>
          <t>SOLLEFTEÅ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7014-2025</t>
        </is>
      </c>
      <c r="B1399" s="1" t="n">
        <v>45701.61085648148</v>
      </c>
      <c r="C1399" s="1" t="n">
        <v>46082</v>
      </c>
      <c r="D1399" t="inlineStr">
        <is>
          <t>VÄSTERNORRLANDS LÄN</t>
        </is>
      </c>
      <c r="E1399" t="inlineStr">
        <is>
          <t>SOLLEFTEÅ</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58994-2024</t>
        </is>
      </c>
      <c r="B1400" s="1" t="n">
        <v>45636.63717592593</v>
      </c>
      <c r="C1400" s="1" t="n">
        <v>46082</v>
      </c>
      <c r="D1400" t="inlineStr">
        <is>
          <t>VÄSTERNORRLANDS LÄN</t>
        </is>
      </c>
      <c r="E1400" t="inlineStr">
        <is>
          <t>SOLLEFTEÅ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14274-2025</t>
        </is>
      </c>
      <c r="B1401" s="1" t="n">
        <v>45740.64412037037</v>
      </c>
      <c r="C1401" s="1" t="n">
        <v>46082</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47536-2025</t>
        </is>
      </c>
      <c r="B1402" s="1" t="n">
        <v>45931.34695601852</v>
      </c>
      <c r="C1402" s="1" t="n">
        <v>46082</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35217-2024</t>
        </is>
      </c>
      <c r="B1403" s="1" t="n">
        <v>45530</v>
      </c>
      <c r="C1403" s="1" t="n">
        <v>46082</v>
      </c>
      <c r="D1403" t="inlineStr">
        <is>
          <t>VÄSTERNORRLANDS LÄN</t>
        </is>
      </c>
      <c r="E1403" t="inlineStr">
        <is>
          <t>SOLLEFTEÅ</t>
        </is>
      </c>
      <c r="F1403" t="inlineStr">
        <is>
          <t>Kommuner</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37607-2025</t>
        </is>
      </c>
      <c r="B1404" s="1" t="n">
        <v>45880</v>
      </c>
      <c r="C1404" s="1" t="n">
        <v>46082</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16633-2025</t>
        </is>
      </c>
      <c r="B1405" s="1" t="n">
        <v>45754.36517361111</v>
      </c>
      <c r="C1405" s="1" t="n">
        <v>46082</v>
      </c>
      <c r="D1405" t="inlineStr">
        <is>
          <t>VÄSTERNORRLANDS LÄN</t>
        </is>
      </c>
      <c r="E1405" t="inlineStr">
        <is>
          <t>SOLLEFTEÅ</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47675-2025</t>
        </is>
      </c>
      <c r="B1406" s="1" t="n">
        <v>45931.5742824074</v>
      </c>
      <c r="C1406" s="1" t="n">
        <v>46082</v>
      </c>
      <c r="D1406" t="inlineStr">
        <is>
          <t>VÄSTERNORRLANDS LÄN</t>
        </is>
      </c>
      <c r="E1406" t="inlineStr">
        <is>
          <t>SOLLEFTEÅ</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47962-2025</t>
        </is>
      </c>
      <c r="B1407" s="1" t="n">
        <v>45932.59434027778</v>
      </c>
      <c r="C1407" s="1" t="n">
        <v>46082</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3424-2025</t>
        </is>
      </c>
      <c r="B1408" s="1" t="n">
        <v>45680</v>
      </c>
      <c r="C1408" s="1" t="n">
        <v>46082</v>
      </c>
      <c r="D1408" t="inlineStr">
        <is>
          <t>VÄSTERNORRLANDS LÄN</t>
        </is>
      </c>
      <c r="E1408" t="inlineStr">
        <is>
          <t>SOLLEFTEÅ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33743-2025</t>
        </is>
      </c>
      <c r="B1409" s="1" t="n">
        <v>45842.34496527778</v>
      </c>
      <c r="C1409" s="1" t="n">
        <v>46082</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9254-2025</t>
        </is>
      </c>
      <c r="B1410" s="1" t="n">
        <v>45714.59442129629</v>
      </c>
      <c r="C1410" s="1" t="n">
        <v>46082</v>
      </c>
      <c r="D1410" t="inlineStr">
        <is>
          <t>VÄSTERNORRLANDS LÄN</t>
        </is>
      </c>
      <c r="E1410" t="inlineStr">
        <is>
          <t>SOLLEFTEÅ</t>
        </is>
      </c>
      <c r="F1410" t="inlineStr">
        <is>
          <t>SCA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37581-2025</t>
        </is>
      </c>
      <c r="B1411" s="1" t="n">
        <v>45880.38623842593</v>
      </c>
      <c r="C1411" s="1" t="n">
        <v>46082</v>
      </c>
      <c r="D1411" t="inlineStr">
        <is>
          <t>VÄSTERNORRLANDS LÄN</t>
        </is>
      </c>
      <c r="E1411" t="inlineStr">
        <is>
          <t>SOLLEFTEÅ</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47947-2025</t>
        </is>
      </c>
      <c r="B1412" s="1" t="n">
        <v>45932.5740625</v>
      </c>
      <c r="C1412" s="1" t="n">
        <v>46082</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48052-2025</t>
        </is>
      </c>
      <c r="B1413" s="1" t="n">
        <v>45932.67831018518</v>
      </c>
      <c r="C1413" s="1" t="n">
        <v>46082</v>
      </c>
      <c r="D1413" t="inlineStr">
        <is>
          <t>VÄSTERNORRLANDS LÄN</t>
        </is>
      </c>
      <c r="E1413" t="inlineStr">
        <is>
          <t>SOLLEFTEÅ</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59179-2024</t>
        </is>
      </c>
      <c r="B1414" s="1" t="n">
        <v>45637.51149305556</v>
      </c>
      <c r="C1414" s="1" t="n">
        <v>46082</v>
      </c>
      <c r="D1414" t="inlineStr">
        <is>
          <t>VÄSTERNORRLANDS LÄN</t>
        </is>
      </c>
      <c r="E1414" t="inlineStr">
        <is>
          <t>SOLLEFTEÅ</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47732-2025</t>
        </is>
      </c>
      <c r="B1415" s="1" t="n">
        <v>45931.63561342593</v>
      </c>
      <c r="C1415" s="1" t="n">
        <v>46082</v>
      </c>
      <c r="D1415" t="inlineStr">
        <is>
          <t>VÄSTERNORRLANDS LÄN</t>
        </is>
      </c>
      <c r="E1415" t="inlineStr">
        <is>
          <t>SOLLEFTEÅ</t>
        </is>
      </c>
      <c r="F1415" t="inlineStr">
        <is>
          <t>Holmen skog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47641-2025</t>
        </is>
      </c>
      <c r="B1416" s="1" t="n">
        <v>45931.51086805556</v>
      </c>
      <c r="C1416" s="1" t="n">
        <v>46082</v>
      </c>
      <c r="D1416" t="inlineStr">
        <is>
          <t>VÄSTERNORRLANDS LÄN</t>
        </is>
      </c>
      <c r="E1416" t="inlineStr">
        <is>
          <t>SOLLEFTEÅ</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47642-2025</t>
        </is>
      </c>
      <c r="B1417" s="1" t="n">
        <v>45931.51105324074</v>
      </c>
      <c r="C1417" s="1" t="n">
        <v>46082</v>
      </c>
      <c r="D1417" t="inlineStr">
        <is>
          <t>VÄSTERNORRLANDS LÄN</t>
        </is>
      </c>
      <c r="E1417" t="inlineStr">
        <is>
          <t>SOLLEFTEÅ</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37801-2025</t>
        </is>
      </c>
      <c r="B1418" s="1" t="n">
        <v>45881.34436342592</v>
      </c>
      <c r="C1418" s="1" t="n">
        <v>46082</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38190-2025</t>
        </is>
      </c>
      <c r="B1419" s="1" t="n">
        <v>45882.65680555555</v>
      </c>
      <c r="C1419" s="1" t="n">
        <v>46082</v>
      </c>
      <c r="D1419" t="inlineStr">
        <is>
          <t>VÄSTERNORRLANDS LÄN</t>
        </is>
      </c>
      <c r="E1419" t="inlineStr">
        <is>
          <t>SOLLEFTEÅ</t>
        </is>
      </c>
      <c r="F1419" t="inlineStr">
        <is>
          <t>SCA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30063-2024</t>
        </is>
      </c>
      <c r="B1420" s="1" t="n">
        <v>45488.94841435185</v>
      </c>
      <c r="C1420" s="1" t="n">
        <v>46082</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34543-2022</t>
        </is>
      </c>
      <c r="B1421" s="1" t="n">
        <v>44793</v>
      </c>
      <c r="C1421" s="1" t="n">
        <v>46082</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30068-2024</t>
        </is>
      </c>
      <c r="B1422" s="1" t="n">
        <v>45488.94886574074</v>
      </c>
      <c r="C1422" s="1" t="n">
        <v>46082</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2939-2025</t>
        </is>
      </c>
      <c r="B1423" s="1" t="n">
        <v>45678.38581018519</v>
      </c>
      <c r="C1423" s="1" t="n">
        <v>46082</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3368-2025</t>
        </is>
      </c>
      <c r="B1424" s="1" t="n">
        <v>45679</v>
      </c>
      <c r="C1424" s="1" t="n">
        <v>46082</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38092-2025</t>
        </is>
      </c>
      <c r="B1425" s="1" t="n">
        <v>45882.49005787037</v>
      </c>
      <c r="C1425" s="1" t="n">
        <v>46082</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39504-2021</t>
        </is>
      </c>
      <c r="B1426" s="1" t="n">
        <v>44414.93480324074</v>
      </c>
      <c r="C1426" s="1" t="n">
        <v>46082</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37880-2025</t>
        </is>
      </c>
      <c r="B1427" s="1" t="n">
        <v>45881.48998842593</v>
      </c>
      <c r="C1427" s="1" t="n">
        <v>46082</v>
      </c>
      <c r="D1427" t="inlineStr">
        <is>
          <t>VÄSTERNORRLANDS LÄN</t>
        </is>
      </c>
      <c r="E1427" t="inlineStr">
        <is>
          <t>SOLLEFTEÅ</t>
        </is>
      </c>
      <c r="F1427" t="inlineStr">
        <is>
          <t>SCA</t>
        </is>
      </c>
      <c r="G1427" t="n">
        <v>26.1</v>
      </c>
      <c r="H1427" t="n">
        <v>0</v>
      </c>
      <c r="I1427" t="n">
        <v>0</v>
      </c>
      <c r="J1427" t="n">
        <v>0</v>
      </c>
      <c r="K1427" t="n">
        <v>0</v>
      </c>
      <c r="L1427" t="n">
        <v>0</v>
      </c>
      <c r="M1427" t="n">
        <v>0</v>
      </c>
      <c r="N1427" t="n">
        <v>0</v>
      </c>
      <c r="O1427" t="n">
        <v>0</v>
      </c>
      <c r="P1427" t="n">
        <v>0</v>
      </c>
      <c r="Q1427" t="n">
        <v>0</v>
      </c>
      <c r="R1427" s="2" t="inlineStr"/>
    </row>
    <row r="1428" ht="15" customHeight="1">
      <c r="A1428" t="inlineStr">
        <is>
          <t>A 47647-2025</t>
        </is>
      </c>
      <c r="B1428" s="1" t="n">
        <v>45931.51834490741</v>
      </c>
      <c r="C1428" s="1" t="n">
        <v>46082</v>
      </c>
      <c r="D1428" t="inlineStr">
        <is>
          <t>VÄSTERNORRLANDS LÄN</t>
        </is>
      </c>
      <c r="E1428" t="inlineStr">
        <is>
          <t>SOLLEFTEÅ</t>
        </is>
      </c>
      <c r="F1428" t="inlineStr">
        <is>
          <t>Holmen skog AB</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7569-2025</t>
        </is>
      </c>
      <c r="B1429" s="1" t="n">
        <v>45705.59442129629</v>
      </c>
      <c r="C1429" s="1" t="n">
        <v>46082</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47771-2025</t>
        </is>
      </c>
      <c r="B1430" s="1" t="n">
        <v>45931.719375</v>
      </c>
      <c r="C1430" s="1" t="n">
        <v>46082</v>
      </c>
      <c r="D1430" t="inlineStr">
        <is>
          <t>VÄSTERNORRLANDS LÄN</t>
        </is>
      </c>
      <c r="E1430" t="inlineStr">
        <is>
          <t>SOLLEFTEÅ</t>
        </is>
      </c>
      <c r="F1430" t="inlineStr">
        <is>
          <t>SCA</t>
        </is>
      </c>
      <c r="G1430" t="n">
        <v>23.8</v>
      </c>
      <c r="H1430" t="n">
        <v>0</v>
      </c>
      <c r="I1430" t="n">
        <v>0</v>
      </c>
      <c r="J1430" t="n">
        <v>0</v>
      </c>
      <c r="K1430" t="n">
        <v>0</v>
      </c>
      <c r="L1430" t="n">
        <v>0</v>
      </c>
      <c r="M1430" t="n">
        <v>0</v>
      </c>
      <c r="N1430" t="n">
        <v>0</v>
      </c>
      <c r="O1430" t="n">
        <v>0</v>
      </c>
      <c r="P1430" t="n">
        <v>0</v>
      </c>
      <c r="Q1430" t="n">
        <v>0</v>
      </c>
      <c r="R1430" s="2" t="inlineStr"/>
    </row>
    <row r="1431" ht="15" customHeight="1">
      <c r="A1431" t="inlineStr">
        <is>
          <t>A 38156-2025</t>
        </is>
      </c>
      <c r="B1431" s="1" t="n">
        <v>45882.61491898148</v>
      </c>
      <c r="C1431" s="1" t="n">
        <v>46082</v>
      </c>
      <c r="D1431" t="inlineStr">
        <is>
          <t>VÄSTERNORRLANDS LÄN</t>
        </is>
      </c>
      <c r="E1431" t="inlineStr">
        <is>
          <t>SOLLEFTEÅ</t>
        </is>
      </c>
      <c r="F1431" t="inlineStr">
        <is>
          <t>SCA</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37921-2025</t>
        </is>
      </c>
      <c r="B1432" s="1" t="n">
        <v>45881.57491898148</v>
      </c>
      <c r="C1432" s="1" t="n">
        <v>46082</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48125-2025</t>
        </is>
      </c>
      <c r="B1433" s="1" t="n">
        <v>45933.36511574074</v>
      </c>
      <c r="C1433" s="1" t="n">
        <v>46082</v>
      </c>
      <c r="D1433" t="inlineStr">
        <is>
          <t>VÄSTERNORRLANDS LÄN</t>
        </is>
      </c>
      <c r="E1433" t="inlineStr">
        <is>
          <t>SOLLEFTEÅ</t>
        </is>
      </c>
      <c r="F1433" t="inlineStr">
        <is>
          <t>SCA</t>
        </is>
      </c>
      <c r="G1433" t="n">
        <v>13.3</v>
      </c>
      <c r="H1433" t="n">
        <v>0</v>
      </c>
      <c r="I1433" t="n">
        <v>0</v>
      </c>
      <c r="J1433" t="n">
        <v>0</v>
      </c>
      <c r="K1433" t="n">
        <v>0</v>
      </c>
      <c r="L1433" t="n">
        <v>0</v>
      </c>
      <c r="M1433" t="n">
        <v>0</v>
      </c>
      <c r="N1433" t="n">
        <v>0</v>
      </c>
      <c r="O1433" t="n">
        <v>0</v>
      </c>
      <c r="P1433" t="n">
        <v>0</v>
      </c>
      <c r="Q1433" t="n">
        <v>0</v>
      </c>
      <c r="R1433" s="2" t="inlineStr"/>
    </row>
    <row r="1434" ht="15" customHeight="1">
      <c r="A1434" t="inlineStr">
        <is>
          <t>A 48422-2025</t>
        </is>
      </c>
      <c r="B1434" s="1" t="n">
        <v>45934.67761574074</v>
      </c>
      <c r="C1434" s="1" t="n">
        <v>46082</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8894-2025</t>
        </is>
      </c>
      <c r="B1435" s="1" t="n">
        <v>45713.40665509259</v>
      </c>
      <c r="C1435" s="1" t="n">
        <v>46082</v>
      </c>
      <c r="D1435" t="inlineStr">
        <is>
          <t>VÄSTERNORRLANDS LÄN</t>
        </is>
      </c>
      <c r="E1435" t="inlineStr">
        <is>
          <t>SOLLEFTEÅ</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48351-2025</t>
        </is>
      </c>
      <c r="B1436" s="1" t="n">
        <v>45933.65725694445</v>
      </c>
      <c r="C1436" s="1" t="n">
        <v>46082</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54572-2024</t>
        </is>
      </c>
      <c r="B1437" s="1" t="n">
        <v>45617.65054398148</v>
      </c>
      <c r="C1437" s="1" t="n">
        <v>46082</v>
      </c>
      <c r="D1437" t="inlineStr">
        <is>
          <t>VÄSTERNORRLANDS LÄN</t>
        </is>
      </c>
      <c r="E1437" t="inlineStr">
        <is>
          <t>SOLLEFTEÅ</t>
        </is>
      </c>
      <c r="G1437" t="n">
        <v>28.2</v>
      </c>
      <c r="H1437" t="n">
        <v>0</v>
      </c>
      <c r="I1437" t="n">
        <v>0</v>
      </c>
      <c r="J1437" t="n">
        <v>0</v>
      </c>
      <c r="K1437" t="n">
        <v>0</v>
      </c>
      <c r="L1437" t="n">
        <v>0</v>
      </c>
      <c r="M1437" t="n">
        <v>0</v>
      </c>
      <c r="N1437" t="n">
        <v>0</v>
      </c>
      <c r="O1437" t="n">
        <v>0</v>
      </c>
      <c r="P1437" t="n">
        <v>0</v>
      </c>
      <c r="Q1437" t="n">
        <v>0</v>
      </c>
      <c r="R1437" s="2" t="inlineStr"/>
    </row>
    <row r="1438" ht="15" customHeight="1">
      <c r="A1438" t="inlineStr">
        <is>
          <t>A 54574-2024</t>
        </is>
      </c>
      <c r="B1438" s="1" t="n">
        <v>45617.65201388889</v>
      </c>
      <c r="C1438" s="1" t="n">
        <v>46082</v>
      </c>
      <c r="D1438" t="inlineStr">
        <is>
          <t>VÄSTERNORRLANDS LÄN</t>
        </is>
      </c>
      <c r="E1438" t="inlineStr">
        <is>
          <t>SOLLEFTEÅ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18795-2025</t>
        </is>
      </c>
      <c r="B1439" s="1" t="n">
        <v>45764.34564814815</v>
      </c>
      <c r="C1439" s="1" t="n">
        <v>46082</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48713-2025</t>
        </is>
      </c>
      <c r="B1440" s="1" t="n">
        <v>45936.63592592593</v>
      </c>
      <c r="C1440" s="1" t="n">
        <v>46082</v>
      </c>
      <c r="D1440" t="inlineStr">
        <is>
          <t>VÄSTERNORRLANDS LÄN</t>
        </is>
      </c>
      <c r="E1440" t="inlineStr">
        <is>
          <t>SOLLEFTEÅ</t>
        </is>
      </c>
      <c r="F1440" t="inlineStr">
        <is>
          <t>SCA</t>
        </is>
      </c>
      <c r="G1440" t="n">
        <v>24.2</v>
      </c>
      <c r="H1440" t="n">
        <v>0</v>
      </c>
      <c r="I1440" t="n">
        <v>0</v>
      </c>
      <c r="J1440" t="n">
        <v>0</v>
      </c>
      <c r="K1440" t="n">
        <v>0</v>
      </c>
      <c r="L1440" t="n">
        <v>0</v>
      </c>
      <c r="M1440" t="n">
        <v>0</v>
      </c>
      <c r="N1440" t="n">
        <v>0</v>
      </c>
      <c r="O1440" t="n">
        <v>0</v>
      </c>
      <c r="P1440" t="n">
        <v>0</v>
      </c>
      <c r="Q1440" t="n">
        <v>0</v>
      </c>
      <c r="R1440" s="2" t="inlineStr"/>
    </row>
    <row r="1441" ht="15" customHeight="1">
      <c r="A1441" t="inlineStr">
        <is>
          <t>A 48340-2025</t>
        </is>
      </c>
      <c r="B1441" s="1" t="n">
        <v>45933.64240740741</v>
      </c>
      <c r="C1441" s="1" t="n">
        <v>46082</v>
      </c>
      <c r="D1441" t="inlineStr">
        <is>
          <t>VÄSTERNORRLANDS LÄN</t>
        </is>
      </c>
      <c r="E1441" t="inlineStr">
        <is>
          <t>SOLLEFTEÅ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46082</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46082</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48603-2025</t>
        </is>
      </c>
      <c r="B1444" s="1" t="n">
        <v>45936.46928240741</v>
      </c>
      <c r="C1444" s="1" t="n">
        <v>46082</v>
      </c>
      <c r="D1444" t="inlineStr">
        <is>
          <t>VÄSTERNORRLANDS LÄN</t>
        </is>
      </c>
      <c r="E1444" t="inlineStr">
        <is>
          <t>SOLLEFTEÅ</t>
        </is>
      </c>
      <c r="F1444" t="inlineStr">
        <is>
          <t>SCA</t>
        </is>
      </c>
      <c r="G1444" t="n">
        <v>25.6</v>
      </c>
      <c r="H1444" t="n">
        <v>0</v>
      </c>
      <c r="I1444" t="n">
        <v>0</v>
      </c>
      <c r="J1444" t="n">
        <v>0</v>
      </c>
      <c r="K1444" t="n">
        <v>0</v>
      </c>
      <c r="L1444" t="n">
        <v>0</v>
      </c>
      <c r="M1444" t="n">
        <v>0</v>
      </c>
      <c r="N1444" t="n">
        <v>0</v>
      </c>
      <c r="O1444" t="n">
        <v>0</v>
      </c>
      <c r="P1444" t="n">
        <v>0</v>
      </c>
      <c r="Q1444" t="n">
        <v>0</v>
      </c>
      <c r="R1444" s="2" t="inlineStr"/>
    </row>
    <row r="1445" ht="15" customHeight="1">
      <c r="A1445" t="inlineStr">
        <is>
          <t>A 45120-2022</t>
        </is>
      </c>
      <c r="B1445" s="1" t="n">
        <v>44843</v>
      </c>
      <c r="C1445" s="1" t="n">
        <v>46082</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25989-2021</t>
        </is>
      </c>
      <c r="B1446" s="1" t="n">
        <v>44344</v>
      </c>
      <c r="C1446" s="1" t="n">
        <v>46082</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48290-2025</t>
        </is>
      </c>
      <c r="B1447" s="1" t="n">
        <v>45933.59497685185</v>
      </c>
      <c r="C1447" s="1" t="n">
        <v>46082</v>
      </c>
      <c r="D1447" t="inlineStr">
        <is>
          <t>VÄSTERNORRLANDS LÄN</t>
        </is>
      </c>
      <c r="E1447" t="inlineStr">
        <is>
          <t>SOLLEFTEÅ</t>
        </is>
      </c>
      <c r="F1447" t="inlineStr">
        <is>
          <t>SCA</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48306-2025</t>
        </is>
      </c>
      <c r="B1448" s="1" t="n">
        <v>45933.615</v>
      </c>
      <c r="C1448" s="1" t="n">
        <v>46082</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48311-2025</t>
        </is>
      </c>
      <c r="B1449" s="1" t="n">
        <v>45933.61584490741</v>
      </c>
      <c r="C1449" s="1" t="n">
        <v>46082</v>
      </c>
      <c r="D1449" t="inlineStr">
        <is>
          <t>VÄSTERNORRLANDS LÄN</t>
        </is>
      </c>
      <c r="E1449" t="inlineStr">
        <is>
          <t>SOLLEFTEÅ</t>
        </is>
      </c>
      <c r="F1449" t="inlineStr">
        <is>
          <t>SCA</t>
        </is>
      </c>
      <c r="G1449" t="n">
        <v>61.2</v>
      </c>
      <c r="H1449" t="n">
        <v>0</v>
      </c>
      <c r="I1449" t="n">
        <v>0</v>
      </c>
      <c r="J1449" t="n">
        <v>0</v>
      </c>
      <c r="K1449" t="n">
        <v>0</v>
      </c>
      <c r="L1449" t="n">
        <v>0</v>
      </c>
      <c r="M1449" t="n">
        <v>0</v>
      </c>
      <c r="N1449" t="n">
        <v>0</v>
      </c>
      <c r="O1449" t="n">
        <v>0</v>
      </c>
      <c r="P1449" t="n">
        <v>0</v>
      </c>
      <c r="Q1449" t="n">
        <v>0</v>
      </c>
      <c r="R1449" s="2" t="inlineStr"/>
    </row>
    <row r="1450" ht="15" customHeight="1">
      <c r="A1450" t="inlineStr">
        <is>
          <t>A 25999-2021</t>
        </is>
      </c>
      <c r="B1450" s="1" t="n">
        <v>44344</v>
      </c>
      <c r="C1450" s="1" t="n">
        <v>46082</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48467-2025</t>
        </is>
      </c>
      <c r="B1451" s="1" t="n">
        <v>45936.34452546296</v>
      </c>
      <c r="C1451" s="1" t="n">
        <v>46082</v>
      </c>
      <c r="D1451" t="inlineStr">
        <is>
          <t>VÄSTERNORRLANDS LÄN</t>
        </is>
      </c>
      <c r="E1451" t="inlineStr">
        <is>
          <t>SOLLEFTEÅ</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48307-2025</t>
        </is>
      </c>
      <c r="B1452" s="1" t="n">
        <v>45933.61519675926</v>
      </c>
      <c r="C1452" s="1" t="n">
        <v>46082</v>
      </c>
      <c r="D1452" t="inlineStr">
        <is>
          <t>VÄSTERNORRLANDS LÄN</t>
        </is>
      </c>
      <c r="E1452" t="inlineStr">
        <is>
          <t>SOLLEFTEÅ</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48308-2025</t>
        </is>
      </c>
      <c r="B1453" s="1" t="n">
        <v>45933</v>
      </c>
      <c r="C1453" s="1" t="n">
        <v>46082</v>
      </c>
      <c r="D1453" t="inlineStr">
        <is>
          <t>VÄSTERNORRLANDS LÄN</t>
        </is>
      </c>
      <c r="E1453" t="inlineStr">
        <is>
          <t>SOLLEFTEÅ</t>
        </is>
      </c>
      <c r="F1453" t="inlineStr">
        <is>
          <t>SCA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48313-2025</t>
        </is>
      </c>
      <c r="B1454" s="1" t="n">
        <v>45933.61605324074</v>
      </c>
      <c r="C1454" s="1" t="n">
        <v>46082</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48349-2025</t>
        </is>
      </c>
      <c r="B1455" s="1" t="n">
        <v>45933.65673611111</v>
      </c>
      <c r="C1455" s="1" t="n">
        <v>46082</v>
      </c>
      <c r="D1455" t="inlineStr">
        <is>
          <t>VÄSTERNORRLANDS LÄN</t>
        </is>
      </c>
      <c r="E1455" t="inlineStr">
        <is>
          <t>SOLLEFTEÅ</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34395-2021</t>
        </is>
      </c>
      <c r="B1456" s="1" t="n">
        <v>44379</v>
      </c>
      <c r="C1456" s="1" t="n">
        <v>46082</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48310-2025</t>
        </is>
      </c>
      <c r="B1457" s="1" t="n">
        <v>45933.61559027778</v>
      </c>
      <c r="C1457" s="1" t="n">
        <v>46082</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48425-2025</t>
        </is>
      </c>
      <c r="B1458" s="1" t="n">
        <v>45934.6984837963</v>
      </c>
      <c r="C1458" s="1" t="n">
        <v>46082</v>
      </c>
      <c r="D1458" t="inlineStr">
        <is>
          <t>VÄSTERNORRLANDS LÄN</t>
        </is>
      </c>
      <c r="E1458" t="inlineStr">
        <is>
          <t>SOLLEFTEÅ</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48126-2025</t>
        </is>
      </c>
      <c r="B1459" s="1" t="n">
        <v>45933.36530092593</v>
      </c>
      <c r="C1459" s="1" t="n">
        <v>46082</v>
      </c>
      <c r="D1459" t="inlineStr">
        <is>
          <t>VÄSTERNORRLANDS LÄN</t>
        </is>
      </c>
      <c r="E1459" t="inlineStr">
        <is>
          <t>SOLLEFTEÅ</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48743-2025</t>
        </is>
      </c>
      <c r="B1460" s="1" t="n">
        <v>45936.67827546296</v>
      </c>
      <c r="C1460" s="1" t="n">
        <v>46082</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38493-2025</t>
        </is>
      </c>
      <c r="B1461" s="1" t="n">
        <v>45884.36516203704</v>
      </c>
      <c r="C1461" s="1" t="n">
        <v>46082</v>
      </c>
      <c r="D1461" t="inlineStr">
        <is>
          <t>VÄSTERNORRLANDS LÄN</t>
        </is>
      </c>
      <c r="E1461" t="inlineStr">
        <is>
          <t>SOLLEFTEÅ</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13652-2025</t>
        </is>
      </c>
      <c r="B1462" s="1" t="n">
        <v>45736.71909722222</v>
      </c>
      <c r="C1462" s="1" t="n">
        <v>46082</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44762-2022</t>
        </is>
      </c>
      <c r="B1463" s="1" t="n">
        <v>44840</v>
      </c>
      <c r="C1463" s="1" t="n">
        <v>46082</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12063-2025</t>
        </is>
      </c>
      <c r="B1464" s="1" t="n">
        <v>45728.69851851852</v>
      </c>
      <c r="C1464" s="1" t="n">
        <v>46082</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48838-2025</t>
        </is>
      </c>
      <c r="B1465" s="1" t="n">
        <v>45937.41309027778</v>
      </c>
      <c r="C1465" s="1" t="n">
        <v>46082</v>
      </c>
      <c r="D1465" t="inlineStr">
        <is>
          <t>VÄSTERNORRLANDS LÄN</t>
        </is>
      </c>
      <c r="E1465" t="inlineStr">
        <is>
          <t>SOLLEFTEÅ</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45973-2023</t>
        </is>
      </c>
      <c r="B1466" s="1" t="n">
        <v>45195</v>
      </c>
      <c r="C1466" s="1" t="n">
        <v>46082</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48914-2025</t>
        </is>
      </c>
      <c r="B1467" s="1" t="n">
        <v>45937</v>
      </c>
      <c r="C1467" s="1" t="n">
        <v>46082</v>
      </c>
      <c r="D1467" t="inlineStr">
        <is>
          <t>VÄSTERNORRLANDS LÄN</t>
        </is>
      </c>
      <c r="E1467" t="inlineStr">
        <is>
          <t>SOLLEFTEÅ</t>
        </is>
      </c>
      <c r="F1467" t="inlineStr">
        <is>
          <t>SCA</t>
        </is>
      </c>
      <c r="G1467" t="n">
        <v>24.1</v>
      </c>
      <c r="H1467" t="n">
        <v>0</v>
      </c>
      <c r="I1467" t="n">
        <v>0</v>
      </c>
      <c r="J1467" t="n">
        <v>0</v>
      </c>
      <c r="K1467" t="n">
        <v>0</v>
      </c>
      <c r="L1467" t="n">
        <v>0</v>
      </c>
      <c r="M1467" t="n">
        <v>0</v>
      </c>
      <c r="N1467" t="n">
        <v>0</v>
      </c>
      <c r="O1467" t="n">
        <v>0</v>
      </c>
      <c r="P1467" t="n">
        <v>0</v>
      </c>
      <c r="Q1467" t="n">
        <v>0</v>
      </c>
      <c r="R1467" s="2" t="inlineStr"/>
    </row>
    <row r="1468" ht="15" customHeight="1">
      <c r="A1468" t="inlineStr">
        <is>
          <t>A 48815-2025</t>
        </is>
      </c>
      <c r="B1468" s="1" t="n">
        <v>45937.36503472222</v>
      </c>
      <c r="C1468" s="1" t="n">
        <v>46082</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48817-2025</t>
        </is>
      </c>
      <c r="B1469" s="1" t="n">
        <v>45937.36546296296</v>
      </c>
      <c r="C1469" s="1" t="n">
        <v>46082</v>
      </c>
      <c r="D1469" t="inlineStr">
        <is>
          <t>VÄSTERNORRLANDS LÄN</t>
        </is>
      </c>
      <c r="E1469" t="inlineStr">
        <is>
          <t>SOLLEFTEÅ</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48848-2025</t>
        </is>
      </c>
      <c r="B1470" s="1" t="n">
        <v>45937</v>
      </c>
      <c r="C1470" s="1" t="n">
        <v>46082</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14712-2025</t>
        </is>
      </c>
      <c r="B1471" s="1" t="n">
        <v>45742.61008101852</v>
      </c>
      <c r="C1471" s="1" t="n">
        <v>46082</v>
      </c>
      <c r="D1471" t="inlineStr">
        <is>
          <t>VÄSTERNORRLANDS LÄN</t>
        </is>
      </c>
      <c r="E1471" t="inlineStr">
        <is>
          <t>SOLLEFTEÅ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19682-2025</t>
        </is>
      </c>
      <c r="B1472" s="1" t="n">
        <v>45770.85163194445</v>
      </c>
      <c r="C1472" s="1" t="n">
        <v>46082</v>
      </c>
      <c r="D1472" t="inlineStr">
        <is>
          <t>VÄSTERNORRLANDS LÄN</t>
        </is>
      </c>
      <c r="E1472" t="inlineStr">
        <is>
          <t>SOLLEFTEÅ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49380-2025</t>
        </is>
      </c>
      <c r="B1473" s="1" t="n">
        <v>45938.63677083333</v>
      </c>
      <c r="C1473" s="1" t="n">
        <v>46082</v>
      </c>
      <c r="D1473" t="inlineStr">
        <is>
          <t>VÄSTERNORRLANDS LÄN</t>
        </is>
      </c>
      <c r="E1473" t="inlineStr">
        <is>
          <t>SOLLEFTEÅ</t>
        </is>
      </c>
      <c r="F1473" t="inlineStr">
        <is>
          <t>SCA</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31477-2024</t>
        </is>
      </c>
      <c r="B1474" s="1" t="n">
        <v>45505</v>
      </c>
      <c r="C1474" s="1" t="n">
        <v>46082</v>
      </c>
      <c r="D1474" t="inlineStr">
        <is>
          <t>VÄSTERNORRLANDS LÄN</t>
        </is>
      </c>
      <c r="E1474" t="inlineStr">
        <is>
          <t>SOLLEFTEÅ</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18761-2023</t>
        </is>
      </c>
      <c r="B1475" s="1" t="n">
        <v>45043</v>
      </c>
      <c r="C1475" s="1" t="n">
        <v>46082</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18762-2023</t>
        </is>
      </c>
      <c r="B1476" s="1" t="n">
        <v>45043</v>
      </c>
      <c r="C1476" s="1" t="n">
        <v>46082</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49254-2025</t>
        </is>
      </c>
      <c r="B1477" s="1" t="n">
        <v>45938.49143518518</v>
      </c>
      <c r="C1477" s="1" t="n">
        <v>46082</v>
      </c>
      <c r="D1477" t="inlineStr">
        <is>
          <t>VÄSTERNORRLANDS LÄN</t>
        </is>
      </c>
      <c r="E1477" t="inlineStr">
        <is>
          <t>SOLLEFTEÅ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4131-2025</t>
        </is>
      </c>
      <c r="B1478" s="1" t="n">
        <v>45685.34508101852</v>
      </c>
      <c r="C1478" s="1" t="n">
        <v>46082</v>
      </c>
      <c r="D1478" t="inlineStr">
        <is>
          <t>VÄSTERNORRLANDS LÄN</t>
        </is>
      </c>
      <c r="E1478" t="inlineStr">
        <is>
          <t>SOLLEFTEÅ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1480-2025</t>
        </is>
      </c>
      <c r="B1479" s="1" t="n">
        <v>45670.38575231482</v>
      </c>
      <c r="C1479" s="1" t="n">
        <v>46082</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49378-2025</t>
        </is>
      </c>
      <c r="B1480" s="1" t="n">
        <v>45938.6364699074</v>
      </c>
      <c r="C1480" s="1" t="n">
        <v>46082</v>
      </c>
      <c r="D1480" t="inlineStr">
        <is>
          <t>VÄSTERNORRLANDS LÄN</t>
        </is>
      </c>
      <c r="E1480" t="inlineStr">
        <is>
          <t>SOLLEFTEÅ</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49406-2025</t>
        </is>
      </c>
      <c r="B1481" s="1" t="n">
        <v>45938.67761574074</v>
      </c>
      <c r="C1481" s="1" t="n">
        <v>46082</v>
      </c>
      <c r="D1481" t="inlineStr">
        <is>
          <t>VÄSTERNORRLANDS LÄN</t>
        </is>
      </c>
      <c r="E1481" t="inlineStr">
        <is>
          <t>SOLLEFTEÅ</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13315-2025</t>
        </is>
      </c>
      <c r="B1482" s="1" t="n">
        <v>45735.59418981482</v>
      </c>
      <c r="C1482" s="1" t="n">
        <v>46082</v>
      </c>
      <c r="D1482" t="inlineStr">
        <is>
          <t>VÄSTERNORRLANDS LÄN</t>
        </is>
      </c>
      <c r="E1482" t="inlineStr">
        <is>
          <t>SOLLEFTEÅ</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49154-2025</t>
        </is>
      </c>
      <c r="B1483" s="1" t="n">
        <v>45938.34567129629</v>
      </c>
      <c r="C1483" s="1" t="n">
        <v>46082</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29336-2023</t>
        </is>
      </c>
      <c r="B1484" s="1" t="n">
        <v>45105</v>
      </c>
      <c r="C1484" s="1" t="n">
        <v>46082</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48981-2025</t>
        </is>
      </c>
      <c r="B1485" s="1" t="n">
        <v>45937.57354166666</v>
      </c>
      <c r="C1485" s="1" t="n">
        <v>46082</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49052-2025</t>
        </is>
      </c>
      <c r="B1486" s="1" t="n">
        <v>45937.63813657407</v>
      </c>
      <c r="C1486" s="1" t="n">
        <v>46082</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49221-2025</t>
        </is>
      </c>
      <c r="B1487" s="1" t="n">
        <v>45938.46335648148</v>
      </c>
      <c r="C1487" s="1" t="n">
        <v>46082</v>
      </c>
      <c r="D1487" t="inlineStr">
        <is>
          <t>VÄSTERNORRLANDS LÄN</t>
        </is>
      </c>
      <c r="E1487" t="inlineStr">
        <is>
          <t>SOLLEFTEÅ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66178-2021</t>
        </is>
      </c>
      <c r="B1488" s="1" t="n">
        <v>44517</v>
      </c>
      <c r="C1488" s="1" t="n">
        <v>46082</v>
      </c>
      <c r="D1488" t="inlineStr">
        <is>
          <t>VÄSTERNORRLANDS LÄN</t>
        </is>
      </c>
      <c r="E1488" t="inlineStr">
        <is>
          <t>SOLLEFTEÅ</t>
        </is>
      </c>
      <c r="F1488" t="inlineStr">
        <is>
          <t>SCA</t>
        </is>
      </c>
      <c r="G1488" t="n">
        <v>31.7</v>
      </c>
      <c r="H1488" t="n">
        <v>0</v>
      </c>
      <c r="I1488" t="n">
        <v>0</v>
      </c>
      <c r="J1488" t="n">
        <v>0</v>
      </c>
      <c r="K1488" t="n">
        <v>0</v>
      </c>
      <c r="L1488" t="n">
        <v>0</v>
      </c>
      <c r="M1488" t="n">
        <v>0</v>
      </c>
      <c r="N1488" t="n">
        <v>0</v>
      </c>
      <c r="O1488" t="n">
        <v>0</v>
      </c>
      <c r="P1488" t="n">
        <v>0</v>
      </c>
      <c r="Q1488" t="n">
        <v>0</v>
      </c>
      <c r="R1488" s="2" t="inlineStr"/>
    </row>
    <row r="1489" ht="15" customHeight="1">
      <c r="A1489" t="inlineStr">
        <is>
          <t>A 38271-2025</t>
        </is>
      </c>
      <c r="B1489" s="1" t="n">
        <v>45883.4071412037</v>
      </c>
      <c r="C1489" s="1" t="n">
        <v>46082</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49289-2025</t>
        </is>
      </c>
      <c r="B1490" s="1" t="n">
        <v>45938.52868055556</v>
      </c>
      <c r="C1490" s="1" t="n">
        <v>46082</v>
      </c>
      <c r="D1490" t="inlineStr">
        <is>
          <t>VÄSTERNORRLANDS LÄN</t>
        </is>
      </c>
      <c r="E1490" t="inlineStr">
        <is>
          <t>SOLLEFTEÅ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49115-2025</t>
        </is>
      </c>
      <c r="B1491" s="1" t="n">
        <v>45937</v>
      </c>
      <c r="C1491" s="1" t="n">
        <v>46082</v>
      </c>
      <c r="D1491" t="inlineStr">
        <is>
          <t>VÄSTERNORRLANDS LÄN</t>
        </is>
      </c>
      <c r="E1491" t="inlineStr">
        <is>
          <t>SOLLEFTEÅ</t>
        </is>
      </c>
      <c r="F1491" t="inlineStr">
        <is>
          <t>Övriga Aktiebolag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62260-2022</t>
        </is>
      </c>
      <c r="B1492" s="1" t="n">
        <v>44922.94366898148</v>
      </c>
      <c r="C1492" s="1" t="n">
        <v>46082</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49155-2025</t>
        </is>
      </c>
      <c r="B1493" s="1" t="n">
        <v>45938.34578703704</v>
      </c>
      <c r="C1493" s="1" t="n">
        <v>46082</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49696-2025</t>
        </is>
      </c>
      <c r="B1494" s="1" t="n">
        <v>45939.6775462963</v>
      </c>
      <c r="C1494" s="1" t="n">
        <v>46082</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46082</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49627-2025</t>
        </is>
      </c>
      <c r="B1496" s="1" t="n">
        <v>45939.59503472222</v>
      </c>
      <c r="C1496" s="1" t="n">
        <v>46082</v>
      </c>
      <c r="D1496" t="inlineStr">
        <is>
          <t>VÄSTERNORRLANDS LÄN</t>
        </is>
      </c>
      <c r="E1496" t="inlineStr">
        <is>
          <t>SOLLEFTEÅ</t>
        </is>
      </c>
      <c r="F1496" t="inlineStr">
        <is>
          <t>SCA</t>
        </is>
      </c>
      <c r="G1496" t="n">
        <v>29.4</v>
      </c>
      <c r="H1496" t="n">
        <v>0</v>
      </c>
      <c r="I1496" t="n">
        <v>0</v>
      </c>
      <c r="J1496" t="n">
        <v>0</v>
      </c>
      <c r="K1496" t="n">
        <v>0</v>
      </c>
      <c r="L1496" t="n">
        <v>0</v>
      </c>
      <c r="M1496" t="n">
        <v>0</v>
      </c>
      <c r="N1496" t="n">
        <v>0</v>
      </c>
      <c r="O1496" t="n">
        <v>0</v>
      </c>
      <c r="P1496" t="n">
        <v>0</v>
      </c>
      <c r="Q1496" t="n">
        <v>0</v>
      </c>
      <c r="R1496" s="2" t="inlineStr"/>
    </row>
    <row r="1497" ht="15" customHeight="1">
      <c r="A1497" t="inlineStr">
        <is>
          <t>A 22207-2025</t>
        </is>
      </c>
      <c r="B1497" s="1" t="n">
        <v>45785.65710648148</v>
      </c>
      <c r="C1497" s="1" t="n">
        <v>46082</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49699-2025</t>
        </is>
      </c>
      <c r="B1498" s="1" t="n">
        <v>45939.67807870371</v>
      </c>
      <c r="C1498" s="1" t="n">
        <v>46082</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49700-2025</t>
        </is>
      </c>
      <c r="B1499" s="1" t="n">
        <v>45939.67822916667</v>
      </c>
      <c r="C1499" s="1" t="n">
        <v>46082</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49706-2025</t>
        </is>
      </c>
      <c r="B1500" s="1" t="n">
        <v>45939.67949074074</v>
      </c>
      <c r="C1500" s="1" t="n">
        <v>46082</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49919-2025</t>
        </is>
      </c>
      <c r="B1501" s="1" t="n">
        <v>45940.63591435185</v>
      </c>
      <c r="C1501" s="1" t="n">
        <v>46082</v>
      </c>
      <c r="D1501" t="inlineStr">
        <is>
          <t>VÄSTERNORRLANDS LÄN</t>
        </is>
      </c>
      <c r="E1501" t="inlineStr">
        <is>
          <t>SOLLEFTEÅ</t>
        </is>
      </c>
      <c r="F1501" t="inlineStr">
        <is>
          <t>SCA</t>
        </is>
      </c>
      <c r="G1501" t="n">
        <v>41.5</v>
      </c>
      <c r="H1501" t="n">
        <v>0</v>
      </c>
      <c r="I1501" t="n">
        <v>0</v>
      </c>
      <c r="J1501" t="n">
        <v>0</v>
      </c>
      <c r="K1501" t="n">
        <v>0</v>
      </c>
      <c r="L1501" t="n">
        <v>0</v>
      </c>
      <c r="M1501" t="n">
        <v>0</v>
      </c>
      <c r="N1501" t="n">
        <v>0</v>
      </c>
      <c r="O1501" t="n">
        <v>0</v>
      </c>
      <c r="P1501" t="n">
        <v>0</v>
      </c>
      <c r="Q1501" t="n">
        <v>0</v>
      </c>
      <c r="R1501" s="2" t="inlineStr"/>
    </row>
    <row r="1502" ht="15" customHeight="1">
      <c r="A1502" t="inlineStr">
        <is>
          <t>A 48296-2022</t>
        </is>
      </c>
      <c r="B1502" s="1" t="n">
        <v>44858.51815972223</v>
      </c>
      <c r="C1502" s="1" t="n">
        <v>46082</v>
      </c>
      <c r="D1502" t="inlineStr">
        <is>
          <t>VÄSTERNORRLANDS LÄN</t>
        </is>
      </c>
      <c r="E1502" t="inlineStr">
        <is>
          <t>SOLLEFTEÅ</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49705-2025</t>
        </is>
      </c>
      <c r="B1503" s="1" t="n">
        <v>45939.67929398148</v>
      </c>
      <c r="C1503" s="1" t="n">
        <v>46082</v>
      </c>
      <c r="D1503" t="inlineStr">
        <is>
          <t>VÄSTERNORRLANDS LÄN</t>
        </is>
      </c>
      <c r="E1503" t="inlineStr">
        <is>
          <t>SOLLEFTEÅ</t>
        </is>
      </c>
      <c r="F1503" t="inlineStr">
        <is>
          <t>SCA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49491-2025</t>
        </is>
      </c>
      <c r="B1504" s="1" t="n">
        <v>45939.36596064815</v>
      </c>
      <c r="C1504" s="1" t="n">
        <v>46082</v>
      </c>
      <c r="D1504" t="inlineStr">
        <is>
          <t>VÄSTERNORRLANDS LÄN</t>
        </is>
      </c>
      <c r="E1504" t="inlineStr">
        <is>
          <t>SOLLEFTEÅ</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38560-2025</t>
        </is>
      </c>
      <c r="B1505" s="1" t="n">
        <v>45884.44844907407</v>
      </c>
      <c r="C1505" s="1" t="n">
        <v>46082</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13858-2025</t>
        </is>
      </c>
      <c r="B1506" s="1" t="n">
        <v>45737.57341435185</v>
      </c>
      <c r="C1506" s="1" t="n">
        <v>46082</v>
      </c>
      <c r="D1506" t="inlineStr">
        <is>
          <t>VÄSTERNORRLANDS LÄN</t>
        </is>
      </c>
      <c r="E1506" t="inlineStr">
        <is>
          <t>SOLLEFTEÅ</t>
        </is>
      </c>
      <c r="F1506" t="inlineStr">
        <is>
          <t>SCA</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11746-2025</t>
        </is>
      </c>
      <c r="B1507" s="1" t="n">
        <v>45727.63577546296</v>
      </c>
      <c r="C1507" s="1" t="n">
        <v>46082</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49794-2025</t>
        </is>
      </c>
      <c r="B1508" s="1" t="n">
        <v>45940.40777777778</v>
      </c>
      <c r="C1508" s="1" t="n">
        <v>46082</v>
      </c>
      <c r="D1508" t="inlineStr">
        <is>
          <t>VÄSTERNORRLANDS LÄN</t>
        </is>
      </c>
      <c r="E1508" t="inlineStr">
        <is>
          <t>SOLLEFTEÅ</t>
        </is>
      </c>
      <c r="F1508" t="inlineStr">
        <is>
          <t>SCA</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49920-2025</t>
        </is>
      </c>
      <c r="B1509" s="1" t="n">
        <v>45940.63611111111</v>
      </c>
      <c r="C1509" s="1" t="n">
        <v>46082</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57080-2023</t>
        </is>
      </c>
      <c r="B1510" s="1" t="n">
        <v>45244</v>
      </c>
      <c r="C1510" s="1" t="n">
        <v>46082</v>
      </c>
      <c r="D1510" t="inlineStr">
        <is>
          <t>VÄSTERNORRLANDS LÄN</t>
        </is>
      </c>
      <c r="E1510" t="inlineStr">
        <is>
          <t>SOLLEFTEÅ</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49468-2025</t>
        </is>
      </c>
      <c r="B1511" s="1" t="n">
        <v>45939.33886574074</v>
      </c>
      <c r="C1511" s="1" t="n">
        <v>46082</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19936-2025</t>
        </is>
      </c>
      <c r="B1512" s="1" t="n">
        <v>45771.64130787037</v>
      </c>
      <c r="C1512" s="1" t="n">
        <v>46082</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19949-2025</t>
        </is>
      </c>
      <c r="B1513" s="1" t="n">
        <v>45771.65688657408</v>
      </c>
      <c r="C1513" s="1" t="n">
        <v>46082</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49750-2025</t>
        </is>
      </c>
      <c r="B1514" s="1" t="n">
        <v>45940.34497685185</v>
      </c>
      <c r="C1514" s="1" t="n">
        <v>46082</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49703-2025</t>
        </is>
      </c>
      <c r="B1515" s="1" t="n">
        <v>45939.67894675926</v>
      </c>
      <c r="C1515" s="1" t="n">
        <v>46082</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49474-2025</t>
        </is>
      </c>
      <c r="B1516" s="1" t="n">
        <v>45939.34472222222</v>
      </c>
      <c r="C1516" s="1" t="n">
        <v>46082</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49488-2025</t>
        </is>
      </c>
      <c r="B1517" s="1" t="n">
        <v>45939.36506944444</v>
      </c>
      <c r="C1517" s="1" t="n">
        <v>46082</v>
      </c>
      <c r="D1517" t="inlineStr">
        <is>
          <t>VÄSTERNORRLANDS LÄN</t>
        </is>
      </c>
      <c r="E1517" t="inlineStr">
        <is>
          <t>SOLLEFTEÅ</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49904-2025</t>
        </is>
      </c>
      <c r="B1518" s="1" t="n">
        <v>45940.59594907407</v>
      </c>
      <c r="C1518" s="1" t="n">
        <v>46082</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5108-2022</t>
        </is>
      </c>
      <c r="B1519" s="1" t="n">
        <v>44593.92135416667</v>
      </c>
      <c r="C1519" s="1" t="n">
        <v>46082</v>
      </c>
      <c r="D1519" t="inlineStr">
        <is>
          <t>VÄSTERNORRLANDS LÄN</t>
        </is>
      </c>
      <c r="E1519" t="inlineStr">
        <is>
          <t>SOLLEFTEÅ</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49932-2025</t>
        </is>
      </c>
      <c r="B1520" s="1" t="n">
        <v>45940.65695601852</v>
      </c>
      <c r="C1520" s="1" t="n">
        <v>46082</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49748-2025</t>
        </is>
      </c>
      <c r="B1521" s="1" t="n">
        <v>45940.34472222222</v>
      </c>
      <c r="C1521" s="1" t="n">
        <v>46082</v>
      </c>
      <c r="D1521" t="inlineStr">
        <is>
          <t>VÄSTERNORRLANDS LÄN</t>
        </is>
      </c>
      <c r="E1521" t="inlineStr">
        <is>
          <t>SOLLEFTEÅ</t>
        </is>
      </c>
      <c r="F1521" t="inlineStr">
        <is>
          <t>SCA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49933-2025</t>
        </is>
      </c>
      <c r="B1522" s="1" t="n">
        <v>45940.65717592592</v>
      </c>
      <c r="C1522" s="1" t="n">
        <v>46082</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49667-2025</t>
        </is>
      </c>
      <c r="B1523" s="1" t="n">
        <v>45939.63671296297</v>
      </c>
      <c r="C1523" s="1" t="n">
        <v>46082</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49698-2025</t>
        </is>
      </c>
      <c r="B1524" s="1" t="n">
        <v>45939.67790509259</v>
      </c>
      <c r="C1524" s="1" t="n">
        <v>46082</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49701-2025</t>
        </is>
      </c>
      <c r="B1525" s="1" t="n">
        <v>45939.67840277778</v>
      </c>
      <c r="C1525" s="1" t="n">
        <v>46082</v>
      </c>
      <c r="D1525" t="inlineStr">
        <is>
          <t>VÄSTERNORRLANDS LÄN</t>
        </is>
      </c>
      <c r="E1525" t="inlineStr">
        <is>
          <t>SOLLEFTEÅ</t>
        </is>
      </c>
      <c r="F1525" t="inlineStr">
        <is>
          <t>SCA</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49702-2025</t>
        </is>
      </c>
      <c r="B1526" s="1" t="n">
        <v>45939.67875</v>
      </c>
      <c r="C1526" s="1" t="n">
        <v>46082</v>
      </c>
      <c r="D1526" t="inlineStr">
        <is>
          <t>VÄSTERNORRLANDS LÄN</t>
        </is>
      </c>
      <c r="E1526" t="inlineStr">
        <is>
          <t>SOLLEFTEÅ</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17172-2024</t>
        </is>
      </c>
      <c r="B1527" s="1" t="n">
        <v>45412.97858796296</v>
      </c>
      <c r="C1527" s="1" t="n">
        <v>46082</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38240-2025</t>
        </is>
      </c>
      <c r="B1528" s="1" t="n">
        <v>45883.36532407408</v>
      </c>
      <c r="C1528" s="1" t="n">
        <v>46082</v>
      </c>
      <c r="D1528" t="inlineStr">
        <is>
          <t>VÄSTERNORRLANDS LÄN</t>
        </is>
      </c>
      <c r="E1528" t="inlineStr">
        <is>
          <t>SOLLEFTEÅ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49565-2025</t>
        </is>
      </c>
      <c r="B1529" s="1" t="n">
        <v>45939.46921296296</v>
      </c>
      <c r="C1529" s="1" t="n">
        <v>46082</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50229-2025</t>
        </is>
      </c>
      <c r="B1530" s="1" t="n">
        <v>45943.69855324074</v>
      </c>
      <c r="C1530" s="1" t="n">
        <v>46082</v>
      </c>
      <c r="D1530" t="inlineStr">
        <is>
          <t>VÄSTERNORRLANDS LÄN</t>
        </is>
      </c>
      <c r="E1530" t="inlineStr">
        <is>
          <t>SOLLEFTEÅ</t>
        </is>
      </c>
      <c r="F1530" t="inlineStr">
        <is>
          <t>SCA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50281-2025</t>
        </is>
      </c>
      <c r="B1531" s="1" t="n">
        <v>45944.38600694444</v>
      </c>
      <c r="C1531" s="1" t="n">
        <v>46082</v>
      </c>
      <c r="D1531" t="inlineStr">
        <is>
          <t>VÄSTERNORRLANDS LÄN</t>
        </is>
      </c>
      <c r="E1531" t="inlineStr">
        <is>
          <t>SOLLEFTEÅ</t>
        </is>
      </c>
      <c r="F1531" t="inlineStr">
        <is>
          <t>SCA</t>
        </is>
      </c>
      <c r="G1531" t="n">
        <v>29.2</v>
      </c>
      <c r="H1531" t="n">
        <v>0</v>
      </c>
      <c r="I1531" t="n">
        <v>0</v>
      </c>
      <c r="J1531" t="n">
        <v>0</v>
      </c>
      <c r="K1531" t="n">
        <v>0</v>
      </c>
      <c r="L1531" t="n">
        <v>0</v>
      </c>
      <c r="M1531" t="n">
        <v>0</v>
      </c>
      <c r="N1531" t="n">
        <v>0</v>
      </c>
      <c r="O1531" t="n">
        <v>0</v>
      </c>
      <c r="P1531" t="n">
        <v>0</v>
      </c>
      <c r="Q1531" t="n">
        <v>0</v>
      </c>
      <c r="R1531" s="2" t="inlineStr"/>
    </row>
    <row r="1532" ht="15" customHeight="1">
      <c r="A1532" t="inlineStr">
        <is>
          <t>A 6735-2025</t>
        </is>
      </c>
      <c r="B1532" s="1" t="n">
        <v>45700.59434027778</v>
      </c>
      <c r="C1532" s="1" t="n">
        <v>46082</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6737-2025</t>
        </is>
      </c>
      <c r="B1533" s="1" t="n">
        <v>45700.59450231482</v>
      </c>
      <c r="C1533" s="1" t="n">
        <v>46082</v>
      </c>
      <c r="D1533" t="inlineStr">
        <is>
          <t>VÄSTERNORRLANDS LÄN</t>
        </is>
      </c>
      <c r="E1533" t="inlineStr">
        <is>
          <t>SOLLEFTEÅ</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19205-2025</t>
        </is>
      </c>
      <c r="B1534" s="1" t="n">
        <v>45769.42861111111</v>
      </c>
      <c r="C1534" s="1" t="n">
        <v>46082</v>
      </c>
      <c r="D1534" t="inlineStr">
        <is>
          <t>VÄSTERNORRLANDS LÄN</t>
        </is>
      </c>
      <c r="E1534" t="inlineStr">
        <is>
          <t>SOLLEFTEÅ</t>
        </is>
      </c>
      <c r="F1534" t="inlineStr">
        <is>
          <t>SCA</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19207-2025</t>
        </is>
      </c>
      <c r="B1535" s="1" t="n">
        <v>45769</v>
      </c>
      <c r="C1535" s="1" t="n">
        <v>46082</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32924-2024</t>
        </is>
      </c>
      <c r="B1536" s="1" t="n">
        <v>45516.95292824074</v>
      </c>
      <c r="C1536" s="1" t="n">
        <v>46082</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50245-2025</t>
        </is>
      </c>
      <c r="B1537" s="1" t="n">
        <v>45944.30101851852</v>
      </c>
      <c r="C1537" s="1" t="n">
        <v>46082</v>
      </c>
      <c r="D1537" t="inlineStr">
        <is>
          <t>VÄSTERNORRLANDS LÄN</t>
        </is>
      </c>
      <c r="E1537" t="inlineStr">
        <is>
          <t>SOLLEFTEÅ</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9708-2025</t>
        </is>
      </c>
      <c r="B1538" s="1" t="n">
        <v>45716.38607638889</v>
      </c>
      <c r="C1538" s="1" t="n">
        <v>46082</v>
      </c>
      <c r="D1538" t="inlineStr">
        <is>
          <t>VÄSTERNORRLANDS LÄN</t>
        </is>
      </c>
      <c r="E1538" t="inlineStr">
        <is>
          <t>SOLLEFTEÅ</t>
        </is>
      </c>
      <c r="F1538" t="inlineStr">
        <is>
          <t>SCA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42512-2023</t>
        </is>
      </c>
      <c r="B1539" s="1" t="n">
        <v>45180.95953703704</v>
      </c>
      <c r="C1539" s="1" t="n">
        <v>46082</v>
      </c>
      <c r="D1539" t="inlineStr">
        <is>
          <t>VÄSTERNORRLANDS LÄN</t>
        </is>
      </c>
      <c r="E1539" t="inlineStr">
        <is>
          <t>SOLLEFTEÅ</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20437-2025</t>
        </is>
      </c>
      <c r="B1540" s="1" t="n">
        <v>45775</v>
      </c>
      <c r="C1540" s="1" t="n">
        <v>46082</v>
      </c>
      <c r="D1540" t="inlineStr">
        <is>
          <t>VÄSTERNORRLANDS LÄN</t>
        </is>
      </c>
      <c r="E1540" t="inlineStr">
        <is>
          <t>SOLLEFTEÅ</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17034-2025</t>
        </is>
      </c>
      <c r="B1541" s="1" t="n">
        <v>45755.57385416667</v>
      </c>
      <c r="C1541" s="1" t="n">
        <v>46082</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13637-2025</t>
        </is>
      </c>
      <c r="B1542" s="1" t="n">
        <v>45736.65681712963</v>
      </c>
      <c r="C1542" s="1" t="n">
        <v>46082</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50388-2025</t>
        </is>
      </c>
      <c r="B1543" s="1" t="n">
        <v>45944.61509259259</v>
      </c>
      <c r="C1543" s="1" t="n">
        <v>46082</v>
      </c>
      <c r="D1543" t="inlineStr">
        <is>
          <t>VÄSTERNORRLANDS LÄN</t>
        </is>
      </c>
      <c r="E1543" t="inlineStr">
        <is>
          <t>SOLLEFTEÅ</t>
        </is>
      </c>
      <c r="F1543" t="inlineStr">
        <is>
          <t>SCA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42229-2021</t>
        </is>
      </c>
      <c r="B1544" s="1" t="n">
        <v>44426.93474537037</v>
      </c>
      <c r="C1544" s="1" t="n">
        <v>46082</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20183-2025</t>
        </is>
      </c>
      <c r="B1545" s="1" t="n">
        <v>45772.59440972222</v>
      </c>
      <c r="C1545" s="1" t="n">
        <v>46082</v>
      </c>
      <c r="D1545" t="inlineStr">
        <is>
          <t>VÄSTERNORRLANDS LÄN</t>
        </is>
      </c>
      <c r="E1545" t="inlineStr">
        <is>
          <t>SOLLEFTEÅ</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50283-2025</t>
        </is>
      </c>
      <c r="B1546" s="1" t="n">
        <v>45944.38641203703</v>
      </c>
      <c r="C1546" s="1" t="n">
        <v>46082</v>
      </c>
      <c r="D1546" t="inlineStr">
        <is>
          <t>VÄSTERNORRLANDS LÄN</t>
        </is>
      </c>
      <c r="E1546" t="inlineStr">
        <is>
          <t>SOLLEFTEÅ</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1466-2025</t>
        </is>
      </c>
      <c r="B1547" s="1" t="n">
        <v>45670</v>
      </c>
      <c r="C1547" s="1" t="n">
        <v>46082</v>
      </c>
      <c r="D1547" t="inlineStr">
        <is>
          <t>VÄSTERNORRLANDS LÄN</t>
        </is>
      </c>
      <c r="E1547" t="inlineStr">
        <is>
          <t>SOLLEFTEÅ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35872-2024</t>
        </is>
      </c>
      <c r="B1548" s="1" t="n">
        <v>45533</v>
      </c>
      <c r="C1548" s="1" t="n">
        <v>46082</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50402-2025</t>
        </is>
      </c>
      <c r="B1549" s="1" t="n">
        <v>45944.63606481482</v>
      </c>
      <c r="C1549" s="1" t="n">
        <v>46082</v>
      </c>
      <c r="D1549" t="inlineStr">
        <is>
          <t>VÄSTERNORRLANDS LÄN</t>
        </is>
      </c>
      <c r="E1549" t="inlineStr">
        <is>
          <t>SOLLEFTEÅ</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56685-2023</t>
        </is>
      </c>
      <c r="B1550" s="1" t="n">
        <v>45243.96600694444</v>
      </c>
      <c r="C1550" s="1" t="n">
        <v>46082</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50493-2025</t>
        </is>
      </c>
      <c r="B1551" s="1" t="n">
        <v>45945.40685185185</v>
      </c>
      <c r="C1551" s="1" t="n">
        <v>46082</v>
      </c>
      <c r="D1551" t="inlineStr">
        <is>
          <t>VÄSTERNORRLANDS LÄN</t>
        </is>
      </c>
      <c r="E1551" t="inlineStr">
        <is>
          <t>SOLLEFTEÅ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50627-2025</t>
        </is>
      </c>
      <c r="B1552" s="1" t="n">
        <v>45945</v>
      </c>
      <c r="C1552" s="1" t="n">
        <v>46082</v>
      </c>
      <c r="D1552" t="inlineStr">
        <is>
          <t>VÄSTERNORRLANDS LÄN</t>
        </is>
      </c>
      <c r="E1552" t="inlineStr">
        <is>
          <t>SOLLEFTEÅ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54607-2023</t>
        </is>
      </c>
      <c r="B1553" s="1" t="n">
        <v>45233.95748842593</v>
      </c>
      <c r="C1553" s="1" t="n">
        <v>46082</v>
      </c>
      <c r="D1553" t="inlineStr">
        <is>
          <t>VÄSTERNORRLANDS LÄN</t>
        </is>
      </c>
      <c r="E1553" t="inlineStr">
        <is>
          <t>SOLLEFTEÅ</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50733-2025</t>
        </is>
      </c>
      <c r="B1554" s="1" t="n">
        <v>45946.36538194444</v>
      </c>
      <c r="C1554" s="1" t="n">
        <v>46082</v>
      </c>
      <c r="D1554" t="inlineStr">
        <is>
          <t>VÄSTERNORRLANDS LÄN</t>
        </is>
      </c>
      <c r="E1554" t="inlineStr">
        <is>
          <t>SOLLEFTEÅ</t>
        </is>
      </c>
      <c r="F1554" t="inlineStr">
        <is>
          <t>SCA</t>
        </is>
      </c>
      <c r="G1554" t="n">
        <v>15.3</v>
      </c>
      <c r="H1554" t="n">
        <v>0</v>
      </c>
      <c r="I1554" t="n">
        <v>0</v>
      </c>
      <c r="J1554" t="n">
        <v>0</v>
      </c>
      <c r="K1554" t="n">
        <v>0</v>
      </c>
      <c r="L1554" t="n">
        <v>0</v>
      </c>
      <c r="M1554" t="n">
        <v>0</v>
      </c>
      <c r="N1554" t="n">
        <v>0</v>
      </c>
      <c r="O1554" t="n">
        <v>0</v>
      </c>
      <c r="P1554" t="n">
        <v>0</v>
      </c>
      <c r="Q1554" t="n">
        <v>0</v>
      </c>
      <c r="R1554" s="2" t="inlineStr"/>
    </row>
    <row r="1555" ht="15" customHeight="1">
      <c r="A1555" t="inlineStr">
        <is>
          <t>A 50859-2025</t>
        </is>
      </c>
      <c r="B1555" s="1" t="n">
        <v>45946.59450231482</v>
      </c>
      <c r="C1555" s="1" t="n">
        <v>46082</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50929-2025</t>
        </is>
      </c>
      <c r="B1556" s="1" t="n">
        <v>45946.67913194445</v>
      </c>
      <c r="C1556" s="1" t="n">
        <v>46082</v>
      </c>
      <c r="D1556" t="inlineStr">
        <is>
          <t>VÄSTERNORRLANDS LÄN</t>
        </is>
      </c>
      <c r="E1556" t="inlineStr">
        <is>
          <t>SOLLEFTEÅ</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50930-2025</t>
        </is>
      </c>
      <c r="B1557" s="1" t="n">
        <v>45946.6796875</v>
      </c>
      <c r="C1557" s="1" t="n">
        <v>46082</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47741-2023</t>
        </is>
      </c>
      <c r="B1558" s="1" t="n">
        <v>45198</v>
      </c>
      <c r="C1558" s="1" t="n">
        <v>46082</v>
      </c>
      <c r="D1558" t="inlineStr">
        <is>
          <t>VÄSTERNORRLANDS LÄN</t>
        </is>
      </c>
      <c r="E1558" t="inlineStr">
        <is>
          <t>SOLLEFTEÅ</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21349-2023</t>
        </is>
      </c>
      <c r="B1559" s="1" t="n">
        <v>45062.9390625</v>
      </c>
      <c r="C1559" s="1" t="n">
        <v>46082</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50843-2025</t>
        </is>
      </c>
      <c r="B1560" s="1" t="n">
        <v>45946.57344907407</v>
      </c>
      <c r="C1560" s="1" t="n">
        <v>46082</v>
      </c>
      <c r="D1560" t="inlineStr">
        <is>
          <t>VÄSTERNORRLANDS LÄN</t>
        </is>
      </c>
      <c r="E1560" t="inlineStr">
        <is>
          <t>SOLLEFTEÅ</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50645-2025</t>
        </is>
      </c>
      <c r="B1561" s="1" t="n">
        <v>45945.65685185185</v>
      </c>
      <c r="C1561" s="1" t="n">
        <v>46082</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25986-2023</t>
        </is>
      </c>
      <c r="B1562" s="1" t="n">
        <v>45090</v>
      </c>
      <c r="C1562" s="1" t="n">
        <v>46082</v>
      </c>
      <c r="D1562" t="inlineStr">
        <is>
          <t>VÄSTERNORRLANDS LÄN</t>
        </is>
      </c>
      <c r="E1562" t="inlineStr">
        <is>
          <t>SOLLEFTEÅ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57273-2022</t>
        </is>
      </c>
      <c r="B1563" s="1" t="n">
        <v>44895.9487962963</v>
      </c>
      <c r="C1563" s="1" t="n">
        <v>46082</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50860-2025</t>
        </is>
      </c>
      <c r="B1564" s="1" t="n">
        <v>45946.59475694445</v>
      </c>
      <c r="C1564" s="1" t="n">
        <v>46082</v>
      </c>
      <c r="D1564" t="inlineStr">
        <is>
          <t>VÄSTERNORRLANDS LÄN</t>
        </is>
      </c>
      <c r="E1564" t="inlineStr">
        <is>
          <t>SOLLEFTEÅ</t>
        </is>
      </c>
      <c r="F1564" t="inlineStr">
        <is>
          <t>SCA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37354-2024</t>
        </is>
      </c>
      <c r="B1565" s="1" t="n">
        <v>45540.54201388889</v>
      </c>
      <c r="C1565" s="1" t="n">
        <v>46082</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50555-2025</t>
        </is>
      </c>
      <c r="B1566" s="1" t="n">
        <v>45945.53164351852</v>
      </c>
      <c r="C1566" s="1" t="n">
        <v>46082</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50911-2025</t>
        </is>
      </c>
      <c r="B1567" s="1" t="n">
        <v>45946.65690972222</v>
      </c>
      <c r="C1567" s="1" t="n">
        <v>46082</v>
      </c>
      <c r="D1567" t="inlineStr">
        <is>
          <t>VÄSTERNORRLANDS LÄN</t>
        </is>
      </c>
      <c r="E1567" t="inlineStr">
        <is>
          <t>SOLLEFTEÅ</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46082</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50505-2025</t>
        </is>
      </c>
      <c r="B1569" s="1" t="n">
        <v>45945.42863425926</v>
      </c>
      <c r="C1569" s="1" t="n">
        <v>46082</v>
      </c>
      <c r="D1569" t="inlineStr">
        <is>
          <t>VÄSTERNORRLANDS LÄN</t>
        </is>
      </c>
      <c r="E1569" t="inlineStr">
        <is>
          <t>SOLLEFTEÅ</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50522-2025</t>
        </is>
      </c>
      <c r="B1570" s="1" t="n">
        <v>45945</v>
      </c>
      <c r="C1570" s="1" t="n">
        <v>46082</v>
      </c>
      <c r="D1570" t="inlineStr">
        <is>
          <t>VÄSTERNORRLANDS LÄN</t>
        </is>
      </c>
      <c r="E1570" t="inlineStr">
        <is>
          <t>SOLLEFTEÅ</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14169-2024</t>
        </is>
      </c>
      <c r="B1571" s="1" t="n">
        <v>45392.95831018518</v>
      </c>
      <c r="C1571" s="1" t="n">
        <v>46082</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51303-2025</t>
        </is>
      </c>
      <c r="B1572" s="1" t="n">
        <v>45950.36518518518</v>
      </c>
      <c r="C1572" s="1" t="n">
        <v>46082</v>
      </c>
      <c r="D1572" t="inlineStr">
        <is>
          <t>VÄSTERNORRLANDS LÄN</t>
        </is>
      </c>
      <c r="E1572" t="inlineStr">
        <is>
          <t>SOLLEFTEÅ</t>
        </is>
      </c>
      <c r="F1572" t="inlineStr">
        <is>
          <t>SCA</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62662-2022</t>
        </is>
      </c>
      <c r="B1573" s="1" t="n">
        <v>44917</v>
      </c>
      <c r="C1573" s="1" t="n">
        <v>46082</v>
      </c>
      <c r="D1573" t="inlineStr">
        <is>
          <t>VÄSTERNORRLANDS LÄN</t>
        </is>
      </c>
      <c r="E1573" t="inlineStr">
        <is>
          <t>SOLLEFTEÅ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19929-2025</t>
        </is>
      </c>
      <c r="B1574" s="1" t="n">
        <v>45771.6359837963</v>
      </c>
      <c r="C1574" s="1" t="n">
        <v>46082</v>
      </c>
      <c r="D1574" t="inlineStr">
        <is>
          <t>VÄSTERNORRLANDS LÄN</t>
        </is>
      </c>
      <c r="E1574" t="inlineStr">
        <is>
          <t>SOLLEFTEÅ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19932-2025</t>
        </is>
      </c>
      <c r="B1575" s="1" t="n">
        <v>45771.63940972222</v>
      </c>
      <c r="C1575" s="1" t="n">
        <v>46082</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51321-2025</t>
        </is>
      </c>
      <c r="B1576" s="1" t="n">
        <v>45950.38615740741</v>
      </c>
      <c r="C1576" s="1" t="n">
        <v>46082</v>
      </c>
      <c r="D1576" t="inlineStr">
        <is>
          <t>VÄSTERNORRLANDS LÄN</t>
        </is>
      </c>
      <c r="E1576" t="inlineStr">
        <is>
          <t>SOLLEFTEÅ</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36685-2024</t>
        </is>
      </c>
      <c r="B1577" s="1" t="n">
        <v>45537.66467592592</v>
      </c>
      <c r="C1577" s="1" t="n">
        <v>46082</v>
      </c>
      <c r="D1577" t="inlineStr">
        <is>
          <t>VÄSTERNORRLANDS LÄN</t>
        </is>
      </c>
      <c r="E1577" t="inlineStr">
        <is>
          <t>SOLLEFTEÅ</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51372-2025</t>
        </is>
      </c>
      <c r="B1578" s="1" t="n">
        <v>45950.44846064815</v>
      </c>
      <c r="C1578" s="1" t="n">
        <v>46082</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51102-2025</t>
        </is>
      </c>
      <c r="B1579" s="1" t="n">
        <v>45947.49001157407</v>
      </c>
      <c r="C1579" s="1" t="n">
        <v>46082</v>
      </c>
      <c r="D1579" t="inlineStr">
        <is>
          <t>VÄSTERNORRLANDS LÄN</t>
        </is>
      </c>
      <c r="E1579" t="inlineStr">
        <is>
          <t>SOLLEFTEÅ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51755-2025</t>
        </is>
      </c>
      <c r="B1580" s="1" t="n">
        <v>45950</v>
      </c>
      <c r="C1580" s="1" t="n">
        <v>46082</v>
      </c>
      <c r="D1580" t="inlineStr">
        <is>
          <t>VÄSTERNORRLANDS LÄN</t>
        </is>
      </c>
      <c r="E1580" t="inlineStr">
        <is>
          <t>SOLLEFTEÅ</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35975-2023</t>
        </is>
      </c>
      <c r="B1581" s="1" t="n">
        <v>45148</v>
      </c>
      <c r="C1581" s="1" t="n">
        <v>46082</v>
      </c>
      <c r="D1581" t="inlineStr">
        <is>
          <t>VÄSTERNORRLANDS LÄN</t>
        </is>
      </c>
      <c r="E1581" t="inlineStr">
        <is>
          <t>SOLLEFTEÅ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51036-2025</t>
        </is>
      </c>
      <c r="B1582" s="1" t="n">
        <v>45947.40709490741</v>
      </c>
      <c r="C1582" s="1" t="n">
        <v>46082</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51451-2025</t>
        </is>
      </c>
      <c r="B1583" s="1" t="n">
        <v>45950.59311342592</v>
      </c>
      <c r="C1583" s="1" t="n">
        <v>46082</v>
      </c>
      <c r="D1583" t="inlineStr">
        <is>
          <t>VÄSTERNORRLANDS LÄN</t>
        </is>
      </c>
      <c r="E1583" t="inlineStr">
        <is>
          <t>SOLLEFTEÅ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51223-2025</t>
        </is>
      </c>
      <c r="B1584" s="1" t="n">
        <v>45947.65533564815</v>
      </c>
      <c r="C1584" s="1" t="n">
        <v>46082</v>
      </c>
      <c r="D1584" t="inlineStr">
        <is>
          <t>VÄSTERNORRLANDS LÄN</t>
        </is>
      </c>
      <c r="E1584" t="inlineStr">
        <is>
          <t>SOLLEFTEÅ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51118-2025</t>
        </is>
      </c>
      <c r="B1585" s="1" t="n">
        <v>45947.53177083333</v>
      </c>
      <c r="C1585" s="1" t="n">
        <v>46082</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16564-2025</t>
        </is>
      </c>
      <c r="B1586" s="1" t="n">
        <v>45752</v>
      </c>
      <c r="C1586" s="1" t="n">
        <v>46082</v>
      </c>
      <c r="D1586" t="inlineStr">
        <is>
          <t>VÄSTERNORRLANDS LÄN</t>
        </is>
      </c>
      <c r="E1586" t="inlineStr">
        <is>
          <t>SOLLEFTEÅ</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51087-2025</t>
        </is>
      </c>
      <c r="B1587" s="1" t="n">
        <v>45947.46954861111</v>
      </c>
      <c r="C1587" s="1" t="n">
        <v>46082</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51088-2025</t>
        </is>
      </c>
      <c r="B1588" s="1" t="n">
        <v>45947.46975694445</v>
      </c>
      <c r="C1588" s="1" t="n">
        <v>46082</v>
      </c>
      <c r="D1588" t="inlineStr">
        <is>
          <t>VÄSTERNORRLANDS LÄN</t>
        </is>
      </c>
      <c r="E1588" t="inlineStr">
        <is>
          <t>SOLLEFTEÅ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37042-2021</t>
        </is>
      </c>
      <c r="B1589" s="1" t="n">
        <v>44393.93495370371</v>
      </c>
      <c r="C1589" s="1" t="n">
        <v>46082</v>
      </c>
      <c r="D1589" t="inlineStr">
        <is>
          <t>VÄSTERNORRLANDS LÄN</t>
        </is>
      </c>
      <c r="E1589" t="inlineStr">
        <is>
          <t>SOLLEFTEÅ</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51521-2025</t>
        </is>
      </c>
      <c r="B1590" s="1" t="n">
        <v>45950.65715277778</v>
      </c>
      <c r="C1590" s="1" t="n">
        <v>46082</v>
      </c>
      <c r="D1590" t="inlineStr">
        <is>
          <t>VÄSTERNORRLANDS LÄN</t>
        </is>
      </c>
      <c r="E1590" t="inlineStr">
        <is>
          <t>SOLLEFTEÅ</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51226-2025</t>
        </is>
      </c>
      <c r="B1591" s="1" t="n">
        <v>45947.65663194445</v>
      </c>
      <c r="C1591" s="1" t="n">
        <v>46082</v>
      </c>
      <c r="D1591" t="inlineStr">
        <is>
          <t>VÄSTERNORRLANDS LÄN</t>
        </is>
      </c>
      <c r="E1591" t="inlineStr">
        <is>
          <t>SOLLEFTEÅ</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17993-2025</t>
        </is>
      </c>
      <c r="B1592" s="1" t="n">
        <v>45761.40673611111</v>
      </c>
      <c r="C1592" s="1" t="n">
        <v>46082</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61391-2022</t>
        </is>
      </c>
      <c r="B1593" s="1" t="n">
        <v>44915.94334490741</v>
      </c>
      <c r="C1593" s="1" t="n">
        <v>46082</v>
      </c>
      <c r="D1593" t="inlineStr">
        <is>
          <t>VÄSTERNORRLANDS LÄN</t>
        </is>
      </c>
      <c r="E1593" t="inlineStr">
        <is>
          <t>SOLLEFTEÅ</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53325-2024</t>
        </is>
      </c>
      <c r="B1594" s="1" t="n">
        <v>45614.41177083334</v>
      </c>
      <c r="C1594" s="1" t="n">
        <v>46082</v>
      </c>
      <c r="D1594" t="inlineStr">
        <is>
          <t>VÄSTERNORRLANDS LÄN</t>
        </is>
      </c>
      <c r="E1594" t="inlineStr">
        <is>
          <t>SOLLEFTEÅ</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48767-2023</t>
        </is>
      </c>
      <c r="B1595" s="1" t="n">
        <v>45208</v>
      </c>
      <c r="C1595" s="1" t="n">
        <v>46082</v>
      </c>
      <c r="D1595" t="inlineStr">
        <is>
          <t>VÄSTERNORRLANDS LÄN</t>
        </is>
      </c>
      <c r="E1595" t="inlineStr">
        <is>
          <t>SOLLEFTEÅ</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51261-2025</t>
        </is>
      </c>
      <c r="B1596" s="1" t="n">
        <v>45949.46915509259</v>
      </c>
      <c r="C1596" s="1" t="n">
        <v>46082</v>
      </c>
      <c r="D1596" t="inlineStr">
        <is>
          <t>VÄSTERNORRLANDS LÄN</t>
        </is>
      </c>
      <c r="E1596" t="inlineStr">
        <is>
          <t>SOLLEFTEÅ</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51259-2025</t>
        </is>
      </c>
      <c r="B1597" s="1" t="n">
        <v>45949.44818287037</v>
      </c>
      <c r="C1597" s="1" t="n">
        <v>46082</v>
      </c>
      <c r="D1597" t="inlineStr">
        <is>
          <t>VÄSTERNORRLANDS LÄN</t>
        </is>
      </c>
      <c r="E1597" t="inlineStr">
        <is>
          <t>SOLLEFTEÅ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25259-2023</t>
        </is>
      </c>
      <c r="B1598" s="1" t="n">
        <v>45079</v>
      </c>
      <c r="C1598" s="1" t="n">
        <v>46082</v>
      </c>
      <c r="D1598" t="inlineStr">
        <is>
          <t>VÄSTERNORRLANDS LÄN</t>
        </is>
      </c>
      <c r="E1598" t="inlineStr">
        <is>
          <t>SOLLEFTEÅ</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51527-2025</t>
        </is>
      </c>
      <c r="B1599" s="1" t="n">
        <v>45950.67748842593</v>
      </c>
      <c r="C1599" s="1" t="n">
        <v>46082</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51529-2025</t>
        </is>
      </c>
      <c r="B1600" s="1" t="n">
        <v>45950.67769675926</v>
      </c>
      <c r="C1600" s="1" t="n">
        <v>46082</v>
      </c>
      <c r="D1600" t="inlineStr">
        <is>
          <t>VÄSTERNORRLANDS LÄN</t>
        </is>
      </c>
      <c r="E1600" t="inlineStr">
        <is>
          <t>SOLLEFTEÅ</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51918-2025</t>
        </is>
      </c>
      <c r="B1601" s="1" t="n">
        <v>45952.48068287037</v>
      </c>
      <c r="C1601" s="1" t="n">
        <v>46082</v>
      </c>
      <c r="D1601" t="inlineStr">
        <is>
          <t>VÄSTERNORRLANDS LÄN</t>
        </is>
      </c>
      <c r="E1601" t="inlineStr">
        <is>
          <t>SOLLEFTEÅ</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51770-2025</t>
        </is>
      </c>
      <c r="B1602" s="1" t="n">
        <v>45951.64315972223</v>
      </c>
      <c r="C1602" s="1" t="n">
        <v>46082</v>
      </c>
      <c r="D1602" t="inlineStr">
        <is>
          <t>VÄSTERNORRLANDS LÄN</t>
        </is>
      </c>
      <c r="E1602" t="inlineStr">
        <is>
          <t>SOLLEFTEÅ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51617-2025</t>
        </is>
      </c>
      <c r="B1603" s="1" t="n">
        <v>45951.40674768519</v>
      </c>
      <c r="C1603" s="1" t="n">
        <v>46082</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52078-2025</t>
        </is>
      </c>
      <c r="B1604" s="1" t="n">
        <v>45952.65828703704</v>
      </c>
      <c r="C1604" s="1" t="n">
        <v>46082</v>
      </c>
      <c r="D1604" t="inlineStr">
        <is>
          <t>VÄSTERNORRLANDS LÄN</t>
        </is>
      </c>
      <c r="E1604" t="inlineStr">
        <is>
          <t>SOLLEFTEÅ</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59473-2024</t>
        </is>
      </c>
      <c r="B1605" s="1" t="n">
        <v>45638.50436342593</v>
      </c>
      <c r="C1605" s="1" t="n">
        <v>46082</v>
      </c>
      <c r="D1605" t="inlineStr">
        <is>
          <t>VÄSTERNORRLANDS LÄN</t>
        </is>
      </c>
      <c r="E1605" t="inlineStr">
        <is>
          <t>SOLLEFTEÅ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51792-2025</t>
        </is>
      </c>
      <c r="B1606" s="1" t="n">
        <v>45951.6984837963</v>
      </c>
      <c r="C1606" s="1" t="n">
        <v>46082</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52023-2025</t>
        </is>
      </c>
      <c r="B1607" s="1" t="n">
        <v>45952.60252314815</v>
      </c>
      <c r="C1607" s="1" t="n">
        <v>46082</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51870-2025</t>
        </is>
      </c>
      <c r="B1608" s="1" t="n">
        <v>45952.38590277778</v>
      </c>
      <c r="C1608" s="1" t="n">
        <v>46082</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52092-2025</t>
        </is>
      </c>
      <c r="B1609" s="1" t="n">
        <v>45952.67827546296</v>
      </c>
      <c r="C1609" s="1" t="n">
        <v>46082</v>
      </c>
      <c r="D1609" t="inlineStr">
        <is>
          <t>VÄSTERNORRLANDS LÄN</t>
        </is>
      </c>
      <c r="E1609" t="inlineStr">
        <is>
          <t>SOLLEFTEÅ</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52011-2025</t>
        </is>
      </c>
      <c r="B1610" s="1" t="n">
        <v>45952.59517361111</v>
      </c>
      <c r="C1610" s="1" t="n">
        <v>46082</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29197-2023</t>
        </is>
      </c>
      <c r="B1611" s="1" t="n">
        <v>45097</v>
      </c>
      <c r="C1611" s="1" t="n">
        <v>46082</v>
      </c>
      <c r="D1611" t="inlineStr">
        <is>
          <t>VÄSTERNORRLANDS LÄN</t>
        </is>
      </c>
      <c r="E1611" t="inlineStr">
        <is>
          <t>SOLLEFTEÅ</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29210-2023</t>
        </is>
      </c>
      <c r="B1612" s="1" t="n">
        <v>45097</v>
      </c>
      <c r="C1612" s="1" t="n">
        <v>46082</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51609-2025</t>
        </is>
      </c>
      <c r="B1613" s="1" t="n">
        <v>45951.39130787037</v>
      </c>
      <c r="C1613" s="1" t="n">
        <v>46082</v>
      </c>
      <c r="D1613" t="inlineStr">
        <is>
          <t>VÄSTERNORRLANDS LÄN</t>
        </is>
      </c>
      <c r="E1613" t="inlineStr">
        <is>
          <t>SOLLEFTEÅ</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51591-2025</t>
        </is>
      </c>
      <c r="B1614" s="1" t="n">
        <v>45951.3653587963</v>
      </c>
      <c r="C1614" s="1" t="n">
        <v>46082</v>
      </c>
      <c r="D1614" t="inlineStr">
        <is>
          <t>VÄSTERNORRLANDS LÄN</t>
        </is>
      </c>
      <c r="E1614" t="inlineStr">
        <is>
          <t>SOLLEFTEÅ</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51559-2025</t>
        </is>
      </c>
      <c r="B1615" s="1" t="n">
        <v>45950.93180555556</v>
      </c>
      <c r="C1615" s="1" t="n">
        <v>46082</v>
      </c>
      <c r="D1615" t="inlineStr">
        <is>
          <t>VÄSTERNORRLANDS LÄN</t>
        </is>
      </c>
      <c r="E1615" t="inlineStr">
        <is>
          <t>SOLLEFTEÅ</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51603-2025</t>
        </is>
      </c>
      <c r="B1616" s="1" t="n">
        <v>45951.38317129629</v>
      </c>
      <c r="C1616" s="1" t="n">
        <v>46082</v>
      </c>
      <c r="D1616" t="inlineStr">
        <is>
          <t>VÄSTERNORRLANDS LÄN</t>
        </is>
      </c>
      <c r="E1616" t="inlineStr">
        <is>
          <t>SOLLEFTEÅ</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63652-2023</t>
        </is>
      </c>
      <c r="B1617" s="1" t="n">
        <v>45275</v>
      </c>
      <c r="C1617" s="1" t="n">
        <v>46082</v>
      </c>
      <c r="D1617" t="inlineStr">
        <is>
          <t>VÄSTERNORRLANDS LÄN</t>
        </is>
      </c>
      <c r="E1617" t="inlineStr">
        <is>
          <t>SOLLEFTEÅ</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51880-2025</t>
        </is>
      </c>
      <c r="B1618" s="1" t="n">
        <v>45952.40435185185</v>
      </c>
      <c r="C1618" s="1" t="n">
        <v>46082</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52116-2025</t>
        </is>
      </c>
      <c r="B1619" s="1" t="n">
        <v>45952</v>
      </c>
      <c r="C1619" s="1" t="n">
        <v>46082</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29070-2023</t>
        </is>
      </c>
      <c r="B1620" s="1" t="n">
        <v>45104.94119212963</v>
      </c>
      <c r="C1620" s="1" t="n">
        <v>46082</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51899-2025</t>
        </is>
      </c>
      <c r="B1621" s="1" t="n">
        <v>45952.44201388889</v>
      </c>
      <c r="C1621" s="1" t="n">
        <v>46082</v>
      </c>
      <c r="D1621" t="inlineStr">
        <is>
          <t>VÄSTERNORRLANDS LÄN</t>
        </is>
      </c>
      <c r="E1621" t="inlineStr">
        <is>
          <t>SOLLEFTEÅ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52483-2025</t>
        </is>
      </c>
      <c r="B1622" s="1" t="n">
        <v>45954.47412037037</v>
      </c>
      <c r="C1622" s="1" t="n">
        <v>46082</v>
      </c>
      <c r="D1622" t="inlineStr">
        <is>
          <t>VÄSTERNORRLANDS LÄN</t>
        </is>
      </c>
      <c r="E1622" t="inlineStr">
        <is>
          <t>SOLLEFTEÅ</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43469-2022</t>
        </is>
      </c>
      <c r="B1623" s="1" t="n">
        <v>44836.80145833334</v>
      </c>
      <c r="C1623" s="1" t="n">
        <v>46082</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39177-2024</t>
        </is>
      </c>
      <c r="B1624" s="1" t="n">
        <v>45548.65681712963</v>
      </c>
      <c r="C1624" s="1" t="n">
        <v>46082</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52236-2025</t>
        </is>
      </c>
      <c r="B1625" s="1" t="n">
        <v>45953.45596064815</v>
      </c>
      <c r="C1625" s="1" t="n">
        <v>46082</v>
      </c>
      <c r="D1625" t="inlineStr">
        <is>
          <t>VÄSTERNORRLANDS LÄN</t>
        </is>
      </c>
      <c r="E1625" t="inlineStr">
        <is>
          <t>SOLLEFTEÅ</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52393-2025</t>
        </is>
      </c>
      <c r="B1626" s="1" t="n">
        <v>45954.34443287037</v>
      </c>
      <c r="C1626" s="1" t="n">
        <v>46082</v>
      </c>
      <c r="D1626" t="inlineStr">
        <is>
          <t>VÄSTERNORRLANDS LÄN</t>
        </is>
      </c>
      <c r="E1626" t="inlineStr">
        <is>
          <t>SOLLEFTEÅ</t>
        </is>
      </c>
      <c r="F1626" t="inlineStr">
        <is>
          <t>SCA</t>
        </is>
      </c>
      <c r="G1626" t="n">
        <v>29.1</v>
      </c>
      <c r="H1626" t="n">
        <v>0</v>
      </c>
      <c r="I1626" t="n">
        <v>0</v>
      </c>
      <c r="J1626" t="n">
        <v>0</v>
      </c>
      <c r="K1626" t="n">
        <v>0</v>
      </c>
      <c r="L1626" t="n">
        <v>0</v>
      </c>
      <c r="M1626" t="n">
        <v>0</v>
      </c>
      <c r="N1626" t="n">
        <v>0</v>
      </c>
      <c r="O1626" t="n">
        <v>0</v>
      </c>
      <c r="P1626" t="n">
        <v>0</v>
      </c>
      <c r="Q1626" t="n">
        <v>0</v>
      </c>
      <c r="R1626" s="2" t="inlineStr"/>
    </row>
    <row r="1627" ht="15" customHeight="1">
      <c r="A1627" t="inlineStr">
        <is>
          <t>A 52305-2025</t>
        </is>
      </c>
      <c r="B1627" s="1" t="n">
        <v>45953.63582175926</v>
      </c>
      <c r="C1627" s="1" t="n">
        <v>46082</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41532-2024</t>
        </is>
      </c>
      <c r="B1628" s="1" t="n">
        <v>45560.49050925926</v>
      </c>
      <c r="C1628" s="1" t="n">
        <v>46082</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71580-2021</t>
        </is>
      </c>
      <c r="B1629" s="1" t="n">
        <v>44540</v>
      </c>
      <c r="C1629" s="1" t="n">
        <v>46082</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18111-2025</t>
        </is>
      </c>
      <c r="B1630" s="1" t="n">
        <v>45761.57334490741</v>
      </c>
      <c r="C1630" s="1" t="n">
        <v>46082</v>
      </c>
      <c r="D1630" t="inlineStr">
        <is>
          <t>VÄSTERNORRLANDS LÄN</t>
        </is>
      </c>
      <c r="E1630" t="inlineStr">
        <is>
          <t>SOLLEFTEÅ</t>
        </is>
      </c>
      <c r="F1630" t="inlineStr">
        <is>
          <t>SCA</t>
        </is>
      </c>
      <c r="G1630" t="n">
        <v>41.6</v>
      </c>
      <c r="H1630" t="n">
        <v>0</v>
      </c>
      <c r="I1630" t="n">
        <v>0</v>
      </c>
      <c r="J1630" t="n">
        <v>0</v>
      </c>
      <c r="K1630" t="n">
        <v>0</v>
      </c>
      <c r="L1630" t="n">
        <v>0</v>
      </c>
      <c r="M1630" t="n">
        <v>0</v>
      </c>
      <c r="N1630" t="n">
        <v>0</v>
      </c>
      <c r="O1630" t="n">
        <v>0</v>
      </c>
      <c r="P1630" t="n">
        <v>0</v>
      </c>
      <c r="Q1630" t="n">
        <v>0</v>
      </c>
      <c r="R1630" s="2" t="inlineStr"/>
    </row>
    <row r="1631" ht="15" customHeight="1">
      <c r="A1631" t="inlineStr">
        <is>
          <t>A 53269-2025</t>
        </is>
      </c>
      <c r="B1631" s="1" t="n">
        <v>45958.6985300926</v>
      </c>
      <c r="C1631" s="1" t="n">
        <v>46082</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25131-2024</t>
        </is>
      </c>
      <c r="B1632" s="1" t="n">
        <v>45462.46725694444</v>
      </c>
      <c r="C1632" s="1" t="n">
        <v>46082</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21089-2025</t>
        </is>
      </c>
      <c r="B1633" s="1" t="n">
        <v>45777</v>
      </c>
      <c r="C1633" s="1" t="n">
        <v>46082</v>
      </c>
      <c r="D1633" t="inlineStr">
        <is>
          <t>VÄSTERNORRLANDS LÄN</t>
        </is>
      </c>
      <c r="E1633" t="inlineStr">
        <is>
          <t>SOLLEFTEÅ</t>
        </is>
      </c>
      <c r="F1633" t="inlineStr">
        <is>
          <t>SCA</t>
        </is>
      </c>
      <c r="G1633" t="n">
        <v>19.9</v>
      </c>
      <c r="H1633" t="n">
        <v>0</v>
      </c>
      <c r="I1633" t="n">
        <v>0</v>
      </c>
      <c r="J1633" t="n">
        <v>0</v>
      </c>
      <c r="K1633" t="n">
        <v>0</v>
      </c>
      <c r="L1633" t="n">
        <v>0</v>
      </c>
      <c r="M1633" t="n">
        <v>0</v>
      </c>
      <c r="N1633" t="n">
        <v>0</v>
      </c>
      <c r="O1633" t="n">
        <v>0</v>
      </c>
      <c r="P1633" t="n">
        <v>0</v>
      </c>
      <c r="Q1633" t="n">
        <v>0</v>
      </c>
      <c r="R1633" s="2" t="inlineStr"/>
    </row>
    <row r="1634" ht="15" customHeight="1">
      <c r="A1634" t="inlineStr">
        <is>
          <t>A 19489-2025</t>
        </is>
      </c>
      <c r="B1634" s="1" t="n">
        <v>45770.38847222222</v>
      </c>
      <c r="C1634" s="1" t="n">
        <v>46082</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22462-2024</t>
        </is>
      </c>
      <c r="B1635" s="1" t="n">
        <v>45446</v>
      </c>
      <c r="C1635" s="1" t="n">
        <v>46082</v>
      </c>
      <c r="D1635" t="inlineStr">
        <is>
          <t>VÄSTERNORRLANDS LÄN</t>
        </is>
      </c>
      <c r="E1635" t="inlineStr">
        <is>
          <t>SOLLEFTEÅ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3323-2025</t>
        </is>
      </c>
      <c r="B1636" s="1" t="n">
        <v>45679.69921296297</v>
      </c>
      <c r="C1636" s="1" t="n">
        <v>46082</v>
      </c>
      <c r="D1636" t="inlineStr">
        <is>
          <t>VÄSTERNORRLANDS LÄN</t>
        </is>
      </c>
      <c r="E1636" t="inlineStr">
        <is>
          <t>SOLLEFTEÅ</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53055-2025</t>
        </is>
      </c>
      <c r="B1637" s="1" t="n">
        <v>45958.36517361111</v>
      </c>
      <c r="C1637" s="1" t="n">
        <v>46082</v>
      </c>
      <c r="D1637" t="inlineStr">
        <is>
          <t>VÄSTERNORRLANDS LÄN</t>
        </is>
      </c>
      <c r="E1637" t="inlineStr">
        <is>
          <t>SOLLEFTEÅ</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16511-2025</t>
        </is>
      </c>
      <c r="B1638" s="1" t="n">
        <v>45751</v>
      </c>
      <c r="C1638" s="1" t="n">
        <v>46082</v>
      </c>
      <c r="D1638" t="inlineStr">
        <is>
          <t>VÄSTERNORRLANDS LÄN</t>
        </is>
      </c>
      <c r="E1638" t="inlineStr">
        <is>
          <t>SOLLEFTEÅ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53030-2025</t>
        </is>
      </c>
      <c r="B1639" s="1" t="n">
        <v>45958.34442129629</v>
      </c>
      <c r="C1639" s="1" t="n">
        <v>46082</v>
      </c>
      <c r="D1639" t="inlineStr">
        <is>
          <t>VÄSTERNORRLANDS LÄN</t>
        </is>
      </c>
      <c r="E1639" t="inlineStr">
        <is>
          <t>SOLLEFTEÅ</t>
        </is>
      </c>
      <c r="F1639" t="inlineStr">
        <is>
          <t>SCA</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52780-2025</t>
        </is>
      </c>
      <c r="B1640" s="1" t="n">
        <v>45957.42261574074</v>
      </c>
      <c r="C1640" s="1" t="n">
        <v>46082</v>
      </c>
      <c r="D1640" t="inlineStr">
        <is>
          <t>VÄSTERNORRLANDS LÄN</t>
        </is>
      </c>
      <c r="E1640" t="inlineStr">
        <is>
          <t>SOLLEFTEÅ</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48235-2024</t>
        </is>
      </c>
      <c r="B1641" s="1" t="n">
        <v>45590</v>
      </c>
      <c r="C1641" s="1" t="n">
        <v>46082</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52499-2025</t>
        </is>
      </c>
      <c r="B1642" s="1" t="n">
        <v>45954.49407407407</v>
      </c>
      <c r="C1642" s="1" t="n">
        <v>46082</v>
      </c>
      <c r="D1642" t="inlineStr">
        <is>
          <t>VÄSTERNORRLANDS LÄN</t>
        </is>
      </c>
      <c r="E1642" t="inlineStr">
        <is>
          <t>SOLLEFTEÅ</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52765-2025</t>
        </is>
      </c>
      <c r="B1643" s="1" t="n">
        <v>45957</v>
      </c>
      <c r="C1643" s="1" t="n">
        <v>46082</v>
      </c>
      <c r="D1643" t="inlineStr">
        <is>
          <t>VÄSTERNORRLANDS LÄN</t>
        </is>
      </c>
      <c r="E1643" t="inlineStr">
        <is>
          <t>SOLLEFTEÅ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52665-2025</t>
        </is>
      </c>
      <c r="B1644" s="1" t="n">
        <v>45955.65716435185</v>
      </c>
      <c r="C1644" s="1" t="n">
        <v>46082</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6067-2024</t>
        </is>
      </c>
      <c r="B1645" s="1" t="n">
        <v>45336.89018518518</v>
      </c>
      <c r="C1645" s="1" t="n">
        <v>46082</v>
      </c>
      <c r="D1645" t="inlineStr">
        <is>
          <t>VÄSTERNORRLANDS LÄN</t>
        </is>
      </c>
      <c r="E1645" t="inlineStr">
        <is>
          <t>SOLLEFTEÅ</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62507-2022</t>
        </is>
      </c>
      <c r="B1646" s="1" t="n">
        <v>44924</v>
      </c>
      <c r="C1646" s="1" t="n">
        <v>46082</v>
      </c>
      <c r="D1646" t="inlineStr">
        <is>
          <t>VÄSTERNORRLANDS LÄN</t>
        </is>
      </c>
      <c r="E1646" t="inlineStr">
        <is>
          <t>SOLLEFTEÅ</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53240-2025</t>
        </is>
      </c>
      <c r="B1647" s="1" t="n">
        <v>45958.63600694444</v>
      </c>
      <c r="C1647" s="1" t="n">
        <v>46082</v>
      </c>
      <c r="D1647" t="inlineStr">
        <is>
          <t>VÄSTERNORRLANDS LÄN</t>
        </is>
      </c>
      <c r="E1647" t="inlineStr">
        <is>
          <t>SOLLEFTEÅ</t>
        </is>
      </c>
      <c r="F1647" t="inlineStr">
        <is>
          <t>SCA</t>
        </is>
      </c>
      <c r="G1647" t="n">
        <v>36.2</v>
      </c>
      <c r="H1647" t="n">
        <v>0</v>
      </c>
      <c r="I1647" t="n">
        <v>0</v>
      </c>
      <c r="J1647" t="n">
        <v>0</v>
      </c>
      <c r="K1647" t="n">
        <v>0</v>
      </c>
      <c r="L1647" t="n">
        <v>0</v>
      </c>
      <c r="M1647" t="n">
        <v>0</v>
      </c>
      <c r="N1647" t="n">
        <v>0</v>
      </c>
      <c r="O1647" t="n">
        <v>0</v>
      </c>
      <c r="P1647" t="n">
        <v>0</v>
      </c>
      <c r="Q1647" t="n">
        <v>0</v>
      </c>
      <c r="R1647" s="2" t="inlineStr"/>
    </row>
    <row r="1648" ht="15" customHeight="1">
      <c r="A1648" t="inlineStr">
        <is>
          <t>A 53097-2025</t>
        </is>
      </c>
      <c r="B1648" s="1" t="n">
        <v>45958.42767361111</v>
      </c>
      <c r="C1648" s="1" t="n">
        <v>46082</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53098-2025</t>
        </is>
      </c>
      <c r="B1649" s="1" t="n">
        <v>45958.42774305555</v>
      </c>
      <c r="C1649" s="1" t="n">
        <v>46082</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52767-2025</t>
        </is>
      </c>
      <c r="B1650" s="1" t="n">
        <v>45957.40163194444</v>
      </c>
      <c r="C1650" s="1" t="n">
        <v>46082</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19814-2022</t>
        </is>
      </c>
      <c r="B1651" s="1" t="n">
        <v>44694.93945601852</v>
      </c>
      <c r="C1651" s="1" t="n">
        <v>46082</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52739-2025</t>
        </is>
      </c>
      <c r="B1652" s="1" t="n">
        <v>45957.37555555555</v>
      </c>
      <c r="C1652" s="1" t="n">
        <v>46082</v>
      </c>
      <c r="D1652" t="inlineStr">
        <is>
          <t>VÄSTERNORRLANDS LÄN</t>
        </is>
      </c>
      <c r="E1652" t="inlineStr">
        <is>
          <t>SOLLEFTEÅ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52974-2025</t>
        </is>
      </c>
      <c r="B1653" s="1" t="n">
        <v>45957.67858796296</v>
      </c>
      <c r="C1653" s="1" t="n">
        <v>46082</v>
      </c>
      <c r="D1653" t="inlineStr">
        <is>
          <t>VÄSTERNORRLANDS LÄN</t>
        </is>
      </c>
      <c r="E1653" t="inlineStr">
        <is>
          <t>SOLLEFTEÅ</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5001-2023</t>
        </is>
      </c>
      <c r="B1654" s="1" t="n">
        <v>44956</v>
      </c>
      <c r="C1654" s="1" t="n">
        <v>46082</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49789-2025</t>
        </is>
      </c>
      <c r="B1655" s="1" t="n">
        <v>45940</v>
      </c>
      <c r="C1655" s="1" t="n">
        <v>46082</v>
      </c>
      <c r="D1655" t="inlineStr">
        <is>
          <t>VÄSTERNORRLANDS LÄN</t>
        </is>
      </c>
      <c r="E1655" t="inlineStr">
        <is>
          <t>SOLLEFTEÅ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53530-2025</t>
        </is>
      </c>
      <c r="B1656" s="1" t="n">
        <v>45960.36521990741</v>
      </c>
      <c r="C1656" s="1" t="n">
        <v>46082</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53550-2025</t>
        </is>
      </c>
      <c r="B1657" s="1" t="n">
        <v>45960.38583333333</v>
      </c>
      <c r="C1657" s="1" t="n">
        <v>46082</v>
      </c>
      <c r="D1657" t="inlineStr">
        <is>
          <t>VÄSTERNORRLANDS LÄN</t>
        </is>
      </c>
      <c r="E1657" t="inlineStr">
        <is>
          <t>SOLLEFTEÅ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49791-2025</t>
        </is>
      </c>
      <c r="B1658" s="1" t="n">
        <v>45940</v>
      </c>
      <c r="C1658" s="1" t="n">
        <v>46082</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7003-2025</t>
        </is>
      </c>
      <c r="B1659" s="1" t="n">
        <v>45701</v>
      </c>
      <c r="C1659" s="1" t="n">
        <v>46082</v>
      </c>
      <c r="D1659" t="inlineStr">
        <is>
          <t>VÄSTERNORRLANDS LÄN</t>
        </is>
      </c>
      <c r="E1659" t="inlineStr">
        <is>
          <t>SOLLEFTEÅ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53468-2025</t>
        </is>
      </c>
      <c r="B1660" s="1" t="n">
        <v>45959.69859953703</v>
      </c>
      <c r="C1660" s="1" t="n">
        <v>46082</v>
      </c>
      <c r="D1660" t="inlineStr">
        <is>
          <t>VÄSTERNORRLANDS LÄN</t>
        </is>
      </c>
      <c r="E1660" t="inlineStr">
        <is>
          <t>SOLLEFTEÅ</t>
        </is>
      </c>
      <c r="F1660" t="inlineStr">
        <is>
          <t>SCA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41434-2024</t>
        </is>
      </c>
      <c r="B1661" s="1" t="n">
        <v>45560</v>
      </c>
      <c r="C1661" s="1" t="n">
        <v>46082</v>
      </c>
      <c r="D1661" t="inlineStr">
        <is>
          <t>VÄSTERNORRLANDS LÄN</t>
        </is>
      </c>
      <c r="E1661" t="inlineStr">
        <is>
          <t>SOLLEFTEÅ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49249-2025</t>
        </is>
      </c>
      <c r="B1662" s="1" t="n">
        <v>45938</v>
      </c>
      <c r="C1662" s="1" t="n">
        <v>46082</v>
      </c>
      <c r="D1662" t="inlineStr">
        <is>
          <t>VÄSTERNORRLANDS LÄN</t>
        </is>
      </c>
      <c r="E1662" t="inlineStr">
        <is>
          <t>SOLLEFTEÅ</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16253-2024</t>
        </is>
      </c>
      <c r="B1663" s="1" t="n">
        <v>45407.0587962963</v>
      </c>
      <c r="C1663" s="1" t="n">
        <v>46082</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53639-2025</t>
        </is>
      </c>
      <c r="B1664" s="1" t="n">
        <v>45960</v>
      </c>
      <c r="C1664" s="1" t="n">
        <v>46082</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6474-2023</t>
        </is>
      </c>
      <c r="B1665" s="1" t="n">
        <v>44965.94128472222</v>
      </c>
      <c r="C1665" s="1" t="n">
        <v>46082</v>
      </c>
      <c r="D1665" t="inlineStr">
        <is>
          <t>VÄSTERNORRLANDS LÄN</t>
        </is>
      </c>
      <c r="E1665" t="inlineStr">
        <is>
          <t>SOLLEFTEÅ</t>
        </is>
      </c>
      <c r="F1665" t="inlineStr">
        <is>
          <t>SCA</t>
        </is>
      </c>
      <c r="G1665" t="n">
        <v>47.3</v>
      </c>
      <c r="H1665" t="n">
        <v>0</v>
      </c>
      <c r="I1665" t="n">
        <v>0</v>
      </c>
      <c r="J1665" t="n">
        <v>0</v>
      </c>
      <c r="K1665" t="n">
        <v>0</v>
      </c>
      <c r="L1665" t="n">
        <v>0</v>
      </c>
      <c r="M1665" t="n">
        <v>0</v>
      </c>
      <c r="N1665" t="n">
        <v>0</v>
      </c>
      <c r="O1665" t="n">
        <v>0</v>
      </c>
      <c r="P1665" t="n">
        <v>0</v>
      </c>
      <c r="Q1665" t="n">
        <v>0</v>
      </c>
      <c r="R1665" s="2" t="inlineStr"/>
    </row>
    <row r="1666" ht="15" customHeight="1">
      <c r="A1666" t="inlineStr">
        <is>
          <t>A 8652-2024</t>
        </is>
      </c>
      <c r="B1666" s="1" t="n">
        <v>45356</v>
      </c>
      <c r="C1666" s="1" t="n">
        <v>46082</v>
      </c>
      <c r="D1666" t="inlineStr">
        <is>
          <t>VÄSTERNORRLANDS LÄN</t>
        </is>
      </c>
      <c r="E1666" t="inlineStr">
        <is>
          <t>SOLLEFTEÅ</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53428-2025</t>
        </is>
      </c>
      <c r="B1667" s="1" t="n">
        <v>45959.61526620371</v>
      </c>
      <c r="C1667" s="1" t="n">
        <v>46082</v>
      </c>
      <c r="D1667" t="inlineStr">
        <is>
          <t>VÄSTERNORRLANDS LÄN</t>
        </is>
      </c>
      <c r="E1667" t="inlineStr">
        <is>
          <t>SOLLEFTEÅ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50615-2023</t>
        </is>
      </c>
      <c r="B1668" s="1" t="n">
        <v>45217</v>
      </c>
      <c r="C1668" s="1" t="n">
        <v>46082</v>
      </c>
      <c r="D1668" t="inlineStr">
        <is>
          <t>VÄSTERNORRLANDS LÄN</t>
        </is>
      </c>
      <c r="E1668" t="inlineStr">
        <is>
          <t>SOLLEFTEÅ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25314-2023</t>
        </is>
      </c>
      <c r="B1669" s="1" t="n">
        <v>45086</v>
      </c>
      <c r="C1669" s="1" t="n">
        <v>46082</v>
      </c>
      <c r="D1669" t="inlineStr">
        <is>
          <t>VÄSTERNORRLANDS LÄN</t>
        </is>
      </c>
      <c r="E1669" t="inlineStr">
        <is>
          <t>SOLLEFTEÅ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61081-2023</t>
        </is>
      </c>
      <c r="B1670" s="1" t="n">
        <v>45261</v>
      </c>
      <c r="C1670" s="1" t="n">
        <v>46082</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53382-2025</t>
        </is>
      </c>
      <c r="B1671" s="1" t="n">
        <v>45959</v>
      </c>
      <c r="C1671" s="1" t="n">
        <v>46082</v>
      </c>
      <c r="D1671" t="inlineStr">
        <is>
          <t>VÄSTERNORRLANDS LÄN</t>
        </is>
      </c>
      <c r="E1671" t="inlineStr">
        <is>
          <t>SOLLEFTEÅ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53939-2023</t>
        </is>
      </c>
      <c r="B1672" s="1" t="n">
        <v>45224</v>
      </c>
      <c r="C1672" s="1" t="n">
        <v>46082</v>
      </c>
      <c r="D1672" t="inlineStr">
        <is>
          <t>VÄSTERNORRLANDS LÄN</t>
        </is>
      </c>
      <c r="E1672" t="inlineStr">
        <is>
          <t>SOLLEFTEÅ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54192-2025</t>
        </is>
      </c>
      <c r="B1673" s="1" t="n">
        <v>45964.57350694444</v>
      </c>
      <c r="C1673" s="1" t="n">
        <v>46082</v>
      </c>
      <c r="D1673" t="inlineStr">
        <is>
          <t>VÄSTERNORRLANDS LÄN</t>
        </is>
      </c>
      <c r="E1673" t="inlineStr">
        <is>
          <t>SOLLEFTEÅ</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52471-2024</t>
        </is>
      </c>
      <c r="B1674" s="1" t="n">
        <v>45609.53076388889</v>
      </c>
      <c r="C1674" s="1" t="n">
        <v>46082</v>
      </c>
      <c r="D1674" t="inlineStr">
        <is>
          <t>VÄSTERNORRLANDS LÄN</t>
        </is>
      </c>
      <c r="E1674" t="inlineStr">
        <is>
          <t>SOLLEFTEÅ</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53974-2025</t>
        </is>
      </c>
      <c r="B1675" s="1" t="n">
        <v>45961.55261574074</v>
      </c>
      <c r="C1675" s="1" t="n">
        <v>46082</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53466-2025</t>
        </is>
      </c>
      <c r="B1676" s="1" t="n">
        <v>45959</v>
      </c>
      <c r="C1676" s="1" t="n">
        <v>46082</v>
      </c>
      <c r="D1676" t="inlineStr">
        <is>
          <t>VÄSTERNORRLANDS LÄN</t>
        </is>
      </c>
      <c r="E1676" t="inlineStr">
        <is>
          <t>SOLLEFTEÅ</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54193-2025</t>
        </is>
      </c>
      <c r="B1677" s="1" t="n">
        <v>45964.57373842593</v>
      </c>
      <c r="C1677" s="1" t="n">
        <v>46082</v>
      </c>
      <c r="D1677" t="inlineStr">
        <is>
          <t>VÄSTERNORRLANDS LÄN</t>
        </is>
      </c>
      <c r="E1677" t="inlineStr">
        <is>
          <t>SOLLEFTEÅ</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54272-2025</t>
        </is>
      </c>
      <c r="B1678" s="1" t="n">
        <v>45964.67846064815</v>
      </c>
      <c r="C1678" s="1" t="n">
        <v>46082</v>
      </c>
      <c r="D1678" t="inlineStr">
        <is>
          <t>VÄSTERNORRLANDS LÄN</t>
        </is>
      </c>
      <c r="E1678" t="inlineStr">
        <is>
          <t>SOLLEFTEÅ</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54165-2025</t>
        </is>
      </c>
      <c r="B1679" s="1" t="n">
        <v>45964</v>
      </c>
      <c r="C1679" s="1" t="n">
        <v>46082</v>
      </c>
      <c r="D1679" t="inlineStr">
        <is>
          <t>VÄSTERNORRLANDS LÄN</t>
        </is>
      </c>
      <c r="E1679" t="inlineStr">
        <is>
          <t>SOLLEFTEÅ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54256-2025</t>
        </is>
      </c>
      <c r="B1680" s="1" t="n">
        <v>45964.65710648148</v>
      </c>
      <c r="C1680" s="1" t="n">
        <v>46082</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53896-2025</t>
        </is>
      </c>
      <c r="B1681" s="1" t="n">
        <v>45961.42748842593</v>
      </c>
      <c r="C1681" s="1" t="n">
        <v>46082</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46082</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54255-2025</t>
        </is>
      </c>
      <c r="B1683" s="1" t="n">
        <v>45964.65692129629</v>
      </c>
      <c r="C1683" s="1" t="n">
        <v>46082</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53867-2025</t>
        </is>
      </c>
      <c r="B1684" s="1" t="n">
        <v>45961.38581018519</v>
      </c>
      <c r="C1684" s="1" t="n">
        <v>46082</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53833-2025</t>
        </is>
      </c>
      <c r="B1685" s="1" t="n">
        <v>45961.34518518519</v>
      </c>
      <c r="C1685" s="1" t="n">
        <v>46082</v>
      </c>
      <c r="D1685" t="inlineStr">
        <is>
          <t>VÄSTERNORRLANDS LÄN</t>
        </is>
      </c>
      <c r="E1685" t="inlineStr">
        <is>
          <t>SOLLEFTEÅ</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54194-2025</t>
        </is>
      </c>
      <c r="B1686" s="1" t="n">
        <v>45964.57395833333</v>
      </c>
      <c r="C1686" s="1" t="n">
        <v>46082</v>
      </c>
      <c r="D1686" t="inlineStr">
        <is>
          <t>VÄSTERNORRLANDS LÄN</t>
        </is>
      </c>
      <c r="E1686" t="inlineStr">
        <is>
          <t>SOLLEFTEÅ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8414-2024</t>
        </is>
      </c>
      <c r="B1687" s="1" t="n">
        <v>45352</v>
      </c>
      <c r="C1687" s="1" t="n">
        <v>46082</v>
      </c>
      <c r="D1687" t="inlineStr">
        <is>
          <t>VÄSTERNORRLANDS LÄN</t>
        </is>
      </c>
      <c r="E1687" t="inlineStr">
        <is>
          <t>SOLLEFTEÅ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54472-2025</t>
        </is>
      </c>
      <c r="B1688" s="1" t="n">
        <v>45965.57381944444</v>
      </c>
      <c r="C1688" s="1" t="n">
        <v>46082</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54471-2025</t>
        </is>
      </c>
      <c r="B1689" s="1" t="n">
        <v>45965.57357638889</v>
      </c>
      <c r="C1689" s="1" t="n">
        <v>46082</v>
      </c>
      <c r="D1689" t="inlineStr">
        <is>
          <t>VÄSTERNORRLANDS LÄN</t>
        </is>
      </c>
      <c r="E1689" t="inlineStr">
        <is>
          <t>SOLLEFTEÅ</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54486-2025</t>
        </is>
      </c>
      <c r="B1690" s="1" t="n">
        <v>45965.59438657408</v>
      </c>
      <c r="C1690" s="1" t="n">
        <v>46082</v>
      </c>
      <c r="D1690" t="inlineStr">
        <is>
          <t>VÄSTERNORRLANDS LÄN</t>
        </is>
      </c>
      <c r="E1690" t="inlineStr">
        <is>
          <t>SOLLEFTEÅ</t>
        </is>
      </c>
      <c r="F1690" t="inlineStr">
        <is>
          <t>SCA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54487-2025</t>
        </is>
      </c>
      <c r="B1691" s="1" t="n">
        <v>45965.59460648148</v>
      </c>
      <c r="C1691" s="1" t="n">
        <v>46082</v>
      </c>
      <c r="D1691" t="inlineStr">
        <is>
          <t>VÄSTERNORRLANDS LÄN</t>
        </is>
      </c>
      <c r="E1691" t="inlineStr">
        <is>
          <t>SOLLEFTEÅ</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19749-2025</t>
        </is>
      </c>
      <c r="B1692" s="1" t="n">
        <v>45771.38582175926</v>
      </c>
      <c r="C1692" s="1" t="n">
        <v>46082</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54697-2025</t>
        </is>
      </c>
      <c r="B1693" s="1" t="n">
        <v>45966.47638888889</v>
      </c>
      <c r="C1693" s="1" t="n">
        <v>46082</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62827-2023</t>
        </is>
      </c>
      <c r="B1694" s="1" t="n">
        <v>45271.92690972222</v>
      </c>
      <c r="C1694" s="1" t="n">
        <v>46082</v>
      </c>
      <c r="D1694" t="inlineStr">
        <is>
          <t>VÄSTERNORRLANDS LÄN</t>
        </is>
      </c>
      <c r="E1694" t="inlineStr">
        <is>
          <t>SOLLEFTEÅ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5036-2024</t>
        </is>
      </c>
      <c r="B1695" s="1" t="n">
        <v>45329.87555555555</v>
      </c>
      <c r="C1695" s="1" t="n">
        <v>46082</v>
      </c>
      <c r="D1695" t="inlineStr">
        <is>
          <t>VÄSTERNORRLANDS LÄN</t>
        </is>
      </c>
      <c r="E1695" t="inlineStr">
        <is>
          <t>SOLLEFTEÅ</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59583-2023</t>
        </is>
      </c>
      <c r="B1696" s="1" t="n">
        <v>45254.60587962963</v>
      </c>
      <c r="C1696" s="1" t="n">
        <v>46082</v>
      </c>
      <c r="D1696" t="inlineStr">
        <is>
          <t>VÄSTERNORRLANDS LÄN</t>
        </is>
      </c>
      <c r="E1696" t="inlineStr">
        <is>
          <t>SOLLEFTEÅ</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33628-2024</t>
        </is>
      </c>
      <c r="B1697" s="1" t="n">
        <v>45520.4302662037</v>
      </c>
      <c r="C1697" s="1" t="n">
        <v>46082</v>
      </c>
      <c r="D1697" t="inlineStr">
        <is>
          <t>VÄSTERNORRLANDS LÄN</t>
        </is>
      </c>
      <c r="E1697" t="inlineStr">
        <is>
          <t>SOLLEFTEÅ</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4857-2024</t>
        </is>
      </c>
      <c r="B1698" s="1" t="n">
        <v>45329</v>
      </c>
      <c r="C1698" s="1" t="n">
        <v>46082</v>
      </c>
      <c r="D1698" t="inlineStr">
        <is>
          <t>VÄSTERNORRLANDS LÄN</t>
        </is>
      </c>
      <c r="E1698" t="inlineStr">
        <is>
          <t>SOLLEFTEÅ</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54802-2025</t>
        </is>
      </c>
      <c r="B1699" s="1" t="n">
        <v>45966</v>
      </c>
      <c r="C1699" s="1" t="n">
        <v>46082</v>
      </c>
      <c r="D1699" t="inlineStr">
        <is>
          <t>VÄSTERNORRLANDS LÄN</t>
        </is>
      </c>
      <c r="E1699" t="inlineStr">
        <is>
          <t>SOLLEFTEÅ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54619-2025</t>
        </is>
      </c>
      <c r="B1700" s="1" t="n">
        <v>45966.34471064815</v>
      </c>
      <c r="C1700" s="1" t="n">
        <v>46082</v>
      </c>
      <c r="D1700" t="inlineStr">
        <is>
          <t>VÄSTERNORRLANDS LÄN</t>
        </is>
      </c>
      <c r="E1700" t="inlineStr">
        <is>
          <t>SOLLEFTEÅ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54397-2025</t>
        </is>
      </c>
      <c r="B1701" s="1" t="n">
        <v>45965.44869212963</v>
      </c>
      <c r="C1701" s="1" t="n">
        <v>46082</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54816-2025</t>
        </is>
      </c>
      <c r="B1702" s="1" t="n">
        <v>45966.65668981482</v>
      </c>
      <c r="C1702" s="1" t="n">
        <v>46082</v>
      </c>
      <c r="D1702" t="inlineStr">
        <is>
          <t>VÄSTERNORRLANDS LÄN</t>
        </is>
      </c>
      <c r="E1702" t="inlineStr">
        <is>
          <t>SOLLEFTEÅ</t>
        </is>
      </c>
      <c r="F1702" t="inlineStr">
        <is>
          <t>SCA</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19407-2025</t>
        </is>
      </c>
      <c r="B1703" s="1" t="n">
        <v>45769.67832175926</v>
      </c>
      <c r="C1703" s="1" t="n">
        <v>46082</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51006-2022</t>
        </is>
      </c>
      <c r="B1704" s="1" t="n">
        <v>44867</v>
      </c>
      <c r="C1704" s="1" t="n">
        <v>46082</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54947-2025</t>
        </is>
      </c>
      <c r="B1705" s="1" t="n">
        <v>45967.4485300926</v>
      </c>
      <c r="C1705" s="1" t="n">
        <v>46082</v>
      </c>
      <c r="D1705" t="inlineStr">
        <is>
          <t>VÄSTERNORRLANDS LÄN</t>
        </is>
      </c>
      <c r="E1705" t="inlineStr">
        <is>
          <t>SOLLEFTEÅ</t>
        </is>
      </c>
      <c r="F1705" t="inlineStr">
        <is>
          <t>SCA</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55053-2025</t>
        </is>
      </c>
      <c r="B1706" s="1" t="n">
        <v>45967.67755787037</v>
      </c>
      <c r="C1706" s="1" t="n">
        <v>46082</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54903-2025</t>
        </is>
      </c>
      <c r="B1707" s="1" t="n">
        <v>45967.36623842592</v>
      </c>
      <c r="C1707" s="1" t="n">
        <v>46082</v>
      </c>
      <c r="D1707" t="inlineStr">
        <is>
          <t>VÄSTERNORRLANDS LÄN</t>
        </is>
      </c>
      <c r="E1707" t="inlineStr">
        <is>
          <t>SOLLEFTEÅ</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55115-2025</t>
        </is>
      </c>
      <c r="B1708" s="1" t="n">
        <v>45968</v>
      </c>
      <c r="C1708" s="1" t="n">
        <v>46082</v>
      </c>
      <c r="D1708" t="inlineStr">
        <is>
          <t>VÄSTERNORRLANDS LÄN</t>
        </is>
      </c>
      <c r="E1708" t="inlineStr">
        <is>
          <t>SOLLEFTEÅ</t>
        </is>
      </c>
      <c r="F1708" t="inlineStr">
        <is>
          <t>SCA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27025-2024</t>
        </is>
      </c>
      <c r="B1709" s="1" t="n">
        <v>45471.42071759259</v>
      </c>
      <c r="C1709" s="1" t="n">
        <v>46082</v>
      </c>
      <c r="D1709" t="inlineStr">
        <is>
          <t>VÄSTERNORRLANDS LÄN</t>
        </is>
      </c>
      <c r="E1709" t="inlineStr">
        <is>
          <t>SOLLEFTEÅ</t>
        </is>
      </c>
      <c r="F1709" t="inlineStr">
        <is>
          <t>Holmen skog AB</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55094-2025</t>
        </is>
      </c>
      <c r="B1710" s="1" t="n">
        <v>45968.34483796296</v>
      </c>
      <c r="C1710" s="1" t="n">
        <v>46082</v>
      </c>
      <c r="D1710" t="inlineStr">
        <is>
          <t>VÄSTERNORRLANDS LÄN</t>
        </is>
      </c>
      <c r="E1710" t="inlineStr">
        <is>
          <t>SOLLEFTEÅ</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55116-2025</t>
        </is>
      </c>
      <c r="B1711" s="1" t="n">
        <v>45968.38623842593</v>
      </c>
      <c r="C1711" s="1" t="n">
        <v>46082</v>
      </c>
      <c r="D1711" t="inlineStr">
        <is>
          <t>VÄSTERNORRLANDS LÄN</t>
        </is>
      </c>
      <c r="E1711" t="inlineStr">
        <is>
          <t>SOLLEFTEÅ</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54946-2025</t>
        </is>
      </c>
      <c r="B1712" s="1" t="n">
        <v>45967.44832175926</v>
      </c>
      <c r="C1712" s="1" t="n">
        <v>46082</v>
      </c>
      <c r="D1712" t="inlineStr">
        <is>
          <t>VÄSTERNORRLANDS LÄN</t>
        </is>
      </c>
      <c r="E1712" t="inlineStr">
        <is>
          <t>SOLLEFTEÅ</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13252-2023</t>
        </is>
      </c>
      <c r="B1713" s="1" t="n">
        <v>45002</v>
      </c>
      <c r="C1713" s="1" t="n">
        <v>46082</v>
      </c>
      <c r="D1713" t="inlineStr">
        <is>
          <t>VÄSTERNORRLANDS LÄN</t>
        </is>
      </c>
      <c r="E1713" t="inlineStr">
        <is>
          <t>SOLLEFTEÅ</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54934-2025</t>
        </is>
      </c>
      <c r="B1714" s="1" t="n">
        <v>45967.42795138889</v>
      </c>
      <c r="C1714" s="1" t="n">
        <v>46082</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54950-2025</t>
        </is>
      </c>
      <c r="B1715" s="1" t="n">
        <v>45967.44888888889</v>
      </c>
      <c r="C1715" s="1" t="n">
        <v>46082</v>
      </c>
      <c r="D1715" t="inlineStr">
        <is>
          <t>VÄSTERNORRLANDS LÄN</t>
        </is>
      </c>
      <c r="E1715" t="inlineStr">
        <is>
          <t>SOLLEFTEÅ</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60856-2022</t>
        </is>
      </c>
      <c r="B1716" s="1" t="n">
        <v>44907</v>
      </c>
      <c r="C1716" s="1" t="n">
        <v>46082</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54932-2025</t>
        </is>
      </c>
      <c r="B1717" s="1" t="n">
        <v>45967.42759259259</v>
      </c>
      <c r="C1717" s="1" t="n">
        <v>46082</v>
      </c>
      <c r="D1717" t="inlineStr">
        <is>
          <t>VÄSTERNORRLANDS LÄN</t>
        </is>
      </c>
      <c r="E1717" t="inlineStr">
        <is>
          <t>SOLLEFTEÅ</t>
        </is>
      </c>
      <c r="F1717" t="inlineStr">
        <is>
          <t>SCA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2816-2024</t>
        </is>
      </c>
      <c r="B1718" s="1" t="n">
        <v>45314</v>
      </c>
      <c r="C1718" s="1" t="n">
        <v>46082</v>
      </c>
      <c r="D1718" t="inlineStr">
        <is>
          <t>VÄSTERNORRLANDS LÄN</t>
        </is>
      </c>
      <c r="E1718" t="inlineStr">
        <is>
          <t>SOLLEFTEÅ</t>
        </is>
      </c>
      <c r="F1718" t="inlineStr">
        <is>
          <t>Holmen skog AB</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54935-2025</t>
        </is>
      </c>
      <c r="B1719" s="1" t="n">
        <v>45967.428125</v>
      </c>
      <c r="C1719" s="1" t="n">
        <v>46082</v>
      </c>
      <c r="D1719" t="inlineStr">
        <is>
          <t>VÄSTERNORRLANDS LÄN</t>
        </is>
      </c>
      <c r="E1719" t="inlineStr">
        <is>
          <t>SOLLEFTEÅ</t>
        </is>
      </c>
      <c r="F1719" t="inlineStr">
        <is>
          <t>Kyrkan</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5134-2022</t>
        </is>
      </c>
      <c r="B1720" s="1" t="n">
        <v>44594</v>
      </c>
      <c r="C1720" s="1" t="n">
        <v>46082</v>
      </c>
      <c r="D1720" t="inlineStr">
        <is>
          <t>VÄSTERNORRLANDS LÄN</t>
        </is>
      </c>
      <c r="E1720" t="inlineStr">
        <is>
          <t>SOLLEFTEÅ</t>
        </is>
      </c>
      <c r="G1720" t="n">
        <v>20.4</v>
      </c>
      <c r="H1720" t="n">
        <v>0</v>
      </c>
      <c r="I1720" t="n">
        <v>0</v>
      </c>
      <c r="J1720" t="n">
        <v>0</v>
      </c>
      <c r="K1720" t="n">
        <v>0</v>
      </c>
      <c r="L1720" t="n">
        <v>0</v>
      </c>
      <c r="M1720" t="n">
        <v>0</v>
      </c>
      <c r="N1720" t="n">
        <v>0</v>
      </c>
      <c r="O1720" t="n">
        <v>0</v>
      </c>
      <c r="P1720" t="n">
        <v>0</v>
      </c>
      <c r="Q1720" t="n">
        <v>0</v>
      </c>
      <c r="R1720" s="2" t="inlineStr"/>
    </row>
    <row r="1721" ht="15" customHeight="1">
      <c r="A1721" t="inlineStr">
        <is>
          <t>A 54936-2025</t>
        </is>
      </c>
      <c r="B1721" s="1" t="n">
        <v>45967.42828703704</v>
      </c>
      <c r="C1721" s="1" t="n">
        <v>46082</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54951-2025</t>
        </is>
      </c>
      <c r="B1722" s="1" t="n">
        <v>45967.44902777778</v>
      </c>
      <c r="C1722" s="1" t="n">
        <v>46082</v>
      </c>
      <c r="D1722" t="inlineStr">
        <is>
          <t>VÄSTERNORRLANDS LÄN</t>
        </is>
      </c>
      <c r="E1722" t="inlineStr">
        <is>
          <t>SOLLEFTEÅ</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54956-2025</t>
        </is>
      </c>
      <c r="B1723" s="1" t="n">
        <v>45967.46923611111</v>
      </c>
      <c r="C1723" s="1" t="n">
        <v>46082</v>
      </c>
      <c r="D1723" t="inlineStr">
        <is>
          <t>VÄSTERNORRLANDS LÄN</t>
        </is>
      </c>
      <c r="E1723" t="inlineStr">
        <is>
          <t>SOLLEFTEÅ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55013-2025</t>
        </is>
      </c>
      <c r="B1724" s="1" t="n">
        <v>45967.61578703704</v>
      </c>
      <c r="C1724" s="1" t="n">
        <v>46082</v>
      </c>
      <c r="D1724" t="inlineStr">
        <is>
          <t>VÄSTERNORRLANDS LÄN</t>
        </is>
      </c>
      <c r="E1724" t="inlineStr">
        <is>
          <t>SOLLEFTEÅ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55014-2025</t>
        </is>
      </c>
      <c r="B1725" s="1" t="n">
        <v>45967.61597222222</v>
      </c>
      <c r="C1725" s="1" t="n">
        <v>46082</v>
      </c>
      <c r="D1725" t="inlineStr">
        <is>
          <t>VÄSTERNORRLANDS LÄN</t>
        </is>
      </c>
      <c r="E1725" t="inlineStr">
        <is>
          <t>SOLLEFTEÅ</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13567-2023</t>
        </is>
      </c>
      <c r="B1726" s="1" t="n">
        <v>45005</v>
      </c>
      <c r="C1726" s="1" t="n">
        <v>46082</v>
      </c>
      <c r="D1726" t="inlineStr">
        <is>
          <t>VÄSTERNORRLANDS LÄN</t>
        </is>
      </c>
      <c r="E1726" t="inlineStr">
        <is>
          <t>SOLLEFTEÅ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13570-2023</t>
        </is>
      </c>
      <c r="B1727" s="1" t="n">
        <v>45005</v>
      </c>
      <c r="C1727" s="1" t="n">
        <v>46082</v>
      </c>
      <c r="D1727" t="inlineStr">
        <is>
          <t>VÄSTERNORRLANDS LÄN</t>
        </is>
      </c>
      <c r="E1727" t="inlineStr">
        <is>
          <t>SOLLEFTEÅ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55136-2025</t>
        </is>
      </c>
      <c r="B1728" s="1" t="n">
        <v>45968.42752314815</v>
      </c>
      <c r="C1728" s="1" t="n">
        <v>46082</v>
      </c>
      <c r="D1728" t="inlineStr">
        <is>
          <t>VÄSTERNORRLANDS LÄN</t>
        </is>
      </c>
      <c r="E1728" t="inlineStr">
        <is>
          <t>SOLLEFTEÅ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51341-2024</t>
        </is>
      </c>
      <c r="B1729" s="1" t="n">
        <v>45604.34481481482</v>
      </c>
      <c r="C1729" s="1" t="n">
        <v>46082</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55068-2025</t>
        </is>
      </c>
      <c r="B1730" s="1" t="n">
        <v>45967.7225462963</v>
      </c>
      <c r="C1730" s="1" t="n">
        <v>46082</v>
      </c>
      <c r="D1730" t="inlineStr">
        <is>
          <t>VÄSTERNORRLANDS LÄN</t>
        </is>
      </c>
      <c r="E1730" t="inlineStr">
        <is>
          <t>SOLLEFTEÅ</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13942-2024</t>
        </is>
      </c>
      <c r="B1731" s="1" t="n">
        <v>45391.9540162037</v>
      </c>
      <c r="C1731" s="1" t="n">
        <v>46082</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35042-2025</t>
        </is>
      </c>
      <c r="B1732" s="1" t="n">
        <v>45852.34447916667</v>
      </c>
      <c r="C1732" s="1" t="n">
        <v>46082</v>
      </c>
      <c r="D1732" t="inlineStr">
        <is>
          <t>VÄSTERNORRLANDS LÄN</t>
        </is>
      </c>
      <c r="E1732" t="inlineStr">
        <is>
          <t>SOLLEFTEÅ</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21364-2024</t>
        </is>
      </c>
      <c r="B1733" s="1" t="n">
        <v>45440.95248842592</v>
      </c>
      <c r="C1733" s="1" t="n">
        <v>46082</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55137-2025</t>
        </is>
      </c>
      <c r="B1734" s="1" t="n">
        <v>45968.42770833334</v>
      </c>
      <c r="C1734" s="1" t="n">
        <v>46082</v>
      </c>
      <c r="D1734" t="inlineStr">
        <is>
          <t>VÄSTERNORRLANDS LÄN</t>
        </is>
      </c>
      <c r="E1734" t="inlineStr">
        <is>
          <t>SOLLEFTEÅ</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55096-2025</t>
        </is>
      </c>
      <c r="B1735" s="1" t="n">
        <v>45968.34510416666</v>
      </c>
      <c r="C1735" s="1" t="n">
        <v>46082</v>
      </c>
      <c r="D1735" t="inlineStr">
        <is>
          <t>VÄSTERNORRLANDS LÄN</t>
        </is>
      </c>
      <c r="E1735" t="inlineStr">
        <is>
          <t>SOLLEFTEÅ</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36211-2023</t>
        </is>
      </c>
      <c r="B1736" s="1" t="n">
        <v>45149.95234953704</v>
      </c>
      <c r="C1736" s="1" t="n">
        <v>46082</v>
      </c>
      <c r="D1736" t="inlineStr">
        <is>
          <t>VÄSTERNORRLANDS LÄN</t>
        </is>
      </c>
      <c r="E1736" t="inlineStr">
        <is>
          <t>SOLLEFTEÅ</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12590-2024</t>
        </is>
      </c>
      <c r="B1737" s="1" t="n">
        <v>45379.93686342592</v>
      </c>
      <c r="C1737" s="1" t="n">
        <v>46082</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55360-2025</t>
        </is>
      </c>
      <c r="B1738" s="1" t="n">
        <v>45971.38597222222</v>
      </c>
      <c r="C1738" s="1" t="n">
        <v>46082</v>
      </c>
      <c r="D1738" t="inlineStr">
        <is>
          <t>VÄSTERNORRLANDS LÄN</t>
        </is>
      </c>
      <c r="E1738" t="inlineStr">
        <is>
          <t>SOLLEFTEÅ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55168-2025</t>
        </is>
      </c>
      <c r="B1739" s="1" t="n">
        <v>45968</v>
      </c>
      <c r="C1739" s="1" t="n">
        <v>46082</v>
      </c>
      <c r="D1739" t="inlineStr">
        <is>
          <t>VÄSTERNORRLANDS LÄN</t>
        </is>
      </c>
      <c r="E1739" t="inlineStr">
        <is>
          <t>SOLLEFTEÅ</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55471-2025</t>
        </is>
      </c>
      <c r="B1740" s="1" t="n">
        <v>45971</v>
      </c>
      <c r="C1740" s="1" t="n">
        <v>46082</v>
      </c>
      <c r="D1740" t="inlineStr">
        <is>
          <t>VÄSTERNORRLANDS LÄN</t>
        </is>
      </c>
      <c r="E1740" t="inlineStr">
        <is>
          <t>SOLLEFTEÅ</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55510-2025</t>
        </is>
      </c>
      <c r="B1741" s="1" t="n">
        <v>45971.60037037037</v>
      </c>
      <c r="C1741" s="1" t="n">
        <v>46082</v>
      </c>
      <c r="D1741" t="inlineStr">
        <is>
          <t>VÄSTERNORRLANDS LÄN</t>
        </is>
      </c>
      <c r="E1741" t="inlineStr">
        <is>
          <t>SOLLEFTEÅ</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46973-2024</t>
        </is>
      </c>
      <c r="B1742" s="1" t="n">
        <v>45586.34424768519</v>
      </c>
      <c r="C1742" s="1" t="n">
        <v>46082</v>
      </c>
      <c r="D1742" t="inlineStr">
        <is>
          <t>VÄSTERNORRLANDS LÄN</t>
        </is>
      </c>
      <c r="E1742" t="inlineStr">
        <is>
          <t>SOLLEFTEÅ</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55586-2025</t>
        </is>
      </c>
      <c r="B1743" s="1" t="n">
        <v>45971</v>
      </c>
      <c r="C1743" s="1" t="n">
        <v>46082</v>
      </c>
      <c r="D1743" t="inlineStr">
        <is>
          <t>VÄSTERNORRLANDS LÄN</t>
        </is>
      </c>
      <c r="E1743" t="inlineStr">
        <is>
          <t>SOLLEFTEÅ</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55725-2025</t>
        </is>
      </c>
      <c r="B1744" s="1" t="n">
        <v>45972.53172453704</v>
      </c>
      <c r="C1744" s="1" t="n">
        <v>46082</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46082</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46082</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46082</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55582-2025</t>
        </is>
      </c>
      <c r="B1748" s="1" t="n">
        <v>45971.67768518518</v>
      </c>
      <c r="C1748" s="1" t="n">
        <v>46082</v>
      </c>
      <c r="D1748" t="inlineStr">
        <is>
          <t>VÄSTERNORRLANDS LÄN</t>
        </is>
      </c>
      <c r="E1748" t="inlineStr">
        <is>
          <t>SOLLEFTEÅ</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55289-2025</t>
        </is>
      </c>
      <c r="B1749" s="1" t="n">
        <v>45969.344375</v>
      </c>
      <c r="C1749" s="1" t="n">
        <v>46082</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50720-2024</t>
        </is>
      </c>
      <c r="B1750" s="1" t="n">
        <v>45602.38631944444</v>
      </c>
      <c r="C1750" s="1" t="n">
        <v>46082</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3548-2022</t>
        </is>
      </c>
      <c r="B1751" s="1" t="n">
        <v>44585.93784722222</v>
      </c>
      <c r="C1751" s="1" t="n">
        <v>46082</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55790-2025</t>
        </is>
      </c>
      <c r="B1752" s="1" t="n">
        <v>45972.64644675926</v>
      </c>
      <c r="C1752" s="1" t="n">
        <v>46082</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55529-2025</t>
        </is>
      </c>
      <c r="B1753" s="1" t="n">
        <v>45971.62087962963</v>
      </c>
      <c r="C1753" s="1" t="n">
        <v>46082</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16562-2023</t>
        </is>
      </c>
      <c r="B1754" s="1" t="n">
        <v>45029</v>
      </c>
      <c r="C1754" s="1" t="n">
        <v>46082</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59339-2023</t>
        </is>
      </c>
      <c r="B1755" s="1" t="n">
        <v>45253</v>
      </c>
      <c r="C1755" s="1" t="n">
        <v>46082</v>
      </c>
      <c r="D1755" t="inlineStr">
        <is>
          <t>VÄSTERNORRLANDS LÄN</t>
        </is>
      </c>
      <c r="E1755" t="inlineStr">
        <is>
          <t>SOLLEFTEÅ</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40569-2024</t>
        </is>
      </c>
      <c r="B1756" s="1" t="n">
        <v>45555.67744212963</v>
      </c>
      <c r="C1756" s="1" t="n">
        <v>46082</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44554-2024</t>
        </is>
      </c>
      <c r="B1757" s="1" t="n">
        <v>45574.46940972222</v>
      </c>
      <c r="C1757" s="1" t="n">
        <v>46082</v>
      </c>
      <c r="D1757" t="inlineStr">
        <is>
          <t>VÄSTERNORRLANDS LÄN</t>
        </is>
      </c>
      <c r="E1757" t="inlineStr">
        <is>
          <t>SOLLEFTEÅ</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44591-2024</t>
        </is>
      </c>
      <c r="B1758" s="1" t="n">
        <v>45574</v>
      </c>
      <c r="C1758" s="1" t="n">
        <v>46082</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37197-2024</t>
        </is>
      </c>
      <c r="B1759" s="1" t="n">
        <v>45539</v>
      </c>
      <c r="C1759" s="1" t="n">
        <v>46082</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23542-2024</t>
        </is>
      </c>
      <c r="B1760" s="1" t="n">
        <v>45453.95262731481</v>
      </c>
      <c r="C1760" s="1" t="n">
        <v>46082</v>
      </c>
      <c r="D1760" t="inlineStr">
        <is>
          <t>VÄSTERNORRLANDS LÄN</t>
        </is>
      </c>
      <c r="E1760" t="inlineStr">
        <is>
          <t>SOLLEFTEÅ</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35673-2024</t>
        </is>
      </c>
      <c r="B1761" s="1" t="n">
        <v>45532.39119212963</v>
      </c>
      <c r="C1761" s="1" t="n">
        <v>46082</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56393-2025</t>
        </is>
      </c>
      <c r="B1762" s="1" t="n">
        <v>45974.74042824074</v>
      </c>
      <c r="C1762" s="1" t="n">
        <v>46082</v>
      </c>
      <c r="D1762" t="inlineStr">
        <is>
          <t>VÄSTERNORRLANDS LÄN</t>
        </is>
      </c>
      <c r="E1762" t="inlineStr">
        <is>
          <t>SOLLEFTEÅ</t>
        </is>
      </c>
      <c r="F1762" t="inlineStr">
        <is>
          <t>Holmen skog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55686-2025</t>
        </is>
      </c>
      <c r="B1763" s="1" t="n">
        <v>45972.42771990741</v>
      </c>
      <c r="C1763" s="1" t="n">
        <v>46082</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56074-2025</t>
        </is>
      </c>
      <c r="B1764" s="1" t="n">
        <v>45973.65700231482</v>
      </c>
      <c r="C1764" s="1" t="n">
        <v>46082</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56075-2025</t>
        </is>
      </c>
      <c r="B1765" s="1" t="n">
        <v>45973.65723379629</v>
      </c>
      <c r="C1765" s="1" t="n">
        <v>46082</v>
      </c>
      <c r="D1765" t="inlineStr">
        <is>
          <t>VÄSTERNORRLANDS LÄN</t>
        </is>
      </c>
      <c r="E1765" t="inlineStr">
        <is>
          <t>SOLLEFTEÅ</t>
        </is>
      </c>
      <c r="F1765" t="inlineStr">
        <is>
          <t>SCA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55819-2025</t>
        </is>
      </c>
      <c r="B1766" s="1" t="n">
        <v>45972</v>
      </c>
      <c r="C1766" s="1" t="n">
        <v>46082</v>
      </c>
      <c r="D1766" t="inlineStr">
        <is>
          <t>VÄSTERNORRLANDS LÄN</t>
        </is>
      </c>
      <c r="E1766" t="inlineStr">
        <is>
          <t>SOLLEFTEÅ</t>
        </is>
      </c>
      <c r="F1766" t="inlineStr">
        <is>
          <t>SCA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55886-2025</t>
        </is>
      </c>
      <c r="B1767" s="1" t="n">
        <v>45973</v>
      </c>
      <c r="C1767" s="1" t="n">
        <v>46082</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56076-2025</t>
        </is>
      </c>
      <c r="B1768" s="1" t="n">
        <v>45973.65740740741</v>
      </c>
      <c r="C1768" s="1" t="n">
        <v>46082</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55950-2025</t>
        </is>
      </c>
      <c r="B1769" s="1" t="n">
        <v>45973.46942129629</v>
      </c>
      <c r="C1769" s="1" t="n">
        <v>46082</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42963-2024</t>
        </is>
      </c>
      <c r="B1770" s="1" t="n">
        <v>45567.37240740741</v>
      </c>
      <c r="C1770" s="1" t="n">
        <v>46082</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56631-2025</t>
        </is>
      </c>
      <c r="B1771" s="1" t="n">
        <v>45975.61549768518</v>
      </c>
      <c r="C1771" s="1" t="n">
        <v>46082</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56434-2025</t>
        </is>
      </c>
      <c r="B1772" s="1" t="n">
        <v>45975.34666666666</v>
      </c>
      <c r="C1772" s="1" t="n">
        <v>46082</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56443-2025</t>
        </is>
      </c>
      <c r="B1773" s="1" t="n">
        <v>45975.34791666667</v>
      </c>
      <c r="C1773" s="1" t="n">
        <v>46082</v>
      </c>
      <c r="D1773" t="inlineStr">
        <is>
          <t>VÄSTERNORRLANDS LÄN</t>
        </is>
      </c>
      <c r="E1773" t="inlineStr">
        <is>
          <t>SOLLEFTEÅ</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10549-2023</t>
        </is>
      </c>
      <c r="B1774" s="1" t="n">
        <v>44987</v>
      </c>
      <c r="C1774" s="1" t="n">
        <v>46082</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10438-2025</t>
        </is>
      </c>
      <c r="B1775" s="1" t="n">
        <v>45720.67761574074</v>
      </c>
      <c r="C1775" s="1" t="n">
        <v>46082</v>
      </c>
      <c r="D1775" t="inlineStr">
        <is>
          <t>VÄSTERNORRLANDS LÄN</t>
        </is>
      </c>
      <c r="E1775" t="inlineStr">
        <is>
          <t>SOLLEFTEÅ</t>
        </is>
      </c>
      <c r="F1775" t="inlineStr">
        <is>
          <t>SCA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8851-2025</t>
        </is>
      </c>
      <c r="B1776" s="1" t="n">
        <v>45713.34465277778</v>
      </c>
      <c r="C1776" s="1" t="n">
        <v>46082</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56987-2025</t>
        </is>
      </c>
      <c r="B1777" s="1" t="n">
        <v>45978.71915509259</v>
      </c>
      <c r="C1777" s="1" t="n">
        <v>46082</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17258-2025</t>
        </is>
      </c>
      <c r="B1778" s="1" t="n">
        <v>45756.53278935186</v>
      </c>
      <c r="C1778" s="1" t="n">
        <v>46082</v>
      </c>
      <c r="D1778" t="inlineStr">
        <is>
          <t>VÄSTERNORRLANDS LÄN</t>
        </is>
      </c>
      <c r="E1778" t="inlineStr">
        <is>
          <t>SOLLEFTEÅ</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55859-2023</t>
        </is>
      </c>
      <c r="B1779" s="1" t="n">
        <v>45239</v>
      </c>
      <c r="C1779" s="1" t="n">
        <v>46082</v>
      </c>
      <c r="D1779" t="inlineStr">
        <is>
          <t>VÄSTERNORRLANDS LÄN</t>
        </is>
      </c>
      <c r="E1779" t="inlineStr">
        <is>
          <t>SOLLEFTEÅ</t>
        </is>
      </c>
      <c r="F1779" t="inlineStr">
        <is>
          <t>Kommuner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12632-2025</t>
        </is>
      </c>
      <c r="B1780" s="1" t="n">
        <v>45733.37693287037</v>
      </c>
      <c r="C1780" s="1" t="n">
        <v>46082</v>
      </c>
      <c r="D1780" t="inlineStr">
        <is>
          <t>VÄSTERNORRLANDS LÄN</t>
        </is>
      </c>
      <c r="E1780" t="inlineStr">
        <is>
          <t>SOLLEFTEÅ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56632-2025</t>
        </is>
      </c>
      <c r="B1781" s="1" t="n">
        <v>45975.61571759259</v>
      </c>
      <c r="C1781" s="1" t="n">
        <v>46082</v>
      </c>
      <c r="D1781" t="inlineStr">
        <is>
          <t>VÄSTERNORRLANDS LÄN</t>
        </is>
      </c>
      <c r="E1781" t="inlineStr">
        <is>
          <t>SOLLEFTEÅ</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14134-2023</t>
        </is>
      </c>
      <c r="B1782" s="1" t="n">
        <v>45008</v>
      </c>
      <c r="C1782" s="1" t="n">
        <v>46082</v>
      </c>
      <c r="D1782" t="inlineStr">
        <is>
          <t>VÄSTERNORRLANDS LÄN</t>
        </is>
      </c>
      <c r="E1782" t="inlineStr">
        <is>
          <t>SOLLEFTEÅ</t>
        </is>
      </c>
      <c r="F1782" t="inlineStr">
        <is>
          <t>Övriga Aktiebolag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56458-2025</t>
        </is>
      </c>
      <c r="B1783" s="1" t="n">
        <v>45975.3650462963</v>
      </c>
      <c r="C1783" s="1" t="n">
        <v>46082</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56425-2025</t>
        </is>
      </c>
      <c r="B1784" s="1" t="n">
        <v>45975.34559027778</v>
      </c>
      <c r="C1784" s="1" t="n">
        <v>46082</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54233-2024</t>
        </is>
      </c>
      <c r="B1785" s="1" t="n">
        <v>45616.67791666667</v>
      </c>
      <c r="C1785" s="1" t="n">
        <v>46082</v>
      </c>
      <c r="D1785" t="inlineStr">
        <is>
          <t>VÄSTERNORRLANDS LÄN</t>
        </is>
      </c>
      <c r="E1785" t="inlineStr">
        <is>
          <t>SOLLEFTEÅ</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54235-2024</t>
        </is>
      </c>
      <c r="B1786" s="1" t="n">
        <v>45616.67806712963</v>
      </c>
      <c r="C1786" s="1" t="n">
        <v>46082</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7257-2024</t>
        </is>
      </c>
      <c r="B1787" s="1" t="n">
        <v>45344.7371412037</v>
      </c>
      <c r="C1787" s="1" t="n">
        <v>46082</v>
      </c>
      <c r="D1787" t="inlineStr">
        <is>
          <t>VÄSTERNORRLANDS LÄN</t>
        </is>
      </c>
      <c r="E1787" t="inlineStr">
        <is>
          <t>SOLLEFTEÅ</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56438-2025</t>
        </is>
      </c>
      <c r="B1788" s="1" t="n">
        <v>45975.34724537037</v>
      </c>
      <c r="C1788" s="1" t="n">
        <v>46082</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57224-2025</t>
        </is>
      </c>
      <c r="B1789" s="1" t="n">
        <v>45979.61547453704</v>
      </c>
      <c r="C1789" s="1" t="n">
        <v>46082</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48785-2024</t>
        </is>
      </c>
      <c r="B1790" s="1" t="n">
        <v>45593</v>
      </c>
      <c r="C1790" s="1" t="n">
        <v>46082</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61784-2023</t>
        </is>
      </c>
      <c r="B1791" s="1" t="n">
        <v>45265</v>
      </c>
      <c r="C1791" s="1" t="n">
        <v>46082</v>
      </c>
      <c r="D1791" t="inlineStr">
        <is>
          <t>VÄSTERNORRLANDS LÄN</t>
        </is>
      </c>
      <c r="E1791" t="inlineStr">
        <is>
          <t>SOLLEFTEÅ</t>
        </is>
      </c>
      <c r="F1791" t="inlineStr">
        <is>
          <t>SCA</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15978-2023</t>
        </is>
      </c>
      <c r="B1792" s="1" t="n">
        <v>45022.94188657407</v>
      </c>
      <c r="C1792" s="1" t="n">
        <v>46082</v>
      </c>
      <c r="D1792" t="inlineStr">
        <is>
          <t>VÄSTERNORRLANDS LÄN</t>
        </is>
      </c>
      <c r="E1792" t="inlineStr">
        <is>
          <t>SOLLEFTEÅ</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57042-2025</t>
        </is>
      </c>
      <c r="B1793" s="1" t="n">
        <v>45979.34598379629</v>
      </c>
      <c r="C1793" s="1" t="n">
        <v>46082</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9950-2025</t>
        </is>
      </c>
      <c r="B1794" s="1" t="n">
        <v>45719.34416666667</v>
      </c>
      <c r="C1794" s="1" t="n">
        <v>46082</v>
      </c>
      <c r="D1794" t="inlineStr">
        <is>
          <t>VÄSTERNORRLANDS LÄN</t>
        </is>
      </c>
      <c r="E1794" t="inlineStr">
        <is>
          <t>SOLLEFTEÅ</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9966-2025</t>
        </is>
      </c>
      <c r="B1795" s="1" t="n">
        <v>45719</v>
      </c>
      <c r="C1795" s="1" t="n">
        <v>46082</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57019-2025</t>
        </is>
      </c>
      <c r="B1796" s="1" t="n">
        <v>45978.85565972222</v>
      </c>
      <c r="C1796" s="1" t="n">
        <v>46082</v>
      </c>
      <c r="D1796" t="inlineStr">
        <is>
          <t>VÄSTERNORRLANDS LÄN</t>
        </is>
      </c>
      <c r="E1796" t="inlineStr">
        <is>
          <t>SOLLEFTEÅ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41655-2023</t>
        </is>
      </c>
      <c r="B1797" s="1" t="n">
        <v>45175.95751157407</v>
      </c>
      <c r="C1797" s="1" t="n">
        <v>46082</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19556-2024</t>
        </is>
      </c>
      <c r="B1798" s="1" t="n">
        <v>45429</v>
      </c>
      <c r="C1798" s="1" t="n">
        <v>46082</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57225-2025</t>
        </is>
      </c>
      <c r="B1799" s="1" t="n">
        <v>45979.61555555555</v>
      </c>
      <c r="C1799" s="1" t="n">
        <v>46082</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8221-2022</t>
        </is>
      </c>
      <c r="B1800" s="1" t="n">
        <v>44609.93001157408</v>
      </c>
      <c r="C1800" s="1" t="n">
        <v>46082</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57205-2025</t>
        </is>
      </c>
      <c r="B1801" s="1" t="n">
        <v>45979.59429398148</v>
      </c>
      <c r="C1801" s="1" t="n">
        <v>46082</v>
      </c>
      <c r="D1801" t="inlineStr">
        <is>
          <t>VÄSTERNORRLANDS LÄN</t>
        </is>
      </c>
      <c r="E1801" t="inlineStr">
        <is>
          <t>SOLLEFTEÅ</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33709-2023</t>
        </is>
      </c>
      <c r="B1802" s="1" t="n">
        <v>45132.92300925926</v>
      </c>
      <c r="C1802" s="1" t="n">
        <v>46082</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47175-2024</t>
        </is>
      </c>
      <c r="B1803" s="1" t="n">
        <v>45586</v>
      </c>
      <c r="C1803" s="1" t="n">
        <v>46082</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47179-2024</t>
        </is>
      </c>
      <c r="B1804" s="1" t="n">
        <v>45586.61634259259</v>
      </c>
      <c r="C1804" s="1" t="n">
        <v>46082</v>
      </c>
      <c r="D1804" t="inlineStr">
        <is>
          <t>VÄSTERNORRLANDS LÄN</t>
        </is>
      </c>
      <c r="E1804" t="inlineStr">
        <is>
          <t>SOLLEFTEÅ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31547-2024</t>
        </is>
      </c>
      <c r="B1805" s="1" t="n">
        <v>45505.96362268519</v>
      </c>
      <c r="C1805" s="1" t="n">
        <v>46082</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31562-2024</t>
        </is>
      </c>
      <c r="B1806" s="1" t="n">
        <v>45505</v>
      </c>
      <c r="C1806" s="1" t="n">
        <v>46082</v>
      </c>
      <c r="D1806" t="inlineStr">
        <is>
          <t>VÄSTERNORRLANDS LÄN</t>
        </is>
      </c>
      <c r="E1806" t="inlineStr">
        <is>
          <t>SOLLEFTEÅ</t>
        </is>
      </c>
      <c r="F1806" t="inlineStr">
        <is>
          <t>SCA</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60177-2024</t>
        </is>
      </c>
      <c r="B1807" s="1" t="n">
        <v>45642.63850694444</v>
      </c>
      <c r="C1807" s="1" t="n">
        <v>46082</v>
      </c>
      <c r="D1807" t="inlineStr">
        <is>
          <t>VÄSTERNORRLANDS LÄN</t>
        </is>
      </c>
      <c r="E1807" t="inlineStr">
        <is>
          <t>SOLLEFTEÅ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57061-2025</t>
        </is>
      </c>
      <c r="B1808" s="1" t="n">
        <v>45979.37059027778</v>
      </c>
      <c r="C1808" s="1" t="n">
        <v>46082</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4261-2025</t>
        </is>
      </c>
      <c r="B1809" s="1" t="n">
        <v>45685.61785879629</v>
      </c>
      <c r="C1809" s="1" t="n">
        <v>46082</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57373-2025</t>
        </is>
      </c>
      <c r="B1810" s="1" t="n">
        <v>45980.38606481482</v>
      </c>
      <c r="C1810" s="1" t="n">
        <v>46082</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12834-2025</t>
        </is>
      </c>
      <c r="B1811" s="1" t="n">
        <v>45733.63612268519</v>
      </c>
      <c r="C1811" s="1" t="n">
        <v>46082</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57176-2025</t>
        </is>
      </c>
      <c r="B1812" s="1" t="n">
        <v>45979.55251157407</v>
      </c>
      <c r="C1812" s="1" t="n">
        <v>46082</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2536-2022</t>
        </is>
      </c>
      <c r="B1813" s="1" t="n">
        <v>44579</v>
      </c>
      <c r="C1813" s="1" t="n">
        <v>46082</v>
      </c>
      <c r="D1813" t="inlineStr">
        <is>
          <t>VÄSTERNORRLANDS LÄN</t>
        </is>
      </c>
      <c r="E1813" t="inlineStr">
        <is>
          <t>SOLLEFTEÅ</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36771-2023</t>
        </is>
      </c>
      <c r="B1814" s="1" t="n">
        <v>45153</v>
      </c>
      <c r="C1814" s="1" t="n">
        <v>46082</v>
      </c>
      <c r="D1814" t="inlineStr">
        <is>
          <t>VÄSTERNORRLANDS LÄN</t>
        </is>
      </c>
      <c r="E1814" t="inlineStr">
        <is>
          <t>SOLLEFTEÅ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58027-2025</t>
        </is>
      </c>
      <c r="B1815" s="1" t="n">
        <v>45982.48417824074</v>
      </c>
      <c r="C1815" s="1" t="n">
        <v>46082</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35276-2023</t>
        </is>
      </c>
      <c r="B1816" s="1" t="n">
        <v>45145.95409722222</v>
      </c>
      <c r="C1816" s="1" t="n">
        <v>46082</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58511-2025</t>
        </is>
      </c>
      <c r="B1817" s="1" t="n">
        <v>45982</v>
      </c>
      <c r="C1817" s="1" t="n">
        <v>46082</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10428-2023</t>
        </is>
      </c>
      <c r="B1818" s="1" t="n">
        <v>44981</v>
      </c>
      <c r="C1818" s="1" t="n">
        <v>46082</v>
      </c>
      <c r="D1818" t="inlineStr">
        <is>
          <t>VÄSTERNORRLANDS LÄN</t>
        </is>
      </c>
      <c r="E1818" t="inlineStr">
        <is>
          <t>SOLLEFTEÅ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58152-2025</t>
        </is>
      </c>
      <c r="B1819" s="1" t="n">
        <v>45982.65260416667</v>
      </c>
      <c r="C1819" s="1" t="n">
        <v>46082</v>
      </c>
      <c r="D1819" t="inlineStr">
        <is>
          <t>VÄSTERNORRLANDS LÄN</t>
        </is>
      </c>
      <c r="E1819" t="inlineStr">
        <is>
          <t>SOLLEFTEÅ</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58153-2025</t>
        </is>
      </c>
      <c r="B1820" s="1" t="n">
        <v>45982.65262731481</v>
      </c>
      <c r="C1820" s="1" t="n">
        <v>46082</v>
      </c>
      <c r="D1820" t="inlineStr">
        <is>
          <t>VÄSTERNORRLANDS LÄN</t>
        </is>
      </c>
      <c r="E1820" t="inlineStr">
        <is>
          <t>SOLLEFTEÅ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58512-2025</t>
        </is>
      </c>
      <c r="B1821" s="1" t="n">
        <v>45982</v>
      </c>
      <c r="C1821" s="1" t="n">
        <v>46082</v>
      </c>
      <c r="D1821" t="inlineStr">
        <is>
          <t>VÄSTERNORRLANDS LÄN</t>
        </is>
      </c>
      <c r="E1821" t="inlineStr">
        <is>
          <t>SOLLEFTEÅ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32733-2023</t>
        </is>
      </c>
      <c r="B1822" s="1" t="n">
        <v>45121</v>
      </c>
      <c r="C1822" s="1" t="n">
        <v>46082</v>
      </c>
      <c r="D1822" t="inlineStr">
        <is>
          <t>VÄSTERNORRLANDS LÄN</t>
        </is>
      </c>
      <c r="E1822" t="inlineStr">
        <is>
          <t>SOLLEFTEÅ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38231-2024</t>
        </is>
      </c>
      <c r="B1823" s="1" t="n">
        <v>45545.55601851852</v>
      </c>
      <c r="C1823" s="1" t="n">
        <v>46082</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58126-2025</t>
        </is>
      </c>
      <c r="B1824" s="1" t="n">
        <v>45982.61518518518</v>
      </c>
      <c r="C1824" s="1" t="n">
        <v>46082</v>
      </c>
      <c r="D1824" t="inlineStr">
        <is>
          <t>VÄSTERNORRLANDS LÄN</t>
        </is>
      </c>
      <c r="E1824" t="inlineStr">
        <is>
          <t>SOLLEFTEÅ</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58030-2025</t>
        </is>
      </c>
      <c r="B1825" s="1" t="n">
        <v>45982.48627314815</v>
      </c>
      <c r="C1825" s="1" t="n">
        <v>46082</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57784-2025</t>
        </is>
      </c>
      <c r="B1826" s="1" t="n">
        <v>45981.57376157407</v>
      </c>
      <c r="C1826" s="1" t="n">
        <v>46082</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58509-2025</t>
        </is>
      </c>
      <c r="B1827" s="1" t="n">
        <v>45982</v>
      </c>
      <c r="C1827" s="1" t="n">
        <v>46082</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58510-2025</t>
        </is>
      </c>
      <c r="B1828" s="1" t="n">
        <v>45982</v>
      </c>
      <c r="C1828" s="1" t="n">
        <v>46082</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9124-2022</t>
        </is>
      </c>
      <c r="B1829" s="1" t="n">
        <v>44615.58287037037</v>
      </c>
      <c r="C1829" s="1" t="n">
        <v>46082</v>
      </c>
      <c r="D1829" t="inlineStr">
        <is>
          <t>VÄSTERNORRLANDS LÄN</t>
        </is>
      </c>
      <c r="E1829" t="inlineStr">
        <is>
          <t>SOLLEFTEÅ</t>
        </is>
      </c>
      <c r="G1829" t="n">
        <v>20.2</v>
      </c>
      <c r="H1829" t="n">
        <v>0</v>
      </c>
      <c r="I1829" t="n">
        <v>0</v>
      </c>
      <c r="J1829" t="n">
        <v>0</v>
      </c>
      <c r="K1829" t="n">
        <v>0</v>
      </c>
      <c r="L1829" t="n">
        <v>0</v>
      </c>
      <c r="M1829" t="n">
        <v>0</v>
      </c>
      <c r="N1829" t="n">
        <v>0</v>
      </c>
      <c r="O1829" t="n">
        <v>0</v>
      </c>
      <c r="P1829" t="n">
        <v>0</v>
      </c>
      <c r="Q1829" t="n">
        <v>0</v>
      </c>
      <c r="R1829" s="2" t="inlineStr"/>
    </row>
    <row r="1830" ht="15" customHeight="1">
      <c r="A1830" t="inlineStr">
        <is>
          <t>A 58151-2025</t>
        </is>
      </c>
      <c r="B1830" s="1" t="n">
        <v>45982.65255787037</v>
      </c>
      <c r="C1830" s="1" t="n">
        <v>46082</v>
      </c>
      <c r="D1830" t="inlineStr">
        <is>
          <t>VÄSTERNORRLANDS LÄN</t>
        </is>
      </c>
      <c r="E1830" t="inlineStr">
        <is>
          <t>SOLLEFTEÅ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58046-2025</t>
        </is>
      </c>
      <c r="B1831" s="1" t="n">
        <v>45982.50449074074</v>
      </c>
      <c r="C1831" s="1" t="n">
        <v>46082</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63413-2023</t>
        </is>
      </c>
      <c r="B1832" s="1" t="n">
        <v>45274</v>
      </c>
      <c r="C1832" s="1" t="n">
        <v>46082</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63422-2023</t>
        </is>
      </c>
      <c r="B1833" s="1" t="n">
        <v>45274</v>
      </c>
      <c r="C1833" s="1" t="n">
        <v>46082</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35470-2023</t>
        </is>
      </c>
      <c r="B1834" s="1" t="n">
        <v>45146</v>
      </c>
      <c r="C1834" s="1" t="n">
        <v>46082</v>
      </c>
      <c r="D1834" t="inlineStr">
        <is>
          <t>VÄSTERNORRLANDS LÄN</t>
        </is>
      </c>
      <c r="E1834" t="inlineStr">
        <is>
          <t>SOLLEFTEÅ</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58032-2025</t>
        </is>
      </c>
      <c r="B1835" s="1" t="n">
        <v>45982.48753472222</v>
      </c>
      <c r="C1835" s="1" t="n">
        <v>46082</v>
      </c>
      <c r="D1835" t="inlineStr">
        <is>
          <t>VÄSTERNORRLANDS LÄN</t>
        </is>
      </c>
      <c r="E1835" t="inlineStr">
        <is>
          <t>SOLLEFTEÅ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57990-2025</t>
        </is>
      </c>
      <c r="B1836" s="1" t="n">
        <v>45982.4240625</v>
      </c>
      <c r="C1836" s="1" t="n">
        <v>46082</v>
      </c>
      <c r="D1836" t="inlineStr">
        <is>
          <t>VÄSTERNORRLANDS LÄN</t>
        </is>
      </c>
      <c r="E1836" t="inlineStr">
        <is>
          <t>SOLLEFTEÅ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58034-2025</t>
        </is>
      </c>
      <c r="B1837" s="1" t="n">
        <v>45982.48967592593</v>
      </c>
      <c r="C1837" s="1" t="n">
        <v>46082</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58505-2025</t>
        </is>
      </c>
      <c r="B1838" s="1" t="n">
        <v>45985.69831018519</v>
      </c>
      <c r="C1838" s="1" t="n">
        <v>46082</v>
      </c>
      <c r="D1838" t="inlineStr">
        <is>
          <t>VÄSTERNORRLANDS LÄN</t>
        </is>
      </c>
      <c r="E1838" t="inlineStr">
        <is>
          <t>SOLLEFTEÅ</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15080-2023</t>
        </is>
      </c>
      <c r="B1839" s="1" t="n">
        <v>45016.07525462963</v>
      </c>
      <c r="C1839" s="1" t="n">
        <v>46082</v>
      </c>
      <c r="D1839" t="inlineStr">
        <is>
          <t>VÄSTERNORRLANDS LÄN</t>
        </is>
      </c>
      <c r="E1839" t="inlineStr">
        <is>
          <t>SOLLEFTEÅ</t>
        </is>
      </c>
      <c r="F1839" t="inlineStr">
        <is>
          <t>SCA</t>
        </is>
      </c>
      <c r="G1839" t="n">
        <v>33.6</v>
      </c>
      <c r="H1839" t="n">
        <v>0</v>
      </c>
      <c r="I1839" t="n">
        <v>0</v>
      </c>
      <c r="J1839" t="n">
        <v>0</v>
      </c>
      <c r="K1839" t="n">
        <v>0</v>
      </c>
      <c r="L1839" t="n">
        <v>0</v>
      </c>
      <c r="M1839" t="n">
        <v>0</v>
      </c>
      <c r="N1839" t="n">
        <v>0</v>
      </c>
      <c r="O1839" t="n">
        <v>0</v>
      </c>
      <c r="P1839" t="n">
        <v>0</v>
      </c>
      <c r="Q1839" t="n">
        <v>0</v>
      </c>
      <c r="R1839" s="2" t="inlineStr"/>
    </row>
    <row r="1840" ht="15" customHeight="1">
      <c r="A1840" t="inlineStr">
        <is>
          <t>A 57078-2024</t>
        </is>
      </c>
      <c r="B1840" s="1" t="n">
        <v>45629.35518518519</v>
      </c>
      <c r="C1840" s="1" t="n">
        <v>46082</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47471-2024</t>
        </is>
      </c>
      <c r="B1841" s="1" t="n">
        <v>45587.57324074074</v>
      </c>
      <c r="C1841" s="1" t="n">
        <v>46082</v>
      </c>
      <c r="D1841" t="inlineStr">
        <is>
          <t>VÄSTERNORRLANDS LÄN</t>
        </is>
      </c>
      <c r="E1841" t="inlineStr">
        <is>
          <t>SOLLEFTEÅ</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50721-2024</t>
        </is>
      </c>
      <c r="B1842" s="1" t="n">
        <v>45602.3863425926</v>
      </c>
      <c r="C1842" s="1" t="n">
        <v>46082</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9253-2025</t>
        </is>
      </c>
      <c r="B1843" s="1" t="n">
        <v>45714.59430555555</v>
      </c>
      <c r="C1843" s="1" t="n">
        <v>46082</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45940-2024</t>
        </is>
      </c>
      <c r="B1844" s="1" t="n">
        <v>45580.53167824074</v>
      </c>
      <c r="C1844" s="1" t="n">
        <v>46082</v>
      </c>
      <c r="D1844" t="inlineStr">
        <is>
          <t>VÄSTERNORRLANDS LÄN</t>
        </is>
      </c>
      <c r="E1844" t="inlineStr">
        <is>
          <t>SOLLEFTEÅ</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45975-2024</t>
        </is>
      </c>
      <c r="B1845" s="1" t="n">
        <v>45580.59425925926</v>
      </c>
      <c r="C1845" s="1" t="n">
        <v>46082</v>
      </c>
      <c r="D1845" t="inlineStr">
        <is>
          <t>VÄSTERNORRLANDS LÄN</t>
        </is>
      </c>
      <c r="E1845" t="inlineStr">
        <is>
          <t>SOLLEFTEÅ</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48021-2024</t>
        </is>
      </c>
      <c r="B1846" s="1" t="n">
        <v>45589.47032407407</v>
      </c>
      <c r="C1846" s="1" t="n">
        <v>46082</v>
      </c>
      <c r="D1846" t="inlineStr">
        <is>
          <t>VÄSTERNORRLANDS LÄN</t>
        </is>
      </c>
      <c r="E1846" t="inlineStr">
        <is>
          <t>SOLLEFTEÅ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58205-2025</t>
        </is>
      </c>
      <c r="B1847" s="1" t="n">
        <v>45984.64722222222</v>
      </c>
      <c r="C1847" s="1" t="n">
        <v>46082</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58463-2024</t>
        </is>
      </c>
      <c r="B1848" s="1" t="n">
        <v>45635.36650462963</v>
      </c>
      <c r="C1848" s="1" t="n">
        <v>46082</v>
      </c>
      <c r="D1848" t="inlineStr">
        <is>
          <t>VÄSTERNORRLANDS LÄN</t>
        </is>
      </c>
      <c r="E1848" t="inlineStr">
        <is>
          <t>SOLLEFTEÅ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3555-2022</t>
        </is>
      </c>
      <c r="B1849" s="1" t="n">
        <v>44585.93820601852</v>
      </c>
      <c r="C1849" s="1" t="n">
        <v>46082</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35905-2024</t>
        </is>
      </c>
      <c r="B1850" s="1" t="n">
        <v>45533.40674768519</v>
      </c>
      <c r="C1850" s="1" t="n">
        <v>46082</v>
      </c>
      <c r="D1850" t="inlineStr">
        <is>
          <t>VÄSTERNORRLANDS LÄN</t>
        </is>
      </c>
      <c r="E1850" t="inlineStr">
        <is>
          <t>SOLLEFTEÅ</t>
        </is>
      </c>
      <c r="F1850" t="inlineStr">
        <is>
          <t>SCA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20066-2024</t>
        </is>
      </c>
      <c r="B1851" s="1" t="n">
        <v>45434</v>
      </c>
      <c r="C1851" s="1" t="n">
        <v>46082</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58384-2025</t>
        </is>
      </c>
      <c r="B1852" s="1" t="n">
        <v>45985.54319444444</v>
      </c>
      <c r="C1852" s="1" t="n">
        <v>46082</v>
      </c>
      <c r="D1852" t="inlineStr">
        <is>
          <t>VÄSTERNORRLANDS LÄN</t>
        </is>
      </c>
      <c r="E1852" t="inlineStr">
        <is>
          <t>SOLLEFTEÅ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58386-2025</t>
        </is>
      </c>
      <c r="B1853" s="1" t="n">
        <v>45985.54576388889</v>
      </c>
      <c r="C1853" s="1" t="n">
        <v>46082</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58445-2025</t>
        </is>
      </c>
      <c r="B1854" s="1" t="n">
        <v>45985.62047453703</v>
      </c>
      <c r="C1854" s="1" t="n">
        <v>46082</v>
      </c>
      <c r="D1854" t="inlineStr">
        <is>
          <t>VÄSTERNORRLANDS LÄN</t>
        </is>
      </c>
      <c r="E1854" t="inlineStr">
        <is>
          <t>SOLLEFTEÅ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13639-2025</t>
        </is>
      </c>
      <c r="B1855" s="1" t="n">
        <v>45736.65710648148</v>
      </c>
      <c r="C1855" s="1" t="n">
        <v>46082</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58314-2025</t>
        </is>
      </c>
      <c r="B1856" s="1" t="n">
        <v>45985.47027777778</v>
      </c>
      <c r="C1856" s="1" t="n">
        <v>46082</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58313-2025</t>
        </is>
      </c>
      <c r="B1857" s="1" t="n">
        <v>45985.47021990741</v>
      </c>
      <c r="C1857" s="1" t="n">
        <v>46082</v>
      </c>
      <c r="D1857" t="inlineStr">
        <is>
          <t>VÄSTERNORRLANDS LÄN</t>
        </is>
      </c>
      <c r="E1857" t="inlineStr">
        <is>
          <t>SOLLEFTEÅ</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58772-2025</t>
        </is>
      </c>
      <c r="B1858" s="1" t="n">
        <v>45986</v>
      </c>
      <c r="C1858" s="1" t="n">
        <v>46082</v>
      </c>
      <c r="D1858" t="inlineStr">
        <is>
          <t>VÄSTERNORRLANDS LÄN</t>
        </is>
      </c>
      <c r="E1858" t="inlineStr">
        <is>
          <t>SOLLEFTEÅ</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58558-2025</t>
        </is>
      </c>
      <c r="B1859" s="1" t="n">
        <v>45986.34451388889</v>
      </c>
      <c r="C1859" s="1" t="n">
        <v>46082</v>
      </c>
      <c r="D1859" t="inlineStr">
        <is>
          <t>VÄSTERNORRLANDS LÄN</t>
        </is>
      </c>
      <c r="E1859" t="inlineStr">
        <is>
          <t>SOLLEFTEÅ</t>
        </is>
      </c>
      <c r="F1859" t="inlineStr">
        <is>
          <t>SCA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58383-2025</t>
        </is>
      </c>
      <c r="B1860" s="1" t="n">
        <v>45985.54152777778</v>
      </c>
      <c r="C1860" s="1" t="n">
        <v>46082</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218-2025</t>
        </is>
      </c>
      <c r="B1861" s="1" t="n">
        <v>45660</v>
      </c>
      <c r="C1861" s="1" t="n">
        <v>46082</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8729-2024</t>
        </is>
      </c>
      <c r="B1862" s="1" t="n">
        <v>45356.43958333333</v>
      </c>
      <c r="C1862" s="1" t="n">
        <v>46082</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58234-2025</t>
        </is>
      </c>
      <c r="B1863" s="1" t="n">
        <v>45985.38688657407</v>
      </c>
      <c r="C1863" s="1" t="n">
        <v>46082</v>
      </c>
      <c r="D1863" t="inlineStr">
        <is>
          <t>VÄSTERNORRLANDS LÄN</t>
        </is>
      </c>
      <c r="E1863" t="inlineStr">
        <is>
          <t>SOLLEFTEÅ</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58315-2025</t>
        </is>
      </c>
      <c r="B1864" s="1" t="n">
        <v>45985.47033564815</v>
      </c>
      <c r="C1864" s="1" t="n">
        <v>46082</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46082</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7942-2025</t>
        </is>
      </c>
      <c r="B1866" s="1" t="n">
        <v>45707</v>
      </c>
      <c r="C1866" s="1" t="n">
        <v>46082</v>
      </c>
      <c r="D1866" t="inlineStr">
        <is>
          <t>VÄSTERNORRLANDS LÄN</t>
        </is>
      </c>
      <c r="E1866" t="inlineStr">
        <is>
          <t>SOLLEFTEÅ</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58998-2025</t>
        </is>
      </c>
      <c r="B1867" s="1" t="n">
        <v>45987</v>
      </c>
      <c r="C1867" s="1" t="n">
        <v>46082</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59002-2025</t>
        </is>
      </c>
      <c r="B1868" s="1" t="n">
        <v>45987</v>
      </c>
      <c r="C1868" s="1" t="n">
        <v>46082</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59051-2025</t>
        </is>
      </c>
      <c r="B1869" s="1" t="n">
        <v>45988.38612268519</v>
      </c>
      <c r="C1869" s="1" t="n">
        <v>46082</v>
      </c>
      <c r="D1869" t="inlineStr">
        <is>
          <t>VÄSTERNORRLANDS LÄN</t>
        </is>
      </c>
      <c r="E1869" t="inlineStr">
        <is>
          <t>SOLLEFTEÅ</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5035-2024</t>
        </is>
      </c>
      <c r="B1870" s="1" t="n">
        <v>45329.86893518519</v>
      </c>
      <c r="C1870" s="1" t="n">
        <v>46082</v>
      </c>
      <c r="D1870" t="inlineStr">
        <is>
          <t>VÄSTERNORRLANDS LÄN</t>
        </is>
      </c>
      <c r="E1870" t="inlineStr">
        <is>
          <t>SOLLEFTEÅ</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5059-2024</t>
        </is>
      </c>
      <c r="B1871" s="1" t="n">
        <v>45329</v>
      </c>
      <c r="C1871" s="1" t="n">
        <v>46082</v>
      </c>
      <c r="D1871" t="inlineStr">
        <is>
          <t>VÄSTERNORRLANDS LÄN</t>
        </is>
      </c>
      <c r="E1871" t="inlineStr">
        <is>
          <t>SOLLEFTEÅ</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1465-2025</t>
        </is>
      </c>
      <c r="B1872" s="1" t="n">
        <v>45670.36513888889</v>
      </c>
      <c r="C1872" s="1" t="n">
        <v>46082</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58999-2025</t>
        </is>
      </c>
      <c r="B1873" s="1" t="n">
        <v>45987</v>
      </c>
      <c r="C1873" s="1" t="n">
        <v>46082</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59260-2025</t>
        </is>
      </c>
      <c r="B1874" s="1" t="n">
        <v>45988.65762731482</v>
      </c>
      <c r="C1874" s="1" t="n">
        <v>46082</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59038-2025</t>
        </is>
      </c>
      <c r="B1875" s="1" t="n">
        <v>45988.36515046296</v>
      </c>
      <c r="C1875" s="1" t="n">
        <v>46082</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59181-2025</t>
        </is>
      </c>
      <c r="B1876" s="1" t="n">
        <v>45988.57390046296</v>
      </c>
      <c r="C1876" s="1" t="n">
        <v>46082</v>
      </c>
      <c r="D1876" t="inlineStr">
        <is>
          <t>VÄSTERNORRLANDS LÄN</t>
        </is>
      </c>
      <c r="E1876" t="inlineStr">
        <is>
          <t>SOLLEFTEÅ</t>
        </is>
      </c>
      <c r="F1876" t="inlineStr">
        <is>
          <t>SCA</t>
        </is>
      </c>
      <c r="G1876" t="n">
        <v>28.3</v>
      </c>
      <c r="H1876" t="n">
        <v>0</v>
      </c>
      <c r="I1876" t="n">
        <v>0</v>
      </c>
      <c r="J1876" t="n">
        <v>0</v>
      </c>
      <c r="K1876" t="n">
        <v>0</v>
      </c>
      <c r="L1876" t="n">
        <v>0</v>
      </c>
      <c r="M1876" t="n">
        <v>0</v>
      </c>
      <c r="N1876" t="n">
        <v>0</v>
      </c>
      <c r="O1876" t="n">
        <v>0</v>
      </c>
      <c r="P1876" t="n">
        <v>0</v>
      </c>
      <c r="Q1876" t="n">
        <v>0</v>
      </c>
      <c r="R1876" s="2" t="inlineStr"/>
    </row>
    <row r="1877" ht="15" customHeight="1">
      <c r="A1877" t="inlineStr">
        <is>
          <t>A 12355-2025</t>
        </is>
      </c>
      <c r="B1877" s="1" t="n">
        <v>45730.36490740741</v>
      </c>
      <c r="C1877" s="1" t="n">
        <v>46082</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27572-2022</t>
        </is>
      </c>
      <c r="B1878" s="1" t="n">
        <v>44742.94329861111</v>
      </c>
      <c r="C1878" s="1" t="n">
        <v>46082</v>
      </c>
      <c r="D1878" t="inlineStr">
        <is>
          <t>VÄSTERNORRLANDS LÄN</t>
        </is>
      </c>
      <c r="E1878" t="inlineStr">
        <is>
          <t>SOLLEFTEÅ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50674-2023</t>
        </is>
      </c>
      <c r="B1879" s="1" t="n">
        <v>45210</v>
      </c>
      <c r="C1879" s="1" t="n">
        <v>46082</v>
      </c>
      <c r="D1879" t="inlineStr">
        <is>
          <t>VÄSTERNORRLANDS LÄN</t>
        </is>
      </c>
      <c r="E1879" t="inlineStr">
        <is>
          <t>SOLLEFTEÅ</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50688-2023</t>
        </is>
      </c>
      <c r="B1880" s="1" t="n">
        <v>45210</v>
      </c>
      <c r="C1880" s="1" t="n">
        <v>46082</v>
      </c>
      <c r="D1880" t="inlineStr">
        <is>
          <t>VÄSTERNORRLANDS LÄN</t>
        </is>
      </c>
      <c r="E1880" t="inlineStr">
        <is>
          <t>SOLLEFTEÅ</t>
        </is>
      </c>
      <c r="G1880" t="n">
        <v>15.6</v>
      </c>
      <c r="H1880" t="n">
        <v>0</v>
      </c>
      <c r="I1880" t="n">
        <v>0</v>
      </c>
      <c r="J1880" t="n">
        <v>0</v>
      </c>
      <c r="K1880" t="n">
        <v>0</v>
      </c>
      <c r="L1880" t="n">
        <v>0</v>
      </c>
      <c r="M1880" t="n">
        <v>0</v>
      </c>
      <c r="N1880" t="n">
        <v>0</v>
      </c>
      <c r="O1880" t="n">
        <v>0</v>
      </c>
      <c r="P1880" t="n">
        <v>0</v>
      </c>
      <c r="Q1880" t="n">
        <v>0</v>
      </c>
      <c r="R1880" s="2" t="inlineStr"/>
    </row>
    <row r="1881" ht="15" customHeight="1">
      <c r="A1881" t="inlineStr">
        <is>
          <t>A 58948-2025</t>
        </is>
      </c>
      <c r="B1881" s="1" t="n">
        <v>45987</v>
      </c>
      <c r="C1881" s="1" t="n">
        <v>46082</v>
      </c>
      <c r="D1881" t="inlineStr">
        <is>
          <t>VÄSTERNORRLANDS LÄN</t>
        </is>
      </c>
      <c r="E1881" t="inlineStr">
        <is>
          <t>SOLLEFTEÅ</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50745-2023</t>
        </is>
      </c>
      <c r="B1882" s="1" t="n">
        <v>45210</v>
      </c>
      <c r="C1882" s="1" t="n">
        <v>46082</v>
      </c>
      <c r="D1882" t="inlineStr">
        <is>
          <t>VÄSTERNORRLANDS LÄN</t>
        </is>
      </c>
      <c r="E1882" t="inlineStr">
        <is>
          <t>SOLLEFTEÅ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3081-2025</t>
        </is>
      </c>
      <c r="B1883" s="1" t="n">
        <v>45678.644375</v>
      </c>
      <c r="C1883" s="1" t="n">
        <v>46082</v>
      </c>
      <c r="D1883" t="inlineStr">
        <is>
          <t>VÄSTERNORRLANDS LÄN</t>
        </is>
      </c>
      <c r="E1883" t="inlineStr">
        <is>
          <t>SOLLEFTEÅ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19892-2025</t>
        </is>
      </c>
      <c r="B1884" s="1" t="n">
        <v>45771.57461805556</v>
      </c>
      <c r="C1884" s="1" t="n">
        <v>46082</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11117-2022</t>
        </is>
      </c>
      <c r="B1885" s="1" t="n">
        <v>44628.94248842593</v>
      </c>
      <c r="C1885" s="1" t="n">
        <v>46082</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58973-2025</t>
        </is>
      </c>
      <c r="B1886" s="1" t="n">
        <v>45987</v>
      </c>
      <c r="C1886" s="1" t="n">
        <v>46082</v>
      </c>
      <c r="D1886" t="inlineStr">
        <is>
          <t>VÄSTERNORRLANDS LÄN</t>
        </is>
      </c>
      <c r="E1886" t="inlineStr">
        <is>
          <t>SOLLEFTEÅ</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58845-2025</t>
        </is>
      </c>
      <c r="B1887" s="1" t="n">
        <v>45987.3859375</v>
      </c>
      <c r="C1887" s="1" t="n">
        <v>46082</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19326-2024</t>
        </is>
      </c>
      <c r="B1888" s="1" t="n">
        <v>45428</v>
      </c>
      <c r="C1888" s="1" t="n">
        <v>46082</v>
      </c>
      <c r="D1888" t="inlineStr">
        <is>
          <t>VÄSTERNORRLANDS LÄN</t>
        </is>
      </c>
      <c r="E1888" t="inlineStr">
        <is>
          <t>SOLLEFTEÅ</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59842-2025</t>
        </is>
      </c>
      <c r="B1889" s="1" t="n">
        <v>45992.67807870371</v>
      </c>
      <c r="C1889" s="1" t="n">
        <v>46082</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59849-2025</t>
        </is>
      </c>
      <c r="B1890" s="1" t="n">
        <v>45992.70704861111</v>
      </c>
      <c r="C1890" s="1" t="n">
        <v>46082</v>
      </c>
      <c r="D1890" t="inlineStr">
        <is>
          <t>VÄSTERNORRLANDS LÄN</t>
        </is>
      </c>
      <c r="E1890" t="inlineStr">
        <is>
          <t>SOLLEFTEÅ</t>
        </is>
      </c>
      <c r="F1890" t="inlineStr">
        <is>
          <t>Holmen skog AB</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59648-2025</t>
        </is>
      </c>
      <c r="B1891" s="1" t="n">
        <v>45992.42827546296</v>
      </c>
      <c r="C1891" s="1" t="n">
        <v>46082</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59645-2025</t>
        </is>
      </c>
      <c r="B1892" s="1" t="n">
        <v>45992.42796296296</v>
      </c>
      <c r="C1892" s="1" t="n">
        <v>46082</v>
      </c>
      <c r="D1892" t="inlineStr">
        <is>
          <t>VÄSTERNORRLANDS LÄN</t>
        </is>
      </c>
      <c r="E1892" t="inlineStr">
        <is>
          <t>SOLLEFTEÅ</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10240-2025</t>
        </is>
      </c>
      <c r="B1893" s="1" t="n">
        <v>45720.34508101852</v>
      </c>
      <c r="C1893" s="1" t="n">
        <v>46082</v>
      </c>
      <c r="D1893" t="inlineStr">
        <is>
          <t>VÄSTERNORRLANDS LÄN</t>
        </is>
      </c>
      <c r="E1893" t="inlineStr">
        <is>
          <t>SOLLEFTEÅ</t>
        </is>
      </c>
      <c r="F1893" t="inlineStr">
        <is>
          <t>SCA</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59408-2025</t>
        </is>
      </c>
      <c r="B1894" s="1" t="n">
        <v>45989.49541666666</v>
      </c>
      <c r="C1894" s="1" t="n">
        <v>46082</v>
      </c>
      <c r="D1894" t="inlineStr">
        <is>
          <t>VÄSTERNORRLANDS LÄN</t>
        </is>
      </c>
      <c r="E1894" t="inlineStr">
        <is>
          <t>SOLLEFTEÅ</t>
        </is>
      </c>
      <c r="F1894" t="inlineStr">
        <is>
          <t>Holmen skog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44393-2023</t>
        </is>
      </c>
      <c r="B1895" s="1" t="n">
        <v>45188.94534722222</v>
      </c>
      <c r="C1895" s="1" t="n">
        <v>46082</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59679-2025</t>
        </is>
      </c>
      <c r="B1896" s="1" t="n">
        <v>45992.46934027778</v>
      </c>
      <c r="C1896" s="1" t="n">
        <v>46082</v>
      </c>
      <c r="D1896" t="inlineStr">
        <is>
          <t>VÄSTERNORRLANDS LÄN</t>
        </is>
      </c>
      <c r="E1896" t="inlineStr">
        <is>
          <t>SOLLEFTEÅ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32157-2024</t>
        </is>
      </c>
      <c r="B1897" s="1" t="n">
        <v>45511.57340277778</v>
      </c>
      <c r="C1897" s="1" t="n">
        <v>46082</v>
      </c>
      <c r="D1897" t="inlineStr">
        <is>
          <t>VÄSTERNORRLANDS LÄN</t>
        </is>
      </c>
      <c r="E1897" t="inlineStr">
        <is>
          <t>SOLLEFTEÅ</t>
        </is>
      </c>
      <c r="F1897" t="inlineStr">
        <is>
          <t>Holmen skog AB</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59541-2025</t>
        </is>
      </c>
      <c r="B1898" s="1" t="n">
        <v>45990.34443287037</v>
      </c>
      <c r="C1898" s="1" t="n">
        <v>46082</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6282-2024</t>
        </is>
      </c>
      <c r="B1899" s="1" t="n">
        <v>45337</v>
      </c>
      <c r="C1899" s="1" t="n">
        <v>46082</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37381-2023</t>
        </is>
      </c>
      <c r="B1900" s="1" t="n">
        <v>45155</v>
      </c>
      <c r="C1900" s="1" t="n">
        <v>46082</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35509-2024</t>
        </is>
      </c>
      <c r="B1901" s="1" t="n">
        <v>45531</v>
      </c>
      <c r="C1901" s="1" t="n">
        <v>46082</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35513-2024</t>
        </is>
      </c>
      <c r="B1902" s="1" t="n">
        <v>45531</v>
      </c>
      <c r="C1902" s="1" t="n">
        <v>46082</v>
      </c>
      <c r="D1902" t="inlineStr">
        <is>
          <t>VÄSTERNORRLANDS LÄN</t>
        </is>
      </c>
      <c r="E1902" t="inlineStr">
        <is>
          <t>SOLLEFTEÅ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8914-2025</t>
        </is>
      </c>
      <c r="B1903" s="1" t="n">
        <v>45713.42743055556</v>
      </c>
      <c r="C1903" s="1" t="n">
        <v>46082</v>
      </c>
      <c r="D1903" t="inlineStr">
        <is>
          <t>VÄSTERNORRLANDS LÄN</t>
        </is>
      </c>
      <c r="E1903" t="inlineStr">
        <is>
          <t>SOLLEFTEÅ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59767-2025</t>
        </is>
      </c>
      <c r="B1904" s="1" t="n">
        <v>45992.59505787037</v>
      </c>
      <c r="C1904" s="1" t="n">
        <v>46082</v>
      </c>
      <c r="D1904" t="inlineStr">
        <is>
          <t>VÄSTERNORRLANDS LÄN</t>
        </is>
      </c>
      <c r="E1904" t="inlineStr">
        <is>
          <t>SOLLEFTEÅ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3633-2024</t>
        </is>
      </c>
      <c r="B1905" s="1" t="n">
        <v>45320</v>
      </c>
      <c r="C1905" s="1" t="n">
        <v>46082</v>
      </c>
      <c r="D1905" t="inlineStr">
        <is>
          <t>VÄSTERNORRLANDS LÄN</t>
        </is>
      </c>
      <c r="E1905" t="inlineStr">
        <is>
          <t>SOLLEFTEÅ</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3556-2022</t>
        </is>
      </c>
      <c r="B1906" s="1" t="n">
        <v>44585</v>
      </c>
      <c r="C1906" s="1" t="n">
        <v>46082</v>
      </c>
      <c r="D1906" t="inlineStr">
        <is>
          <t>VÄSTERNORRLANDS LÄN</t>
        </is>
      </c>
      <c r="E1906" t="inlineStr">
        <is>
          <t>SOLLEFTEÅ</t>
        </is>
      </c>
      <c r="F1906" t="inlineStr">
        <is>
          <t>SCA</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59436-2025</t>
        </is>
      </c>
      <c r="B1907" s="1" t="n">
        <v>45989.55641203704</v>
      </c>
      <c r="C1907" s="1" t="n">
        <v>46082</v>
      </c>
      <c r="D1907" t="inlineStr">
        <is>
          <t>VÄSTERNORRLANDS LÄN</t>
        </is>
      </c>
      <c r="E1907" t="inlineStr">
        <is>
          <t>SOLLEFTEÅ</t>
        </is>
      </c>
      <c r="F1907" t="inlineStr">
        <is>
          <t>Holmen skog AB</t>
        </is>
      </c>
      <c r="G1907" t="n">
        <v>20</v>
      </c>
      <c r="H1907" t="n">
        <v>0</v>
      </c>
      <c r="I1907" t="n">
        <v>0</v>
      </c>
      <c r="J1907" t="n">
        <v>0</v>
      </c>
      <c r="K1907" t="n">
        <v>0</v>
      </c>
      <c r="L1907" t="n">
        <v>0</v>
      </c>
      <c r="M1907" t="n">
        <v>0</v>
      </c>
      <c r="N1907" t="n">
        <v>0</v>
      </c>
      <c r="O1907" t="n">
        <v>0</v>
      </c>
      <c r="P1907" t="n">
        <v>0</v>
      </c>
      <c r="Q1907" t="n">
        <v>0</v>
      </c>
      <c r="R1907" s="2" t="inlineStr"/>
    </row>
    <row r="1908" ht="15" customHeight="1">
      <c r="A1908" t="inlineStr">
        <is>
          <t>A 40921-2024</t>
        </is>
      </c>
      <c r="B1908" s="1" t="n">
        <v>45558.6358912037</v>
      </c>
      <c r="C1908" s="1" t="n">
        <v>46082</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59766-2025</t>
        </is>
      </c>
      <c r="B1909" s="1" t="n">
        <v>45992.59480324074</v>
      </c>
      <c r="C1909" s="1" t="n">
        <v>46082</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59764-2025</t>
        </is>
      </c>
      <c r="B1910" s="1" t="n">
        <v>45992.59456018519</v>
      </c>
      <c r="C1910" s="1" t="n">
        <v>46082</v>
      </c>
      <c r="D1910" t="inlineStr">
        <is>
          <t>VÄSTERNORRLANDS LÄN</t>
        </is>
      </c>
      <c r="E1910" t="inlineStr">
        <is>
          <t>SOLLEFTEÅ</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59765-2025</t>
        </is>
      </c>
      <c r="B1911" s="1" t="n">
        <v>45992.59473379629</v>
      </c>
      <c r="C1911" s="1" t="n">
        <v>46082</v>
      </c>
      <c r="D1911" t="inlineStr">
        <is>
          <t>VÄSTERNORRLANDS LÄN</t>
        </is>
      </c>
      <c r="E1911" t="inlineStr">
        <is>
          <t>SOLLEFTEÅ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39446-2024</t>
        </is>
      </c>
      <c r="B1912" s="1" t="n">
        <v>45551</v>
      </c>
      <c r="C1912" s="1" t="n">
        <v>46082</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59592-2025</t>
        </is>
      </c>
      <c r="B1913" s="1" t="n">
        <v>45992.34443287037</v>
      </c>
      <c r="C1913" s="1" t="n">
        <v>46082</v>
      </c>
      <c r="D1913" t="inlineStr">
        <is>
          <t>VÄSTERNORRLANDS LÄN</t>
        </is>
      </c>
      <c r="E1913" t="inlineStr">
        <is>
          <t>SOLLEFTEÅ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59758-2025</t>
        </is>
      </c>
      <c r="B1914" s="1" t="n">
        <v>45992.59136574074</v>
      </c>
      <c r="C1914" s="1" t="n">
        <v>46082</v>
      </c>
      <c r="D1914" t="inlineStr">
        <is>
          <t>VÄSTERNORRLANDS LÄN</t>
        </is>
      </c>
      <c r="E1914" t="inlineStr">
        <is>
          <t>SOLLEFTEÅ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58508-2025</t>
        </is>
      </c>
      <c r="B1915" s="1" t="n">
        <v>45982</v>
      </c>
      <c r="C1915" s="1" t="n">
        <v>46082</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59680-2025</t>
        </is>
      </c>
      <c r="B1916" s="1" t="n">
        <v>45992.46940972222</v>
      </c>
      <c r="C1916" s="1" t="n">
        <v>46082</v>
      </c>
      <c r="D1916" t="inlineStr">
        <is>
          <t>VÄSTERNORRLANDS LÄN</t>
        </is>
      </c>
      <c r="E1916" t="inlineStr">
        <is>
          <t>SOLLEFTEÅ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58382-2025</t>
        </is>
      </c>
      <c r="B1917" s="1" t="n">
        <v>45982</v>
      </c>
      <c r="C1917" s="1" t="n">
        <v>46082</v>
      </c>
      <c r="D1917" t="inlineStr">
        <is>
          <t>VÄSTERNORRLANDS LÄN</t>
        </is>
      </c>
      <c r="E1917" t="inlineStr">
        <is>
          <t>SOLLEFTEÅ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58391-2025</t>
        </is>
      </c>
      <c r="B1918" s="1" t="n">
        <v>45982</v>
      </c>
      <c r="C1918" s="1" t="n">
        <v>46082</v>
      </c>
      <c r="D1918" t="inlineStr">
        <is>
          <t>VÄSTERNORRLANDS LÄN</t>
        </is>
      </c>
      <c r="E1918" t="inlineStr">
        <is>
          <t>SOLLEFTEÅ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59563-2024</t>
        </is>
      </c>
      <c r="B1919" s="1" t="n">
        <v>45638.63733796297</v>
      </c>
      <c r="C1919" s="1" t="n">
        <v>46082</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59789-2025</t>
        </is>
      </c>
      <c r="B1920" s="1" t="n">
        <v>45992.61519675926</v>
      </c>
      <c r="C1920" s="1" t="n">
        <v>46082</v>
      </c>
      <c r="D1920" t="inlineStr">
        <is>
          <t>VÄSTERNORRLANDS LÄN</t>
        </is>
      </c>
      <c r="E1920" t="inlineStr">
        <is>
          <t>SOLLEFTEÅ</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46082</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40354-2024</t>
        </is>
      </c>
      <c r="B1922" s="1" t="n">
        <v>45555.36525462963</v>
      </c>
      <c r="C1922" s="1" t="n">
        <v>46082</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60036-2025</t>
        </is>
      </c>
      <c r="B1923" s="1" t="n">
        <v>45993.61569444444</v>
      </c>
      <c r="C1923" s="1" t="n">
        <v>46082</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59866-2025</t>
        </is>
      </c>
      <c r="B1924" s="1" t="n">
        <v>45992.86497685185</v>
      </c>
      <c r="C1924" s="1" t="n">
        <v>46082</v>
      </c>
      <c r="D1924" t="inlineStr">
        <is>
          <t>VÄSTERNORRLANDS LÄN</t>
        </is>
      </c>
      <c r="E1924" t="inlineStr">
        <is>
          <t>SOLLEFTEÅ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60063-2025</t>
        </is>
      </c>
      <c r="B1925" s="1" t="n">
        <v>45993.65711805555</v>
      </c>
      <c r="C1925" s="1" t="n">
        <v>46082</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55692-2024</t>
        </is>
      </c>
      <c r="B1926" s="1" t="n">
        <v>45622</v>
      </c>
      <c r="C1926" s="1" t="n">
        <v>46082</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55792-2024</t>
        </is>
      </c>
      <c r="B1927" s="1" t="n">
        <v>45623</v>
      </c>
      <c r="C1927" s="1" t="n">
        <v>46082</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3001-2022</t>
        </is>
      </c>
      <c r="B1928" s="1" t="n">
        <v>44581</v>
      </c>
      <c r="C1928" s="1" t="n">
        <v>46082</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59999-2025</t>
        </is>
      </c>
      <c r="B1929" s="1" t="n">
        <v>45993.57372685185</v>
      </c>
      <c r="C1929" s="1" t="n">
        <v>46082</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59896-2025</t>
        </is>
      </c>
      <c r="B1930" s="1" t="n">
        <v>45993.34427083333</v>
      </c>
      <c r="C1930" s="1" t="n">
        <v>46082</v>
      </c>
      <c r="D1930" t="inlineStr">
        <is>
          <t>VÄSTERNORRLANDS LÄN</t>
        </is>
      </c>
      <c r="E1930" t="inlineStr">
        <is>
          <t>SOLLEFTEÅ</t>
        </is>
      </c>
      <c r="F1930" t="inlineStr">
        <is>
          <t>SCA</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24461-2024</t>
        </is>
      </c>
      <c r="B1931" s="1" t="n">
        <v>45457.96806712963</v>
      </c>
      <c r="C1931" s="1" t="n">
        <v>46082</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31670-2024</t>
        </is>
      </c>
      <c r="B1932" s="1" t="n">
        <v>45506.94805555556</v>
      </c>
      <c r="C1932" s="1" t="n">
        <v>46082</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31681-2024</t>
        </is>
      </c>
      <c r="B1933" s="1" t="n">
        <v>45506.94902777778</v>
      </c>
      <c r="C1933" s="1" t="n">
        <v>46082</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60123-2025</t>
        </is>
      </c>
      <c r="B1934" s="1" t="n">
        <v>45994.33506944445</v>
      </c>
      <c r="C1934" s="1" t="n">
        <v>46082</v>
      </c>
      <c r="D1934" t="inlineStr">
        <is>
          <t>VÄSTERNORRLANDS LÄN</t>
        </is>
      </c>
      <c r="E1934" t="inlineStr">
        <is>
          <t>SOLLEFTEÅ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57487-2024</t>
        </is>
      </c>
      <c r="B1935" s="1" t="n">
        <v>45630.36166666666</v>
      </c>
      <c r="C1935" s="1" t="n">
        <v>46082</v>
      </c>
      <c r="D1935" t="inlineStr">
        <is>
          <t>VÄSTERNORRLANDS LÄN</t>
        </is>
      </c>
      <c r="E1935" t="inlineStr">
        <is>
          <t>SOLLEFTEÅ</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60709-2025</t>
        </is>
      </c>
      <c r="B1936" s="1" t="n">
        <v>45996.62238425926</v>
      </c>
      <c r="C1936" s="1" t="n">
        <v>46082</v>
      </c>
      <c r="D1936" t="inlineStr">
        <is>
          <t>VÄSTERNORRLANDS LÄN</t>
        </is>
      </c>
      <c r="E1936" t="inlineStr">
        <is>
          <t>SOLLEFTEÅ</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48396-2024</t>
        </is>
      </c>
      <c r="B1937" s="1" t="n">
        <v>45590.61503472222</v>
      </c>
      <c r="C1937" s="1" t="n">
        <v>46082</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60597-2025</t>
        </is>
      </c>
      <c r="B1938" s="1" t="n">
        <v>45996</v>
      </c>
      <c r="C1938" s="1" t="n">
        <v>46082</v>
      </c>
      <c r="D1938" t="inlineStr">
        <is>
          <t>VÄSTERNORRLANDS LÄN</t>
        </is>
      </c>
      <c r="E1938" t="inlineStr">
        <is>
          <t>SOLLEFTEÅ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60410-2025</t>
        </is>
      </c>
      <c r="B1939" s="1" t="n">
        <v>45995.44840277778</v>
      </c>
      <c r="C1939" s="1" t="n">
        <v>46082</v>
      </c>
      <c r="D1939" t="inlineStr">
        <is>
          <t>VÄSTERNORRLANDS LÄN</t>
        </is>
      </c>
      <c r="E1939" t="inlineStr">
        <is>
          <t>SOLLEFTEÅ</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59635-2025</t>
        </is>
      </c>
      <c r="B1940" s="1" t="n">
        <v>45992.4065625</v>
      </c>
      <c r="C1940" s="1" t="n">
        <v>46082</v>
      </c>
      <c r="D1940" t="inlineStr">
        <is>
          <t>VÄSTERNORRLANDS LÄN</t>
        </is>
      </c>
      <c r="E1940" t="inlineStr">
        <is>
          <t>SOLLEFTEÅ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10554-2022</t>
        </is>
      </c>
      <c r="B1941" s="1" t="n">
        <v>44623.93775462963</v>
      </c>
      <c r="C1941" s="1" t="n">
        <v>46082</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60515-2025</t>
        </is>
      </c>
      <c r="B1942" s="1" t="n">
        <v>45995</v>
      </c>
      <c r="C1942" s="1" t="n">
        <v>46082</v>
      </c>
      <c r="D1942" t="inlineStr">
        <is>
          <t>VÄSTERNORRLANDS LÄN</t>
        </is>
      </c>
      <c r="E1942" t="inlineStr">
        <is>
          <t>SOLLEFTEÅ</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60514-2025</t>
        </is>
      </c>
      <c r="B1943" s="1" t="n">
        <v>45995.63584490741</v>
      </c>
      <c r="C1943" s="1" t="n">
        <v>46082</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60516-2025</t>
        </is>
      </c>
      <c r="B1944" s="1" t="n">
        <v>45995.63630787037</v>
      </c>
      <c r="C1944" s="1" t="n">
        <v>46082</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60645-2025</t>
        </is>
      </c>
      <c r="B1945" s="1" t="n">
        <v>45996.44834490741</v>
      </c>
      <c r="C1945" s="1" t="n">
        <v>46082</v>
      </c>
      <c r="D1945" t="inlineStr">
        <is>
          <t>VÄSTERNORRLANDS LÄN</t>
        </is>
      </c>
      <c r="E1945" t="inlineStr">
        <is>
          <t>SOLLEFTEÅ</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40429-2024</t>
        </is>
      </c>
      <c r="B1946" s="1" t="n">
        <v>45555</v>
      </c>
      <c r="C1946" s="1" t="n">
        <v>46082</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60601-2025</t>
        </is>
      </c>
      <c r="B1947" s="1" t="n">
        <v>45996.3521412037</v>
      </c>
      <c r="C1947" s="1" t="n">
        <v>46082</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60677-2025</t>
        </is>
      </c>
      <c r="B1948" s="1" t="n">
        <v>45996.56097222222</v>
      </c>
      <c r="C1948" s="1" t="n">
        <v>46082</v>
      </c>
      <c r="D1948" t="inlineStr">
        <is>
          <t>VÄSTERNORRLANDS LÄN</t>
        </is>
      </c>
      <c r="E1948" t="inlineStr">
        <is>
          <t>SOLLEFTEÅ</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44410-2023</t>
        </is>
      </c>
      <c r="B1949" s="1" t="n">
        <v>45188.94677083333</v>
      </c>
      <c r="C1949" s="1" t="n">
        <v>46082</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60591-2025</t>
        </is>
      </c>
      <c r="B1950" s="1" t="n">
        <v>45996.34302083333</v>
      </c>
      <c r="C1950" s="1" t="n">
        <v>46082</v>
      </c>
      <c r="D1950" t="inlineStr">
        <is>
          <t>VÄSTERNORRLANDS LÄN</t>
        </is>
      </c>
      <c r="E1950" t="inlineStr">
        <is>
          <t>SOLLEFTEÅ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2044-2025</t>
        </is>
      </c>
      <c r="B1951" s="1" t="n">
        <v>45672</v>
      </c>
      <c r="C1951" s="1" t="n">
        <v>46082</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46082</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60803-2025</t>
        </is>
      </c>
      <c r="B1953" s="1" t="n">
        <v>45999.43230324074</v>
      </c>
      <c r="C1953" s="1" t="n">
        <v>46082</v>
      </c>
      <c r="D1953" t="inlineStr">
        <is>
          <t>VÄSTERNORRLANDS LÄN</t>
        </is>
      </c>
      <c r="E1953" t="inlineStr">
        <is>
          <t>SOLLEFTEÅ</t>
        </is>
      </c>
      <c r="F1953" t="inlineStr">
        <is>
          <t>Holmen skog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61265-2025</t>
        </is>
      </c>
      <c r="B1954" s="1" t="n">
        <v>46000.67771990741</v>
      </c>
      <c r="C1954" s="1" t="n">
        <v>46082</v>
      </c>
      <c r="D1954" t="inlineStr">
        <is>
          <t>VÄSTERNORRLANDS LÄN</t>
        </is>
      </c>
      <c r="E1954" t="inlineStr">
        <is>
          <t>SOLLEFTEÅ</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46212-2023</t>
        </is>
      </c>
      <c r="B1955" s="1" t="n">
        <v>45190</v>
      </c>
      <c r="C1955" s="1" t="n">
        <v>46082</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61278-2025</t>
        </is>
      </c>
      <c r="B1956" s="1" t="n">
        <v>46000.69827546296</v>
      </c>
      <c r="C1956" s="1" t="n">
        <v>46082</v>
      </c>
      <c r="D1956" t="inlineStr">
        <is>
          <t>VÄSTERNORRLANDS LÄN</t>
        </is>
      </c>
      <c r="E1956" t="inlineStr">
        <is>
          <t>SOLLEFTEÅ</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61280-2025</t>
        </is>
      </c>
      <c r="B1957" s="1" t="n">
        <v>46000.6985300926</v>
      </c>
      <c r="C1957" s="1" t="n">
        <v>46082</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3274-2026</t>
        </is>
      </c>
      <c r="B1958" s="1" t="n">
        <v>46041.61489583334</v>
      </c>
      <c r="C1958" s="1" t="n">
        <v>46082</v>
      </c>
      <c r="D1958" t="inlineStr">
        <is>
          <t>VÄSTERNORRLANDS LÄN</t>
        </is>
      </c>
      <c r="E1958" t="inlineStr">
        <is>
          <t>SOLLEFTEÅ</t>
        </is>
      </c>
      <c r="G1958" t="n">
        <v>14.7</v>
      </c>
      <c r="H1958" t="n">
        <v>0</v>
      </c>
      <c r="I1958" t="n">
        <v>0</v>
      </c>
      <c r="J1958" t="n">
        <v>0</v>
      </c>
      <c r="K1958" t="n">
        <v>0</v>
      </c>
      <c r="L1958" t="n">
        <v>0</v>
      </c>
      <c r="M1958" t="n">
        <v>0</v>
      </c>
      <c r="N1958" t="n">
        <v>0</v>
      </c>
      <c r="O1958" t="n">
        <v>0</v>
      </c>
      <c r="P1958" t="n">
        <v>0</v>
      </c>
      <c r="Q1958" t="n">
        <v>0</v>
      </c>
      <c r="R1958" s="2" t="inlineStr"/>
    </row>
    <row r="1959" ht="15" customHeight="1">
      <c r="A1959" t="inlineStr">
        <is>
          <t>A 60956-2025</t>
        </is>
      </c>
      <c r="B1959" s="1" t="n">
        <v>45999.65674768519</v>
      </c>
      <c r="C1959" s="1" t="n">
        <v>46082</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3398-2026</t>
        </is>
      </c>
      <c r="B1960" s="1" t="n">
        <v>46042.38586805556</v>
      </c>
      <c r="C1960" s="1" t="n">
        <v>46082</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3426-2026</t>
        </is>
      </c>
      <c r="B1961" s="1" t="n">
        <v>46042.44835648148</v>
      </c>
      <c r="C1961" s="1" t="n">
        <v>46082</v>
      </c>
      <c r="D1961" t="inlineStr">
        <is>
          <t>VÄSTERNORRLANDS LÄN</t>
        </is>
      </c>
      <c r="E1961" t="inlineStr">
        <is>
          <t>SOLLEFTEÅ</t>
        </is>
      </c>
      <c r="G1961" t="n">
        <v>9.9</v>
      </c>
      <c r="H1961" t="n">
        <v>0</v>
      </c>
      <c r="I1961" t="n">
        <v>0</v>
      </c>
      <c r="J1961" t="n">
        <v>0</v>
      </c>
      <c r="K1961" t="n">
        <v>0</v>
      </c>
      <c r="L1961" t="n">
        <v>0</v>
      </c>
      <c r="M1961" t="n">
        <v>0</v>
      </c>
      <c r="N1961" t="n">
        <v>0</v>
      </c>
      <c r="O1961" t="n">
        <v>0</v>
      </c>
      <c r="P1961" t="n">
        <v>0</v>
      </c>
      <c r="Q1961" t="n">
        <v>0</v>
      </c>
      <c r="R1961" s="2" t="inlineStr"/>
    </row>
    <row r="1962" ht="15" customHeight="1">
      <c r="A1962" t="inlineStr">
        <is>
          <t>A 3425-2026</t>
        </is>
      </c>
      <c r="B1962" s="1" t="n">
        <v>46042.44827546296</v>
      </c>
      <c r="C1962" s="1" t="n">
        <v>46082</v>
      </c>
      <c r="D1962" t="inlineStr">
        <is>
          <t>VÄSTERNORRLANDS LÄN</t>
        </is>
      </c>
      <c r="E1962" t="inlineStr">
        <is>
          <t>SOLLEFTEÅ</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2456-2025</t>
        </is>
      </c>
      <c r="B1963" s="1" t="n">
        <v>45673</v>
      </c>
      <c r="C1963" s="1" t="n">
        <v>46082</v>
      </c>
      <c r="D1963" t="inlineStr">
        <is>
          <t>VÄSTERNORRLANDS LÄN</t>
        </is>
      </c>
      <c r="E1963" t="inlineStr">
        <is>
          <t>SOLLEFTEÅ</t>
        </is>
      </c>
      <c r="F1963" t="inlineStr">
        <is>
          <t>Kommuner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3229-2026</t>
        </is>
      </c>
      <c r="B1964" s="1" t="n">
        <v>46041.55244212963</v>
      </c>
      <c r="C1964" s="1" t="n">
        <v>46082</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1464-2025</t>
        </is>
      </c>
      <c r="B1965" s="1" t="n">
        <v>45670.365</v>
      </c>
      <c r="C1965" s="1" t="n">
        <v>46082</v>
      </c>
      <c r="D1965" t="inlineStr">
        <is>
          <t>VÄSTERNORRLANDS LÄN</t>
        </is>
      </c>
      <c r="E1965" t="inlineStr">
        <is>
          <t>SOLLEFTEÅ</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60764-2025</t>
        </is>
      </c>
      <c r="B1966" s="1" t="n">
        <v>45999.38659722222</v>
      </c>
      <c r="C1966" s="1" t="n">
        <v>46082</v>
      </c>
      <c r="D1966" t="inlineStr">
        <is>
          <t>VÄSTERNORRLANDS LÄN</t>
        </is>
      </c>
      <c r="E1966" t="inlineStr">
        <is>
          <t>SOLLEFTEÅ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60854-2025</t>
        </is>
      </c>
      <c r="B1967" s="1" t="n">
        <v>45999</v>
      </c>
      <c r="C1967" s="1" t="n">
        <v>46082</v>
      </c>
      <c r="D1967" t="inlineStr">
        <is>
          <t>VÄSTERNORRLANDS LÄN</t>
        </is>
      </c>
      <c r="E1967" t="inlineStr">
        <is>
          <t>SOLLEFTEÅ</t>
        </is>
      </c>
      <c r="F1967" t="inlineStr">
        <is>
          <t>SCA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3179-2026</t>
        </is>
      </c>
      <c r="B1968" s="1" t="n">
        <v>46041.44837962963</v>
      </c>
      <c r="C1968" s="1" t="n">
        <v>46082</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8656-2024</t>
        </is>
      </c>
      <c r="B1969" s="1" t="n">
        <v>45356</v>
      </c>
      <c r="C1969" s="1" t="n">
        <v>46082</v>
      </c>
      <c r="D1969" t="inlineStr">
        <is>
          <t>VÄSTERNORRLANDS LÄN</t>
        </is>
      </c>
      <c r="E1969" t="inlineStr">
        <is>
          <t>SOLLEFTEÅ</t>
        </is>
      </c>
      <c r="F1969" t="inlineStr">
        <is>
          <t>SCA</t>
        </is>
      </c>
      <c r="G1969" t="n">
        <v>18.4</v>
      </c>
      <c r="H1969" t="n">
        <v>0</v>
      </c>
      <c r="I1969" t="n">
        <v>0</v>
      </c>
      <c r="J1969" t="n">
        <v>0</v>
      </c>
      <c r="K1969" t="n">
        <v>0</v>
      </c>
      <c r="L1969" t="n">
        <v>0</v>
      </c>
      <c r="M1969" t="n">
        <v>0</v>
      </c>
      <c r="N1969" t="n">
        <v>0</v>
      </c>
      <c r="O1969" t="n">
        <v>0</v>
      </c>
      <c r="P1969" t="n">
        <v>0</v>
      </c>
      <c r="Q1969" t="n">
        <v>0</v>
      </c>
      <c r="R1969" s="2" t="inlineStr"/>
    </row>
    <row r="1970" ht="15" customHeight="1">
      <c r="A1970" t="inlineStr">
        <is>
          <t>A 20628-2023</t>
        </is>
      </c>
      <c r="B1970" s="1" t="n">
        <v>45057.94373842593</v>
      </c>
      <c r="C1970" s="1" t="n">
        <v>46082</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19295-2022</t>
        </is>
      </c>
      <c r="B1971" s="1" t="n">
        <v>44692</v>
      </c>
      <c r="C1971" s="1" t="n">
        <v>46082</v>
      </c>
      <c r="D1971" t="inlineStr">
        <is>
          <t>VÄSTERNORRLANDS LÄN</t>
        </is>
      </c>
      <c r="E1971" t="inlineStr">
        <is>
          <t>SOLLEFTEÅ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3435-2026</t>
        </is>
      </c>
      <c r="B1972" s="1" t="n">
        <v>46042.46942129629</v>
      </c>
      <c r="C1972" s="1" t="n">
        <v>46082</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3436-2026</t>
        </is>
      </c>
      <c r="B1973" s="1" t="n">
        <v>46042.46947916667</v>
      </c>
      <c r="C1973" s="1" t="n">
        <v>46082</v>
      </c>
      <c r="D1973" t="inlineStr">
        <is>
          <t>VÄSTERNORRLANDS LÄN</t>
        </is>
      </c>
      <c r="E1973" t="inlineStr">
        <is>
          <t>SOLLEFTEÅ</t>
        </is>
      </c>
      <c r="G1973" t="n">
        <v>18.4</v>
      </c>
      <c r="H1973" t="n">
        <v>0</v>
      </c>
      <c r="I1973" t="n">
        <v>0</v>
      </c>
      <c r="J1973" t="n">
        <v>0</v>
      </c>
      <c r="K1973" t="n">
        <v>0</v>
      </c>
      <c r="L1973" t="n">
        <v>0</v>
      </c>
      <c r="M1973" t="n">
        <v>0</v>
      </c>
      <c r="N1973" t="n">
        <v>0</v>
      </c>
      <c r="O1973" t="n">
        <v>0</v>
      </c>
      <c r="P1973" t="n">
        <v>0</v>
      </c>
      <c r="Q1973" t="n">
        <v>0</v>
      </c>
      <c r="R1973" s="2" t="inlineStr"/>
    </row>
    <row r="1974" ht="15" customHeight="1">
      <c r="A1974" t="inlineStr">
        <is>
          <t>A 1986-2025</t>
        </is>
      </c>
      <c r="B1974" s="1" t="n">
        <v>45672.40684027778</v>
      </c>
      <c r="C1974" s="1" t="n">
        <v>46082</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61062-2025</t>
        </is>
      </c>
      <c r="B1975" s="1" t="n">
        <v>46000.36528935185</v>
      </c>
      <c r="C1975" s="1" t="n">
        <v>46082</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55272-2024</t>
        </is>
      </c>
      <c r="B1976" s="1" t="n">
        <v>45621</v>
      </c>
      <c r="C1976" s="1" t="n">
        <v>46082</v>
      </c>
      <c r="D1976" t="inlineStr">
        <is>
          <t>VÄSTERNORRLANDS LÄN</t>
        </is>
      </c>
      <c r="E1976" t="inlineStr">
        <is>
          <t>SOLLEFTEÅ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61061-2025</t>
        </is>
      </c>
      <c r="B1977" s="1" t="n">
        <v>46000.36512731481</v>
      </c>
      <c r="C1977" s="1" t="n">
        <v>46082</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3210-2026</t>
        </is>
      </c>
      <c r="B1978" s="1" t="n">
        <v>46041.48989583334</v>
      </c>
      <c r="C1978" s="1" t="n">
        <v>46082</v>
      </c>
      <c r="D1978" t="inlineStr">
        <is>
          <t>VÄSTERNORRLANDS LÄN</t>
        </is>
      </c>
      <c r="E1978" t="inlineStr">
        <is>
          <t>SOLLEFTEÅ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3584-2026</t>
        </is>
      </c>
      <c r="B1979" s="1" t="n">
        <v>46042.73206018518</v>
      </c>
      <c r="C1979" s="1" t="n">
        <v>46082</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5359-2025</t>
        </is>
      </c>
      <c r="B1980" s="1" t="n">
        <v>45692</v>
      </c>
      <c r="C1980" s="1" t="n">
        <v>46082</v>
      </c>
      <c r="D1980" t="inlineStr">
        <is>
          <t>VÄSTERNORRLANDS LÄN</t>
        </is>
      </c>
      <c r="E1980" t="inlineStr">
        <is>
          <t>SOLLEFTEÅ</t>
        </is>
      </c>
      <c r="F1980" t="inlineStr">
        <is>
          <t>Övriga statliga verk och myndigheter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3400-2026</t>
        </is>
      </c>
      <c r="B1981" s="1" t="n">
        <v>46042.38619212963</v>
      </c>
      <c r="C1981" s="1" t="n">
        <v>46082</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51942-2024</t>
        </is>
      </c>
      <c r="B1982" s="1" t="n">
        <v>45607.63592592593</v>
      </c>
      <c r="C1982" s="1" t="n">
        <v>46082</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59434-2024</t>
        </is>
      </c>
      <c r="B1983" s="1" t="n">
        <v>45638.43040509259</v>
      </c>
      <c r="C1983" s="1" t="n">
        <v>46082</v>
      </c>
      <c r="D1983" t="inlineStr">
        <is>
          <t>VÄSTERNORRLANDS LÄN</t>
        </is>
      </c>
      <c r="E1983" t="inlineStr">
        <is>
          <t>SOLLEFTEÅ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3314-2026</t>
        </is>
      </c>
      <c r="B1984" s="1" t="n">
        <v>46041</v>
      </c>
      <c r="C1984" s="1" t="n">
        <v>46082</v>
      </c>
      <c r="D1984" t="inlineStr">
        <is>
          <t>VÄSTERNORRLANDS LÄN</t>
        </is>
      </c>
      <c r="E1984" t="inlineStr">
        <is>
          <t>SOLLEFTEÅ</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3052-2026</t>
        </is>
      </c>
      <c r="B1985" s="1" t="n">
        <v>46039.26511574074</v>
      </c>
      <c r="C1985" s="1" t="n">
        <v>46082</v>
      </c>
      <c r="D1985" t="inlineStr">
        <is>
          <t>VÄSTERNORRLANDS LÄN</t>
        </is>
      </c>
      <c r="E1985" t="inlineStr">
        <is>
          <t>SOLLEFTEÅ</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61242-2025</t>
        </is>
      </c>
      <c r="B1986" s="1" t="n">
        <v>46000</v>
      </c>
      <c r="C1986" s="1" t="n">
        <v>46082</v>
      </c>
      <c r="D1986" t="inlineStr">
        <is>
          <t>VÄSTERNORRLANDS LÄN</t>
        </is>
      </c>
      <c r="E1986" t="inlineStr">
        <is>
          <t>SOLLEFTEÅ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12064-2025</t>
        </is>
      </c>
      <c r="B1987" s="1" t="n">
        <v>45728.69861111111</v>
      </c>
      <c r="C1987" s="1" t="n">
        <v>46082</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50698-2023</t>
        </is>
      </c>
      <c r="B1988" s="1" t="n">
        <v>45210</v>
      </c>
      <c r="C1988" s="1" t="n">
        <v>46082</v>
      </c>
      <c r="D1988" t="inlineStr">
        <is>
          <t>VÄSTERNORRLANDS LÄN</t>
        </is>
      </c>
      <c r="E1988" t="inlineStr">
        <is>
          <t>SOLLEFTEÅ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59424-2024</t>
        </is>
      </c>
      <c r="B1989" s="1" t="n">
        <v>45638</v>
      </c>
      <c r="C1989" s="1" t="n">
        <v>46082</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52709-2024</t>
        </is>
      </c>
      <c r="B1990" s="1" t="n">
        <v>45610.42753472222</v>
      </c>
      <c r="C1990" s="1" t="n">
        <v>46082</v>
      </c>
      <c r="D1990" t="inlineStr">
        <is>
          <t>VÄSTERNORRLANDS LÄN</t>
        </is>
      </c>
      <c r="E1990" t="inlineStr">
        <is>
          <t>SOLLEFTEÅ</t>
        </is>
      </c>
      <c r="F1990" t="inlineStr">
        <is>
          <t>SCA</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45644-2023</t>
        </is>
      </c>
      <c r="B1991" s="1" t="n">
        <v>45188</v>
      </c>
      <c r="C1991" s="1" t="n">
        <v>46082</v>
      </c>
      <c r="D1991" t="inlineStr">
        <is>
          <t>VÄSTERNORRLANDS LÄN</t>
        </is>
      </c>
      <c r="E1991" t="inlineStr">
        <is>
          <t>SOLLEFTEÅ</t>
        </is>
      </c>
      <c r="F1991" t="inlineStr">
        <is>
          <t>SCA</t>
        </is>
      </c>
      <c r="G1991" t="n">
        <v>1</v>
      </c>
      <c r="H1991" t="n">
        <v>0</v>
      </c>
      <c r="I1991" t="n">
        <v>0</v>
      </c>
      <c r="J1991" t="n">
        <v>0</v>
      </c>
      <c r="K1991" t="n">
        <v>0</v>
      </c>
      <c r="L1991" t="n">
        <v>0</v>
      </c>
      <c r="M1991" t="n">
        <v>0</v>
      </c>
      <c r="N1991" t="n">
        <v>0</v>
      </c>
      <c r="O1991" t="n">
        <v>0</v>
      </c>
      <c r="P1991" t="n">
        <v>0</v>
      </c>
      <c r="Q1991" t="n">
        <v>0</v>
      </c>
      <c r="R1991" s="2" t="inlineStr"/>
      <c r="U1991">
        <f>HYPERLINK("https://klasma.github.io/Logging_2283/knärot/A 45644-2023 karta knärot.png", "A 45644-2023")</f>
        <v/>
      </c>
      <c r="V1991">
        <f>HYPERLINK("https://klasma.github.io/Logging_2283/klagomål/A 45644-2023 FSC-klagomål.docx", "A 45644-2023")</f>
        <v/>
      </c>
      <c r="W1991">
        <f>HYPERLINK("https://klasma.github.io/Logging_2283/klagomålsmail/A 45644-2023 FSC-klagomål mail.docx", "A 45644-2023")</f>
        <v/>
      </c>
      <c r="X1991">
        <f>HYPERLINK("https://klasma.github.io/Logging_2283/tillsyn/A 45644-2023 tillsynsbegäran.docx", "A 45644-2023")</f>
        <v/>
      </c>
      <c r="Y1991">
        <f>HYPERLINK("https://klasma.github.io/Logging_2283/tillsynsmail/A 45644-2023 tillsynsbegäran mail.docx", "A 45644-2023")</f>
        <v/>
      </c>
    </row>
    <row r="1992" ht="15" customHeight="1">
      <c r="A1992" t="inlineStr">
        <is>
          <t>A 61588-2025</t>
        </is>
      </c>
      <c r="B1992" s="1" t="n">
        <v>46002.34503472222</v>
      </c>
      <c r="C1992" s="1" t="n">
        <v>46082</v>
      </c>
      <c r="D1992" t="inlineStr">
        <is>
          <t>VÄSTERNORRLANDS LÄN</t>
        </is>
      </c>
      <c r="E1992" t="inlineStr">
        <is>
          <t>SOLLEFTEÅ</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48083-2023</t>
        </is>
      </c>
      <c r="B1993" s="1" t="n">
        <v>45204</v>
      </c>
      <c r="C1993" s="1" t="n">
        <v>46082</v>
      </c>
      <c r="D1993" t="inlineStr">
        <is>
          <t>VÄSTERNORRLANDS LÄN</t>
        </is>
      </c>
      <c r="E1993" t="inlineStr">
        <is>
          <t>SOLLEFTEÅ</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60430-2025</t>
        </is>
      </c>
      <c r="B1994" s="1" t="n">
        <v>45995.47020833333</v>
      </c>
      <c r="C1994" s="1" t="n">
        <v>46082</v>
      </c>
      <c r="D1994" t="inlineStr">
        <is>
          <t>VÄSTERNORRLANDS LÄN</t>
        </is>
      </c>
      <c r="E1994" t="inlineStr">
        <is>
          <t>SOLLEFTEÅ</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61488-2025</t>
        </is>
      </c>
      <c r="B1995" s="1" t="n">
        <v>46001.63652777778</v>
      </c>
      <c r="C1995" s="1" t="n">
        <v>46082</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40115-2023</t>
        </is>
      </c>
      <c r="B1996" s="1" t="n">
        <v>45168.93859953704</v>
      </c>
      <c r="C1996" s="1" t="n">
        <v>46082</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52461-2024</t>
        </is>
      </c>
      <c r="B1997" s="1" t="n">
        <v>45609.51947916667</v>
      </c>
      <c r="C1997" s="1" t="n">
        <v>46082</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61485-2025</t>
        </is>
      </c>
      <c r="B1998" s="1" t="n">
        <v>46001.63587962963</v>
      </c>
      <c r="C1998" s="1" t="n">
        <v>46082</v>
      </c>
      <c r="D1998" t="inlineStr">
        <is>
          <t>VÄSTERNORRLANDS LÄN</t>
        </is>
      </c>
      <c r="E1998" t="inlineStr">
        <is>
          <t>SOLLEFTEÅ</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31925-2023</t>
        </is>
      </c>
      <c r="B1999" s="1" t="n">
        <v>45118</v>
      </c>
      <c r="C1999" s="1" t="n">
        <v>46082</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12164-2023</t>
        </is>
      </c>
      <c r="B2000" s="1" t="n">
        <v>44995</v>
      </c>
      <c r="C2000" s="1" t="n">
        <v>46082</v>
      </c>
      <c r="D2000" t="inlineStr">
        <is>
          <t>VÄSTERNORRLANDS LÄN</t>
        </is>
      </c>
      <c r="E2000" t="inlineStr">
        <is>
          <t>SOLLEFTEÅ</t>
        </is>
      </c>
      <c r="G2000" t="n">
        <v>18.3</v>
      </c>
      <c r="H2000" t="n">
        <v>0</v>
      </c>
      <c r="I2000" t="n">
        <v>0</v>
      </c>
      <c r="J2000" t="n">
        <v>0</v>
      </c>
      <c r="K2000" t="n">
        <v>0</v>
      </c>
      <c r="L2000" t="n">
        <v>0</v>
      </c>
      <c r="M2000" t="n">
        <v>0</v>
      </c>
      <c r="N2000" t="n">
        <v>0</v>
      </c>
      <c r="O2000" t="n">
        <v>0</v>
      </c>
      <c r="P2000" t="n">
        <v>0</v>
      </c>
      <c r="Q2000" t="n">
        <v>0</v>
      </c>
      <c r="R2000" s="2" t="inlineStr"/>
    </row>
    <row r="2001" ht="15" customHeight="1">
      <c r="A2001" t="inlineStr">
        <is>
          <t>A 61669-2025</t>
        </is>
      </c>
      <c r="B2001" s="1" t="n">
        <v>46002.46998842592</v>
      </c>
      <c r="C2001" s="1" t="n">
        <v>46082</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4895-2025</t>
        </is>
      </c>
      <c r="B2002" s="1" t="n">
        <v>45688.67891203704</v>
      </c>
      <c r="C2002" s="1" t="n">
        <v>46082</v>
      </c>
      <c r="D2002" t="inlineStr">
        <is>
          <t>VÄSTERNORRLANDS LÄN</t>
        </is>
      </c>
      <c r="E2002" t="inlineStr">
        <is>
          <t>SOLLEFTEÅ</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9632-2025</t>
        </is>
      </c>
      <c r="B2003" s="1" t="n">
        <v>45715.71921296296</v>
      </c>
      <c r="C2003" s="1" t="n">
        <v>46082</v>
      </c>
      <c r="D2003" t="inlineStr">
        <is>
          <t>VÄSTERNORRLANDS LÄN</t>
        </is>
      </c>
      <c r="E2003" t="inlineStr">
        <is>
          <t>SOLLEFTEÅ</t>
        </is>
      </c>
      <c r="F2003" t="inlineStr">
        <is>
          <t>SCA</t>
        </is>
      </c>
      <c r="G2003" t="n">
        <v>21.6</v>
      </c>
      <c r="H2003" t="n">
        <v>0</v>
      </c>
      <c r="I2003" t="n">
        <v>0</v>
      </c>
      <c r="J2003" t="n">
        <v>0</v>
      </c>
      <c r="K2003" t="n">
        <v>0</v>
      </c>
      <c r="L2003" t="n">
        <v>0</v>
      </c>
      <c r="M2003" t="n">
        <v>0</v>
      </c>
      <c r="N2003" t="n">
        <v>0</v>
      </c>
      <c r="O2003" t="n">
        <v>0</v>
      </c>
      <c r="P2003" t="n">
        <v>0</v>
      </c>
      <c r="Q2003" t="n">
        <v>0</v>
      </c>
      <c r="R2003" s="2" t="inlineStr"/>
    </row>
    <row r="2004" ht="15" customHeight="1">
      <c r="A2004" t="inlineStr">
        <is>
          <t>A 61333-2025</t>
        </is>
      </c>
      <c r="B2004" s="1" t="n">
        <v>46001.34421296296</v>
      </c>
      <c r="C2004" s="1" t="n">
        <v>46082</v>
      </c>
      <c r="D2004" t="inlineStr">
        <is>
          <t>VÄSTERNORRLANDS LÄN</t>
        </is>
      </c>
      <c r="E2004" t="inlineStr">
        <is>
          <t>SOLLEFTEÅ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51711-2025</t>
        </is>
      </c>
      <c r="B2005" s="1" t="n">
        <v>45951.57133101852</v>
      </c>
      <c r="C2005" s="1" t="n">
        <v>46082</v>
      </c>
      <c r="D2005" t="inlineStr">
        <is>
          <t>VÄSTERNORRLANDS LÄN</t>
        </is>
      </c>
      <c r="E2005" t="inlineStr">
        <is>
          <t>SOLLEFTEÅ</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13138-2024</t>
        </is>
      </c>
      <c r="B2006" s="1" t="n">
        <v>45386</v>
      </c>
      <c r="C2006" s="1" t="n">
        <v>46082</v>
      </c>
      <c r="D2006" t="inlineStr">
        <is>
          <t>VÄSTERNORRLANDS LÄN</t>
        </is>
      </c>
      <c r="E2006" t="inlineStr">
        <is>
          <t>SOLLEFTEÅ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12561-2022</t>
        </is>
      </c>
      <c r="B2007" s="1" t="n">
        <v>44638</v>
      </c>
      <c r="C2007" s="1" t="n">
        <v>46082</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61523-2025</t>
        </is>
      </c>
      <c r="B2008" s="1" t="n">
        <v>46001.68748842592</v>
      </c>
      <c r="C2008" s="1" t="n">
        <v>46082</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27392-2023</t>
        </is>
      </c>
      <c r="B2009" s="1" t="n">
        <v>45096.93997685185</v>
      </c>
      <c r="C2009" s="1" t="n">
        <v>46082</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61775-2025</t>
        </is>
      </c>
      <c r="B2010" s="1" t="n">
        <v>46002.65674768519</v>
      </c>
      <c r="C2010" s="1" t="n">
        <v>46082</v>
      </c>
      <c r="D2010" t="inlineStr">
        <is>
          <t>VÄSTERNORRLANDS LÄN</t>
        </is>
      </c>
      <c r="E2010" t="inlineStr">
        <is>
          <t>SOLLEFTEÅ</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13300-2022</t>
        </is>
      </c>
      <c r="B2011" s="1" t="n">
        <v>44644</v>
      </c>
      <c r="C2011" s="1" t="n">
        <v>46082</v>
      </c>
      <c r="D2011" t="inlineStr">
        <is>
          <t>VÄSTERNORRLANDS LÄN</t>
        </is>
      </c>
      <c r="E2011" t="inlineStr">
        <is>
          <t>SOLLEFTEÅ</t>
        </is>
      </c>
      <c r="F2011" t="inlineStr">
        <is>
          <t>SCA</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3805-2026</t>
        </is>
      </c>
      <c r="B2012" s="1" t="n">
        <v>46043.58320601852</v>
      </c>
      <c r="C2012" s="1" t="n">
        <v>46082</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23394-2021</t>
        </is>
      </c>
      <c r="B2013" s="1" t="n">
        <v>44333</v>
      </c>
      <c r="C2013" s="1" t="n">
        <v>46082</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45071.94090277778</v>
      </c>
      <c r="C2014" s="1" t="n">
        <v>46082</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61507-2025</t>
        </is>
      </c>
      <c r="B2015" s="1" t="n">
        <v>46001.68109953704</v>
      </c>
      <c r="C2015" s="1" t="n">
        <v>46082</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61663-2025</t>
        </is>
      </c>
      <c r="B2016" s="1" t="n">
        <v>46002.46935185185</v>
      </c>
      <c r="C2016" s="1" t="n">
        <v>46082</v>
      </c>
      <c r="D2016" t="inlineStr">
        <is>
          <t>VÄSTERNORRLANDS LÄN</t>
        </is>
      </c>
      <c r="E2016" t="inlineStr">
        <is>
          <t>SOLLEFTEÅ</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61732-2025</t>
        </is>
      </c>
      <c r="B2017" s="1" t="n">
        <v>46002.59408564815</v>
      </c>
      <c r="C2017" s="1" t="n">
        <v>46082</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61733-2025</t>
        </is>
      </c>
      <c r="B2018" s="1" t="n">
        <v>46002.59412037037</v>
      </c>
      <c r="C2018" s="1" t="n">
        <v>46082</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4064-2026</t>
        </is>
      </c>
      <c r="B2019" s="1" t="n">
        <v>46044.5109837963</v>
      </c>
      <c r="C2019" s="1" t="n">
        <v>46082</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16312-2025</t>
        </is>
      </c>
      <c r="B2020" s="1" t="n">
        <v>45751.3474074074</v>
      </c>
      <c r="C2020" s="1" t="n">
        <v>46082</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4149-2026</t>
        </is>
      </c>
      <c r="B2021" s="1" t="n">
        <v>46044.64534722222</v>
      </c>
      <c r="C2021" s="1" t="n">
        <v>46082</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4058-2026</t>
        </is>
      </c>
      <c r="B2022" s="1" t="n">
        <v>46044.49015046296</v>
      </c>
      <c r="C2022" s="1" t="n">
        <v>46082</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18442-2025</t>
        </is>
      </c>
      <c r="B2023" s="1" t="n">
        <v>45762.65658564815</v>
      </c>
      <c r="C2023" s="1" t="n">
        <v>46082</v>
      </c>
      <c r="D2023" t="inlineStr">
        <is>
          <t>VÄSTERNORRLANDS LÄN</t>
        </is>
      </c>
      <c r="E2023" t="inlineStr">
        <is>
          <t>SOLLEFTEÅ</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61347-2025</t>
        </is>
      </c>
      <c r="B2024" s="1" t="n">
        <v>46001.3863425926</v>
      </c>
      <c r="C2024" s="1" t="n">
        <v>46082</v>
      </c>
      <c r="D2024" t="inlineStr">
        <is>
          <t>VÄSTERNORRLANDS LÄN</t>
        </is>
      </c>
      <c r="E2024" t="inlineStr">
        <is>
          <t>SOLLEFTEÅ</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54532-2024</t>
        </is>
      </c>
      <c r="B2025" s="1" t="n">
        <v>45617.60480324074</v>
      </c>
      <c r="C2025" s="1" t="n">
        <v>46082</v>
      </c>
      <c r="D2025" t="inlineStr">
        <is>
          <t>VÄSTERNORRLANDS LÄN</t>
        </is>
      </c>
      <c r="E2025" t="inlineStr">
        <is>
          <t>SOLLEFTEÅ</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61442-2025</t>
        </is>
      </c>
      <c r="B2026" s="1" t="n">
        <v>46001</v>
      </c>
      <c r="C2026" s="1" t="n">
        <v>46082</v>
      </c>
      <c r="D2026" t="inlineStr">
        <is>
          <t>VÄSTERNORRLANDS LÄN</t>
        </is>
      </c>
      <c r="E2026" t="inlineStr">
        <is>
          <t>SOLLEFTEÅ</t>
        </is>
      </c>
      <c r="F2026" t="inlineStr">
        <is>
          <t>SCA</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3807-2026</t>
        </is>
      </c>
      <c r="B2027" s="1" t="n">
        <v>46043.5834375</v>
      </c>
      <c r="C2027" s="1" t="n">
        <v>46082</v>
      </c>
      <c r="D2027" t="inlineStr">
        <is>
          <t>VÄSTERNORRLANDS LÄN</t>
        </is>
      </c>
      <c r="E2027" t="inlineStr">
        <is>
          <t>SOLLEFTEÅ</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4052-2026</t>
        </is>
      </c>
      <c r="B2028" s="1" t="n">
        <v>46044.47467592593</v>
      </c>
      <c r="C2028" s="1" t="n">
        <v>46082</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19633-2025</t>
        </is>
      </c>
      <c r="B2029" s="1" t="n">
        <v>45770.64655092593</v>
      </c>
      <c r="C2029" s="1" t="n">
        <v>46082</v>
      </c>
      <c r="D2029" t="inlineStr">
        <is>
          <t>VÄSTERNORRLANDS LÄN</t>
        </is>
      </c>
      <c r="E2029" t="inlineStr">
        <is>
          <t>SOLLEFTEÅ</t>
        </is>
      </c>
      <c r="G2029" t="n">
        <v>9.9</v>
      </c>
      <c r="H2029" t="n">
        <v>0</v>
      </c>
      <c r="I2029" t="n">
        <v>0</v>
      </c>
      <c r="J2029" t="n">
        <v>0</v>
      </c>
      <c r="K2029" t="n">
        <v>0</v>
      </c>
      <c r="L2029" t="n">
        <v>0</v>
      </c>
      <c r="M2029" t="n">
        <v>0</v>
      </c>
      <c r="N2029" t="n">
        <v>0</v>
      </c>
      <c r="O2029" t="n">
        <v>0</v>
      </c>
      <c r="P2029" t="n">
        <v>0</v>
      </c>
      <c r="Q2029" t="n">
        <v>0</v>
      </c>
      <c r="R2029" s="2" t="inlineStr"/>
    </row>
    <row r="2030" ht="15" customHeight="1">
      <c r="A2030" t="inlineStr">
        <is>
          <t>A 3812-2026</t>
        </is>
      </c>
      <c r="B2030" s="1" t="n">
        <v>46043.58417824074</v>
      </c>
      <c r="C2030" s="1" t="n">
        <v>46082</v>
      </c>
      <c r="D2030" t="inlineStr">
        <is>
          <t>VÄSTERNORRLANDS LÄN</t>
        </is>
      </c>
      <c r="E2030" t="inlineStr">
        <is>
          <t>SOLLEFTEÅ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60426-2025</t>
        </is>
      </c>
      <c r="B2031" s="1" t="n">
        <v>45995.46984953704</v>
      </c>
      <c r="C2031" s="1" t="n">
        <v>46082</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20515-2024</t>
        </is>
      </c>
      <c r="B2032" s="1" t="n">
        <v>45435</v>
      </c>
      <c r="C2032" s="1" t="n">
        <v>46082</v>
      </c>
      <c r="D2032" t="inlineStr">
        <is>
          <t>VÄSTERNORRLANDS LÄN</t>
        </is>
      </c>
      <c r="E2032" t="inlineStr">
        <is>
          <t>SOLLEFTEÅ</t>
        </is>
      </c>
      <c r="F2032" t="inlineStr">
        <is>
          <t>SCA</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21092-2024</t>
        </is>
      </c>
      <c r="B2033" s="1" t="n">
        <v>45439.95009259259</v>
      </c>
      <c r="C2033" s="1" t="n">
        <v>46082</v>
      </c>
      <c r="D2033" t="inlineStr">
        <is>
          <t>VÄSTERNORRLANDS LÄN</t>
        </is>
      </c>
      <c r="E2033" t="inlineStr">
        <is>
          <t>SOLLEFTEÅ</t>
        </is>
      </c>
      <c r="F2033" t="inlineStr">
        <is>
          <t>SCA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61428-2025</t>
        </is>
      </c>
      <c r="B2034" s="1" t="n">
        <v>46001.55237268518</v>
      </c>
      <c r="C2034" s="1" t="n">
        <v>46082</v>
      </c>
      <c r="D2034" t="inlineStr">
        <is>
          <t>VÄSTERNORRLANDS LÄN</t>
        </is>
      </c>
      <c r="E2034" t="inlineStr">
        <is>
          <t>SOLLEFTEÅ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61914-2025</t>
        </is>
      </c>
      <c r="B2035" s="1" t="n">
        <v>46003.49018518518</v>
      </c>
      <c r="C2035" s="1" t="n">
        <v>46082</v>
      </c>
      <c r="D2035" t="inlineStr">
        <is>
          <t>VÄSTERNORRLANDS LÄN</t>
        </is>
      </c>
      <c r="E2035" t="inlineStr">
        <is>
          <t>SOLLEFTEÅ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62311-2025</t>
        </is>
      </c>
      <c r="B2036" s="1" t="n">
        <v>46006.67753472222</v>
      </c>
      <c r="C2036" s="1" t="n">
        <v>46082</v>
      </c>
      <c r="D2036" t="inlineStr">
        <is>
          <t>VÄSTERNORRLANDS LÄN</t>
        </is>
      </c>
      <c r="E2036" t="inlineStr">
        <is>
          <t>SOLLEFTEÅ</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2346-2025</t>
        </is>
      </c>
      <c r="B2037" s="1" t="n">
        <v>45673.67767361111</v>
      </c>
      <c r="C2037" s="1" t="n">
        <v>46082</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56134-2023</t>
        </is>
      </c>
      <c r="B2038" s="1" t="n">
        <v>45240</v>
      </c>
      <c r="C2038" s="1" t="n">
        <v>46082</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56137-2023</t>
        </is>
      </c>
      <c r="B2039" s="1" t="n">
        <v>45240.59096064815</v>
      </c>
      <c r="C2039" s="1" t="n">
        <v>46082</v>
      </c>
      <c r="D2039" t="inlineStr">
        <is>
          <t>VÄSTERNORRLANDS LÄN</t>
        </is>
      </c>
      <c r="E2039" t="inlineStr">
        <is>
          <t>SOLLEFTEÅ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2583-2025</t>
        </is>
      </c>
      <c r="B2040" s="1" t="n">
        <v>45674.67803240741</v>
      </c>
      <c r="C2040" s="1" t="n">
        <v>46082</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4461-2026</t>
        </is>
      </c>
      <c r="B2041" s="1" t="n">
        <v>46045.65018518519</v>
      </c>
      <c r="C2041" s="1" t="n">
        <v>46082</v>
      </c>
      <c r="D2041" t="inlineStr">
        <is>
          <t>VÄSTERNORRLANDS LÄN</t>
        </is>
      </c>
      <c r="E2041" t="inlineStr">
        <is>
          <t>SOLLEFTEÅ</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61832-2025</t>
        </is>
      </c>
      <c r="B2042" s="1" t="n">
        <v>46003.34456018519</v>
      </c>
      <c r="C2042" s="1" t="n">
        <v>46082</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61861-2025</t>
        </is>
      </c>
      <c r="B2043" s="1" t="n">
        <v>46003.3868287037</v>
      </c>
      <c r="C2043" s="1" t="n">
        <v>46082</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62279-2025</t>
        </is>
      </c>
      <c r="B2044" s="1" t="n">
        <v>46006.63605324074</v>
      </c>
      <c r="C2044" s="1" t="n">
        <v>46082</v>
      </c>
      <c r="D2044" t="inlineStr">
        <is>
          <t>VÄSTERNORRLANDS LÄN</t>
        </is>
      </c>
      <c r="E2044" t="inlineStr">
        <is>
          <t>SOLLEFTEÅ</t>
        </is>
      </c>
      <c r="F2044" t="inlineStr">
        <is>
          <t>SCA</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56249-2023</t>
        </is>
      </c>
      <c r="B2045" s="1" t="n">
        <v>45240.9468287037</v>
      </c>
      <c r="C2045" s="1" t="n">
        <v>46082</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62064-2025</t>
        </is>
      </c>
      <c r="B2046" s="1" t="n">
        <v>46006.3446875</v>
      </c>
      <c r="C2046" s="1" t="n">
        <v>46082</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62065-2025</t>
        </is>
      </c>
      <c r="B2047" s="1" t="n">
        <v>46006.34474537037</v>
      </c>
      <c r="C2047" s="1" t="n">
        <v>46082</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61953-2025</t>
        </is>
      </c>
      <c r="B2048" s="1" t="n">
        <v>46003.57358796296</v>
      </c>
      <c r="C2048" s="1" t="n">
        <v>46082</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61980-2025</t>
        </is>
      </c>
      <c r="B2049" s="1" t="n">
        <v>46003.61520833334</v>
      </c>
      <c r="C2049" s="1" t="n">
        <v>46082</v>
      </c>
      <c r="D2049" t="inlineStr">
        <is>
          <t>VÄSTERNORRLANDS LÄN</t>
        </is>
      </c>
      <c r="E2049" t="inlineStr">
        <is>
          <t>SOLLEFTEÅ</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8033-2024</t>
        </is>
      </c>
      <c r="B2050" s="1" t="n">
        <v>45350.95284722222</v>
      </c>
      <c r="C2050" s="1" t="n">
        <v>46082</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8038-2024</t>
        </is>
      </c>
      <c r="B2051" s="1" t="n">
        <v>45350</v>
      </c>
      <c r="C2051" s="1" t="n">
        <v>46082</v>
      </c>
      <c r="D2051" t="inlineStr">
        <is>
          <t>VÄSTERNORRLANDS LÄN</t>
        </is>
      </c>
      <c r="E2051" t="inlineStr">
        <is>
          <t>SOLLEFTEÅ</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8039-2024</t>
        </is>
      </c>
      <c r="B2052" s="1" t="n">
        <v>45350</v>
      </c>
      <c r="C2052" s="1" t="n">
        <v>46082</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8653-2024</t>
        </is>
      </c>
      <c r="B2053" s="1" t="n">
        <v>45356</v>
      </c>
      <c r="C2053" s="1" t="n">
        <v>46082</v>
      </c>
      <c r="D2053" t="inlineStr">
        <is>
          <t>VÄSTERNORRLANDS LÄN</t>
        </is>
      </c>
      <c r="E2053" t="inlineStr">
        <is>
          <t>SOLLEFTEÅ</t>
        </is>
      </c>
      <c r="F2053" t="inlineStr">
        <is>
          <t>SCA</t>
        </is>
      </c>
      <c r="G2053" t="n">
        <v>67.8</v>
      </c>
      <c r="H2053" t="n">
        <v>0</v>
      </c>
      <c r="I2053" t="n">
        <v>0</v>
      </c>
      <c r="J2053" t="n">
        <v>0</v>
      </c>
      <c r="K2053" t="n">
        <v>0</v>
      </c>
      <c r="L2053" t="n">
        <v>0</v>
      </c>
      <c r="M2053" t="n">
        <v>0</v>
      </c>
      <c r="N2053" t="n">
        <v>0</v>
      </c>
      <c r="O2053" t="n">
        <v>0</v>
      </c>
      <c r="P2053" t="n">
        <v>0</v>
      </c>
      <c r="Q2053" t="n">
        <v>0</v>
      </c>
      <c r="R2053" s="2" t="inlineStr"/>
    </row>
    <row r="2054" ht="15" customHeight="1">
      <c r="A2054" t="inlineStr">
        <is>
          <t>A 42164-2023</t>
        </is>
      </c>
      <c r="B2054" s="1" t="n">
        <v>45177.93747685185</v>
      </c>
      <c r="C2054" s="1" t="n">
        <v>46082</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48088-2023</t>
        </is>
      </c>
      <c r="B2055" s="1" t="n">
        <v>45204.94657407407</v>
      </c>
      <c r="C2055" s="1" t="n">
        <v>46082</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3583-2026</t>
        </is>
      </c>
      <c r="B2056" s="1" t="n">
        <v>46042.72951388889</v>
      </c>
      <c r="C2056" s="1" t="n">
        <v>46082</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20335-2025</t>
        </is>
      </c>
      <c r="B2057" s="1" t="n">
        <v>45775.36510416667</v>
      </c>
      <c r="C2057" s="1" t="n">
        <v>46082</v>
      </c>
      <c r="D2057" t="inlineStr">
        <is>
          <t>VÄSTERNORRLANDS LÄN</t>
        </is>
      </c>
      <c r="E2057" t="inlineStr">
        <is>
          <t>SOLLEFTEÅ</t>
        </is>
      </c>
      <c r="F2057" t="inlineStr">
        <is>
          <t>SCA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61967-2025</t>
        </is>
      </c>
      <c r="B2058" s="1" t="n">
        <v>46003.59440972222</v>
      </c>
      <c r="C2058" s="1" t="n">
        <v>46082</v>
      </c>
      <c r="D2058" t="inlineStr">
        <is>
          <t>VÄSTERNORRLANDS LÄN</t>
        </is>
      </c>
      <c r="E2058" t="inlineStr">
        <is>
          <t>SOLLEFTEÅ</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24596-2023</t>
        </is>
      </c>
      <c r="B2059" s="1" t="n">
        <v>45083.94011574074</v>
      </c>
      <c r="C2059" s="1" t="n">
        <v>46082</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58845-2024</t>
        </is>
      </c>
      <c r="B2060" s="1" t="n">
        <v>45636.3862037037</v>
      </c>
      <c r="C2060" s="1" t="n">
        <v>46082</v>
      </c>
      <c r="D2060" t="inlineStr">
        <is>
          <t>VÄSTERNORRLANDS LÄN</t>
        </is>
      </c>
      <c r="E2060" t="inlineStr">
        <is>
          <t>SOLLEFTEÅ</t>
        </is>
      </c>
      <c r="F2060" t="inlineStr">
        <is>
          <t>SCA</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5258-2025</t>
        </is>
      </c>
      <c r="B2061" s="1" t="n">
        <v>45692</v>
      </c>
      <c r="C2061" s="1" t="n">
        <v>46082</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17889-2025</t>
        </is>
      </c>
      <c r="B2062" s="1" t="n">
        <v>45758.67746527777</v>
      </c>
      <c r="C2062" s="1" t="n">
        <v>46082</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62181-2025</t>
        </is>
      </c>
      <c r="B2063" s="1" t="n">
        <v>46006.53164351852</v>
      </c>
      <c r="C2063" s="1" t="n">
        <v>46082</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62283-2025</t>
        </is>
      </c>
      <c r="B2064" s="1" t="n">
        <v>46006.63672453703</v>
      </c>
      <c r="C2064" s="1" t="n">
        <v>46082</v>
      </c>
      <c r="D2064" t="inlineStr">
        <is>
          <t>VÄSTERNORRLANDS LÄN</t>
        </is>
      </c>
      <c r="E2064" t="inlineStr">
        <is>
          <t>SOLLEFTEÅ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62195-2025</t>
        </is>
      </c>
      <c r="B2065" s="1" t="n">
        <v>46006.55266203704</v>
      </c>
      <c r="C2065" s="1" t="n">
        <v>46082</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62280-2025</t>
        </is>
      </c>
      <c r="B2066" s="1" t="n">
        <v>46006.63635416667</v>
      </c>
      <c r="C2066" s="1" t="n">
        <v>46082</v>
      </c>
      <c r="D2066" t="inlineStr">
        <is>
          <t>VÄSTERNORRLANDS LÄN</t>
        </is>
      </c>
      <c r="E2066" t="inlineStr">
        <is>
          <t>SOLLEFTEÅ</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62312-2025</t>
        </is>
      </c>
      <c r="B2067" s="1" t="n">
        <v>46006.67767361111</v>
      </c>
      <c r="C2067" s="1" t="n">
        <v>46082</v>
      </c>
      <c r="D2067" t="inlineStr">
        <is>
          <t>VÄSTERNORRLANDS LÄN</t>
        </is>
      </c>
      <c r="E2067" t="inlineStr">
        <is>
          <t>SOLLEFTEÅ</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20458-2025</t>
        </is>
      </c>
      <c r="B2068" s="1" t="n">
        <v>45775.52623842593</v>
      </c>
      <c r="C2068" s="1" t="n">
        <v>46082</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46082</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46082</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56261-2023</t>
        </is>
      </c>
      <c r="B2071" s="1" t="n">
        <v>45240</v>
      </c>
      <c r="C2071" s="1" t="n">
        <v>46082</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35502-2024</t>
        </is>
      </c>
      <c r="B2072" s="1" t="n">
        <v>45531</v>
      </c>
      <c r="C2072" s="1" t="n">
        <v>46082</v>
      </c>
      <c r="D2072" t="inlineStr">
        <is>
          <t>VÄSTERNORRLANDS LÄN</t>
        </is>
      </c>
      <c r="E2072" t="inlineStr">
        <is>
          <t>SOLLEFTEÅ</t>
        </is>
      </c>
      <c r="F2072" t="inlineStr">
        <is>
          <t>Övriga Aktiebolag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20061-2022</t>
        </is>
      </c>
      <c r="B2073" s="1" t="n">
        <v>44697.94140046297</v>
      </c>
      <c r="C2073" s="1" t="n">
        <v>46082</v>
      </c>
      <c r="D2073" t="inlineStr">
        <is>
          <t>VÄSTERNORRLANDS LÄN</t>
        </is>
      </c>
      <c r="E2073" t="inlineStr">
        <is>
          <t>SOLLEFTEÅ</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20551-2022</t>
        </is>
      </c>
      <c r="B2074" s="1" t="n">
        <v>44699</v>
      </c>
      <c r="C2074" s="1" t="n">
        <v>46082</v>
      </c>
      <c r="D2074" t="inlineStr">
        <is>
          <t>VÄSTERNORRLANDS LÄN</t>
        </is>
      </c>
      <c r="E2074" t="inlineStr">
        <is>
          <t>SOLLEFTEÅ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35556-2023</t>
        </is>
      </c>
      <c r="B2075" s="1" t="n">
        <v>45147</v>
      </c>
      <c r="C2075" s="1" t="n">
        <v>46082</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30822-2023</t>
        </is>
      </c>
      <c r="B2076" s="1" t="n">
        <v>45112.94289351852</v>
      </c>
      <c r="C2076" s="1" t="n">
        <v>46082</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62001-2025</t>
        </is>
      </c>
      <c r="B2077" s="1" t="n">
        <v>46003.65665509259</v>
      </c>
      <c r="C2077" s="1" t="n">
        <v>46082</v>
      </c>
      <c r="D2077" t="inlineStr">
        <is>
          <t>VÄSTERNORRLANDS LÄN</t>
        </is>
      </c>
      <c r="E2077" t="inlineStr">
        <is>
          <t>SOLLEFTEÅ</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61915-2025</t>
        </is>
      </c>
      <c r="B2078" s="1" t="n">
        <v>46003.49025462963</v>
      </c>
      <c r="C2078" s="1" t="n">
        <v>46082</v>
      </c>
      <c r="D2078" t="inlineStr">
        <is>
          <t>VÄSTERNORRLANDS LÄN</t>
        </is>
      </c>
      <c r="E2078" t="inlineStr">
        <is>
          <t>SOLLEFTEÅ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61920-2025</t>
        </is>
      </c>
      <c r="B2079" s="1" t="n">
        <v>46003.51108796296</v>
      </c>
      <c r="C2079" s="1" t="n">
        <v>46082</v>
      </c>
      <c r="D2079" t="inlineStr">
        <is>
          <t>VÄSTERNORRLANDS LÄN</t>
        </is>
      </c>
      <c r="E2079" t="inlineStr">
        <is>
          <t>SOLLEFTEÅ</t>
        </is>
      </c>
      <c r="F2079" t="inlineStr">
        <is>
          <t>SCA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4722-2025</t>
        </is>
      </c>
      <c r="B2080" s="1" t="n">
        <v>45688.41627314815</v>
      </c>
      <c r="C2080" s="1" t="n">
        <v>46082</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4726-2025</t>
        </is>
      </c>
      <c r="B2081" s="1" t="n">
        <v>45688</v>
      </c>
      <c r="C2081" s="1" t="n">
        <v>46082</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56252-2024</t>
        </is>
      </c>
      <c r="B2082" s="1" t="n">
        <v>45624</v>
      </c>
      <c r="C2082" s="1" t="n">
        <v>46082</v>
      </c>
      <c r="D2082" t="inlineStr">
        <is>
          <t>VÄSTERNORRLANDS LÄN</t>
        </is>
      </c>
      <c r="E2082" t="inlineStr">
        <is>
          <t>SOLLEFTEÅ</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62585-2025</t>
        </is>
      </c>
      <c r="B2083" s="1" t="n">
        <v>46007.84189814814</v>
      </c>
      <c r="C2083" s="1" t="n">
        <v>46082</v>
      </c>
      <c r="D2083" t="inlineStr">
        <is>
          <t>VÄSTERNORRLANDS LÄN</t>
        </is>
      </c>
      <c r="E2083" t="inlineStr">
        <is>
          <t>SOLLEFTEÅ</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57492-2024</t>
        </is>
      </c>
      <c r="B2084" s="1" t="n">
        <v>45630.36827546296</v>
      </c>
      <c r="C2084" s="1" t="n">
        <v>46082</v>
      </c>
      <c r="D2084" t="inlineStr">
        <is>
          <t>VÄSTERNORRLANDS LÄN</t>
        </is>
      </c>
      <c r="E2084" t="inlineStr">
        <is>
          <t>SOLLEFTEÅ</t>
        </is>
      </c>
      <c r="F2084" t="inlineStr">
        <is>
          <t>Holmen skog AB</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58226-2024</t>
        </is>
      </c>
      <c r="B2085" s="1" t="n">
        <v>45632.51076388889</v>
      </c>
      <c r="C2085" s="1" t="n">
        <v>46082</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31481-2024</t>
        </is>
      </c>
      <c r="B2086" s="1" t="n">
        <v>45505</v>
      </c>
      <c r="C2086" s="1" t="n">
        <v>46082</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62526-2025</t>
        </is>
      </c>
      <c r="B2087" s="1" t="n">
        <v>46007.63583333333</v>
      </c>
      <c r="C2087" s="1" t="n">
        <v>46082</v>
      </c>
      <c r="D2087" t="inlineStr">
        <is>
          <t>VÄSTERNORRLANDS LÄN</t>
        </is>
      </c>
      <c r="E2087" t="inlineStr">
        <is>
          <t>SOLLEFTEÅ</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48999-2023</t>
        </is>
      </c>
      <c r="B2088" s="1" t="n">
        <v>45209.66075231481</v>
      </c>
      <c r="C2088" s="1" t="n">
        <v>46082</v>
      </c>
      <c r="D2088" t="inlineStr">
        <is>
          <t>VÄSTERNORRLANDS LÄN</t>
        </is>
      </c>
      <c r="E2088" t="inlineStr">
        <is>
          <t>SOLLEFTEÅ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62458-2025</t>
        </is>
      </c>
      <c r="B2089" s="1" t="n">
        <v>46007.50270833333</v>
      </c>
      <c r="C2089" s="1" t="n">
        <v>46082</v>
      </c>
      <c r="D2089" t="inlineStr">
        <is>
          <t>VÄSTERNORRLANDS LÄN</t>
        </is>
      </c>
      <c r="E2089" t="inlineStr">
        <is>
          <t>SOLLEFTEÅ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46082</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4212-2026</t>
        </is>
      </c>
      <c r="B2091" s="1" t="n">
        <v>46044</v>
      </c>
      <c r="C2091" s="1" t="n">
        <v>46082</v>
      </c>
      <c r="D2091" t="inlineStr">
        <is>
          <t>VÄSTERNORRLANDS LÄN</t>
        </is>
      </c>
      <c r="E2091" t="inlineStr">
        <is>
          <t>SOLLEFTEÅ</t>
        </is>
      </c>
      <c r="F2091" t="inlineStr">
        <is>
          <t>Kommuner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4211-2026</t>
        </is>
      </c>
      <c r="B2092" s="1" t="n">
        <v>46044</v>
      </c>
      <c r="C2092" s="1" t="n">
        <v>46082</v>
      </c>
      <c r="D2092" t="inlineStr">
        <is>
          <t>VÄSTERNORRLANDS LÄN</t>
        </is>
      </c>
      <c r="E2092" t="inlineStr">
        <is>
          <t>SOLLEFTEÅ</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7036-2025</t>
        </is>
      </c>
      <c r="B2093" s="1" t="n">
        <v>45701.63597222222</v>
      </c>
      <c r="C2093" s="1" t="n">
        <v>46082</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17422-2025</t>
        </is>
      </c>
      <c r="B2094" s="1" t="n">
        <v>45757.38570601852</v>
      </c>
      <c r="C2094" s="1" t="n">
        <v>46082</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12627-2025</t>
        </is>
      </c>
      <c r="B2095" s="1" t="n">
        <v>45733.36728009259</v>
      </c>
      <c r="C2095" s="1" t="n">
        <v>46082</v>
      </c>
      <c r="D2095" t="inlineStr">
        <is>
          <t>VÄSTERNORRLANDS LÄN</t>
        </is>
      </c>
      <c r="E2095" t="inlineStr">
        <is>
          <t>SOLLEFTEÅ</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41925-2024</t>
        </is>
      </c>
      <c r="B2096" s="1" t="n">
        <v>45561</v>
      </c>
      <c r="C2096" s="1" t="n">
        <v>46082</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62544-2025</t>
        </is>
      </c>
      <c r="B2097" s="1" t="n">
        <v>46007.65690972222</v>
      </c>
      <c r="C2097" s="1" t="n">
        <v>46082</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154-2025</t>
        </is>
      </c>
      <c r="B2098" s="1" t="n">
        <v>45659</v>
      </c>
      <c r="C2098" s="1" t="n">
        <v>46082</v>
      </c>
      <c r="D2098" t="inlineStr">
        <is>
          <t>VÄSTERNORRLANDS LÄN</t>
        </is>
      </c>
      <c r="E2098" t="inlineStr">
        <is>
          <t>SOLLEFTEÅ</t>
        </is>
      </c>
      <c r="F2098" t="inlineStr">
        <is>
          <t>Holmen skog AB</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62494-2025</t>
        </is>
      </c>
      <c r="B2099" s="1" t="n">
        <v>46007.5735300926</v>
      </c>
      <c r="C2099" s="1" t="n">
        <v>46082</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1114-2025</t>
        </is>
      </c>
      <c r="B2100" s="1" t="n">
        <v>45666.65664351852</v>
      </c>
      <c r="C2100" s="1" t="n">
        <v>46082</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5489-2026</t>
        </is>
      </c>
      <c r="B2101" s="1" t="n">
        <v>46050.61511574074</v>
      </c>
      <c r="C2101" s="1" t="n">
        <v>46082</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62371-2025</t>
        </is>
      </c>
      <c r="B2102" s="1" t="n">
        <v>46007.34425925926</v>
      </c>
      <c r="C2102" s="1" t="n">
        <v>46082</v>
      </c>
      <c r="D2102" t="inlineStr">
        <is>
          <t>VÄSTERNORRLANDS LÄN</t>
        </is>
      </c>
      <c r="E2102" t="inlineStr">
        <is>
          <t>SOLLEFTEÅ</t>
        </is>
      </c>
      <c r="F2102" t="inlineStr">
        <is>
          <t>SCA</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53855-2024</t>
        </is>
      </c>
      <c r="B2103" s="1" t="n">
        <v>45615.63724537037</v>
      </c>
      <c r="C2103" s="1" t="n">
        <v>46082</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49324-2023</t>
        </is>
      </c>
      <c r="B2104" s="1" t="n">
        <v>45210</v>
      </c>
      <c r="C2104" s="1" t="n">
        <v>46082</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46082</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12006-2022</t>
        </is>
      </c>
      <c r="B2106" s="1" t="n">
        <v>44635.92496527778</v>
      </c>
      <c r="C2106" s="1" t="n">
        <v>46082</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12022-2022</t>
        </is>
      </c>
      <c r="B2107" s="1" t="n">
        <v>44635.94396990741</v>
      </c>
      <c r="C2107" s="1" t="n">
        <v>46082</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46765-2024</t>
        </is>
      </c>
      <c r="B2108" s="1" t="n">
        <v>45583.49491898148</v>
      </c>
      <c r="C2108" s="1" t="n">
        <v>46082</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4208-2026</t>
        </is>
      </c>
      <c r="B2109" s="1" t="n">
        <v>46044</v>
      </c>
      <c r="C2109" s="1" t="n">
        <v>46082</v>
      </c>
      <c r="D2109" t="inlineStr">
        <is>
          <t>VÄSTERNORRLANDS LÄN</t>
        </is>
      </c>
      <c r="E2109" t="inlineStr">
        <is>
          <t>SOLLEFTEÅ</t>
        </is>
      </c>
      <c r="F2109" t="inlineStr">
        <is>
          <t>Kommuner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16463-2024</t>
        </is>
      </c>
      <c r="B2110" s="1" t="n">
        <v>45408.05027777778</v>
      </c>
      <c r="C2110" s="1" t="n">
        <v>46082</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25017-2022</t>
        </is>
      </c>
      <c r="B2111" s="1" t="n">
        <v>44728.94331018518</v>
      </c>
      <c r="C2111" s="1" t="n">
        <v>46082</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4181-2026</t>
        </is>
      </c>
      <c r="B2112" s="1" t="n">
        <v>46044</v>
      </c>
      <c r="C2112" s="1" t="n">
        <v>46082</v>
      </c>
      <c r="D2112" t="inlineStr">
        <is>
          <t>VÄSTERNORRLANDS LÄN</t>
        </is>
      </c>
      <c r="E2112" t="inlineStr">
        <is>
          <t>SOLLEFTEÅ</t>
        </is>
      </c>
      <c r="F2112" t="inlineStr">
        <is>
          <t>Kommuner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5390-2026</t>
        </is>
      </c>
      <c r="B2113" s="1" t="n">
        <v>46050.46929398148</v>
      </c>
      <c r="C2113" s="1" t="n">
        <v>46082</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55338-2023</t>
        </is>
      </c>
      <c r="B2114" s="1" t="n">
        <v>45237.97476851852</v>
      </c>
      <c r="C2114" s="1" t="n">
        <v>46082</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62847-2025</t>
        </is>
      </c>
      <c r="B2115" s="1" t="n">
        <v>46008.69819444444</v>
      </c>
      <c r="C2115" s="1" t="n">
        <v>46082</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4031-2025</t>
        </is>
      </c>
      <c r="B2116" s="1" t="n">
        <v>45684.5978125</v>
      </c>
      <c r="C2116" s="1" t="n">
        <v>46082</v>
      </c>
      <c r="D2116" t="inlineStr">
        <is>
          <t>VÄSTERNORRLANDS LÄN</t>
        </is>
      </c>
      <c r="E2116" t="inlineStr">
        <is>
          <t>SOLLEFTEÅ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5434-2026</t>
        </is>
      </c>
      <c r="B2117" s="1" t="n">
        <v>46050.55648148148</v>
      </c>
      <c r="C2117" s="1" t="n">
        <v>46082</v>
      </c>
      <c r="D2117" t="inlineStr">
        <is>
          <t>VÄSTERNORRLANDS LÄN</t>
        </is>
      </c>
      <c r="E2117" t="inlineStr">
        <is>
          <t>SOLLEFTEÅ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28749-2023</t>
        </is>
      </c>
      <c r="B2118" s="1" t="n">
        <v>45103</v>
      </c>
      <c r="C2118" s="1" t="n">
        <v>46082</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5059-2026</t>
        </is>
      </c>
      <c r="B2119" s="1" t="n">
        <v>46049.48384259259</v>
      </c>
      <c r="C2119" s="1" t="n">
        <v>46082</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42514-2023</t>
        </is>
      </c>
      <c r="B2120" s="1" t="n">
        <v>45180.95969907408</v>
      </c>
      <c r="C2120" s="1" t="n">
        <v>46082</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5159-2026</t>
        </is>
      </c>
      <c r="B2121" s="1" t="n">
        <v>46049.61608796296</v>
      </c>
      <c r="C2121" s="1" t="n">
        <v>46082</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5511-2026</t>
        </is>
      </c>
      <c r="B2122" s="1" t="n">
        <v>46050.6358912037</v>
      </c>
      <c r="C2122" s="1" t="n">
        <v>46082</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15859-2024</t>
        </is>
      </c>
      <c r="B2123" s="1" t="n">
        <v>45404.99732638889</v>
      </c>
      <c r="C2123" s="1" t="n">
        <v>46082</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62982-2025</t>
        </is>
      </c>
      <c r="B2124" s="1" t="n">
        <v>46009.49017361111</v>
      </c>
      <c r="C2124" s="1" t="n">
        <v>46082</v>
      </c>
      <c r="D2124" t="inlineStr">
        <is>
          <t>VÄSTERNORRLANDS LÄN</t>
        </is>
      </c>
      <c r="E2124" t="inlineStr">
        <is>
          <t>SOLLEFTEÅ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18691-2025</t>
        </is>
      </c>
      <c r="B2125" s="1" t="n">
        <v>45763.61511574074</v>
      </c>
      <c r="C2125" s="1" t="n">
        <v>46082</v>
      </c>
      <c r="D2125" t="inlineStr">
        <is>
          <t>VÄSTERNORRLANDS LÄN</t>
        </is>
      </c>
      <c r="E2125" t="inlineStr">
        <is>
          <t>SOLLEFTEÅ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63296-2025</t>
        </is>
      </c>
      <c r="B2126" s="1" t="n">
        <v>46010.5952662037</v>
      </c>
      <c r="C2126" s="1" t="n">
        <v>46082</v>
      </c>
      <c r="D2126" t="inlineStr">
        <is>
          <t>VÄSTERNORRLANDS LÄN</t>
        </is>
      </c>
      <c r="E2126" t="inlineStr">
        <is>
          <t>SOLLEFTEÅ</t>
        </is>
      </c>
      <c r="F2126" t="inlineStr">
        <is>
          <t>Holmen skog AB</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17999-2022</t>
        </is>
      </c>
      <c r="B2127" s="1" t="n">
        <v>44683</v>
      </c>
      <c r="C2127" s="1" t="n">
        <v>46082</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36513-2023</t>
        </is>
      </c>
      <c r="B2128" s="1" t="n">
        <v>45152.9537037037</v>
      </c>
      <c r="C2128" s="1" t="n">
        <v>46082</v>
      </c>
      <c r="D2128" t="inlineStr">
        <is>
          <t>VÄSTERNORRLANDS LÄN</t>
        </is>
      </c>
      <c r="E2128" t="inlineStr">
        <is>
          <t>SOLLEFTEÅ</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62981-2025</t>
        </is>
      </c>
      <c r="B2129" s="1" t="n">
        <v>46009.49001157407</v>
      </c>
      <c r="C2129" s="1" t="n">
        <v>46082</v>
      </c>
      <c r="D2129" t="inlineStr">
        <is>
          <t>VÄSTERNORRLANDS LÄN</t>
        </is>
      </c>
      <c r="E2129" t="inlineStr">
        <is>
          <t>SOLLEFTEÅ</t>
        </is>
      </c>
      <c r="F2129" t="inlineStr">
        <is>
          <t>SCA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62902-2025</t>
        </is>
      </c>
      <c r="B2130" s="1" t="n">
        <v>46009.34462962963</v>
      </c>
      <c r="C2130" s="1" t="n">
        <v>46082</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15809-2022</t>
        </is>
      </c>
      <c r="B2131" s="1" t="n">
        <v>44663</v>
      </c>
      <c r="C2131" s="1" t="n">
        <v>46082</v>
      </c>
      <c r="D2131" t="inlineStr">
        <is>
          <t>VÄSTERNORRLANDS LÄN</t>
        </is>
      </c>
      <c r="E2131" t="inlineStr">
        <is>
          <t>SOLLEFTEÅ</t>
        </is>
      </c>
      <c r="F2131" t="inlineStr">
        <is>
          <t>SCA</t>
        </is>
      </c>
      <c r="G2131" t="n">
        <v>16.3</v>
      </c>
      <c r="H2131" t="n">
        <v>0</v>
      </c>
      <c r="I2131" t="n">
        <v>0</v>
      </c>
      <c r="J2131" t="n">
        <v>0</v>
      </c>
      <c r="K2131" t="n">
        <v>0</v>
      </c>
      <c r="L2131" t="n">
        <v>0</v>
      </c>
      <c r="M2131" t="n">
        <v>0</v>
      </c>
      <c r="N2131" t="n">
        <v>0</v>
      </c>
      <c r="O2131" t="n">
        <v>0</v>
      </c>
      <c r="P2131" t="n">
        <v>0</v>
      </c>
      <c r="Q2131" t="n">
        <v>0</v>
      </c>
      <c r="R2131" s="2" t="inlineStr"/>
    </row>
    <row r="2132" ht="15" customHeight="1">
      <c r="A2132" t="inlineStr">
        <is>
          <t>A 19053-2022</t>
        </is>
      </c>
      <c r="B2132" s="1" t="n">
        <v>44691.41626157407</v>
      </c>
      <c r="C2132" s="1" t="n">
        <v>46082</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63273-2025</t>
        </is>
      </c>
      <c r="B2133" s="1" t="n">
        <v>46010.57322916666</v>
      </c>
      <c r="C2133" s="1" t="n">
        <v>46082</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63728-2025</t>
        </is>
      </c>
      <c r="B2134" s="1" t="n">
        <v>46010</v>
      </c>
      <c r="C2134" s="1" t="n">
        <v>46082</v>
      </c>
      <c r="D2134" t="inlineStr">
        <is>
          <t>VÄSTERNORRLANDS LÄN</t>
        </is>
      </c>
      <c r="E2134" t="inlineStr">
        <is>
          <t>SOLLEFTEÅ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63180-2025</t>
        </is>
      </c>
      <c r="B2135" s="1" t="n">
        <v>46010.42760416667</v>
      </c>
      <c r="C2135" s="1" t="n">
        <v>46082</v>
      </c>
      <c r="D2135" t="inlineStr">
        <is>
          <t>VÄSTERNORRLANDS LÄN</t>
        </is>
      </c>
      <c r="E2135" t="inlineStr">
        <is>
          <t>SOLLEFTEÅ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4129-2025</t>
        </is>
      </c>
      <c r="B2136" s="1" t="n">
        <v>45685.34425925926</v>
      </c>
      <c r="C2136" s="1" t="n">
        <v>46082</v>
      </c>
      <c r="D2136" t="inlineStr">
        <is>
          <t>VÄSTERNORRLANDS LÄN</t>
        </is>
      </c>
      <c r="E2136" t="inlineStr">
        <is>
          <t>SOLLEFTEÅ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4133-2025</t>
        </is>
      </c>
      <c r="B2137" s="1" t="n">
        <v>45685.34559027778</v>
      </c>
      <c r="C2137" s="1" t="n">
        <v>46082</v>
      </c>
      <c r="D2137" t="inlineStr">
        <is>
          <t>VÄSTERNORRLANDS LÄN</t>
        </is>
      </c>
      <c r="E2137" t="inlineStr">
        <is>
          <t>SOLLEFTEÅ</t>
        </is>
      </c>
      <c r="F2137" t="inlineStr">
        <is>
          <t>SCA</t>
        </is>
      </c>
      <c r="G2137" t="n">
        <v>37.2</v>
      </c>
      <c r="H2137" t="n">
        <v>0</v>
      </c>
      <c r="I2137" t="n">
        <v>0</v>
      </c>
      <c r="J2137" t="n">
        <v>0</v>
      </c>
      <c r="K2137" t="n">
        <v>0</v>
      </c>
      <c r="L2137" t="n">
        <v>0</v>
      </c>
      <c r="M2137" t="n">
        <v>0</v>
      </c>
      <c r="N2137" t="n">
        <v>0</v>
      </c>
      <c r="O2137" t="n">
        <v>0</v>
      </c>
      <c r="P2137" t="n">
        <v>0</v>
      </c>
      <c r="Q2137" t="n">
        <v>0</v>
      </c>
      <c r="R2137" s="2" t="inlineStr"/>
    </row>
    <row r="2138" ht="15" customHeight="1">
      <c r="A2138" t="inlineStr">
        <is>
          <t>A 59402-2025</t>
        </is>
      </c>
      <c r="B2138" s="1" t="n">
        <v>45989</v>
      </c>
      <c r="C2138" s="1" t="n">
        <v>46082</v>
      </c>
      <c r="D2138" t="inlineStr">
        <is>
          <t>VÄSTERNORRLANDS LÄN</t>
        </is>
      </c>
      <c r="E2138" t="inlineStr">
        <is>
          <t>SOLLEFTEÅ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23282-2022</t>
        </is>
      </c>
      <c r="B2139" s="1" t="n">
        <v>44720</v>
      </c>
      <c r="C2139" s="1" t="n">
        <v>46082</v>
      </c>
      <c r="D2139" t="inlineStr">
        <is>
          <t>VÄSTERNORRLANDS LÄN</t>
        </is>
      </c>
      <c r="E2139" t="inlineStr">
        <is>
          <t>SOLLEFTEÅ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62903-2025</t>
        </is>
      </c>
      <c r="B2140" s="1" t="n">
        <v>46009.34466435185</v>
      </c>
      <c r="C2140" s="1" t="n">
        <v>46082</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16492-2025</t>
        </is>
      </c>
      <c r="B2141" s="1" t="n">
        <v>45751.59414351852</v>
      </c>
      <c r="C2141" s="1" t="n">
        <v>46082</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6053-2026</t>
        </is>
      </c>
      <c r="B2142" s="1" t="n">
        <v>46052.6358912037</v>
      </c>
      <c r="C2142" s="1" t="n">
        <v>46082</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5646-2026</t>
        </is>
      </c>
      <c r="B2143" s="1" t="n">
        <v>46051.42618055556</v>
      </c>
      <c r="C2143" s="1" t="n">
        <v>46082</v>
      </c>
      <c r="D2143" t="inlineStr">
        <is>
          <t>VÄSTERNORRLANDS LÄN</t>
        </is>
      </c>
      <c r="E2143" t="inlineStr">
        <is>
          <t>SOLLEFTEÅ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5862-2025</t>
        </is>
      </c>
      <c r="B2144" s="1" t="n">
        <v>45695.35061342592</v>
      </c>
      <c r="C2144" s="1" t="n">
        <v>46082</v>
      </c>
      <c r="D2144" t="inlineStr">
        <is>
          <t>VÄSTERNORRLANDS LÄN</t>
        </is>
      </c>
      <c r="E2144" t="inlineStr">
        <is>
          <t>SOLLEFTEÅ</t>
        </is>
      </c>
      <c r="F2144" t="inlineStr">
        <is>
          <t>Holmen skog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18188-2022</t>
        </is>
      </c>
      <c r="B2145" s="1" t="n">
        <v>44684.94004629629</v>
      </c>
      <c r="C2145" s="1" t="n">
        <v>46082</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63726-2025</t>
        </is>
      </c>
      <c r="B2146" s="1" t="n">
        <v>46010</v>
      </c>
      <c r="C2146" s="1" t="n">
        <v>46082</v>
      </c>
      <c r="D2146" t="inlineStr">
        <is>
          <t>VÄSTERNORRLANDS LÄN</t>
        </is>
      </c>
      <c r="E2146" t="inlineStr">
        <is>
          <t>SOLLEFTEÅ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5842-2026</t>
        </is>
      </c>
      <c r="B2147" s="1" t="n">
        <v>46052.34503472222</v>
      </c>
      <c r="C2147" s="1" t="n">
        <v>46082</v>
      </c>
      <c r="D2147" t="inlineStr">
        <is>
          <t>VÄSTERNORRLANDS LÄN</t>
        </is>
      </c>
      <c r="E2147" t="inlineStr">
        <is>
          <t>SOLLEFTEÅ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63158-2025</t>
        </is>
      </c>
      <c r="B2148" s="1" t="n">
        <v>46010.36509259259</v>
      </c>
      <c r="C2148" s="1" t="n">
        <v>46082</v>
      </c>
      <c r="D2148" t="inlineStr">
        <is>
          <t>VÄSTERNORRLANDS LÄN</t>
        </is>
      </c>
      <c r="E2148" t="inlineStr">
        <is>
          <t>SOLLEFTEÅ</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62901-2025</t>
        </is>
      </c>
      <c r="B2149" s="1" t="n">
        <v>46009.34457175926</v>
      </c>
      <c r="C2149" s="1" t="n">
        <v>46082</v>
      </c>
      <c r="D2149" t="inlineStr">
        <is>
          <t>VÄSTERNORRLANDS LÄN</t>
        </is>
      </c>
      <c r="E2149" t="inlineStr">
        <is>
          <t>SOLLEFTEÅ</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63727-2025</t>
        </is>
      </c>
      <c r="B2150" s="1" t="n">
        <v>46010</v>
      </c>
      <c r="C2150" s="1" t="n">
        <v>46082</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62900-2025</t>
        </is>
      </c>
      <c r="B2151" s="1" t="n">
        <v>46009.34457175926</v>
      </c>
      <c r="C2151" s="1" t="n">
        <v>46082</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63038-2025</t>
        </is>
      </c>
      <c r="B2152" s="1" t="n">
        <v>46009.61511574074</v>
      </c>
      <c r="C2152" s="1" t="n">
        <v>46082</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63442-2025</t>
        </is>
      </c>
      <c r="B2153" s="1" t="n">
        <v>46013.38599537037</v>
      </c>
      <c r="C2153" s="1" t="n">
        <v>46082</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63443-2025</t>
        </is>
      </c>
      <c r="B2154" s="1" t="n">
        <v>46013.38929398148</v>
      </c>
      <c r="C2154" s="1" t="n">
        <v>46082</v>
      </c>
      <c r="D2154" t="inlineStr">
        <is>
          <t>VÄSTERNORRLANDS LÄN</t>
        </is>
      </c>
      <c r="E2154" t="inlineStr">
        <is>
          <t>SOLLEFTEÅ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63382-2025</t>
        </is>
      </c>
      <c r="B2155" s="1" t="n">
        <v>46011.34420138889</v>
      </c>
      <c r="C2155" s="1" t="n">
        <v>46082</v>
      </c>
      <c r="D2155" t="inlineStr">
        <is>
          <t>VÄSTERNORRLANDS LÄN</t>
        </is>
      </c>
      <c r="E2155" t="inlineStr">
        <is>
          <t>SOLLEFTEÅ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63470-2025</t>
        </is>
      </c>
      <c r="B2156" s="1" t="n">
        <v>46013.4347337963</v>
      </c>
      <c r="C2156" s="1" t="n">
        <v>46082</v>
      </c>
      <c r="D2156" t="inlineStr">
        <is>
          <t>VÄSTERNORRLANDS LÄN</t>
        </is>
      </c>
      <c r="E2156" t="inlineStr">
        <is>
          <t>SOLLEFTEÅ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63579-2025</t>
        </is>
      </c>
      <c r="B2157" s="1" t="n">
        <v>46013.67748842593</v>
      </c>
      <c r="C2157" s="1" t="n">
        <v>46082</v>
      </c>
      <c r="D2157" t="inlineStr">
        <is>
          <t>VÄSTERNORRLANDS LÄN</t>
        </is>
      </c>
      <c r="E2157" t="inlineStr">
        <is>
          <t>SOLLEFTEÅ</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63433-2025</t>
        </is>
      </c>
      <c r="B2158" s="1" t="n">
        <v>46013.36335648148</v>
      </c>
      <c r="C2158" s="1" t="n">
        <v>46082</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6544-2026</t>
        </is>
      </c>
      <c r="B2159" s="1" t="n">
        <v>46056.42792824074</v>
      </c>
      <c r="C2159" s="1" t="n">
        <v>46082</v>
      </c>
      <c r="D2159" t="inlineStr">
        <is>
          <t>VÄSTERNORRLANDS LÄN</t>
        </is>
      </c>
      <c r="E2159" t="inlineStr">
        <is>
          <t>SOLLEFTEÅ</t>
        </is>
      </c>
      <c r="F2159" t="inlineStr">
        <is>
          <t>SCA</t>
        </is>
      </c>
      <c r="G2159" t="n">
        <v>28.3</v>
      </c>
      <c r="H2159" t="n">
        <v>0</v>
      </c>
      <c r="I2159" t="n">
        <v>0</v>
      </c>
      <c r="J2159" t="n">
        <v>0</v>
      </c>
      <c r="K2159" t="n">
        <v>0</v>
      </c>
      <c r="L2159" t="n">
        <v>0</v>
      </c>
      <c r="M2159" t="n">
        <v>0</v>
      </c>
      <c r="N2159" t="n">
        <v>0</v>
      </c>
      <c r="O2159" t="n">
        <v>0</v>
      </c>
      <c r="P2159" t="n">
        <v>0</v>
      </c>
      <c r="Q2159" t="n">
        <v>0</v>
      </c>
      <c r="R2159" s="2" t="inlineStr"/>
    </row>
    <row r="2160" ht="15" customHeight="1">
      <c r="A2160" t="inlineStr">
        <is>
          <t>A 6725-2026</t>
        </is>
      </c>
      <c r="B2160" s="1" t="n">
        <v>46056.67760416667</v>
      </c>
      <c r="C2160" s="1" t="n">
        <v>46082</v>
      </c>
      <c r="D2160" t="inlineStr">
        <is>
          <t>VÄSTERNORRLANDS LÄN</t>
        </is>
      </c>
      <c r="E2160" t="inlineStr">
        <is>
          <t>SOLLEFTEÅ</t>
        </is>
      </c>
      <c r="F2160" t="inlineStr">
        <is>
          <t>SCA</t>
        </is>
      </c>
      <c r="G2160" t="n">
        <v>27.7</v>
      </c>
      <c r="H2160" t="n">
        <v>0</v>
      </c>
      <c r="I2160" t="n">
        <v>0</v>
      </c>
      <c r="J2160" t="n">
        <v>0</v>
      </c>
      <c r="K2160" t="n">
        <v>0</v>
      </c>
      <c r="L2160" t="n">
        <v>0</v>
      </c>
      <c r="M2160" t="n">
        <v>0</v>
      </c>
      <c r="N2160" t="n">
        <v>0</v>
      </c>
      <c r="O2160" t="n">
        <v>0</v>
      </c>
      <c r="P2160" t="n">
        <v>0</v>
      </c>
      <c r="Q2160" t="n">
        <v>0</v>
      </c>
      <c r="R2160" s="2" t="inlineStr"/>
    </row>
    <row r="2161" ht="15" customHeight="1">
      <c r="A2161" t="inlineStr">
        <is>
          <t>A 58427-2023</t>
        </is>
      </c>
      <c r="B2161" s="1" t="n">
        <v>45250</v>
      </c>
      <c r="C2161" s="1" t="n">
        <v>46082</v>
      </c>
      <c r="D2161" t="inlineStr">
        <is>
          <t>VÄSTERNORRLANDS LÄN</t>
        </is>
      </c>
      <c r="E2161" t="inlineStr">
        <is>
          <t>SOLLEFTEÅ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18949-2025</t>
        </is>
      </c>
      <c r="B2162" s="1" t="n">
        <v>45764</v>
      </c>
      <c r="C2162" s="1" t="n">
        <v>46082</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63456-2025</t>
        </is>
      </c>
      <c r="B2163" s="1" t="n">
        <v>46013.42209490741</v>
      </c>
      <c r="C2163" s="1" t="n">
        <v>46082</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63677-2025</t>
        </is>
      </c>
      <c r="B2164" s="1" t="n">
        <v>46014.48986111111</v>
      </c>
      <c r="C2164" s="1" t="n">
        <v>46082</v>
      </c>
      <c r="D2164" t="inlineStr">
        <is>
          <t>VÄSTERNORRLANDS LÄN</t>
        </is>
      </c>
      <c r="E2164" t="inlineStr">
        <is>
          <t>SOLLEFTEÅ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63412-2025</t>
        </is>
      </c>
      <c r="B2165" s="1" t="n">
        <v>46013.31016203704</v>
      </c>
      <c r="C2165" s="1" t="n">
        <v>46082</v>
      </c>
      <c r="D2165" t="inlineStr">
        <is>
          <t>VÄSTERNORRLANDS LÄN</t>
        </is>
      </c>
      <c r="E2165" t="inlineStr">
        <is>
          <t>SOLLEFTEÅ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945-2025</t>
        </is>
      </c>
      <c r="B2166" s="1" t="n">
        <v>45666.34412037037</v>
      </c>
      <c r="C2166" s="1" t="n">
        <v>46082</v>
      </c>
      <c r="D2166" t="inlineStr">
        <is>
          <t>VÄSTERNORRLANDS LÄN</t>
        </is>
      </c>
      <c r="E2166" t="inlineStr">
        <is>
          <t>SOLLEFTEÅ</t>
        </is>
      </c>
      <c r="F2166" t="inlineStr">
        <is>
          <t>SCA</t>
        </is>
      </c>
      <c r="G2166" t="n">
        <v>36.6</v>
      </c>
      <c r="H2166" t="n">
        <v>0</v>
      </c>
      <c r="I2166" t="n">
        <v>0</v>
      </c>
      <c r="J2166" t="n">
        <v>0</v>
      </c>
      <c r="K2166" t="n">
        <v>0</v>
      </c>
      <c r="L2166" t="n">
        <v>0</v>
      </c>
      <c r="M2166" t="n">
        <v>0</v>
      </c>
      <c r="N2166" t="n">
        <v>0</v>
      </c>
      <c r="O2166" t="n">
        <v>0</v>
      </c>
      <c r="P2166" t="n">
        <v>0</v>
      </c>
      <c r="Q2166" t="n">
        <v>0</v>
      </c>
      <c r="R2166" s="2" t="inlineStr"/>
    </row>
    <row r="2167" ht="15" customHeight="1">
      <c r="A2167" t="inlineStr">
        <is>
          <t>A 59317-2024</t>
        </is>
      </c>
      <c r="B2167" s="1" t="n">
        <v>45637.69873842593</v>
      </c>
      <c r="C2167" s="1" t="n">
        <v>46082</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63569-2025</t>
        </is>
      </c>
      <c r="B2168" s="1" t="n">
        <v>46013.63601851852</v>
      </c>
      <c r="C2168" s="1" t="n">
        <v>46082</v>
      </c>
      <c r="D2168" t="inlineStr">
        <is>
          <t>VÄSTERNORRLANDS LÄN</t>
        </is>
      </c>
      <c r="E2168" t="inlineStr">
        <is>
          <t>SOLLEFTEÅ</t>
        </is>
      </c>
      <c r="G2168" t="n">
        <v>20.6</v>
      </c>
      <c r="H2168" t="n">
        <v>0</v>
      </c>
      <c r="I2168" t="n">
        <v>0</v>
      </c>
      <c r="J2168" t="n">
        <v>0</v>
      </c>
      <c r="K2168" t="n">
        <v>0</v>
      </c>
      <c r="L2168" t="n">
        <v>0</v>
      </c>
      <c r="M2168" t="n">
        <v>0</v>
      </c>
      <c r="N2168" t="n">
        <v>0</v>
      </c>
      <c r="O2168" t="n">
        <v>0</v>
      </c>
      <c r="P2168" t="n">
        <v>0</v>
      </c>
      <c r="Q2168" t="n">
        <v>0</v>
      </c>
      <c r="R2168" s="2" t="inlineStr"/>
    </row>
    <row r="2169" ht="15" customHeight="1">
      <c r="A2169" t="inlineStr">
        <is>
          <t>A 1880-2024</t>
        </is>
      </c>
      <c r="B2169" s="1" t="n">
        <v>45307</v>
      </c>
      <c r="C2169" s="1" t="n">
        <v>46082</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6468-2026</t>
        </is>
      </c>
      <c r="B2170" s="1" t="n">
        <v>46056.32021990741</v>
      </c>
      <c r="C2170" s="1" t="n">
        <v>46082</v>
      </c>
      <c r="D2170" t="inlineStr">
        <is>
          <t>VÄSTERNORRLANDS LÄN</t>
        </is>
      </c>
      <c r="E2170" t="inlineStr">
        <is>
          <t>SOLLEFTEÅ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46082</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63568-2025</t>
        </is>
      </c>
      <c r="B2172" s="1" t="n">
        <v>46013.63594907407</v>
      </c>
      <c r="C2172" s="1" t="n">
        <v>46082</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46082</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63471-2025</t>
        </is>
      </c>
      <c r="B2174" s="1" t="n">
        <v>46013.43973379629</v>
      </c>
      <c r="C2174" s="1" t="n">
        <v>46082</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26407-2022</t>
        </is>
      </c>
      <c r="B2175" s="1" t="n">
        <v>44735</v>
      </c>
      <c r="C2175" s="1" t="n">
        <v>46082</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8099-2025</t>
        </is>
      </c>
      <c r="B2176" s="1" t="n">
        <v>45707.69086805556</v>
      </c>
      <c r="C2176" s="1" t="n">
        <v>46082</v>
      </c>
      <c r="D2176" t="inlineStr">
        <is>
          <t>VÄSTERNORRLANDS LÄN</t>
        </is>
      </c>
      <c r="E2176" t="inlineStr">
        <is>
          <t>SOLLEFTEÅ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63646-2025</t>
        </is>
      </c>
      <c r="B2177" s="1" t="n">
        <v>46014.42746527777</v>
      </c>
      <c r="C2177" s="1" t="n">
        <v>46082</v>
      </c>
      <c r="D2177" t="inlineStr">
        <is>
          <t>VÄSTERNORRLANDS LÄN</t>
        </is>
      </c>
      <c r="E2177" t="inlineStr">
        <is>
          <t>SOLLEFTEÅ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46082</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46082</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46082</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46082</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46082</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46082</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7154-2026</t>
        </is>
      </c>
      <c r="B2184" s="1" t="n">
        <v>46058.42788194444</v>
      </c>
      <c r="C2184" s="1" t="n">
        <v>46082</v>
      </c>
      <c r="D2184" t="inlineStr">
        <is>
          <t>VÄSTERNORRLANDS LÄN</t>
        </is>
      </c>
      <c r="E2184" t="inlineStr">
        <is>
          <t>SOLLEFTEÅ</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16709-2024</t>
        </is>
      </c>
      <c r="B2185" s="1" t="n">
        <v>45409.07737268518</v>
      </c>
      <c r="C2185" s="1" t="n">
        <v>46082</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54618-2023</t>
        </is>
      </c>
      <c r="B2186" s="1" t="n">
        <v>45233</v>
      </c>
      <c r="C2186" s="1" t="n">
        <v>46082</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10437-2025</t>
        </is>
      </c>
      <c r="B2187" s="1" t="n">
        <v>45720.67740740741</v>
      </c>
      <c r="C2187" s="1" t="n">
        <v>46082</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7161-2026</t>
        </is>
      </c>
      <c r="B2188" s="1" t="n">
        <v>46058.44846064815</v>
      </c>
      <c r="C2188" s="1" t="n">
        <v>46082</v>
      </c>
      <c r="D2188" t="inlineStr">
        <is>
          <t>VÄSTERNORRLANDS LÄN</t>
        </is>
      </c>
      <c r="E2188" t="inlineStr">
        <is>
          <t>SOLLEFTEÅ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60360-2024</t>
        </is>
      </c>
      <c r="B2189" s="1" t="n">
        <v>45643.44837962963</v>
      </c>
      <c r="C2189" s="1" t="n">
        <v>46082</v>
      </c>
      <c r="D2189" t="inlineStr">
        <is>
          <t>VÄSTERNORRLANDS LÄN</t>
        </is>
      </c>
      <c r="E2189" t="inlineStr">
        <is>
          <t>SOLLEFTEÅ</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27593-2022</t>
        </is>
      </c>
      <c r="B2190" s="1" t="n">
        <v>44742</v>
      </c>
      <c r="C2190" s="1" t="n">
        <v>46082</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47185-2023</t>
        </is>
      </c>
      <c r="B2191" s="1" t="n">
        <v>45201</v>
      </c>
      <c r="C2191" s="1" t="n">
        <v>46082</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7304-2026</t>
        </is>
      </c>
      <c r="B2192" s="1" t="n">
        <v>46058.65677083333</v>
      </c>
      <c r="C2192" s="1" t="n">
        <v>46082</v>
      </c>
      <c r="D2192" t="inlineStr">
        <is>
          <t>VÄSTERNORRLANDS LÄN</t>
        </is>
      </c>
      <c r="E2192" t="inlineStr">
        <is>
          <t>SOLLEFTEÅ</t>
        </is>
      </c>
      <c r="F2192" t="inlineStr">
        <is>
          <t>SCA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46082</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4859-2025</t>
        </is>
      </c>
      <c r="B2194" s="1" t="n">
        <v>45688.67451388889</v>
      </c>
      <c r="C2194" s="1" t="n">
        <v>46082</v>
      </c>
      <c r="D2194" t="inlineStr">
        <is>
          <t>VÄSTERNORRLANDS LÄN</t>
        </is>
      </c>
      <c r="E2194" t="inlineStr">
        <is>
          <t>SOLLEFTEÅ</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54978-2023</t>
        </is>
      </c>
      <c r="B2195" s="1" t="n">
        <v>45236.96600694444</v>
      </c>
      <c r="C2195" s="1" t="n">
        <v>46082</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8895-2025</t>
        </is>
      </c>
      <c r="B2196" s="1" t="n">
        <v>45713.40670138889</v>
      </c>
      <c r="C2196" s="1" t="n">
        <v>46082</v>
      </c>
      <c r="D2196" t="inlineStr">
        <is>
          <t>VÄSTERNORRLANDS LÄN</t>
        </is>
      </c>
      <c r="E2196" t="inlineStr">
        <is>
          <t>SOLLEFTEÅ</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11108-2025</t>
        </is>
      </c>
      <c r="B2197" s="1" t="n">
        <v>45723.6150462963</v>
      </c>
      <c r="C2197" s="1" t="n">
        <v>46082</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47181-2023</t>
        </is>
      </c>
      <c r="B2198" s="1" t="n">
        <v>45201.94876157407</v>
      </c>
      <c r="C2198" s="1" t="n">
        <v>46082</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46082</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55650-2023</t>
        </is>
      </c>
      <c r="B2200" s="1" t="n">
        <v>45238.96600694444</v>
      </c>
      <c r="C2200" s="1" t="n">
        <v>46082</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55654-2023</t>
        </is>
      </c>
      <c r="B2201" s="1" t="n">
        <v>45238.96642361111</v>
      </c>
      <c r="C2201" s="1" t="n">
        <v>46082</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46082</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53120-2024</t>
        </is>
      </c>
      <c r="B2203" s="1" t="n">
        <v>45611</v>
      </c>
      <c r="C2203" s="1" t="n">
        <v>46082</v>
      </c>
      <c r="D2203" t="inlineStr">
        <is>
          <t>VÄSTERNORRLANDS LÄN</t>
        </is>
      </c>
      <c r="E2203" t="inlineStr">
        <is>
          <t>SOLLEFTEÅ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16795-2025</t>
        </is>
      </c>
      <c r="B2204" s="1" t="n">
        <v>45754.61487268518</v>
      </c>
      <c r="C2204" s="1" t="n">
        <v>46082</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17279-2025</t>
        </is>
      </c>
      <c r="B2205" s="1" t="n">
        <v>45756.56396990741</v>
      </c>
      <c r="C2205" s="1" t="n">
        <v>46082</v>
      </c>
      <c r="D2205" t="inlineStr">
        <is>
          <t>VÄSTERNORRLANDS LÄN</t>
        </is>
      </c>
      <c r="E2205" t="inlineStr">
        <is>
          <t>SOLLEFTEÅ</t>
        </is>
      </c>
      <c r="G2205" t="n">
        <v>22.4</v>
      </c>
      <c r="H2205" t="n">
        <v>0</v>
      </c>
      <c r="I2205" t="n">
        <v>0</v>
      </c>
      <c r="J2205" t="n">
        <v>0</v>
      </c>
      <c r="K2205" t="n">
        <v>0</v>
      </c>
      <c r="L2205" t="n">
        <v>0</v>
      </c>
      <c r="M2205" t="n">
        <v>0</v>
      </c>
      <c r="N2205" t="n">
        <v>0</v>
      </c>
      <c r="O2205" t="n">
        <v>0</v>
      </c>
      <c r="P2205" t="n">
        <v>0</v>
      </c>
      <c r="Q2205" t="n">
        <v>0</v>
      </c>
      <c r="R2205" s="2" t="inlineStr"/>
    </row>
    <row r="2206" ht="15" customHeight="1">
      <c r="A2206" t="inlineStr">
        <is>
          <t>A 12941-2025</t>
        </is>
      </c>
      <c r="B2206" s="1" t="n">
        <v>45734.36525462963</v>
      </c>
      <c r="C2206" s="1" t="n">
        <v>46082</v>
      </c>
      <c r="D2206" t="inlineStr">
        <is>
          <t>VÄSTERNORRLANDS LÄN</t>
        </is>
      </c>
      <c r="E2206" t="inlineStr">
        <is>
          <t>SOLLEFTEÅ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7528-2026</t>
        </is>
      </c>
      <c r="B2207" s="1" t="n">
        <v>46059.61530092593</v>
      </c>
      <c r="C2207" s="1" t="n">
        <v>46082</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127-2026</t>
        </is>
      </c>
      <c r="B2208" s="1" t="n">
        <v>46020</v>
      </c>
      <c r="C2208" s="1" t="n">
        <v>46082</v>
      </c>
      <c r="D2208" t="inlineStr">
        <is>
          <t>VÄSTERNORRLANDS LÄN</t>
        </is>
      </c>
      <c r="E2208" t="inlineStr">
        <is>
          <t>SOLLEFTEÅ</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7387-2026</t>
        </is>
      </c>
      <c r="B2209" s="1" t="n">
        <v>46059.36527777778</v>
      </c>
      <c r="C2209" s="1" t="n">
        <v>46082</v>
      </c>
      <c r="D2209" t="inlineStr">
        <is>
          <t>VÄSTERNORRLANDS LÄN</t>
        </is>
      </c>
      <c r="E2209" t="inlineStr">
        <is>
          <t>SOLLEFTEÅ</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56311-2023</t>
        </is>
      </c>
      <c r="B2210" s="1" t="n">
        <v>45242.94203703704</v>
      </c>
      <c r="C2210" s="1" t="n">
        <v>46082</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57394-2023</t>
        </is>
      </c>
      <c r="B2211" s="1" t="n">
        <v>45245.96774305555</v>
      </c>
      <c r="C2211" s="1" t="n">
        <v>46082</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7386-2026</t>
        </is>
      </c>
      <c r="B2212" s="1" t="n">
        <v>46059.36519675926</v>
      </c>
      <c r="C2212" s="1" t="n">
        <v>46082</v>
      </c>
      <c r="D2212" t="inlineStr">
        <is>
          <t>VÄSTERNORRLANDS LÄN</t>
        </is>
      </c>
      <c r="E2212" t="inlineStr">
        <is>
          <t>SOLLEFTEÅ</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7397-2026</t>
        </is>
      </c>
      <c r="B2213" s="1" t="n">
        <v>46059.37511574074</v>
      </c>
      <c r="C2213" s="1" t="n">
        <v>46082</v>
      </c>
      <c r="D2213" t="inlineStr">
        <is>
          <t>VÄSTERNORRLANDS LÄN</t>
        </is>
      </c>
      <c r="E2213" t="inlineStr">
        <is>
          <t>SOLLEFTEÅ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149-2026</t>
        </is>
      </c>
      <c r="B2214" s="1" t="n">
        <v>46020</v>
      </c>
      <c r="C2214" s="1" t="n">
        <v>46082</v>
      </c>
      <c r="D2214" t="inlineStr">
        <is>
          <t>VÄSTERNORRLANDS LÄN</t>
        </is>
      </c>
      <c r="E2214" t="inlineStr">
        <is>
          <t>SOLLEFTEÅ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9967-2025</t>
        </is>
      </c>
      <c r="B2215" s="1" t="n">
        <v>45719.37890046297</v>
      </c>
      <c r="C2215" s="1" t="n">
        <v>46082</v>
      </c>
      <c r="D2215" t="inlineStr">
        <is>
          <t>VÄSTERNORRLANDS LÄN</t>
        </is>
      </c>
      <c r="E2215" t="inlineStr">
        <is>
          <t>SOLLEFTEÅ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20550-2025</t>
        </is>
      </c>
      <c r="B2216" s="1" t="n">
        <v>45775.6360300926</v>
      </c>
      <c r="C2216" s="1" t="n">
        <v>46082</v>
      </c>
      <c r="D2216" t="inlineStr">
        <is>
          <t>VÄSTERNORRLANDS LÄN</t>
        </is>
      </c>
      <c r="E2216" t="inlineStr">
        <is>
          <t>SOLLEFTEÅ</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19145-2025</t>
        </is>
      </c>
      <c r="B2217" s="1" t="n">
        <v>45769.34452546296</v>
      </c>
      <c r="C2217" s="1" t="n">
        <v>46082</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14982-2024</t>
        </is>
      </c>
      <c r="B2218" s="1" t="n">
        <v>45398.94193287037</v>
      </c>
      <c r="C2218" s="1" t="n">
        <v>46082</v>
      </c>
      <c r="D2218" t="inlineStr">
        <is>
          <t>VÄSTERNORRLANDS LÄN</t>
        </is>
      </c>
      <c r="E2218" t="inlineStr">
        <is>
          <t>SOLLEFTEÅ</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8028-2026</t>
        </is>
      </c>
      <c r="B2219" s="1" t="n">
        <v>46063.57350694444</v>
      </c>
      <c r="C2219" s="1" t="n">
        <v>46082</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6065-2024</t>
        </is>
      </c>
      <c r="B2220" s="1" t="n">
        <v>45336.87826388889</v>
      </c>
      <c r="C2220" s="1" t="n">
        <v>46082</v>
      </c>
      <c r="D2220" t="inlineStr">
        <is>
          <t>VÄSTERNORRLANDS LÄN</t>
        </is>
      </c>
      <c r="E2220" t="inlineStr">
        <is>
          <t>SOLLEFTEÅ</t>
        </is>
      </c>
      <c r="F2220" t="inlineStr">
        <is>
          <t>Övriga Aktiebolag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8088-2026</t>
        </is>
      </c>
      <c r="B2221" s="1" t="n">
        <v>46063</v>
      </c>
      <c r="C2221" s="1" t="n">
        <v>46082</v>
      </c>
      <c r="D2221" t="inlineStr">
        <is>
          <t>VÄSTERNORRLANDS LÄN</t>
        </is>
      </c>
      <c r="E2221" t="inlineStr">
        <is>
          <t>SOLLEFTEÅ</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57922-2024</t>
        </is>
      </c>
      <c r="B2222" s="1" t="n">
        <v>45631.5107175926</v>
      </c>
      <c r="C2222" s="1" t="n">
        <v>46082</v>
      </c>
      <c r="D2222" t="inlineStr">
        <is>
          <t>VÄSTERNORRLANDS LÄN</t>
        </is>
      </c>
      <c r="E2222" t="inlineStr">
        <is>
          <t>SOLLEFTEÅ</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50757-2023</t>
        </is>
      </c>
      <c r="B2223" s="1" t="n">
        <v>45217</v>
      </c>
      <c r="C2223" s="1" t="n">
        <v>46082</v>
      </c>
      <c r="D2223" t="inlineStr">
        <is>
          <t>VÄSTERNORRLANDS LÄN</t>
        </is>
      </c>
      <c r="E2223" t="inlineStr">
        <is>
          <t>SOLLEFTEÅ</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7674-2026</t>
        </is>
      </c>
      <c r="B2224" s="1" t="n">
        <v>46062</v>
      </c>
      <c r="C2224" s="1" t="n">
        <v>46082</v>
      </c>
      <c r="D2224" t="inlineStr">
        <is>
          <t>VÄSTERNORRLANDS LÄN</t>
        </is>
      </c>
      <c r="E2224" t="inlineStr">
        <is>
          <t>SOLLEFTEÅ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63529-2023</t>
        </is>
      </c>
      <c r="B2225" s="1" t="n">
        <v>45274.94859953703</v>
      </c>
      <c r="C2225" s="1" t="n">
        <v>46082</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8084-2026</t>
        </is>
      </c>
      <c r="B2226" s="1" t="n">
        <v>46063.6775462963</v>
      </c>
      <c r="C2226" s="1" t="n">
        <v>46082</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21711-2022</t>
        </is>
      </c>
      <c r="B2227" s="1" t="n">
        <v>44707</v>
      </c>
      <c r="C2227" s="1" t="n">
        <v>46082</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3211-2024</t>
        </is>
      </c>
      <c r="B2228" s="1" t="n">
        <v>45316</v>
      </c>
      <c r="C2228" s="1" t="n">
        <v>46082</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3231-2024</t>
        </is>
      </c>
      <c r="B2229" s="1" t="n">
        <v>45316</v>
      </c>
      <c r="C2229" s="1" t="n">
        <v>46082</v>
      </c>
      <c r="D2229" t="inlineStr">
        <is>
          <t>VÄSTERNORRLANDS LÄN</t>
        </is>
      </c>
      <c r="E2229" t="inlineStr">
        <is>
          <t>SOLLEFTEÅ</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3252-2024</t>
        </is>
      </c>
      <c r="B2230" s="1" t="n">
        <v>45316</v>
      </c>
      <c r="C2230" s="1" t="n">
        <v>46082</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8206-2026</t>
        </is>
      </c>
      <c r="B2231" s="1" t="n">
        <v>46064.44851851852</v>
      </c>
      <c r="C2231" s="1" t="n">
        <v>46082</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8207-2026</t>
        </is>
      </c>
      <c r="B2232" s="1" t="n">
        <v>46064.44872685185</v>
      </c>
      <c r="C2232" s="1" t="n">
        <v>46082</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5255-2024</t>
        </is>
      </c>
      <c r="B2233" s="1" t="n">
        <v>45330</v>
      </c>
      <c r="C2233" s="1" t="n">
        <v>46082</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20507-2024</t>
        </is>
      </c>
      <c r="B2234" s="1" t="n">
        <v>45435</v>
      </c>
      <c r="C2234" s="1" t="n">
        <v>46082</v>
      </c>
      <c r="D2234" t="inlineStr">
        <is>
          <t>VÄSTERNORRLANDS LÄN</t>
        </is>
      </c>
      <c r="E2234" t="inlineStr">
        <is>
          <t>SOLLEFTEÅ</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35277-2023</t>
        </is>
      </c>
      <c r="B2235" s="1" t="n">
        <v>45145</v>
      </c>
      <c r="C2235" s="1" t="n">
        <v>46082</v>
      </c>
      <c r="D2235" t="inlineStr">
        <is>
          <t>VÄSTERNORRLANDS LÄN</t>
        </is>
      </c>
      <c r="E2235" t="inlineStr">
        <is>
          <t>SOLLEFTEÅ</t>
        </is>
      </c>
      <c r="F2235" t="inlineStr">
        <is>
          <t>SCA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13598-2022</t>
        </is>
      </c>
      <c r="B2236" s="1" t="n">
        <v>44648</v>
      </c>
      <c r="C2236" s="1" t="n">
        <v>46082</v>
      </c>
      <c r="D2236" t="inlineStr">
        <is>
          <t>VÄSTERNORRLANDS LÄN</t>
        </is>
      </c>
      <c r="E2236" t="inlineStr">
        <is>
          <t>SOLLEFTEÅ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8546-2026</t>
        </is>
      </c>
      <c r="B2237" s="1" t="n">
        <v>46065.61515046296</v>
      </c>
      <c r="C2237" s="1" t="n">
        <v>46082</v>
      </c>
      <c r="D2237" t="inlineStr">
        <is>
          <t>VÄSTERNORRLANDS LÄN</t>
        </is>
      </c>
      <c r="E2237" t="inlineStr">
        <is>
          <t>SOLLEFTEÅ</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8244-2024</t>
        </is>
      </c>
      <c r="B2238" s="1" t="n">
        <v>45351</v>
      </c>
      <c r="C2238" s="1" t="n">
        <v>46082</v>
      </c>
      <c r="D2238" t="inlineStr">
        <is>
          <t>VÄSTERNORRLANDS LÄN</t>
        </is>
      </c>
      <c r="E2238" t="inlineStr">
        <is>
          <t>SOLLEFTEÅ</t>
        </is>
      </c>
      <c r="F2238" t="inlineStr">
        <is>
          <t>SCA</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3495-2026</t>
        </is>
      </c>
      <c r="B2239" s="1" t="n">
        <v>46042</v>
      </c>
      <c r="C2239" s="1" t="n">
        <v>46082</v>
      </c>
      <c r="D2239" t="inlineStr">
        <is>
          <t>VÄSTERNORRLANDS LÄN</t>
        </is>
      </c>
      <c r="E2239" t="inlineStr">
        <is>
          <t>SOLLEFTEÅ</t>
        </is>
      </c>
      <c r="F2239" t="inlineStr">
        <is>
          <t>Kyrkan</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8692-2026</t>
        </is>
      </c>
      <c r="B2240" s="1" t="n">
        <v>46066.44842592593</v>
      </c>
      <c r="C2240" s="1" t="n">
        <v>46082</v>
      </c>
      <c r="D2240" t="inlineStr">
        <is>
          <t>VÄSTERNORRLANDS LÄN</t>
        </is>
      </c>
      <c r="E2240" t="inlineStr">
        <is>
          <t>SOLLEFTEÅ</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8693-2026</t>
        </is>
      </c>
      <c r="B2241" s="1" t="n">
        <v>46066.44861111111</v>
      </c>
      <c r="C2241" s="1" t="n">
        <v>46082</v>
      </c>
      <c r="D2241" t="inlineStr">
        <is>
          <t>VÄSTERNORRLANDS LÄN</t>
        </is>
      </c>
      <c r="E2241" t="inlineStr">
        <is>
          <t>SOLLEFTEÅ</t>
        </is>
      </c>
      <c r="F2241" t="inlineStr">
        <is>
          <t>SCA</t>
        </is>
      </c>
      <c r="G2241" t="n">
        <v>31.1</v>
      </c>
      <c r="H2241" t="n">
        <v>0</v>
      </c>
      <c r="I2241" t="n">
        <v>0</v>
      </c>
      <c r="J2241" t="n">
        <v>0</v>
      </c>
      <c r="K2241" t="n">
        <v>0</v>
      </c>
      <c r="L2241" t="n">
        <v>0</v>
      </c>
      <c r="M2241" t="n">
        <v>0</v>
      </c>
      <c r="N2241" t="n">
        <v>0</v>
      </c>
      <c r="O2241" t="n">
        <v>0</v>
      </c>
      <c r="P2241" t="n">
        <v>0</v>
      </c>
      <c r="Q2241" t="n">
        <v>0</v>
      </c>
      <c r="R2241" s="2" t="inlineStr"/>
    </row>
    <row r="2242" ht="15" customHeight="1">
      <c r="A2242" t="inlineStr">
        <is>
          <t>A 46130-2022</t>
        </is>
      </c>
      <c r="B2242" s="1" t="n">
        <v>44844</v>
      </c>
      <c r="C2242" s="1" t="n">
        <v>46082</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4061-2024</t>
        </is>
      </c>
      <c r="B2243" s="1" t="n">
        <v>45323</v>
      </c>
      <c r="C2243" s="1" t="n">
        <v>46082</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21362-2021</t>
        </is>
      </c>
      <c r="B2244" s="1" t="n">
        <v>44320.95611111111</v>
      </c>
      <c r="C2244" s="1" t="n">
        <v>46082</v>
      </c>
      <c r="D2244" t="inlineStr">
        <is>
          <t>VÄSTERNORRLANDS LÄN</t>
        </is>
      </c>
      <c r="E2244" t="inlineStr">
        <is>
          <t>SOLLEFTEÅ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8834-2026</t>
        </is>
      </c>
      <c r="B2245" s="1" t="n">
        <v>46066.63671296297</v>
      </c>
      <c r="C2245" s="1" t="n">
        <v>46082</v>
      </c>
      <c r="D2245" t="inlineStr">
        <is>
          <t>VÄSTERNORRLANDS LÄN</t>
        </is>
      </c>
      <c r="E2245" t="inlineStr">
        <is>
          <t>SOLLEFTEÅ</t>
        </is>
      </c>
      <c r="F2245" t="inlineStr">
        <is>
          <t>SCA</t>
        </is>
      </c>
      <c r="G2245" t="n">
        <v>28.4</v>
      </c>
      <c r="H2245" t="n">
        <v>0</v>
      </c>
      <c r="I2245" t="n">
        <v>0</v>
      </c>
      <c r="J2245" t="n">
        <v>0</v>
      </c>
      <c r="K2245" t="n">
        <v>0</v>
      </c>
      <c r="L2245" t="n">
        <v>0</v>
      </c>
      <c r="M2245" t="n">
        <v>0</v>
      </c>
      <c r="N2245" t="n">
        <v>0</v>
      </c>
      <c r="O2245" t="n">
        <v>0</v>
      </c>
      <c r="P2245" t="n">
        <v>0</v>
      </c>
      <c r="Q2245" t="n">
        <v>0</v>
      </c>
      <c r="R2245" s="2" t="inlineStr"/>
    </row>
    <row r="2246" ht="15" customHeight="1">
      <c r="A2246" t="inlineStr">
        <is>
          <t>A 8855-2026</t>
        </is>
      </c>
      <c r="B2246" s="1" t="n">
        <v>46066.67763888889</v>
      </c>
      <c r="C2246" s="1" t="n">
        <v>46082</v>
      </c>
      <c r="D2246" t="inlineStr">
        <is>
          <t>VÄSTERNORRLANDS LÄN</t>
        </is>
      </c>
      <c r="E2246" t="inlineStr">
        <is>
          <t>SOLLEFTEÅ</t>
        </is>
      </c>
      <c r="F2246" t="inlineStr">
        <is>
          <t>SCA</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61429-2025</t>
        </is>
      </c>
      <c r="B2247" s="1" t="n">
        <v>46001.55243055556</v>
      </c>
      <c r="C2247" s="1" t="n">
        <v>46082</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27633-2024</t>
        </is>
      </c>
      <c r="B2248" s="1" t="n">
        <v>45474.94590277778</v>
      </c>
      <c r="C2248" s="1" t="n">
        <v>46082</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27634-2024</t>
        </is>
      </c>
      <c r="B2249" s="1" t="n">
        <v>45474.94599537037</v>
      </c>
      <c r="C2249" s="1" t="n">
        <v>46082</v>
      </c>
      <c r="D2249" t="inlineStr">
        <is>
          <t>VÄSTERNORRLANDS LÄN</t>
        </is>
      </c>
      <c r="E2249" t="inlineStr">
        <is>
          <t>SOLLEFTEÅ</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8655-2026</t>
        </is>
      </c>
      <c r="B2250" s="1" t="n">
        <v>46066.37125</v>
      </c>
      <c r="C2250" s="1" t="n">
        <v>46082</v>
      </c>
      <c r="D2250" t="inlineStr">
        <is>
          <t>VÄSTERNORRLANDS LÄN</t>
        </is>
      </c>
      <c r="E2250" t="inlineStr">
        <is>
          <t>SOLLEFTEÅ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8666-2026</t>
        </is>
      </c>
      <c r="B2251" s="1" t="n">
        <v>46066.38591435185</v>
      </c>
      <c r="C2251" s="1" t="n">
        <v>46082</v>
      </c>
      <c r="D2251" t="inlineStr">
        <is>
          <t>VÄSTERNORRLANDS LÄN</t>
        </is>
      </c>
      <c r="E2251" t="inlineStr">
        <is>
          <t>SOLLEFTEÅ</t>
        </is>
      </c>
      <c r="F2251" t="inlineStr">
        <is>
          <t>SCA</t>
        </is>
      </c>
      <c r="G2251" t="n">
        <v>27.7</v>
      </c>
      <c r="H2251" t="n">
        <v>0</v>
      </c>
      <c r="I2251" t="n">
        <v>0</v>
      </c>
      <c r="J2251" t="n">
        <v>0</v>
      </c>
      <c r="K2251" t="n">
        <v>0</v>
      </c>
      <c r="L2251" t="n">
        <v>0</v>
      </c>
      <c r="M2251" t="n">
        <v>0</v>
      </c>
      <c r="N2251" t="n">
        <v>0</v>
      </c>
      <c r="O2251" t="n">
        <v>0</v>
      </c>
      <c r="P2251" t="n">
        <v>0</v>
      </c>
      <c r="Q2251" t="n">
        <v>0</v>
      </c>
      <c r="R2251" s="2" t="inlineStr"/>
    </row>
    <row r="2252" ht="15" customHeight="1">
      <c r="A2252" t="inlineStr">
        <is>
          <t>A 27641-2024</t>
        </is>
      </c>
      <c r="B2252" s="1" t="n">
        <v>45474.94694444445</v>
      </c>
      <c r="C2252" s="1" t="n">
        <v>46082</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3496-2026</t>
        </is>
      </c>
      <c r="B2253" s="1" t="n">
        <v>46042</v>
      </c>
      <c r="C2253" s="1" t="n">
        <v>46082</v>
      </c>
      <c r="D2253" t="inlineStr">
        <is>
          <t>VÄSTERNORRLANDS LÄN</t>
        </is>
      </c>
      <c r="E2253" t="inlineStr">
        <is>
          <t>SOLLEFTEÅ</t>
        </is>
      </c>
      <c r="F2253" t="inlineStr">
        <is>
          <t>Kyrkan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8647-2026</t>
        </is>
      </c>
      <c r="B2254" s="1" t="n">
        <v>46065</v>
      </c>
      <c r="C2254" s="1" t="n">
        <v>46082</v>
      </c>
      <c r="D2254" t="inlineStr">
        <is>
          <t>VÄSTERNORRLANDS LÄN</t>
        </is>
      </c>
      <c r="E2254" t="inlineStr">
        <is>
          <t>SOLLEFTEÅ</t>
        </is>
      </c>
      <c r="F2254" t="inlineStr">
        <is>
          <t>Övriga Aktiebolag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8724-2026</t>
        </is>
      </c>
      <c r="B2255" s="1" t="n">
        <v>46066.49011574074</v>
      </c>
      <c r="C2255" s="1" t="n">
        <v>46082</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29459-2024</t>
        </is>
      </c>
      <c r="B2256" s="1" t="n">
        <v>45483.96939814815</v>
      </c>
      <c r="C2256" s="1" t="n">
        <v>46082</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18696-2025</t>
        </is>
      </c>
      <c r="B2257" s="1" t="n">
        <v>45763.61578703704</v>
      </c>
      <c r="C2257" s="1" t="n">
        <v>46082</v>
      </c>
      <c r="D2257" t="inlineStr">
        <is>
          <t>VÄSTERNORRLANDS LÄN</t>
        </is>
      </c>
      <c r="E2257" t="inlineStr">
        <is>
          <t>SOLLEFTEÅ</t>
        </is>
      </c>
      <c r="F2257" t="inlineStr">
        <is>
          <t>SCA</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8739-2026</t>
        </is>
      </c>
      <c r="B2258" s="1" t="n">
        <v>46066.51086805556</v>
      </c>
      <c r="C2258" s="1" t="n">
        <v>46082</v>
      </c>
      <c r="D2258" t="inlineStr">
        <is>
          <t>VÄSTERNORRLANDS LÄN</t>
        </is>
      </c>
      <c r="E2258" t="inlineStr">
        <is>
          <t>SOLLEFTEÅ</t>
        </is>
      </c>
      <c r="F2258" t="inlineStr">
        <is>
          <t>Kyrkan</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8880-2023</t>
        </is>
      </c>
      <c r="B2259" s="1" t="n">
        <v>44978.94346064814</v>
      </c>
      <c r="C2259" s="1" t="n">
        <v>46082</v>
      </c>
      <c r="D2259" t="inlineStr">
        <is>
          <t>VÄSTERNORRLANDS LÄN</t>
        </is>
      </c>
      <c r="E2259" t="inlineStr">
        <is>
          <t>SOLLEFTEÅ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6068-2024</t>
        </is>
      </c>
      <c r="B2260" s="1" t="n">
        <v>45336.89725694444</v>
      </c>
      <c r="C2260" s="1" t="n">
        <v>46082</v>
      </c>
      <c r="D2260" t="inlineStr">
        <is>
          <t>VÄSTERNORRLANDS LÄN</t>
        </is>
      </c>
      <c r="E2260" t="inlineStr">
        <is>
          <t>SOLLEFTEÅ</t>
        </is>
      </c>
      <c r="F2260" t="inlineStr">
        <is>
          <t>Övriga Aktiebolag</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51107-2023</t>
        </is>
      </c>
      <c r="B2261" s="1" t="n">
        <v>45218.92530092593</v>
      </c>
      <c r="C2261" s="1" t="n">
        <v>46082</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45188.9465625</v>
      </c>
      <c r="C2262" s="1" t="n">
        <v>46082</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44408-2023</t>
        </is>
      </c>
      <c r="B2263" s="1" t="n">
        <v>45188.94663194445</v>
      </c>
      <c r="C2263" s="1" t="n">
        <v>46082</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3320-2026</t>
        </is>
      </c>
      <c r="B2264" s="1" t="n">
        <v>46041</v>
      </c>
      <c r="C2264" s="1" t="n">
        <v>46082</v>
      </c>
      <c r="D2264" t="inlineStr">
        <is>
          <t>VÄSTERNORRLANDS LÄN</t>
        </is>
      </c>
      <c r="E2264" t="inlineStr">
        <is>
          <t>SOLLEFTEÅ</t>
        </is>
      </c>
      <c r="F2264" t="inlineStr">
        <is>
          <t>Övriga statliga verk och myndigheter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17682-2025</t>
        </is>
      </c>
      <c r="B2265" s="1" t="n">
        <v>45758</v>
      </c>
      <c r="C2265" s="1" t="n">
        <v>46082</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36078-2022</t>
        </is>
      </c>
      <c r="B2266" s="1" t="n">
        <v>44802.9459375</v>
      </c>
      <c r="C2266" s="1" t="n">
        <v>46082</v>
      </c>
      <c r="D2266" t="inlineStr">
        <is>
          <t>VÄSTERNORRLANDS LÄN</t>
        </is>
      </c>
      <c r="E2266" t="inlineStr">
        <is>
          <t>SOLLEFTEÅ</t>
        </is>
      </c>
      <c r="F2266" t="inlineStr">
        <is>
          <t>SCA</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8667-2026</t>
        </is>
      </c>
      <c r="B2267" s="1" t="n">
        <v>46066.38613425926</v>
      </c>
      <c r="C2267" s="1" t="n">
        <v>46082</v>
      </c>
      <c r="D2267" t="inlineStr">
        <is>
          <t>VÄSTERNORRLANDS LÄN</t>
        </is>
      </c>
      <c r="E2267" t="inlineStr">
        <is>
          <t>SOLLEFTEÅ</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26500-2024</t>
        </is>
      </c>
      <c r="B2268" s="1" t="n">
        <v>45469.57174768519</v>
      </c>
      <c r="C2268" s="1" t="n">
        <v>46082</v>
      </c>
      <c r="D2268" t="inlineStr">
        <is>
          <t>VÄSTERNORRLANDS LÄN</t>
        </is>
      </c>
      <c r="E2268" t="inlineStr">
        <is>
          <t>SOLLEFTEÅ</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22690-2024</t>
        </is>
      </c>
      <c r="B2269" s="1" t="n">
        <v>45448.31293981482</v>
      </c>
      <c r="C2269" s="1" t="n">
        <v>46082</v>
      </c>
      <c r="D2269" t="inlineStr">
        <is>
          <t>VÄSTERNORRLANDS LÄN</t>
        </is>
      </c>
      <c r="E2269" t="inlineStr">
        <is>
          <t>SOLLEFTEÅ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41456-2022</t>
        </is>
      </c>
      <c r="B2270" s="1" t="n">
        <v>44826</v>
      </c>
      <c r="C2270" s="1" t="n">
        <v>46082</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29914-2024</t>
        </is>
      </c>
      <c r="B2271" s="1" t="n">
        <v>45487.92814814814</v>
      </c>
      <c r="C2271" s="1" t="n">
        <v>46082</v>
      </c>
      <c r="D2271" t="inlineStr">
        <is>
          <t>VÄSTERNORRLANDS LÄN</t>
        </is>
      </c>
      <c r="E2271" t="inlineStr">
        <is>
          <t>SOLLEFTEÅ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17032-2025</t>
        </is>
      </c>
      <c r="B2272" s="1" t="n">
        <v>45755</v>
      </c>
      <c r="C2272" s="1" t="n">
        <v>46082</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62363-2023</t>
        </is>
      </c>
      <c r="B2273" s="1" t="n">
        <v>45267</v>
      </c>
      <c r="C2273" s="1" t="n">
        <v>46082</v>
      </c>
      <c r="D2273" t="inlineStr">
        <is>
          <t>VÄSTERNORRLANDS LÄN</t>
        </is>
      </c>
      <c r="E2273" t="inlineStr">
        <is>
          <t>SOLLEFTEÅ</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52034-2022</t>
        </is>
      </c>
      <c r="B2274" s="1" t="n">
        <v>44872</v>
      </c>
      <c r="C2274" s="1" t="n">
        <v>46082</v>
      </c>
      <c r="D2274" t="inlineStr">
        <is>
          <t>VÄSTERNORRLANDS LÄN</t>
        </is>
      </c>
      <c r="E2274" t="inlineStr">
        <is>
          <t>SOLLEFTEÅ</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58085-2023</t>
        </is>
      </c>
      <c r="B2275" s="1" t="n">
        <v>45247</v>
      </c>
      <c r="C2275" s="1" t="n">
        <v>46082</v>
      </c>
      <c r="D2275" t="inlineStr">
        <is>
          <t>VÄSTERNORRLANDS LÄN</t>
        </is>
      </c>
      <c r="E2275" t="inlineStr">
        <is>
          <t>SOLLEFTEÅ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8982-2026</t>
        </is>
      </c>
      <c r="B2276" s="1" t="n">
        <v>46069.44921296297</v>
      </c>
      <c r="C2276" s="1" t="n">
        <v>46082</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64120-2023</t>
        </is>
      </c>
      <c r="B2277" s="1" t="n">
        <v>45279</v>
      </c>
      <c r="C2277" s="1" t="n">
        <v>46082</v>
      </c>
      <c r="D2277" t="inlineStr">
        <is>
          <t>VÄSTERNORRLANDS LÄN</t>
        </is>
      </c>
      <c r="E2277" t="inlineStr">
        <is>
          <t>SOLLEFTEÅ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63138-2023</t>
        </is>
      </c>
      <c r="B2278" s="1" t="n">
        <v>45272</v>
      </c>
      <c r="C2278" s="1" t="n">
        <v>46082</v>
      </c>
      <c r="D2278" t="inlineStr">
        <is>
          <t>VÄSTERNORRLANDS LÄN</t>
        </is>
      </c>
      <c r="E2278" t="inlineStr">
        <is>
          <t>SOLLEFTEÅ</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358-2026</t>
        </is>
      </c>
      <c r="B2279" s="1" t="n">
        <v>46027.65996527778</v>
      </c>
      <c r="C2279" s="1" t="n">
        <v>46082</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403-2026</t>
        </is>
      </c>
      <c r="B2280" s="1" t="n">
        <v>46028.66550925926</v>
      </c>
      <c r="C2280" s="1" t="n">
        <v>46082</v>
      </c>
      <c r="D2280" t="inlineStr">
        <is>
          <t>VÄSTERNORRLANDS LÄN</t>
        </is>
      </c>
      <c r="E2280" t="inlineStr">
        <is>
          <t>SOLLEFTEÅ</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9757-2026</t>
        </is>
      </c>
      <c r="B2281" s="1" t="n">
        <v>46072.54966435185</v>
      </c>
      <c r="C2281" s="1" t="n">
        <v>46082</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9765-2026</t>
        </is>
      </c>
      <c r="B2282" s="1" t="n">
        <v>46072.56244212963</v>
      </c>
      <c r="C2282" s="1" t="n">
        <v>46082</v>
      </c>
      <c r="D2282" t="inlineStr">
        <is>
          <t>VÄSTERNORRLANDS LÄN</t>
        </is>
      </c>
      <c r="E2282" t="inlineStr">
        <is>
          <t>SOLLEFTEÅ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9773-2026</t>
        </is>
      </c>
      <c r="B2283" s="1" t="n">
        <v>46072.5735300926</v>
      </c>
      <c r="C2283" s="1" t="n">
        <v>46082</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9739-2026</t>
        </is>
      </c>
      <c r="B2284" s="1" t="n">
        <v>46072.50528935185</v>
      </c>
      <c r="C2284" s="1" t="n">
        <v>46082</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1031-2026</t>
        </is>
      </c>
      <c r="B2285" s="1" t="n">
        <v>46030.61530092593</v>
      </c>
      <c r="C2285" s="1" t="n">
        <v>46082</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12706-2025</t>
        </is>
      </c>
      <c r="B2286" s="1" t="n">
        <v>45733.46958333333</v>
      </c>
      <c r="C2286" s="1" t="n">
        <v>46082</v>
      </c>
      <c r="D2286" t="inlineStr">
        <is>
          <t>VÄSTERNORRLANDS LÄN</t>
        </is>
      </c>
      <c r="E2286" t="inlineStr">
        <is>
          <t>SOLLEFTEÅ</t>
        </is>
      </c>
      <c r="F2286" t="inlineStr">
        <is>
          <t>SCA</t>
        </is>
      </c>
      <c r="G2286" t="n">
        <v>21.7</v>
      </c>
      <c r="H2286" t="n">
        <v>0</v>
      </c>
      <c r="I2286" t="n">
        <v>0</v>
      </c>
      <c r="J2286" t="n">
        <v>0</v>
      </c>
      <c r="K2286" t="n">
        <v>0</v>
      </c>
      <c r="L2286" t="n">
        <v>0</v>
      </c>
      <c r="M2286" t="n">
        <v>0</v>
      </c>
      <c r="N2286" t="n">
        <v>0</v>
      </c>
      <c r="O2286" t="n">
        <v>0</v>
      </c>
      <c r="P2286" t="n">
        <v>0</v>
      </c>
      <c r="Q2286" t="n">
        <v>0</v>
      </c>
      <c r="R2286" s="2" t="inlineStr"/>
    </row>
    <row r="2287" ht="15" customHeight="1">
      <c r="A2287" t="inlineStr">
        <is>
          <t>A 9777-2026</t>
        </is>
      </c>
      <c r="B2287" s="1" t="n">
        <v>46072.57767361111</v>
      </c>
      <c r="C2287" s="1" t="n">
        <v>46082</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9786-2026</t>
        </is>
      </c>
      <c r="B2288" s="1" t="n">
        <v>46072.59431712963</v>
      </c>
      <c r="C2288" s="1" t="n">
        <v>46082</v>
      </c>
      <c r="D2288" t="inlineStr">
        <is>
          <t>VÄSTERNORRLANDS LÄN</t>
        </is>
      </c>
      <c r="E2288" t="inlineStr">
        <is>
          <t>SOLLEFTEÅ</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15621-2025</t>
        </is>
      </c>
      <c r="B2289" s="1" t="n">
        <v>45748.35635416667</v>
      </c>
      <c r="C2289" s="1" t="n">
        <v>46082</v>
      </c>
      <c r="D2289" t="inlineStr">
        <is>
          <t>VÄSTERNORRLANDS LÄN</t>
        </is>
      </c>
      <c r="E2289" t="inlineStr">
        <is>
          <t>SOLLEFTEÅ</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738-2026</t>
        </is>
      </c>
      <c r="B2290" s="1" t="n">
        <v>46029.65686342592</v>
      </c>
      <c r="C2290" s="1" t="n">
        <v>46082</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896-2026</t>
        </is>
      </c>
      <c r="B2291" s="1" t="n">
        <v>46030.46054398148</v>
      </c>
      <c r="C2291" s="1" t="n">
        <v>46082</v>
      </c>
      <c r="D2291" t="inlineStr">
        <is>
          <t>VÄSTERNORRLANDS LÄN</t>
        </is>
      </c>
      <c r="E2291" t="inlineStr">
        <is>
          <t>SOLLEFTEÅ</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1066-2026</t>
        </is>
      </c>
      <c r="B2292" s="1" t="n">
        <v>46030.64322916666</v>
      </c>
      <c r="C2292" s="1" t="n">
        <v>46082</v>
      </c>
      <c r="D2292" t="inlineStr">
        <is>
          <t>VÄSTERNORRLANDS LÄN</t>
        </is>
      </c>
      <c r="E2292" t="inlineStr">
        <is>
          <t>SOLLEFTEÅ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9784-2026</t>
        </is>
      </c>
      <c r="B2293" s="1" t="n">
        <v>46072.59284722222</v>
      </c>
      <c r="C2293" s="1" t="n">
        <v>46082</v>
      </c>
      <c r="D2293" t="inlineStr">
        <is>
          <t>VÄSTERNORRLANDS LÄN</t>
        </is>
      </c>
      <c r="E2293" t="inlineStr">
        <is>
          <t>SOLLEFTEÅ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49829-2024</t>
        </is>
      </c>
      <c r="B2294" s="1" t="n">
        <v>45597</v>
      </c>
      <c r="C2294" s="1" t="n">
        <v>46082</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4897-2025</t>
        </is>
      </c>
      <c r="B2295" s="1" t="n">
        <v>45688.67913194445</v>
      </c>
      <c r="C2295" s="1" t="n">
        <v>46082</v>
      </c>
      <c r="D2295" t="inlineStr">
        <is>
          <t>VÄSTERNORRLANDS LÄN</t>
        </is>
      </c>
      <c r="E2295" t="inlineStr">
        <is>
          <t>SOLLEFTEÅ</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6736-2025</t>
        </is>
      </c>
      <c r="B2296" s="1" t="n">
        <v>45700.59442129629</v>
      </c>
      <c r="C2296" s="1" t="n">
        <v>46082</v>
      </c>
      <c r="D2296" t="inlineStr">
        <is>
          <t>VÄSTERNORRLANDS LÄN</t>
        </is>
      </c>
      <c r="E2296" t="inlineStr">
        <is>
          <t>SOLLEFTEÅ</t>
        </is>
      </c>
      <c r="F2296" t="inlineStr">
        <is>
          <t>SCA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658-2026</t>
        </is>
      </c>
      <c r="B2297" s="1" t="n">
        <v>46029.58168981481</v>
      </c>
      <c r="C2297" s="1" t="n">
        <v>46082</v>
      </c>
      <c r="D2297" t="inlineStr">
        <is>
          <t>VÄSTERNORRLANDS LÄN</t>
        </is>
      </c>
      <c r="E2297" t="inlineStr">
        <is>
          <t>SOLLEFTEÅ</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9014-2026</t>
        </is>
      </c>
      <c r="B2298" s="1" t="n">
        <v>46069</v>
      </c>
      <c r="C2298" s="1" t="n">
        <v>46082</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9578-2026</t>
        </is>
      </c>
      <c r="B2299" s="1" t="n">
        <v>46071.6775462963</v>
      </c>
      <c r="C2299" s="1" t="n">
        <v>46082</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13584-2025</t>
        </is>
      </c>
      <c r="B2300" s="1" t="n">
        <v>45736.59193287037</v>
      </c>
      <c r="C2300" s="1" t="n">
        <v>46082</v>
      </c>
      <c r="D2300" t="inlineStr">
        <is>
          <t>VÄSTERNORRLANDS LÄN</t>
        </is>
      </c>
      <c r="E2300" t="inlineStr">
        <is>
          <t>SOLLEFTEÅ</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9515-2026</t>
        </is>
      </c>
      <c r="B2301" s="1" t="n">
        <v>46071.59465277778</v>
      </c>
      <c r="C2301" s="1" t="n">
        <v>46082</v>
      </c>
      <c r="D2301" t="inlineStr">
        <is>
          <t>VÄSTERNORRLANDS LÄN</t>
        </is>
      </c>
      <c r="E2301" t="inlineStr">
        <is>
          <t>SOLLEFTEÅ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14554-2024</t>
        </is>
      </c>
      <c r="B2302" s="1" t="n">
        <v>45394</v>
      </c>
      <c r="C2302" s="1" t="n">
        <v>46082</v>
      </c>
      <c r="D2302" t="inlineStr">
        <is>
          <t>VÄSTERNORRLANDS LÄN</t>
        </is>
      </c>
      <c r="E2302" t="inlineStr">
        <is>
          <t>SOLLEFTEÅ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46082</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26444-2024</t>
        </is>
      </c>
      <c r="B2304" s="1" t="n">
        <v>45469.50122685185</v>
      </c>
      <c r="C2304" s="1" t="n">
        <v>46082</v>
      </c>
      <c r="D2304" t="inlineStr">
        <is>
          <t>VÄSTERNORRLANDS LÄN</t>
        </is>
      </c>
      <c r="E2304" t="inlineStr">
        <is>
          <t>SOLLEFTEÅ</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59593-2023</t>
        </is>
      </c>
      <c r="B2305" s="1" t="n">
        <v>45254.61885416666</v>
      </c>
      <c r="C2305" s="1" t="n">
        <v>46082</v>
      </c>
      <c r="D2305" t="inlineStr">
        <is>
          <t>VÄSTERNORRLANDS LÄN</t>
        </is>
      </c>
      <c r="E2305" t="inlineStr">
        <is>
          <t>SOLLEFTEÅ</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18263-2025</t>
        </is>
      </c>
      <c r="B2306" s="1" t="n">
        <v>45762.36509259259</v>
      </c>
      <c r="C2306" s="1" t="n">
        <v>46082</v>
      </c>
      <c r="D2306" t="inlineStr">
        <is>
          <t>VÄSTERNORRLANDS LÄN</t>
        </is>
      </c>
      <c r="E2306" t="inlineStr">
        <is>
          <t>SOLLEFTEÅ</t>
        </is>
      </c>
      <c r="F2306" t="inlineStr">
        <is>
          <t>SCA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19577-2024</t>
        </is>
      </c>
      <c r="B2307" s="1" t="n">
        <v>45429</v>
      </c>
      <c r="C2307" s="1" t="n">
        <v>46082</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9156-2026</t>
        </is>
      </c>
      <c r="B2308" s="1" t="n">
        <v>46070</v>
      </c>
      <c r="C2308" s="1" t="n">
        <v>46082</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2883-2025</t>
        </is>
      </c>
      <c r="B2309" s="1" t="n">
        <v>45677</v>
      </c>
      <c r="C2309" s="1" t="n">
        <v>46082</v>
      </c>
      <c r="D2309" t="inlineStr">
        <is>
          <t>VÄSTERNORRLANDS LÄN</t>
        </is>
      </c>
      <c r="E2309" t="inlineStr">
        <is>
          <t>SOLLEFTEÅ</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10053-2026</t>
        </is>
      </c>
      <c r="B2310" s="1" t="n">
        <v>46073.61542824074</v>
      </c>
      <c r="C2310" s="1" t="n">
        <v>46082</v>
      </c>
      <c r="D2310" t="inlineStr">
        <is>
          <t>VÄSTERNORRLANDS LÄN</t>
        </is>
      </c>
      <c r="E2310" t="inlineStr">
        <is>
          <t>SOLLEFTEÅ</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9924-2026</t>
        </is>
      </c>
      <c r="B2311" s="1" t="n">
        <v>46073.44850694444</v>
      </c>
      <c r="C2311" s="1" t="n">
        <v>46082</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9070-2025</t>
        </is>
      </c>
      <c r="B2312" s="1" t="n">
        <v>45713.65658564815</v>
      </c>
      <c r="C2312" s="1" t="n">
        <v>46082</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10089-2026</t>
        </is>
      </c>
      <c r="B2313" s="1" t="n">
        <v>46073.69857638889</v>
      </c>
      <c r="C2313" s="1" t="n">
        <v>46082</v>
      </c>
      <c r="D2313" t="inlineStr">
        <is>
          <t>VÄSTERNORRLANDS LÄN</t>
        </is>
      </c>
      <c r="E2313" t="inlineStr">
        <is>
          <t>SOLLEFTEÅ</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2045-2025</t>
        </is>
      </c>
      <c r="B2314" s="1" t="n">
        <v>45672.51086805556</v>
      </c>
      <c r="C2314" s="1" t="n">
        <v>46082</v>
      </c>
      <c r="D2314" t="inlineStr">
        <is>
          <t>VÄSTERNORRLANDS LÄN</t>
        </is>
      </c>
      <c r="E2314" t="inlineStr">
        <is>
          <t>SOLLEFTEÅ</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5447-2025</t>
        </is>
      </c>
      <c r="B2315" s="1" t="n">
        <v>45692</v>
      </c>
      <c r="C2315" s="1" t="n">
        <v>46082</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44662-2024</t>
        </is>
      </c>
      <c r="B2316" s="1" t="n">
        <v>45574.53189814815</v>
      </c>
      <c r="C2316" s="1" t="n">
        <v>46082</v>
      </c>
      <c r="D2316" t="inlineStr">
        <is>
          <t>VÄSTERNORRLANDS LÄN</t>
        </is>
      </c>
      <c r="E2316" t="inlineStr">
        <is>
          <t>SOLLEFTEÅ</t>
        </is>
      </c>
      <c r="F2316" t="inlineStr">
        <is>
          <t>SCA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10066-2026</t>
        </is>
      </c>
      <c r="B2317" s="1" t="n">
        <v>46073.63586805556</v>
      </c>
      <c r="C2317" s="1" t="n">
        <v>46082</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10188-2026</t>
        </is>
      </c>
      <c r="B2318" s="1" t="n">
        <v>46076.44836805556</v>
      </c>
      <c r="C2318" s="1" t="n">
        <v>46082</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1269-2024</t>
        </is>
      </c>
      <c r="B2319" s="1" t="n">
        <v>45302</v>
      </c>
      <c r="C2319" s="1" t="n">
        <v>46082</v>
      </c>
      <c r="D2319" t="inlineStr">
        <is>
          <t>VÄSTERNORRLANDS LÄN</t>
        </is>
      </c>
      <c r="E2319" t="inlineStr">
        <is>
          <t>SOLLEFTEÅ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53929-2022</t>
        </is>
      </c>
      <c r="B2320" s="1" t="n">
        <v>44880</v>
      </c>
      <c r="C2320" s="1" t="n">
        <v>46082</v>
      </c>
      <c r="D2320" t="inlineStr">
        <is>
          <t>VÄSTERNORRLANDS LÄN</t>
        </is>
      </c>
      <c r="E2320" t="inlineStr">
        <is>
          <t>SOLLEFTEÅ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53947-2022</t>
        </is>
      </c>
      <c r="B2321" s="1" t="n">
        <v>44880.95685185185</v>
      </c>
      <c r="C2321" s="1" t="n">
        <v>46082</v>
      </c>
      <c r="D2321" t="inlineStr">
        <is>
          <t>VÄSTERNORRLANDS LÄN</t>
        </is>
      </c>
      <c r="E2321" t="inlineStr">
        <is>
          <t>SOLLEFTEÅ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50557-2024</t>
        </is>
      </c>
      <c r="B2322" s="1" t="n">
        <v>45601</v>
      </c>
      <c r="C2322" s="1" t="n">
        <v>46082</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46101-2024</t>
        </is>
      </c>
      <c r="B2323" s="1" t="n">
        <v>45581</v>
      </c>
      <c r="C2323" s="1" t="n">
        <v>46082</v>
      </c>
      <c r="D2323" t="inlineStr">
        <is>
          <t>VÄSTERNORRLANDS LÄN</t>
        </is>
      </c>
      <c r="E2323" t="inlineStr">
        <is>
          <t>SOLLEFTEÅ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43843-2024</t>
        </is>
      </c>
      <c r="B2324" s="1" t="n">
        <v>45572</v>
      </c>
      <c r="C2324" s="1" t="n">
        <v>46082</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31918-2023</t>
        </is>
      </c>
      <c r="B2325" s="1" t="n">
        <v>45118</v>
      </c>
      <c r="C2325" s="1" t="n">
        <v>46082</v>
      </c>
      <c r="D2325" t="inlineStr">
        <is>
          <t>VÄSTERNORRLANDS LÄN</t>
        </is>
      </c>
      <c r="E2325" t="inlineStr">
        <is>
          <t>SOLLEFTEÅ</t>
        </is>
      </c>
      <c r="F2325" t="inlineStr">
        <is>
          <t>SCA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31922-2023</t>
        </is>
      </c>
      <c r="B2326" s="1" t="n">
        <v>45118.94021990741</v>
      </c>
      <c r="C2326" s="1" t="n">
        <v>46082</v>
      </c>
      <c r="D2326" t="inlineStr">
        <is>
          <t>VÄSTERNORRLANDS LÄN</t>
        </is>
      </c>
      <c r="E2326" t="inlineStr">
        <is>
          <t>SOLLEFTEÅ</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8195-2025</t>
        </is>
      </c>
      <c r="B2327" s="1" t="n">
        <v>45708</v>
      </c>
      <c r="C2327" s="1" t="n">
        <v>46082</v>
      </c>
      <c r="D2327" t="inlineStr">
        <is>
          <t>VÄSTERNORRLANDS LÄN</t>
        </is>
      </c>
      <c r="E2327" t="inlineStr">
        <is>
          <t>SOLLEFTEÅ</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51193-2024</t>
        </is>
      </c>
      <c r="B2328" s="1" t="n">
        <v>45603.61511574074</v>
      </c>
      <c r="C2328" s="1" t="n">
        <v>46082</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15875-2024</t>
        </is>
      </c>
      <c r="B2329" s="1" t="n">
        <v>45405.32438657407</v>
      </c>
      <c r="C2329" s="1" t="n">
        <v>46082</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10216-2026</t>
        </is>
      </c>
      <c r="B2330" s="1" t="n">
        <v>46076.49002314815</v>
      </c>
      <c r="C2330" s="1" t="n">
        <v>46082</v>
      </c>
      <c r="D2330" t="inlineStr">
        <is>
          <t>VÄSTERNORRLANDS LÄN</t>
        </is>
      </c>
      <c r="E2330" t="inlineStr">
        <is>
          <t>SOLLEFTEÅ</t>
        </is>
      </c>
      <c r="F2330" t="inlineStr">
        <is>
          <t>SCA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57991-2022</t>
        </is>
      </c>
      <c r="B2331" s="1" t="n">
        <v>44900.48915509259</v>
      </c>
      <c r="C2331" s="1" t="n">
        <v>46082</v>
      </c>
      <c r="D2331" t="inlineStr">
        <is>
          <t>VÄSTERNORRLANDS LÄN</t>
        </is>
      </c>
      <c r="E2331" t="inlineStr">
        <is>
          <t>SOLLEFTEÅ</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10052-2026</t>
        </is>
      </c>
      <c r="B2332" s="1" t="n">
        <v>46073.61515046296</v>
      </c>
      <c r="C2332" s="1" t="n">
        <v>46082</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51440-2021</t>
        </is>
      </c>
      <c r="B2333" s="1" t="n">
        <v>44461</v>
      </c>
      <c r="C2333" s="1" t="n">
        <v>46082</v>
      </c>
      <c r="D2333" t="inlineStr">
        <is>
          <t>VÄSTERNORRLANDS LÄN</t>
        </is>
      </c>
      <c r="E2333" t="inlineStr">
        <is>
          <t>SOLLEFTEÅ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50007-2024</t>
        </is>
      </c>
      <c r="B2334" s="1" t="n">
        <v>45598.57574074074</v>
      </c>
      <c r="C2334" s="1" t="n">
        <v>46082</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1601-2026</t>
        </is>
      </c>
      <c r="B2335" s="1" t="n">
        <v>46034.45820601852</v>
      </c>
      <c r="C2335" s="1" t="n">
        <v>46082</v>
      </c>
      <c r="D2335" t="inlineStr">
        <is>
          <t>VÄSTERNORRLANDS LÄN</t>
        </is>
      </c>
      <c r="E2335" t="inlineStr">
        <is>
          <t>SOLLEFTEÅ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25795-2023</t>
        </is>
      </c>
      <c r="B2336" s="1" t="n">
        <v>45085</v>
      </c>
      <c r="C2336" s="1" t="n">
        <v>46082</v>
      </c>
      <c r="D2336" t="inlineStr">
        <is>
          <t>VÄSTERNORRLANDS LÄN</t>
        </is>
      </c>
      <c r="E2336" t="inlineStr">
        <is>
          <t>SOLLEFTEÅ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58172-2022</t>
        </is>
      </c>
      <c r="B2337" s="1" t="n">
        <v>44900.95525462963</v>
      </c>
      <c r="C2337" s="1" t="n">
        <v>46082</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6271-2023</t>
        </is>
      </c>
      <c r="B2338" s="1" t="n">
        <v>44959</v>
      </c>
      <c r="C2338" s="1" t="n">
        <v>46082</v>
      </c>
      <c r="D2338" t="inlineStr">
        <is>
          <t>VÄSTERNORRLANDS LÄN</t>
        </is>
      </c>
      <c r="E2338" t="inlineStr">
        <is>
          <t>SOLLEFTEÅ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10815-2026</t>
        </is>
      </c>
      <c r="B2339" s="1" t="n">
        <v>46078.60954861111</v>
      </c>
      <c r="C2339" s="1" t="n">
        <v>46082</v>
      </c>
      <c r="D2339" t="inlineStr">
        <is>
          <t>VÄSTERNORRLANDS LÄN</t>
        </is>
      </c>
      <c r="E2339" t="inlineStr">
        <is>
          <t>SOLLEFTEÅ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394-2024</t>
        </is>
      </c>
      <c r="B2340" s="1" t="n">
        <v>45296</v>
      </c>
      <c r="C2340" s="1" t="n">
        <v>46082</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2074-2026</t>
        </is>
      </c>
      <c r="B2341" s="1" t="n">
        <v>46036.34439814815</v>
      </c>
      <c r="C2341" s="1" t="n">
        <v>46082</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62098-2023</t>
        </is>
      </c>
      <c r="B2342" s="1" t="n">
        <v>45266</v>
      </c>
      <c r="C2342" s="1" t="n">
        <v>46082</v>
      </c>
      <c r="D2342" t="inlineStr">
        <is>
          <t>VÄSTERNORRLANDS LÄN</t>
        </is>
      </c>
      <c r="E2342" t="inlineStr">
        <is>
          <t>SOLLEFTEÅ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62100-2023</t>
        </is>
      </c>
      <c r="B2343" s="1" t="n">
        <v>45266.92689814815</v>
      </c>
      <c r="C2343" s="1" t="n">
        <v>46082</v>
      </c>
      <c r="D2343" t="inlineStr">
        <is>
          <t>VÄSTERNORRLANDS LÄN</t>
        </is>
      </c>
      <c r="E2343" t="inlineStr">
        <is>
          <t>SOLLEFTEÅ</t>
        </is>
      </c>
      <c r="G2343" t="n">
        <v>16.6</v>
      </c>
      <c r="H2343" t="n">
        <v>0</v>
      </c>
      <c r="I2343" t="n">
        <v>0</v>
      </c>
      <c r="J2343" t="n">
        <v>0</v>
      </c>
      <c r="K2343" t="n">
        <v>0</v>
      </c>
      <c r="L2343" t="n">
        <v>0</v>
      </c>
      <c r="M2343" t="n">
        <v>0</v>
      </c>
      <c r="N2343" t="n">
        <v>0</v>
      </c>
      <c r="O2343" t="n">
        <v>0</v>
      </c>
      <c r="P2343" t="n">
        <v>0</v>
      </c>
      <c r="Q2343" t="n">
        <v>0</v>
      </c>
      <c r="R2343" s="2" t="inlineStr"/>
    </row>
    <row r="2344" ht="15" customHeight="1">
      <c r="A2344" t="inlineStr">
        <is>
          <t>A 10580-2026</t>
        </is>
      </c>
      <c r="B2344" s="1" t="n">
        <v>46077.67766203704</v>
      </c>
      <c r="C2344" s="1" t="n">
        <v>46082</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10583-2026</t>
        </is>
      </c>
      <c r="B2345" s="1" t="n">
        <v>46077.6781712963</v>
      </c>
      <c r="C2345" s="1" t="n">
        <v>46082</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33591-2023</t>
        </is>
      </c>
      <c r="B2346" s="1" t="n">
        <v>45131</v>
      </c>
      <c r="C2346" s="1" t="n">
        <v>46082</v>
      </c>
      <c r="D2346" t="inlineStr">
        <is>
          <t>VÄSTERNORRLANDS LÄN</t>
        </is>
      </c>
      <c r="E2346" t="inlineStr">
        <is>
          <t>SOLLEFTEÅ</t>
        </is>
      </c>
      <c r="F2346" t="inlineStr">
        <is>
          <t>SCA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2459-2026</t>
        </is>
      </c>
      <c r="B2347" s="1" t="n">
        <v>46035</v>
      </c>
      <c r="C2347" s="1" t="n">
        <v>46082</v>
      </c>
      <c r="D2347" t="inlineStr">
        <is>
          <t>VÄSTERNORRLANDS LÄN</t>
        </is>
      </c>
      <c r="E2347" t="inlineStr">
        <is>
          <t>SOLLEFTEÅ</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10408-2026</t>
        </is>
      </c>
      <c r="B2348" s="1" t="n">
        <v>46077.34487268519</v>
      </c>
      <c r="C2348" s="1" t="n">
        <v>46082</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9121-2024</t>
        </is>
      </c>
      <c r="B2349" s="1" t="n">
        <v>45358.04099537037</v>
      </c>
      <c r="C2349" s="1" t="n">
        <v>46082</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1964-2026</t>
        </is>
      </c>
      <c r="B2350" s="1" t="n">
        <v>46035.63594907407</v>
      </c>
      <c r="C2350" s="1" t="n">
        <v>46082</v>
      </c>
      <c r="D2350" t="inlineStr">
        <is>
          <t>VÄSTERNORRLANDS LÄN</t>
        </is>
      </c>
      <c r="E2350" t="inlineStr">
        <is>
          <t>SOLLEFTEÅ</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33739-2024</t>
        </is>
      </c>
      <c r="B2351" s="1" t="n">
        <v>45520.55943287037</v>
      </c>
      <c r="C2351" s="1" t="n">
        <v>46082</v>
      </c>
      <c r="D2351" t="inlineStr">
        <is>
          <t>VÄSTERNORRLANDS LÄN</t>
        </is>
      </c>
      <c r="E2351" t="inlineStr">
        <is>
          <t>SOLLEFTEÅ</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10852-2026</t>
        </is>
      </c>
      <c r="B2352" s="1" t="n">
        <v>46078.65675925926</v>
      </c>
      <c r="C2352" s="1" t="n">
        <v>46082</v>
      </c>
      <c r="D2352" t="inlineStr">
        <is>
          <t>VÄSTERNORRLANDS LÄN</t>
        </is>
      </c>
      <c r="E2352" t="inlineStr">
        <is>
          <t>SOLLEFTEÅ</t>
        </is>
      </c>
      <c r="F2352" t="inlineStr">
        <is>
          <t>SCA</t>
        </is>
      </c>
      <c r="G2352" t="n">
        <v>25.7</v>
      </c>
      <c r="H2352" t="n">
        <v>0</v>
      </c>
      <c r="I2352" t="n">
        <v>0</v>
      </c>
      <c r="J2352" t="n">
        <v>0</v>
      </c>
      <c r="K2352" t="n">
        <v>0</v>
      </c>
      <c r="L2352" t="n">
        <v>0</v>
      </c>
      <c r="M2352" t="n">
        <v>0</v>
      </c>
      <c r="N2352" t="n">
        <v>0</v>
      </c>
      <c r="O2352" t="n">
        <v>0</v>
      </c>
      <c r="P2352" t="n">
        <v>0</v>
      </c>
      <c r="Q2352" t="n">
        <v>0</v>
      </c>
      <c r="R2352" s="2" t="inlineStr"/>
    </row>
    <row r="2353" ht="15" customHeight="1">
      <c r="A2353" t="inlineStr">
        <is>
          <t>A 18364-2024</t>
        </is>
      </c>
      <c r="B2353" s="1" t="n">
        <v>45422</v>
      </c>
      <c r="C2353" s="1" t="n">
        <v>46082</v>
      </c>
      <c r="D2353" t="inlineStr">
        <is>
          <t>VÄSTERNORRLANDS LÄN</t>
        </is>
      </c>
      <c r="E2353" t="inlineStr">
        <is>
          <t>SOLLEFTEÅ</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7585-2024</t>
        </is>
      </c>
      <c r="B2354" s="1" t="n">
        <v>45348</v>
      </c>
      <c r="C2354" s="1" t="n">
        <v>46082</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10825-2026</t>
        </is>
      </c>
      <c r="B2355" s="1" t="n">
        <v>46078.62478009259</v>
      </c>
      <c r="C2355" s="1" t="n">
        <v>46082</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2834-2026</t>
        </is>
      </c>
      <c r="B2356" s="1" t="n">
        <v>46036</v>
      </c>
      <c r="C2356" s="1" t="n">
        <v>46082</v>
      </c>
      <c r="D2356" t="inlineStr">
        <is>
          <t>VÄSTERNORRLANDS LÄN</t>
        </is>
      </c>
      <c r="E2356" t="inlineStr">
        <is>
          <t>SOLLEFTEÅ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2376-2026</t>
        </is>
      </c>
      <c r="B2357" s="1" t="n">
        <v>46036.65675925926</v>
      </c>
      <c r="C2357" s="1" t="n">
        <v>46082</v>
      </c>
      <c r="D2357" t="inlineStr">
        <is>
          <t>VÄSTERNORRLANDS LÄN</t>
        </is>
      </c>
      <c r="E2357" t="inlineStr">
        <is>
          <t>SOLLEFTEÅ</t>
        </is>
      </c>
      <c r="F2357" t="inlineStr">
        <is>
          <t>SCA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9706-2026</t>
        </is>
      </c>
      <c r="B2358" s="1" t="n">
        <v>46072</v>
      </c>
      <c r="C2358" s="1" t="n">
        <v>46082</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61345-2022</t>
        </is>
      </c>
      <c r="B2359" s="1" t="n">
        <v>44915</v>
      </c>
      <c r="C2359" s="1" t="n">
        <v>46082</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61383-2022</t>
        </is>
      </c>
      <c r="B2360" s="1" t="n">
        <v>44915</v>
      </c>
      <c r="C2360" s="1" t="n">
        <v>46082</v>
      </c>
      <c r="D2360" t="inlineStr">
        <is>
          <t>VÄSTERNORRLANDS LÄN</t>
        </is>
      </c>
      <c r="E2360" t="inlineStr">
        <is>
          <t>SOLLEFTEÅ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37046-2024</t>
        </is>
      </c>
      <c r="B2361" s="1" t="n">
        <v>45539.42739583334</v>
      </c>
      <c r="C2361" s="1" t="n">
        <v>46082</v>
      </c>
      <c r="D2361" t="inlineStr">
        <is>
          <t>VÄSTERNORRLANDS LÄN</t>
        </is>
      </c>
      <c r="E2361" t="inlineStr">
        <is>
          <t>SOLLEFTEÅ</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10422-2026</t>
        </is>
      </c>
      <c r="B2362" s="1" t="n">
        <v>46077.36511574074</v>
      </c>
      <c r="C2362" s="1" t="n">
        <v>46082</v>
      </c>
      <c r="D2362" t="inlineStr">
        <is>
          <t>VÄSTERNORRLANDS LÄN</t>
        </is>
      </c>
      <c r="E2362" t="inlineStr">
        <is>
          <t>SOLLEFTEÅ</t>
        </is>
      </c>
      <c r="F2362" t="inlineStr">
        <is>
          <t>SCA</t>
        </is>
      </c>
      <c r="G2362" t="n">
        <v>37.6</v>
      </c>
      <c r="H2362" t="n">
        <v>0</v>
      </c>
      <c r="I2362" t="n">
        <v>0</v>
      </c>
      <c r="J2362" t="n">
        <v>0</v>
      </c>
      <c r="K2362" t="n">
        <v>0</v>
      </c>
      <c r="L2362" t="n">
        <v>0</v>
      </c>
      <c r="M2362" t="n">
        <v>0</v>
      </c>
      <c r="N2362" t="n">
        <v>0</v>
      </c>
      <c r="O2362" t="n">
        <v>0</v>
      </c>
      <c r="P2362" t="n">
        <v>0</v>
      </c>
      <c r="Q2362" t="n">
        <v>0</v>
      </c>
      <c r="R2362" s="2" t="inlineStr"/>
    </row>
    <row r="2363" ht="15" customHeight="1">
      <c r="A2363" t="inlineStr">
        <is>
          <t>A 1402-2022</t>
        </is>
      </c>
      <c r="B2363" s="1" t="n">
        <v>44573</v>
      </c>
      <c r="C2363" s="1" t="n">
        <v>46082</v>
      </c>
      <c r="D2363" t="inlineStr">
        <is>
          <t>VÄSTERNORRLANDS LÄN</t>
        </is>
      </c>
      <c r="E2363" t="inlineStr">
        <is>
          <t>SOLLEFTEÅ</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10814-2026</t>
        </is>
      </c>
      <c r="B2364" s="1" t="n">
        <v>46078.60829861111</v>
      </c>
      <c r="C2364" s="1" t="n">
        <v>46082</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10776-2026</t>
        </is>
      </c>
      <c r="B2365" s="1" t="n">
        <v>46078.57349537037</v>
      </c>
      <c r="C2365" s="1" t="n">
        <v>46082</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1999-2026</t>
        </is>
      </c>
      <c r="B2366" s="1" t="n">
        <v>46035.67773148148</v>
      </c>
      <c r="C2366" s="1" t="n">
        <v>46082</v>
      </c>
      <c r="D2366" t="inlineStr">
        <is>
          <t>VÄSTERNORRLANDS LÄN</t>
        </is>
      </c>
      <c r="E2366" t="inlineStr">
        <is>
          <t>SOLLEFTEÅ</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43772-2022</t>
        </is>
      </c>
      <c r="B2367" s="1" t="n">
        <v>44837</v>
      </c>
      <c r="C2367" s="1" t="n">
        <v>46082</v>
      </c>
      <c r="D2367" t="inlineStr">
        <is>
          <t>VÄSTERNORRLANDS LÄN</t>
        </is>
      </c>
      <c r="E2367" t="inlineStr">
        <is>
          <t>SOLLEFTEÅ</t>
        </is>
      </c>
      <c r="F2367" t="inlineStr">
        <is>
          <t>Kyrkan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49160-2021</t>
        </is>
      </c>
      <c r="B2368" s="1" t="n">
        <v>44453.94021990741</v>
      </c>
      <c r="C2368" s="1" t="n">
        <v>46082</v>
      </c>
      <c r="D2368" t="inlineStr">
        <is>
          <t>VÄSTERNORRLANDS LÄN</t>
        </is>
      </c>
      <c r="E2368" t="inlineStr">
        <is>
          <t>SOLLEFTEÅ</t>
        </is>
      </c>
      <c r="F2368" t="inlineStr">
        <is>
          <t>SCA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2076-2026</t>
        </is>
      </c>
      <c r="B2369" s="1" t="n">
        <v>46036</v>
      </c>
      <c r="C2369" s="1" t="n">
        <v>46082</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2080-2026</t>
        </is>
      </c>
      <c r="B2370" s="1" t="n">
        <v>46036.35287037037</v>
      </c>
      <c r="C2370" s="1" t="n">
        <v>46082</v>
      </c>
      <c r="D2370" t="inlineStr">
        <is>
          <t>VÄSTERNORRLANDS LÄN</t>
        </is>
      </c>
      <c r="E2370" t="inlineStr">
        <is>
          <t>SOLLEFTEÅ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2836-2026</t>
        </is>
      </c>
      <c r="B2371" s="1" t="n">
        <v>46036</v>
      </c>
      <c r="C2371" s="1" t="n">
        <v>46082</v>
      </c>
      <c r="D2371" t="inlineStr">
        <is>
          <t>VÄSTERNORRLANDS LÄN</t>
        </is>
      </c>
      <c r="E2371" t="inlineStr">
        <is>
          <t>SOLLEFTEÅ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41413-2024</t>
        </is>
      </c>
      <c r="B2372" s="1" t="n">
        <v>45560.345</v>
      </c>
      <c r="C2372" s="1" t="n">
        <v>46082</v>
      </c>
      <c r="D2372" t="inlineStr">
        <is>
          <t>VÄSTERNORRLANDS LÄN</t>
        </is>
      </c>
      <c r="E2372" t="inlineStr">
        <is>
          <t>SOLLEFTEÅ</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41420-2024</t>
        </is>
      </c>
      <c r="B2373" s="1" t="n">
        <v>45560.34616898148</v>
      </c>
      <c r="C2373" s="1" t="n">
        <v>46082</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42970-2024</t>
        </is>
      </c>
      <c r="B2374" s="1" t="n">
        <v>45567.37322916667</v>
      </c>
      <c r="C2374" s="1" t="n">
        <v>46082</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42981-2024</t>
        </is>
      </c>
      <c r="B2375" s="1" t="n">
        <v>45567.37460648148</v>
      </c>
      <c r="C2375" s="1" t="n">
        <v>46082</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28366-2023</t>
        </is>
      </c>
      <c r="B2376" s="1" t="n">
        <v>45099</v>
      </c>
      <c r="C2376" s="1" t="n">
        <v>46082</v>
      </c>
      <c r="D2376" t="inlineStr">
        <is>
          <t>VÄSTERNORRLANDS LÄN</t>
        </is>
      </c>
      <c r="E2376" t="inlineStr">
        <is>
          <t>SOLLEFTEÅ</t>
        </is>
      </c>
      <c r="F2376" t="inlineStr">
        <is>
          <t>SCA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45334-2024</t>
        </is>
      </c>
      <c r="B2377" s="1" t="n">
        <v>45576</v>
      </c>
      <c r="C2377" s="1" t="n">
        <v>46082</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2263-2026</t>
        </is>
      </c>
      <c r="B2378" s="1" t="n">
        <v>46036.56760416667</v>
      </c>
      <c r="C2378" s="1" t="n">
        <v>46082</v>
      </c>
      <c r="D2378" t="inlineStr">
        <is>
          <t>VÄSTERNORRLANDS LÄN</t>
        </is>
      </c>
      <c r="E2378" t="inlineStr">
        <is>
          <t>SOLLEFTEÅ</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10433-2026</t>
        </is>
      </c>
      <c r="B2379" s="1" t="n">
        <v>46077.38600694444</v>
      </c>
      <c r="C2379" s="1" t="n">
        <v>46082</v>
      </c>
      <c r="D2379" t="inlineStr">
        <is>
          <t>VÄSTERNORRLANDS LÄN</t>
        </is>
      </c>
      <c r="E2379" t="inlineStr">
        <is>
          <t>SOLLEFTEÅ</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10823-2026</t>
        </is>
      </c>
      <c r="B2380" s="1" t="n">
        <v>46078.61910879629</v>
      </c>
      <c r="C2380" s="1" t="n">
        <v>46082</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1812-2026</t>
        </is>
      </c>
      <c r="B2381" s="1" t="n">
        <v>46035.34425925926</v>
      </c>
      <c r="C2381" s="1" t="n">
        <v>46082</v>
      </c>
      <c r="D2381" t="inlineStr">
        <is>
          <t>VÄSTERNORRLANDS LÄN</t>
        </is>
      </c>
      <c r="E2381" t="inlineStr">
        <is>
          <t>SOLLEFTEÅ</t>
        </is>
      </c>
      <c r="F2381" t="inlineStr">
        <is>
          <t>SCA</t>
        </is>
      </c>
      <c r="G2381" t="n">
        <v>25.8</v>
      </c>
      <c r="H2381" t="n">
        <v>0</v>
      </c>
      <c r="I2381" t="n">
        <v>0</v>
      </c>
      <c r="J2381" t="n">
        <v>0</v>
      </c>
      <c r="K2381" t="n">
        <v>0</v>
      </c>
      <c r="L2381" t="n">
        <v>0</v>
      </c>
      <c r="M2381" t="n">
        <v>0</v>
      </c>
      <c r="N2381" t="n">
        <v>0</v>
      </c>
      <c r="O2381" t="n">
        <v>0</v>
      </c>
      <c r="P2381" t="n">
        <v>0</v>
      </c>
      <c r="Q2381" t="n">
        <v>0</v>
      </c>
      <c r="R2381" s="2" t="inlineStr"/>
    </row>
    <row r="2382" ht="15" customHeight="1">
      <c r="A2382" t="inlineStr">
        <is>
          <t>A 2391-2026</t>
        </is>
      </c>
      <c r="B2382" s="1" t="n">
        <v>46035</v>
      </c>
      <c r="C2382" s="1" t="n">
        <v>46082</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31680-2024</t>
        </is>
      </c>
      <c r="B2383" s="1" t="n">
        <v>45506.94894675926</v>
      </c>
      <c r="C2383" s="1" t="n">
        <v>46082</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10581-2026</t>
        </is>
      </c>
      <c r="B2384" s="1" t="n">
        <v>46077.67774305555</v>
      </c>
      <c r="C2384" s="1" t="n">
        <v>46082</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10582-2026</t>
        </is>
      </c>
      <c r="B2385" s="1" t="n">
        <v>46077.67791666667</v>
      </c>
      <c r="C2385" s="1" t="n">
        <v>46082</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51575-2025</t>
        </is>
      </c>
      <c r="B2386" s="1" t="n">
        <v>45951.34452546296</v>
      </c>
      <c r="C2386" s="1" t="n">
        <v>46082</v>
      </c>
      <c r="D2386" t="inlineStr">
        <is>
          <t>VÄSTERNORRLANDS LÄN</t>
        </is>
      </c>
      <c r="E2386" t="inlineStr">
        <is>
          <t>SOLLEFTEÅ</t>
        </is>
      </c>
      <c r="F2386" t="inlineStr">
        <is>
          <t>SCA</t>
        </is>
      </c>
      <c r="G2386" t="n">
        <v>35.4</v>
      </c>
      <c r="H2386" t="n">
        <v>0</v>
      </c>
      <c r="I2386" t="n">
        <v>0</v>
      </c>
      <c r="J2386" t="n">
        <v>0</v>
      </c>
      <c r="K2386" t="n">
        <v>0</v>
      </c>
      <c r="L2386" t="n">
        <v>0</v>
      </c>
      <c r="M2386" t="n">
        <v>0</v>
      </c>
      <c r="N2386" t="n">
        <v>0</v>
      </c>
      <c r="O2386" t="n">
        <v>0</v>
      </c>
      <c r="P2386" t="n">
        <v>0</v>
      </c>
      <c r="Q2386" t="n">
        <v>0</v>
      </c>
      <c r="R2386" s="2" t="inlineStr"/>
    </row>
    <row r="2387" ht="15" customHeight="1">
      <c r="A2387" t="inlineStr">
        <is>
          <t>A 42482-2024</t>
        </is>
      </c>
      <c r="B2387" s="1" t="n">
        <v>45565</v>
      </c>
      <c r="C2387" s="1" t="n">
        <v>46082</v>
      </c>
      <c r="D2387" t="inlineStr">
        <is>
          <t>VÄSTERNORRLANDS LÄN</t>
        </is>
      </c>
      <c r="E2387" t="inlineStr">
        <is>
          <t>SOLLEFTEÅ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10829-2026</t>
        </is>
      </c>
      <c r="B2388" s="1" t="n">
        <v>46078.62606481482</v>
      </c>
      <c r="C2388" s="1" t="n">
        <v>46082</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10832-2026</t>
        </is>
      </c>
      <c r="B2389" s="1" t="n">
        <v>46078.62702546296</v>
      </c>
      <c r="C2389" s="1" t="n">
        <v>46082</v>
      </c>
      <c r="D2389" t="inlineStr">
        <is>
          <t>VÄSTERNORRLANDS LÄN</t>
        </is>
      </c>
      <c r="E2389" t="inlineStr">
        <is>
          <t>SOLLEFTEÅ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2023-2026</t>
        </is>
      </c>
      <c r="B2390" s="1" t="n">
        <v>46035.72098379629</v>
      </c>
      <c r="C2390" s="1" t="n">
        <v>46082</v>
      </c>
      <c r="D2390" t="inlineStr">
        <is>
          <t>VÄSTERNORRLANDS LÄN</t>
        </is>
      </c>
      <c r="E2390" t="inlineStr">
        <is>
          <t>SOLLEFTEÅ</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2027-2026</t>
        </is>
      </c>
      <c r="B2391" s="1" t="n">
        <v>46035.72739583333</v>
      </c>
      <c r="C2391" s="1" t="n">
        <v>46082</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10853-2026</t>
        </is>
      </c>
      <c r="B2392" s="1" t="n">
        <v>46078.65715277778</v>
      </c>
      <c r="C2392" s="1" t="n">
        <v>46082</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18741-2021</t>
        </is>
      </c>
      <c r="B2393" s="1" t="n">
        <v>44306</v>
      </c>
      <c r="C2393" s="1" t="n">
        <v>46082</v>
      </c>
      <c r="D2393" t="inlineStr">
        <is>
          <t>VÄSTERNORRLANDS LÄN</t>
        </is>
      </c>
      <c r="E2393" t="inlineStr">
        <is>
          <t>SOLLEFTEÅ</t>
        </is>
      </c>
      <c r="F2393" t="inlineStr">
        <is>
          <t>Kyrkan</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10806-2026</t>
        </is>
      </c>
      <c r="B2394" s="1" t="n">
        <v>46078.60390046296</v>
      </c>
      <c r="C2394" s="1" t="n">
        <v>46082</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58478-2021</t>
        </is>
      </c>
      <c r="B2395" s="1" t="n">
        <v>44488</v>
      </c>
      <c r="C2395" s="1" t="n">
        <v>46082</v>
      </c>
      <c r="D2395" t="inlineStr">
        <is>
          <t>VÄSTERNORRLANDS LÄN</t>
        </is>
      </c>
      <c r="E2395" t="inlineStr">
        <is>
          <t>SOLLEFTEÅ</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31965-2022</t>
        </is>
      </c>
      <c r="B2396" s="1" t="n">
        <v>44777.95460648148</v>
      </c>
      <c r="C2396" s="1" t="n">
        <v>46082</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11008-2026</t>
        </is>
      </c>
      <c r="B2397" s="1" t="n">
        <v>46079</v>
      </c>
      <c r="C2397" s="1" t="n">
        <v>46082</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5111-2022</t>
        </is>
      </c>
      <c r="B2398" s="1" t="n">
        <v>44593.92144675926</v>
      </c>
      <c r="C2398" s="1" t="n">
        <v>46082</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10140-2022</t>
        </is>
      </c>
      <c r="B2399" s="1" t="n">
        <v>44621</v>
      </c>
      <c r="C2399" s="1" t="n">
        <v>46082</v>
      </c>
      <c r="D2399" t="inlineStr">
        <is>
          <t>VÄSTERNORRLANDS LÄN</t>
        </is>
      </c>
      <c r="E2399" t="inlineStr">
        <is>
          <t>SOLLEFTEÅ</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32812-2024</t>
        </is>
      </c>
      <c r="B2400" s="1" t="n">
        <v>45516</v>
      </c>
      <c r="C2400" s="1" t="n">
        <v>46082</v>
      </c>
      <c r="D2400" t="inlineStr">
        <is>
          <t>VÄSTERNORRLANDS LÄN</t>
        </is>
      </c>
      <c r="E2400" t="inlineStr">
        <is>
          <t>SOLLEFTEÅ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14875-2023</t>
        </is>
      </c>
      <c r="B2401" s="1" t="n">
        <v>45015.07292824074</v>
      </c>
      <c r="C2401" s="1" t="n">
        <v>46082</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11014-2026</t>
        </is>
      </c>
      <c r="B2402" s="1" t="n">
        <v>46079.53983796296</v>
      </c>
      <c r="C2402" s="1" t="n">
        <v>46082</v>
      </c>
      <c r="D2402" t="inlineStr">
        <is>
          <t>VÄSTERNORRLANDS LÄN</t>
        </is>
      </c>
      <c r="E2402" t="inlineStr">
        <is>
          <t>SOLLEFTEÅ</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10256-2023</t>
        </is>
      </c>
      <c r="B2403" s="1" t="n">
        <v>44980</v>
      </c>
      <c r="C2403" s="1" t="n">
        <v>46082</v>
      </c>
      <c r="D2403" t="inlineStr">
        <is>
          <t>VÄSTERNORRLANDS LÄN</t>
        </is>
      </c>
      <c r="E2403" t="inlineStr">
        <is>
          <t>SOLLEFTEÅ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11017-2026</t>
        </is>
      </c>
      <c r="B2404" s="1" t="n">
        <v>46079.54549768518</v>
      </c>
      <c r="C2404" s="1" t="n">
        <v>46082</v>
      </c>
      <c r="D2404" t="inlineStr">
        <is>
          <t>VÄSTERNORRLANDS LÄN</t>
        </is>
      </c>
      <c r="E2404" t="inlineStr">
        <is>
          <t>SOLLEFTEÅ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51735-2024</t>
        </is>
      </c>
      <c r="B2405" s="1" t="n">
        <v>45607.40127314815</v>
      </c>
      <c r="C2405" s="1" t="n">
        <v>46082</v>
      </c>
      <c r="D2405" t="inlineStr">
        <is>
          <t>VÄSTERNORRLANDS LÄN</t>
        </is>
      </c>
      <c r="E2405" t="inlineStr">
        <is>
          <t>SOLLEFTEÅ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11071-2026</t>
        </is>
      </c>
      <c r="B2406" s="1" t="n">
        <v>46079.61130787037</v>
      </c>
      <c r="C2406" s="1" t="n">
        <v>46082</v>
      </c>
      <c r="D2406" t="inlineStr">
        <is>
          <t>VÄSTERNORRLANDS LÄN</t>
        </is>
      </c>
      <c r="E2406" t="inlineStr">
        <is>
          <t>SOLLEFTEÅ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39399-2023</t>
        </is>
      </c>
      <c r="B2407" s="1" t="n">
        <v>45163</v>
      </c>
      <c r="C2407" s="1" t="n">
        <v>46082</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18304-2022</t>
        </is>
      </c>
      <c r="B2408" s="1" t="n">
        <v>44685</v>
      </c>
      <c r="C2408" s="1" t="n">
        <v>46082</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45778-2024</t>
        </is>
      </c>
      <c r="B2409" s="1" t="n">
        <v>45579.66471064815</v>
      </c>
      <c r="C2409" s="1" t="n">
        <v>46082</v>
      </c>
      <c r="D2409" t="inlineStr">
        <is>
          <t>VÄSTERNORRLANDS LÄN</t>
        </is>
      </c>
      <c r="E2409" t="inlineStr">
        <is>
          <t>SOLLEFTEÅ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45801-2024</t>
        </is>
      </c>
      <c r="B2410" s="1" t="n">
        <v>45579.67798611111</v>
      </c>
      <c r="C2410" s="1" t="n">
        <v>46082</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45802-2024</t>
        </is>
      </c>
      <c r="B2411" s="1" t="n">
        <v>45579.67818287037</v>
      </c>
      <c r="C2411" s="1" t="n">
        <v>46082</v>
      </c>
      <c r="D2411" t="inlineStr">
        <is>
          <t>VÄSTERNORRLANDS LÄN</t>
        </is>
      </c>
      <c r="E2411" t="inlineStr">
        <is>
          <t>SOLLEFTEÅ</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21195-2023</t>
        </is>
      </c>
      <c r="B2412" s="1" t="n">
        <v>45057</v>
      </c>
      <c r="C2412" s="1" t="n">
        <v>46082</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21230-2023</t>
        </is>
      </c>
      <c r="B2413" s="1" t="n">
        <v>45057</v>
      </c>
      <c r="C2413" s="1" t="n">
        <v>46082</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2453-2026</t>
        </is>
      </c>
      <c r="B2414" s="1" t="n">
        <v>46037.34457175926</v>
      </c>
      <c r="C2414" s="1" t="n">
        <v>46082</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11281-2026</t>
        </is>
      </c>
      <c r="B2415" s="1" t="n">
        <v>46080.59430555555</v>
      </c>
      <c r="C2415" s="1" t="n">
        <v>46082</v>
      </c>
      <c r="D2415" t="inlineStr">
        <is>
          <t>VÄSTERNORRLANDS LÄN</t>
        </is>
      </c>
      <c r="E2415" t="inlineStr">
        <is>
          <t>SOLLEFTEÅ</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31537-2024</t>
        </is>
      </c>
      <c r="B2416" s="1" t="n">
        <v>45505.96146990741</v>
      </c>
      <c r="C2416" s="1" t="n">
        <v>46082</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2987-2026</t>
        </is>
      </c>
      <c r="B2417" s="1" t="n">
        <v>46038.63591435185</v>
      </c>
      <c r="C2417" s="1" t="n">
        <v>46082</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49171-2022</t>
        </is>
      </c>
      <c r="B2418" s="1" t="n">
        <v>44860.9269212963</v>
      </c>
      <c r="C2418" s="1" t="n">
        <v>46082</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10949-2026</t>
        </is>
      </c>
      <c r="B2419" s="1" t="n">
        <v>46079.38638888889</v>
      </c>
      <c r="C2419" s="1" t="n">
        <v>46082</v>
      </c>
      <c r="D2419" t="inlineStr">
        <is>
          <t>VÄSTERNORRLANDS LÄN</t>
        </is>
      </c>
      <c r="E2419" t="inlineStr">
        <is>
          <t>SOLLEFTEÅ</t>
        </is>
      </c>
      <c r="F2419" t="inlineStr">
        <is>
          <t>SCA</t>
        </is>
      </c>
      <c r="G2419" t="n">
        <v>34.7</v>
      </c>
      <c r="H2419" t="n">
        <v>0</v>
      </c>
      <c r="I2419" t="n">
        <v>0</v>
      </c>
      <c r="J2419" t="n">
        <v>0</v>
      </c>
      <c r="K2419" t="n">
        <v>0</v>
      </c>
      <c r="L2419" t="n">
        <v>0</v>
      </c>
      <c r="M2419" t="n">
        <v>0</v>
      </c>
      <c r="N2419" t="n">
        <v>0</v>
      </c>
      <c r="O2419" t="n">
        <v>0</v>
      </c>
      <c r="P2419" t="n">
        <v>0</v>
      </c>
      <c r="Q2419" t="n">
        <v>0</v>
      </c>
      <c r="R2419" s="2" t="inlineStr"/>
    </row>
    <row r="2420" ht="15" customHeight="1">
      <c r="A2420" t="inlineStr">
        <is>
          <t>A 37691-2023</t>
        </is>
      </c>
      <c r="B2420" s="1" t="n">
        <v>45156</v>
      </c>
      <c r="C2420" s="1" t="n">
        <v>46082</v>
      </c>
      <c r="D2420" t="inlineStr">
        <is>
          <t>VÄSTERNORRLANDS LÄN</t>
        </is>
      </c>
      <c r="E2420" t="inlineStr">
        <is>
          <t>SOLLEFTEÅ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11175-2026</t>
        </is>
      </c>
      <c r="B2421" s="1" t="n">
        <v>46080.38614583333</v>
      </c>
      <c r="C2421" s="1" t="n">
        <v>46082</v>
      </c>
      <c r="D2421" t="inlineStr">
        <is>
          <t>VÄSTERNORRLANDS LÄN</t>
        </is>
      </c>
      <c r="E2421" t="inlineStr">
        <is>
          <t>SOLLEFTEÅ</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11282-2026</t>
        </is>
      </c>
      <c r="B2422" s="1" t="n">
        <v>46080.59515046296</v>
      </c>
      <c r="C2422" s="1" t="n">
        <v>46082</v>
      </c>
      <c r="D2422" t="inlineStr">
        <is>
          <t>VÄSTERNORRLANDS LÄN</t>
        </is>
      </c>
      <c r="E2422" t="inlineStr">
        <is>
          <t>SOLLEFTEÅ</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64013-2023</t>
        </is>
      </c>
      <c r="B2423" s="1" t="n">
        <v>45278</v>
      </c>
      <c r="C2423" s="1" t="n">
        <v>46082</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11214-2026</t>
        </is>
      </c>
      <c r="B2424" s="1" t="n">
        <v>46080.46942129629</v>
      </c>
      <c r="C2424" s="1" t="n">
        <v>46082</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11215-2026</t>
        </is>
      </c>
      <c r="B2425" s="1" t="n">
        <v>46080.46967592592</v>
      </c>
      <c r="C2425" s="1" t="n">
        <v>46082</v>
      </c>
      <c r="D2425" t="inlineStr">
        <is>
          <t>VÄSTERNORRLANDS LÄN</t>
        </is>
      </c>
      <c r="E2425" t="inlineStr">
        <is>
          <t>SOLLEFTEÅ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11182-2026</t>
        </is>
      </c>
      <c r="B2426" s="1" t="n">
        <v>46080</v>
      </c>
      <c r="C2426" s="1" t="n">
        <v>46082</v>
      </c>
      <c r="D2426" t="inlineStr">
        <is>
          <t>VÄSTERNORRLANDS LÄN</t>
        </is>
      </c>
      <c r="E2426" t="inlineStr">
        <is>
          <t>SOLLEFTEÅ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17173-2024</t>
        </is>
      </c>
      <c r="B2427" s="1" t="n">
        <v>45412.97866898148</v>
      </c>
      <c r="C2427" s="1" t="n">
        <v>46082</v>
      </c>
      <c r="D2427" t="inlineStr">
        <is>
          <t>VÄSTERNORRLANDS LÄN</t>
        </is>
      </c>
      <c r="E2427" t="inlineStr">
        <is>
          <t>SOLLEFTEÅ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19051-2022</t>
        </is>
      </c>
      <c r="B2428" s="1" t="n">
        <v>44691.41167824074</v>
      </c>
      <c r="C2428" s="1" t="n">
        <v>46082</v>
      </c>
      <c r="D2428" t="inlineStr">
        <is>
          <t>VÄSTERNORRLANDS LÄN</t>
        </is>
      </c>
      <c r="E2428" t="inlineStr">
        <is>
          <t>SOLLEFTEÅ</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25877-2021</t>
        </is>
      </c>
      <c r="B2429" s="1" t="n">
        <v>44344</v>
      </c>
      <c r="C2429" s="1" t="n">
        <v>46082</v>
      </c>
      <c r="D2429" t="inlineStr">
        <is>
          <t>VÄSTERNORRLANDS LÄN</t>
        </is>
      </c>
      <c r="E2429" t="inlineStr">
        <is>
          <t>SOLLEFTEÅ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43049-2024</t>
        </is>
      </c>
      <c r="B2430" s="1" t="n">
        <v>45567</v>
      </c>
      <c r="C2430" s="1" t="n">
        <v>46082</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21924-2021</t>
        </is>
      </c>
      <c r="B2431" s="1" t="n">
        <v>44322.91836805556</v>
      </c>
      <c r="C2431" s="1" t="n">
        <v>46082</v>
      </c>
      <c r="D2431" t="inlineStr">
        <is>
          <t>VÄSTERNORRLANDS LÄN</t>
        </is>
      </c>
      <c r="E2431" t="inlineStr">
        <is>
          <t>SOLLEFTEÅ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49403-2024</t>
        </is>
      </c>
      <c r="B2432" s="1" t="n">
        <v>45595.67730324074</v>
      </c>
      <c r="C2432" s="1" t="n">
        <v>46082</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15955-2025</t>
        </is>
      </c>
      <c r="B2433" s="1" t="n">
        <v>45749.5113425926</v>
      </c>
      <c r="C2433" s="1" t="n">
        <v>46082</v>
      </c>
      <c r="D2433" t="inlineStr">
        <is>
          <t>VÄSTERNORRLANDS LÄN</t>
        </is>
      </c>
      <c r="E2433" t="inlineStr">
        <is>
          <t>SOLLEFTEÅ</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64617-2023</t>
        </is>
      </c>
      <c r="B2434" s="1" t="n">
        <v>45281</v>
      </c>
      <c r="C2434" s="1" t="n">
        <v>46082</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19055-2022</t>
        </is>
      </c>
      <c r="B2435" s="1" t="n">
        <v>44691.42189814815</v>
      </c>
      <c r="C2435" s="1" t="n">
        <v>46082</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5038-2024</t>
        </is>
      </c>
      <c r="B2436" s="1" t="n">
        <v>45329.88456018519</v>
      </c>
      <c r="C2436" s="1" t="n">
        <v>46082</v>
      </c>
      <c r="D2436" t="inlineStr">
        <is>
          <t>VÄSTERNORRLANDS LÄN</t>
        </is>
      </c>
      <c r="E2436" t="inlineStr">
        <is>
          <t>SOLLEFTEÅ</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53278-2021</t>
        </is>
      </c>
      <c r="B2437" s="1" t="n">
        <v>44467</v>
      </c>
      <c r="C2437" s="1" t="n">
        <v>46082</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1848-2024</t>
        </is>
      </c>
      <c r="B2438" s="1" t="n">
        <v>45307</v>
      </c>
      <c r="C2438" s="1" t="n">
        <v>46082</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51249-2022</t>
        </is>
      </c>
      <c r="B2439" s="1" t="n">
        <v>44866</v>
      </c>
      <c r="C2439" s="1" t="n">
        <v>46082</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34281-2022</t>
        </is>
      </c>
      <c r="B2440" s="1" t="n">
        <v>44791</v>
      </c>
      <c r="C2440" s="1" t="n">
        <v>46082</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55872-2024</t>
        </is>
      </c>
      <c r="B2441" s="1" t="n">
        <v>45623</v>
      </c>
      <c r="C2441" s="1" t="n">
        <v>46082</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13697-2023</t>
        </is>
      </c>
      <c r="B2442" s="1" t="n">
        <v>45006.94445601852</v>
      </c>
      <c r="C2442" s="1" t="n">
        <v>46082</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13499-2023</t>
        </is>
      </c>
      <c r="B2443" s="1" t="n">
        <v>45005</v>
      </c>
      <c r="C2443" s="1" t="n">
        <v>46082</v>
      </c>
      <c r="D2443" t="inlineStr">
        <is>
          <t>VÄSTERNORRLANDS LÄN</t>
        </is>
      </c>
      <c r="E2443" t="inlineStr">
        <is>
          <t>SOLLEFTEÅ</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35469-2024</t>
        </is>
      </c>
      <c r="B2444" s="1" t="n">
        <v>45531</v>
      </c>
      <c r="C2444" s="1" t="n">
        <v>46082</v>
      </c>
      <c r="D2444" t="inlineStr">
        <is>
          <t>VÄSTERNORRLANDS LÄN</t>
        </is>
      </c>
      <c r="E2444" t="inlineStr">
        <is>
          <t>SOLLEFTEÅ</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44661-2024</t>
        </is>
      </c>
      <c r="B2445" s="1" t="n">
        <v>45574.53180555555</v>
      </c>
      <c r="C2445" s="1" t="n">
        <v>46082</v>
      </c>
      <c r="D2445" t="inlineStr">
        <is>
          <t>VÄSTERNORRLANDS LÄN</t>
        </is>
      </c>
      <c r="E2445" t="inlineStr">
        <is>
          <t>SOLLEFTEÅ</t>
        </is>
      </c>
      <c r="F2445" t="inlineStr">
        <is>
          <t>SCA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60757-2021</t>
        </is>
      </c>
      <c r="B2446" s="1" t="n">
        <v>44496.92101851852</v>
      </c>
      <c r="C2446" s="1" t="n">
        <v>46082</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53545-2024</t>
        </is>
      </c>
      <c r="B2447" s="1" t="n">
        <v>45614.6370949074</v>
      </c>
      <c r="C2447" s="1" t="n">
        <v>46082</v>
      </c>
      <c r="D2447" t="inlineStr">
        <is>
          <t>VÄSTERNORRLANDS LÄN</t>
        </is>
      </c>
      <c r="E2447" t="inlineStr">
        <is>
          <t>SOLLEFTEÅ</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6236-2023</t>
        </is>
      </c>
      <c r="B2448" s="1" t="n">
        <v>44964</v>
      </c>
      <c r="C2448" s="1" t="n">
        <v>46082</v>
      </c>
      <c r="D2448" t="inlineStr">
        <is>
          <t>VÄSTERNORRLANDS LÄN</t>
        </is>
      </c>
      <c r="E2448" t="inlineStr">
        <is>
          <t>SOLLEFTEÅ</t>
        </is>
      </c>
      <c r="F2448" t="inlineStr">
        <is>
          <t>SCA</t>
        </is>
      </c>
      <c r="G2448" t="n">
        <v>0.1</v>
      </c>
      <c r="H2448" t="n">
        <v>0</v>
      </c>
      <c r="I2448" t="n">
        <v>0</v>
      </c>
      <c r="J2448" t="n">
        <v>0</v>
      </c>
      <c r="K2448" t="n">
        <v>0</v>
      </c>
      <c r="L2448" t="n">
        <v>0</v>
      </c>
      <c r="M2448" t="n">
        <v>0</v>
      </c>
      <c r="N2448" t="n">
        <v>0</v>
      </c>
      <c r="O2448" t="n">
        <v>0</v>
      </c>
      <c r="P2448" t="n">
        <v>0</v>
      </c>
      <c r="Q2448" t="n">
        <v>0</v>
      </c>
      <c r="R2448" s="2" t="inlineStr"/>
      <c r="U2448">
        <f>HYPERLINK("https://klasma.github.io/Logging_2283/knärot/A 6236-2023 karta knärot.png", "A 6236-2023")</f>
        <v/>
      </c>
      <c r="V2448">
        <f>HYPERLINK("https://klasma.github.io/Logging_2283/klagomål/A 6236-2023 FSC-klagomål.docx", "A 6236-2023")</f>
        <v/>
      </c>
      <c r="W2448">
        <f>HYPERLINK("https://klasma.github.io/Logging_2283/klagomålsmail/A 6236-2023 FSC-klagomål mail.docx", "A 6236-2023")</f>
        <v/>
      </c>
      <c r="X2448">
        <f>HYPERLINK("https://klasma.github.io/Logging_2283/tillsyn/A 6236-2023 tillsynsbegäran.docx", "A 6236-2023")</f>
        <v/>
      </c>
      <c r="Y2448">
        <f>HYPERLINK("https://klasma.github.io/Logging_2283/tillsynsmail/A 6236-2023 tillsynsbegäran mail.docx", "A 6236-2023")</f>
        <v/>
      </c>
    </row>
    <row r="2449" ht="15" customHeight="1">
      <c r="A2449" t="inlineStr">
        <is>
          <t>A 7332-2023</t>
        </is>
      </c>
      <c r="B2449" s="1" t="n">
        <v>44970</v>
      </c>
      <c r="C2449" s="1" t="n">
        <v>46082</v>
      </c>
      <c r="D2449" t="inlineStr">
        <is>
          <t>VÄSTERNORRLANDS LÄN</t>
        </is>
      </c>
      <c r="E2449" t="inlineStr">
        <is>
          <t>SOLLEFTEÅ</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48606-2024</t>
        </is>
      </c>
      <c r="B2450" s="1" t="n">
        <v>45593.4485300926</v>
      </c>
      <c r="C2450" s="1" t="n">
        <v>46082</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53212-2024</t>
        </is>
      </c>
      <c r="B2451" s="1" t="n">
        <v>45612.63576388889</v>
      </c>
      <c r="C2451" s="1" t="n">
        <v>46082</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14308-2022</t>
        </is>
      </c>
      <c r="B2452" s="1" t="n">
        <v>44651.93954861111</v>
      </c>
      <c r="C2452" s="1" t="n">
        <v>46082</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29693-2024</t>
        </is>
      </c>
      <c r="B2453" s="1" t="n">
        <v>45484.94490740741</v>
      </c>
      <c r="C2453" s="1" t="n">
        <v>46082</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32735-2023</t>
        </is>
      </c>
      <c r="B2454" s="1" t="n">
        <v>45121</v>
      </c>
      <c r="C2454" s="1" t="n">
        <v>46082</v>
      </c>
      <c r="D2454" t="inlineStr">
        <is>
          <t>VÄSTERNORRLANDS LÄN</t>
        </is>
      </c>
      <c r="E2454" t="inlineStr">
        <is>
          <t>SOLLEFTEÅ</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10138-2022</t>
        </is>
      </c>
      <c r="B2455" s="1" t="n">
        <v>44621.94612268519</v>
      </c>
      <c r="C2455" s="1" t="n">
        <v>46082</v>
      </c>
      <c r="D2455" t="inlineStr">
        <is>
          <t>VÄSTERNORRLANDS LÄN</t>
        </is>
      </c>
      <c r="E2455" t="inlineStr">
        <is>
          <t>SOLLEFTEÅ</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49771-2024</t>
        </is>
      </c>
      <c r="B2456" s="1" t="n">
        <v>45597.34481481482</v>
      </c>
      <c r="C2456" s="1" t="n">
        <v>46082</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49772-2024</t>
        </is>
      </c>
      <c r="B2457" s="1" t="n">
        <v>45597.34483796296</v>
      </c>
      <c r="C2457" s="1" t="n">
        <v>46082</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12730-2023</t>
        </is>
      </c>
      <c r="B2458" s="1" t="n">
        <v>45000.92381944445</v>
      </c>
      <c r="C2458" s="1" t="n">
        <v>46082</v>
      </c>
      <c r="D2458" t="inlineStr">
        <is>
          <t>VÄSTERNORRLANDS LÄN</t>
        </is>
      </c>
      <c r="E2458" t="inlineStr">
        <is>
          <t>SOLLEFTEÅ</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12733-2023</t>
        </is>
      </c>
      <c r="B2459" s="1" t="n">
        <v>45000</v>
      </c>
      <c r="C2459" s="1" t="n">
        <v>46082</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46082</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18187-2022</t>
        </is>
      </c>
      <c r="B2461" s="1" t="n">
        <v>44684</v>
      </c>
      <c r="C2461" s="1" t="n">
        <v>46082</v>
      </c>
      <c r="D2461" t="inlineStr">
        <is>
          <t>VÄSTERNORRLANDS LÄN</t>
        </is>
      </c>
      <c r="E2461" t="inlineStr">
        <is>
          <t>SOLLEFTEÅ</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29290-2022</t>
        </is>
      </c>
      <c r="B2462" s="1" t="n">
        <v>44750</v>
      </c>
      <c r="C2462" s="1" t="n">
        <v>46082</v>
      </c>
      <c r="D2462" t="inlineStr">
        <is>
          <t>VÄSTERNORRLANDS LÄN</t>
        </is>
      </c>
      <c r="E2462" t="inlineStr">
        <is>
          <t>SOLLEFTEÅ</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22672-2024</t>
        </is>
      </c>
      <c r="B2463" s="1" t="n">
        <v>45447.94486111111</v>
      </c>
      <c r="C2463" s="1" t="n">
        <v>46082</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10925-2022</t>
        </is>
      </c>
      <c r="B2464" s="1" t="n">
        <v>44627.9444212963</v>
      </c>
      <c r="C2464" s="1" t="n">
        <v>46082</v>
      </c>
      <c r="D2464" t="inlineStr">
        <is>
          <t>VÄSTERNORRLANDS LÄN</t>
        </is>
      </c>
      <c r="E2464" t="inlineStr">
        <is>
          <t>SOLLEFTEÅ</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10926-2022</t>
        </is>
      </c>
      <c r="B2465" s="1" t="n">
        <v>44627.94447916667</v>
      </c>
      <c r="C2465" s="1" t="n">
        <v>46082</v>
      </c>
      <c r="D2465" t="inlineStr">
        <is>
          <t>VÄSTERNORRLANDS LÄN</t>
        </is>
      </c>
      <c r="E2465" t="inlineStr">
        <is>
          <t>SOLLEFTEÅ</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47955-2024</t>
        </is>
      </c>
      <c r="B2466" s="1" t="n">
        <v>45589.3703125</v>
      </c>
      <c r="C2466" s="1" t="n">
        <v>46082</v>
      </c>
      <c r="D2466" t="inlineStr">
        <is>
          <t>VÄSTERNORRLANDS LÄN</t>
        </is>
      </c>
      <c r="E2466" t="inlineStr">
        <is>
          <t>SOLLEFTEÅ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1416-2025</t>
        </is>
      </c>
      <c r="B2467" s="1" t="n">
        <v>45668</v>
      </c>
      <c r="C2467" s="1" t="n">
        <v>46082</v>
      </c>
      <c r="D2467" t="inlineStr">
        <is>
          <t>VÄSTERNORRLANDS LÄN</t>
        </is>
      </c>
      <c r="E2467" t="inlineStr">
        <is>
          <t>SOLLEFTEÅ</t>
        </is>
      </c>
      <c r="G2467" t="n">
        <v>21.3</v>
      </c>
      <c r="H2467" t="n">
        <v>0</v>
      </c>
      <c r="I2467" t="n">
        <v>0</v>
      </c>
      <c r="J2467" t="n">
        <v>0</v>
      </c>
      <c r="K2467" t="n">
        <v>0</v>
      </c>
      <c r="L2467" t="n">
        <v>0</v>
      </c>
      <c r="M2467" t="n">
        <v>0</v>
      </c>
      <c r="N2467" t="n">
        <v>0</v>
      </c>
      <c r="O2467" t="n">
        <v>0</v>
      </c>
      <c r="P2467" t="n">
        <v>0</v>
      </c>
      <c r="Q2467" t="n">
        <v>0</v>
      </c>
      <c r="R2467" s="2" t="inlineStr"/>
    </row>
    <row r="2468" ht="15" customHeight="1">
      <c r="A2468" t="inlineStr">
        <is>
          <t>A 3080-2025</t>
        </is>
      </c>
      <c r="B2468" s="1" t="n">
        <v>45678</v>
      </c>
      <c r="C2468" s="1" t="n">
        <v>46082</v>
      </c>
      <c r="D2468" t="inlineStr">
        <is>
          <t>VÄSTERNORRLANDS LÄN</t>
        </is>
      </c>
      <c r="E2468" t="inlineStr">
        <is>
          <t>SOLLEFTEÅ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1082-2025</t>
        </is>
      </c>
      <c r="B2469" s="1" t="n">
        <v>45666.61646990741</v>
      </c>
      <c r="C2469" s="1" t="n">
        <v>46082</v>
      </c>
      <c r="D2469" t="inlineStr">
        <is>
          <t>VÄSTERNORRLANDS LÄN</t>
        </is>
      </c>
      <c r="E2469" t="inlineStr">
        <is>
          <t>SOLLEFTEÅ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1096-2025</t>
        </is>
      </c>
      <c r="B2470" s="1" t="n">
        <v>45666</v>
      </c>
      <c r="C2470" s="1" t="n">
        <v>46082</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3324-2025</t>
        </is>
      </c>
      <c r="B2471" s="1" t="n">
        <v>45679.69924768519</v>
      </c>
      <c r="C2471" s="1" t="n">
        <v>46082</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37696-2023</t>
        </is>
      </c>
      <c r="B2472" s="1" t="n">
        <v>45156</v>
      </c>
      <c r="C2472" s="1" t="n">
        <v>46082</v>
      </c>
      <c r="D2472" t="inlineStr">
        <is>
          <t>VÄSTERNORRLANDS LÄN</t>
        </is>
      </c>
      <c r="E2472" t="inlineStr">
        <is>
          <t>SOLLEFTEÅ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48490-2024</t>
        </is>
      </c>
      <c r="B2473" s="1" t="n">
        <v>45592</v>
      </c>
      <c r="C2473" s="1" t="n">
        <v>46082</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48491-2024</t>
        </is>
      </c>
      <c r="B2474" s="1" t="n">
        <v>45592</v>
      </c>
      <c r="C2474" s="1" t="n">
        <v>46082</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4253-2025</t>
        </is>
      </c>
      <c r="B2475" s="1" t="n">
        <v>45685.61232638889</v>
      </c>
      <c r="C2475" s="1" t="n">
        <v>46082</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13554-2023</t>
        </is>
      </c>
      <c r="B2476" s="1" t="n">
        <v>45005</v>
      </c>
      <c r="C2476" s="1" t="n">
        <v>46082</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40655-2024</t>
        </is>
      </c>
      <c r="B2477" s="1" t="n">
        <v>45558.34414351852</v>
      </c>
      <c r="C2477" s="1" t="n">
        <v>46082</v>
      </c>
      <c r="D2477" t="inlineStr">
        <is>
          <t>VÄSTERNORRLANDS LÄN</t>
        </is>
      </c>
      <c r="E2477" t="inlineStr">
        <is>
          <t>SOLLEFTEÅ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35147-2023</t>
        </is>
      </c>
      <c r="B2478" s="1" t="n">
        <v>45142</v>
      </c>
      <c r="C2478" s="1" t="n">
        <v>46082</v>
      </c>
      <c r="D2478" t="inlineStr">
        <is>
          <t>VÄSTERNORRLANDS LÄN</t>
        </is>
      </c>
      <c r="E2478" t="inlineStr">
        <is>
          <t>SOLLEFTEÅ</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17481-2025</t>
        </is>
      </c>
      <c r="B2479" s="1" t="n">
        <v>45757.48979166667</v>
      </c>
      <c r="C2479" s="1" t="n">
        <v>46082</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57518-2023</t>
        </is>
      </c>
      <c r="B2480" s="1" t="n">
        <v>45242</v>
      </c>
      <c r="C2480" s="1" t="n">
        <v>46082</v>
      </c>
      <c r="D2480" t="inlineStr">
        <is>
          <t>VÄSTERNORRLANDS LÄN</t>
        </is>
      </c>
      <c r="E2480" t="inlineStr">
        <is>
          <t>SOLLEFTEÅ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53477-2024</t>
        </is>
      </c>
      <c r="B2481" s="1" t="n">
        <v>45611</v>
      </c>
      <c r="C2481" s="1" t="n">
        <v>46082</v>
      </c>
      <c r="D2481" t="inlineStr">
        <is>
          <t>VÄSTERNORRLANDS LÄN</t>
        </is>
      </c>
      <c r="E2481" t="inlineStr">
        <is>
          <t>SOLLEFTEÅ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11334-2024</t>
        </is>
      </c>
      <c r="B2482" s="1" t="n">
        <v>45372</v>
      </c>
      <c r="C2482" s="1" t="n">
        <v>46082</v>
      </c>
      <c r="D2482" t="inlineStr">
        <is>
          <t>VÄSTERNORRLANDS LÄN</t>
        </is>
      </c>
      <c r="E2482" t="inlineStr">
        <is>
          <t>SOLLEFTEÅ</t>
        </is>
      </c>
      <c r="F2482" t="inlineStr">
        <is>
          <t>SCA</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39495-2023</t>
        </is>
      </c>
      <c r="B2483" s="1" t="n">
        <v>45166.95712962963</v>
      </c>
      <c r="C2483" s="1" t="n">
        <v>46082</v>
      </c>
      <c r="D2483" t="inlineStr">
        <is>
          <t>VÄSTERNORRLANDS LÄN</t>
        </is>
      </c>
      <c r="E2483" t="inlineStr">
        <is>
          <t>SOLLEFTEÅ</t>
        </is>
      </c>
      <c r="F2483" t="inlineStr">
        <is>
          <t>SCA</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54458-2024</t>
        </is>
      </c>
      <c r="B2484" s="1" t="n">
        <v>45617.5325</v>
      </c>
      <c r="C2484" s="1" t="n">
        <v>46082</v>
      </c>
      <c r="D2484" t="inlineStr">
        <is>
          <t>VÄSTERNORRLANDS LÄN</t>
        </is>
      </c>
      <c r="E2484" t="inlineStr">
        <is>
          <t>SOLLEFTEÅ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6172-2022</t>
        </is>
      </c>
      <c r="B2485" s="1" t="n">
        <v>44599.93700231481</v>
      </c>
      <c r="C2485" s="1" t="n">
        <v>46082</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60495-2024</t>
        </is>
      </c>
      <c r="B2486" s="1" t="n">
        <v>45643.65700231482</v>
      </c>
      <c r="C2486" s="1" t="n">
        <v>46082</v>
      </c>
      <c r="D2486" t="inlineStr">
        <is>
          <t>VÄSTERNORRLANDS LÄN</t>
        </is>
      </c>
      <c r="E2486" t="inlineStr">
        <is>
          <t>SOLLEFTEÅ</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60077-2024</t>
        </is>
      </c>
      <c r="B2487" s="1" t="n">
        <v>45642</v>
      </c>
      <c r="C2487" s="1" t="n">
        <v>46082</v>
      </c>
      <c r="D2487" t="inlineStr">
        <is>
          <t>VÄSTERNORRLANDS LÄN</t>
        </is>
      </c>
      <c r="E2487" t="inlineStr">
        <is>
          <t>SOLLEFTEÅ</t>
        </is>
      </c>
      <c r="F2487" t="inlineStr">
        <is>
          <t>SCA</t>
        </is>
      </c>
      <c r="G2487" t="n">
        <v>21.5</v>
      </c>
      <c r="H2487" t="n">
        <v>0</v>
      </c>
      <c r="I2487" t="n">
        <v>0</v>
      </c>
      <c r="J2487" t="n">
        <v>0</v>
      </c>
      <c r="K2487" t="n">
        <v>0</v>
      </c>
      <c r="L2487" t="n">
        <v>0</v>
      </c>
      <c r="M2487" t="n">
        <v>0</v>
      </c>
      <c r="N2487" t="n">
        <v>0</v>
      </c>
      <c r="O2487" t="n">
        <v>0</v>
      </c>
      <c r="P2487" t="n">
        <v>0</v>
      </c>
      <c r="Q2487" t="n">
        <v>0</v>
      </c>
      <c r="R2487" s="2" t="inlineStr"/>
    </row>
    <row r="2488" ht="15" customHeight="1">
      <c r="A2488" t="inlineStr">
        <is>
          <t>A 12135-2023</t>
        </is>
      </c>
      <c r="B2488" s="1" t="n">
        <v>44995</v>
      </c>
      <c r="C2488" s="1" t="n">
        <v>46082</v>
      </c>
      <c r="D2488" t="inlineStr">
        <is>
          <t>VÄSTERNORRLANDS LÄN</t>
        </is>
      </c>
      <c r="E2488" t="inlineStr">
        <is>
          <t>SOLLEFTEÅ</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27382-2023</t>
        </is>
      </c>
      <c r="B2489" s="1" t="n">
        <v>45096.93920138889</v>
      </c>
      <c r="C2489" s="1" t="n">
        <v>46082</v>
      </c>
      <c r="D2489" t="inlineStr">
        <is>
          <t>VÄSTERNORRLANDS LÄN</t>
        </is>
      </c>
      <c r="E2489" t="inlineStr">
        <is>
          <t>SOLLEFTEÅ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27384-2023</t>
        </is>
      </c>
      <c r="B2490" s="1" t="n">
        <v>45096.939375</v>
      </c>
      <c r="C2490" s="1" t="n">
        <v>46082</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3537-2025</t>
        </is>
      </c>
      <c r="B2491" s="1" t="n">
        <v>45680</v>
      </c>
      <c r="C2491" s="1" t="n">
        <v>46082</v>
      </c>
      <c r="D2491" t="inlineStr">
        <is>
          <t>VÄSTERNORRLANDS LÄN</t>
        </is>
      </c>
      <c r="E2491" t="inlineStr">
        <is>
          <t>SOLLEFTEÅ</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18648-2024</t>
        </is>
      </c>
      <c r="B2492" s="1" t="n">
        <v>45425.9678125</v>
      </c>
      <c r="C2492" s="1" t="n">
        <v>46082</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27936-2024</t>
        </is>
      </c>
      <c r="B2493" s="1" t="n">
        <v>45475.95054398148</v>
      </c>
      <c r="C2493" s="1" t="n">
        <v>46082</v>
      </c>
      <c r="D2493" t="inlineStr">
        <is>
          <t>VÄSTERNORRLANDS LÄN</t>
        </is>
      </c>
      <c r="E2493" t="inlineStr">
        <is>
          <t>SOLLEFTEÅ</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59564-2024</t>
        </is>
      </c>
      <c r="B2494" s="1" t="n">
        <v>45638.6375</v>
      </c>
      <c r="C2494" s="1" t="n">
        <v>46082</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52702-2024</t>
        </is>
      </c>
      <c r="B2495" s="1" t="n">
        <v>45610</v>
      </c>
      <c r="C2495" s="1" t="n">
        <v>46082</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50963-2024</t>
        </is>
      </c>
      <c r="B2496" s="1" t="n">
        <v>45603.32388888889</v>
      </c>
      <c r="C2496" s="1" t="n">
        <v>46082</v>
      </c>
      <c r="D2496" t="inlineStr">
        <is>
          <t>VÄSTERNORRLANDS LÄN</t>
        </is>
      </c>
      <c r="E2496" t="inlineStr">
        <is>
          <t>SOLLEFTEÅ</t>
        </is>
      </c>
      <c r="F2496" t="inlineStr">
        <is>
          <t>Holmen skog AB</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16086-2024</t>
        </is>
      </c>
      <c r="B2497" s="1" t="n">
        <v>45406</v>
      </c>
      <c r="C2497" s="1" t="n">
        <v>46082</v>
      </c>
      <c r="D2497" t="inlineStr">
        <is>
          <t>VÄSTERNORRLANDS LÄN</t>
        </is>
      </c>
      <c r="E2497" t="inlineStr">
        <is>
          <t>SOLLEFTEÅ</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25364-2024</t>
        </is>
      </c>
      <c r="B2498" s="1" t="n">
        <v>45462.95849537037</v>
      </c>
      <c r="C2498" s="1" t="n">
        <v>46082</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34316-2024</t>
        </is>
      </c>
      <c r="B2499" s="1" t="n">
        <v>45524</v>
      </c>
      <c r="C2499" s="1" t="n">
        <v>46082</v>
      </c>
      <c r="D2499" t="inlineStr">
        <is>
          <t>VÄSTERNORRLANDS LÄN</t>
        </is>
      </c>
      <c r="E2499" t="inlineStr">
        <is>
          <t>SOLLEFTEÅ</t>
        </is>
      </c>
      <c r="F2499" t="inlineStr">
        <is>
          <t>Övriga statliga verk och myndigheter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32754-2024</t>
        </is>
      </c>
      <c r="B2500" s="1" t="n">
        <v>45516.46685185185</v>
      </c>
      <c r="C2500" s="1" t="n">
        <v>46082</v>
      </c>
      <c r="D2500" t="inlineStr">
        <is>
          <t>VÄSTERNORRLANDS LÄN</t>
        </is>
      </c>
      <c r="E2500" t="inlineStr">
        <is>
          <t>SOLLEFTEÅ</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1623-2025</t>
        </is>
      </c>
      <c r="B2501" s="1" t="n">
        <v>45670.61526620371</v>
      </c>
      <c r="C2501" s="1" t="n">
        <v>46082</v>
      </c>
      <c r="D2501" t="inlineStr">
        <is>
          <t>VÄSTERNORRLANDS LÄN</t>
        </is>
      </c>
      <c r="E2501" t="inlineStr">
        <is>
          <t>SOLLEFTEÅ</t>
        </is>
      </c>
      <c r="F2501" t="inlineStr">
        <is>
          <t>SCA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1459-2024</t>
        </is>
      </c>
      <c r="B2502" s="1" t="n">
        <v>45303.9331712963</v>
      </c>
      <c r="C2502" s="1" t="n">
        <v>46082</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54559-2022</t>
        </is>
      </c>
      <c r="B2503" s="1" t="n">
        <v>44882</v>
      </c>
      <c r="C2503" s="1" t="n">
        <v>46082</v>
      </c>
      <c r="D2503" t="inlineStr">
        <is>
          <t>VÄSTERNORRLANDS LÄN</t>
        </is>
      </c>
      <c r="E2503" t="inlineStr">
        <is>
          <t>SOLLEFTEÅ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49417-2023</t>
        </is>
      </c>
      <c r="B2504" s="1" t="n">
        <v>45205</v>
      </c>
      <c r="C2504" s="1" t="n">
        <v>46082</v>
      </c>
      <c r="D2504" t="inlineStr">
        <is>
          <t>VÄSTERNORRLANDS LÄN</t>
        </is>
      </c>
      <c r="E2504" t="inlineStr">
        <is>
          <t>SOLLEFTEÅ</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27972-2021</t>
        </is>
      </c>
      <c r="B2505" s="1" t="n">
        <v>44354.93622685185</v>
      </c>
      <c r="C2505" s="1" t="n">
        <v>46082</v>
      </c>
      <c r="D2505" t="inlineStr">
        <is>
          <t>VÄSTERNORRLANDS LÄN</t>
        </is>
      </c>
      <c r="E2505" t="inlineStr">
        <is>
          <t>SOLLEFTEÅ</t>
        </is>
      </c>
      <c r="F2505" t="inlineStr">
        <is>
          <t>SCA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34100-2023</t>
        </is>
      </c>
      <c r="B2506" s="1" t="n">
        <v>45125</v>
      </c>
      <c r="C2506" s="1" t="n">
        <v>46082</v>
      </c>
      <c r="D2506" t="inlineStr">
        <is>
          <t>VÄSTERNORRLANDS LÄN</t>
        </is>
      </c>
      <c r="E2506" t="inlineStr">
        <is>
          <t>SOLLEFTEÅ</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23730-2024</t>
        </is>
      </c>
      <c r="B2507" s="1" t="n">
        <v>45454.95877314815</v>
      </c>
      <c r="C2507" s="1" t="n">
        <v>46082</v>
      </c>
      <c r="D2507" t="inlineStr">
        <is>
          <t>VÄSTERNORRLANDS LÄN</t>
        </is>
      </c>
      <c r="E2507" t="inlineStr">
        <is>
          <t>SOLLEFTEÅ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36514-2023</t>
        </is>
      </c>
      <c r="B2508" s="1" t="n">
        <v>45152.95377314815</v>
      </c>
      <c r="C2508" s="1" t="n">
        <v>46082</v>
      </c>
      <c r="D2508" t="inlineStr">
        <is>
          <t>VÄSTERNORRLANDS LÄN</t>
        </is>
      </c>
      <c r="E2508" t="inlineStr">
        <is>
          <t>SOLLEFTEÅ</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3276-2025</t>
        </is>
      </c>
      <c r="B2509" s="1" t="n">
        <v>45679.59986111111</v>
      </c>
      <c r="C2509" s="1" t="n">
        <v>46082</v>
      </c>
      <c r="D2509" t="inlineStr">
        <is>
          <t>VÄSTERNORRLANDS LÄN</t>
        </is>
      </c>
      <c r="E2509" t="inlineStr">
        <is>
          <t>SOLLEFTEÅ</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18185-2025</t>
        </is>
      </c>
      <c r="B2510" s="1" t="n">
        <v>45761.66724537037</v>
      </c>
      <c r="C2510" s="1" t="n">
        <v>46082</v>
      </c>
      <c r="D2510" t="inlineStr">
        <is>
          <t>VÄSTERNORRLANDS LÄN</t>
        </is>
      </c>
      <c r="E2510" t="inlineStr">
        <is>
          <t>SOLLEFTEÅ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60168-2022</t>
        </is>
      </c>
      <c r="B2511" s="1" t="n">
        <v>44909</v>
      </c>
      <c r="C2511" s="1" t="n">
        <v>46082</v>
      </c>
      <c r="D2511" t="inlineStr">
        <is>
          <t>VÄSTERNORRLANDS LÄN</t>
        </is>
      </c>
      <c r="E2511" t="inlineStr">
        <is>
          <t>SOLLEFTEÅ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42228-2021</t>
        </is>
      </c>
      <c r="B2512" s="1" t="n">
        <v>44426</v>
      </c>
      <c r="C2512" s="1" t="n">
        <v>46082</v>
      </c>
      <c r="D2512" t="inlineStr">
        <is>
          <t>VÄSTERNORRLANDS LÄN</t>
        </is>
      </c>
      <c r="E2512" t="inlineStr">
        <is>
          <t>SOLLEFTEÅ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14365-2024</t>
        </is>
      </c>
      <c r="B2513" s="1" t="n">
        <v>45393.94332175926</v>
      </c>
      <c r="C2513" s="1" t="n">
        <v>46082</v>
      </c>
      <c r="D2513" t="inlineStr">
        <is>
          <t>VÄSTERNORRLANDS LÄN</t>
        </is>
      </c>
      <c r="E2513" t="inlineStr">
        <is>
          <t>SOLLEFTEÅ</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26391-2024</t>
        </is>
      </c>
      <c r="B2514" s="1" t="n">
        <v>45468</v>
      </c>
      <c r="C2514" s="1" t="n">
        <v>46082</v>
      </c>
      <c r="D2514" t="inlineStr">
        <is>
          <t>VÄSTERNORRLANDS LÄN</t>
        </is>
      </c>
      <c r="E2514" t="inlineStr">
        <is>
          <t>SOLLEFTEÅ</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29337-2023</t>
        </is>
      </c>
      <c r="B2515" s="1" t="n">
        <v>45105</v>
      </c>
      <c r="C2515" s="1" t="n">
        <v>46082</v>
      </c>
      <c r="D2515" t="inlineStr">
        <is>
          <t>VÄSTERNORRLANDS LÄN</t>
        </is>
      </c>
      <c r="E2515" t="inlineStr">
        <is>
          <t>SOLLEFTEÅ</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26655-2024</t>
        </is>
      </c>
      <c r="B2516" s="1" t="n">
        <v>45469</v>
      </c>
      <c r="C2516" s="1" t="n">
        <v>46082</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22475-2024</t>
        </is>
      </c>
      <c r="B2517" s="1" t="n">
        <v>45446.95151620371</v>
      </c>
      <c r="C2517" s="1" t="n">
        <v>46082</v>
      </c>
      <c r="D2517" t="inlineStr">
        <is>
          <t>VÄSTERNORRLANDS LÄN</t>
        </is>
      </c>
      <c r="E2517" t="inlineStr">
        <is>
          <t>SOLLEFTEÅ</t>
        </is>
      </c>
      <c r="F2517" t="inlineStr">
        <is>
          <t>SCA</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34737-2023</t>
        </is>
      </c>
      <c r="B2518" s="1" t="n">
        <v>45139</v>
      </c>
      <c r="C2518" s="1" t="n">
        <v>46082</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40421-2023</t>
        </is>
      </c>
      <c r="B2519" s="1" t="n">
        <v>45169.93973379629</v>
      </c>
      <c r="C2519" s="1" t="n">
        <v>46082</v>
      </c>
      <c r="D2519" t="inlineStr">
        <is>
          <t>VÄSTERNORRLANDS LÄN</t>
        </is>
      </c>
      <c r="E2519" t="inlineStr">
        <is>
          <t>SOLLEFTEÅ</t>
        </is>
      </c>
      <c r="F2519" t="inlineStr">
        <is>
          <t>SCA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61778-2024</t>
        </is>
      </c>
      <c r="B2520" s="1" t="n">
        <v>45649.46961805555</v>
      </c>
      <c r="C2520" s="1" t="n">
        <v>46082</v>
      </c>
      <c r="D2520" t="inlineStr">
        <is>
          <t>VÄSTERNORRLANDS LÄN</t>
        </is>
      </c>
      <c r="E2520" t="inlineStr">
        <is>
          <t>SOLLEFTEÅ</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46850-2024</t>
        </is>
      </c>
      <c r="B2521" s="1" t="n">
        <v>45583.61513888889</v>
      </c>
      <c r="C2521" s="1" t="n">
        <v>46082</v>
      </c>
      <c r="D2521" t="inlineStr">
        <is>
          <t>VÄSTERNORRLANDS LÄN</t>
        </is>
      </c>
      <c r="E2521" t="inlineStr">
        <is>
          <t>SOLLEFTEÅ</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583-2025</t>
        </is>
      </c>
      <c r="B2522" s="1" t="n">
        <v>45664</v>
      </c>
      <c r="C2522" s="1" t="n">
        <v>46082</v>
      </c>
      <c r="D2522" t="inlineStr">
        <is>
          <t>VÄSTERNORRLANDS LÄN</t>
        </is>
      </c>
      <c r="E2522" t="inlineStr">
        <is>
          <t>SOLLEFTEÅ</t>
        </is>
      </c>
      <c r="G2522" t="n">
        <v>47.2</v>
      </c>
      <c r="H2522" t="n">
        <v>0</v>
      </c>
      <c r="I2522" t="n">
        <v>0</v>
      </c>
      <c r="J2522" t="n">
        <v>0</v>
      </c>
      <c r="K2522" t="n">
        <v>0</v>
      </c>
      <c r="L2522" t="n">
        <v>0</v>
      </c>
      <c r="M2522" t="n">
        <v>0</v>
      </c>
      <c r="N2522" t="n">
        <v>0</v>
      </c>
      <c r="O2522" t="n">
        <v>0</v>
      </c>
      <c r="P2522" t="n">
        <v>0</v>
      </c>
      <c r="Q2522" t="n">
        <v>0</v>
      </c>
      <c r="R2522" s="2" t="inlineStr"/>
    </row>
    <row r="2523" ht="15" customHeight="1">
      <c r="A2523" t="inlineStr">
        <is>
          <t>A 49810-2023</t>
        </is>
      </c>
      <c r="B2523" s="1" t="n">
        <v>45212.66369212963</v>
      </c>
      <c r="C2523" s="1" t="n">
        <v>46082</v>
      </c>
      <c r="D2523" t="inlineStr">
        <is>
          <t>VÄSTERNORRLANDS LÄN</t>
        </is>
      </c>
      <c r="E2523" t="inlineStr">
        <is>
          <t>SOLLEFTEÅ</t>
        </is>
      </c>
      <c r="F2523" t="inlineStr">
        <is>
          <t>Holmen skog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43008-2024</t>
        </is>
      </c>
      <c r="B2524" s="1" t="n">
        <v>45567.38574074074</v>
      </c>
      <c r="C2524" s="1" t="n">
        <v>46082</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61485-2024</t>
        </is>
      </c>
      <c r="B2525" s="1" t="n">
        <v>45646.53175925926</v>
      </c>
      <c r="C2525" s="1" t="n">
        <v>46082</v>
      </c>
      <c r="D2525" t="inlineStr">
        <is>
          <t>VÄSTERNORRLANDS LÄN</t>
        </is>
      </c>
      <c r="E2525" t="inlineStr">
        <is>
          <t>SOLLEFTEÅ</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16468-2024</t>
        </is>
      </c>
      <c r="B2526" s="1" t="n">
        <v>45408.0508449074</v>
      </c>
      <c r="C2526" s="1" t="n">
        <v>46082</v>
      </c>
      <c r="D2526" t="inlineStr">
        <is>
          <t>VÄSTERNORRLANDS LÄN</t>
        </is>
      </c>
      <c r="E2526" t="inlineStr">
        <is>
          <t>SOLLEFTEÅ</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2048-2025</t>
        </is>
      </c>
      <c r="B2527" s="1" t="n">
        <v>45671</v>
      </c>
      <c r="C2527" s="1" t="n">
        <v>46082</v>
      </c>
      <c r="D2527" t="inlineStr">
        <is>
          <t>VÄSTERNORRLANDS LÄN</t>
        </is>
      </c>
      <c r="E2527" t="inlineStr">
        <is>
          <t>SOLLEFTEÅ</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31672-2022</t>
        </is>
      </c>
      <c r="B2528" s="1" t="n">
        <v>44776.36137731482</v>
      </c>
      <c r="C2528" s="1" t="n">
        <v>46082</v>
      </c>
      <c r="D2528" t="inlineStr">
        <is>
          <t>VÄSTERNORRLANDS LÄN</t>
        </is>
      </c>
      <c r="E2528" t="inlineStr">
        <is>
          <t>SOLLEFTEÅ</t>
        </is>
      </c>
      <c r="G2528" t="n">
        <v>16.3</v>
      </c>
      <c r="H2528" t="n">
        <v>0</v>
      </c>
      <c r="I2528" t="n">
        <v>0</v>
      </c>
      <c r="J2528" t="n">
        <v>0</v>
      </c>
      <c r="K2528" t="n">
        <v>0</v>
      </c>
      <c r="L2528" t="n">
        <v>0</v>
      </c>
      <c r="M2528" t="n">
        <v>0</v>
      </c>
      <c r="N2528" t="n">
        <v>0</v>
      </c>
      <c r="O2528" t="n">
        <v>0</v>
      </c>
      <c r="P2528" t="n">
        <v>0</v>
      </c>
      <c r="Q2528" t="n">
        <v>0</v>
      </c>
      <c r="R2528" s="2" t="inlineStr"/>
    </row>
    <row r="2529" ht="15" customHeight="1">
      <c r="A2529" t="inlineStr">
        <is>
          <t>A 52266-2023</t>
        </is>
      </c>
      <c r="B2529" s="1" t="n">
        <v>45217</v>
      </c>
      <c r="C2529" s="1" t="n">
        <v>46082</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61847-2024</t>
        </is>
      </c>
      <c r="B2530" s="1" t="n">
        <v>45646</v>
      </c>
      <c r="C2530" s="1" t="n">
        <v>46082</v>
      </c>
      <c r="D2530" t="inlineStr">
        <is>
          <t>VÄSTERNORRLANDS LÄN</t>
        </is>
      </c>
      <c r="E2530" t="inlineStr">
        <is>
          <t>SOLLEFTEÅ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19416-2022</t>
        </is>
      </c>
      <c r="B2531" s="1" t="n">
        <v>44693</v>
      </c>
      <c r="C2531" s="1" t="n">
        <v>46082</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55622-2023</t>
        </is>
      </c>
      <c r="B2532" s="1" t="n">
        <v>45238</v>
      </c>
      <c r="C2532" s="1" t="n">
        <v>46082</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12972-2023</t>
        </is>
      </c>
      <c r="B2533" s="1" t="n">
        <v>45001</v>
      </c>
      <c r="C2533" s="1" t="n">
        <v>46082</v>
      </c>
      <c r="D2533" t="inlineStr">
        <is>
          <t>VÄSTERNORRLANDS LÄN</t>
        </is>
      </c>
      <c r="E2533" t="inlineStr">
        <is>
          <t>SOLLEFTEÅ</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46032-2022</t>
        </is>
      </c>
      <c r="B2534" s="1" t="n">
        <v>44846</v>
      </c>
      <c r="C2534" s="1" t="n">
        <v>46082</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29946-2023</t>
        </is>
      </c>
      <c r="B2535" s="1" t="n">
        <v>45107.93818287037</v>
      </c>
      <c r="C2535" s="1" t="n">
        <v>46082</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38749-2024</t>
        </is>
      </c>
      <c r="B2536" s="1" t="n">
        <v>45547</v>
      </c>
      <c r="C2536" s="1" t="n">
        <v>46082</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49253-2024</t>
        </is>
      </c>
      <c r="B2537" s="1" t="n">
        <v>45595</v>
      </c>
      <c r="C2537" s="1" t="n">
        <v>46082</v>
      </c>
      <c r="D2537" t="inlineStr">
        <is>
          <t>VÄSTERNORRLANDS LÄN</t>
        </is>
      </c>
      <c r="E2537" t="inlineStr">
        <is>
          <t>SOLLEFTEÅ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39429-2024</t>
        </is>
      </c>
      <c r="B2538" s="1" t="n">
        <v>45551.59427083333</v>
      </c>
      <c r="C2538" s="1" t="n">
        <v>46082</v>
      </c>
      <c r="D2538" t="inlineStr">
        <is>
          <t>VÄSTERNORRLANDS LÄN</t>
        </is>
      </c>
      <c r="E2538" t="inlineStr">
        <is>
          <t>SOLLEFTEÅ</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54538-2022</t>
        </is>
      </c>
      <c r="B2539" s="1" t="n">
        <v>44882.77261574074</v>
      </c>
      <c r="C2539" s="1" t="n">
        <v>46082</v>
      </c>
      <c r="D2539" t="inlineStr">
        <is>
          <t>VÄSTERNORRLANDS LÄN</t>
        </is>
      </c>
      <c r="E2539" t="inlineStr">
        <is>
          <t>SOLLEFTEÅ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60861-2023</t>
        </is>
      </c>
      <c r="B2540" s="1" t="n">
        <v>45260</v>
      </c>
      <c r="C2540" s="1" t="n">
        <v>46082</v>
      </c>
      <c r="D2540" t="inlineStr">
        <is>
          <t>VÄSTERNORRLANDS LÄN</t>
        </is>
      </c>
      <c r="E2540" t="inlineStr">
        <is>
          <t>SOLLEFTEÅ</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8893-2025</t>
        </is>
      </c>
      <c r="B2541" s="1" t="n">
        <v>45713.4065162037</v>
      </c>
      <c r="C2541" s="1" t="n">
        <v>46082</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54238-2024</t>
        </is>
      </c>
      <c r="B2542" s="1" t="n">
        <v>45616.67844907408</v>
      </c>
      <c r="C2542" s="1" t="n">
        <v>46082</v>
      </c>
      <c r="D2542" t="inlineStr">
        <is>
          <t>VÄSTERNORRLANDS LÄN</t>
        </is>
      </c>
      <c r="E2542" t="inlineStr">
        <is>
          <t>SOLLEFTEÅ</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19429-2024</t>
        </is>
      </c>
      <c r="B2543" s="1" t="n">
        <v>45429</v>
      </c>
      <c r="C2543" s="1" t="n">
        <v>46082</v>
      </c>
      <c r="D2543" t="inlineStr">
        <is>
          <t>VÄSTERNORRLANDS LÄN</t>
        </is>
      </c>
      <c r="E2543" t="inlineStr">
        <is>
          <t>SOLLEFTEÅ</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44392-2023</t>
        </is>
      </c>
      <c r="B2544" s="1" t="n">
        <v>45188.94527777778</v>
      </c>
      <c r="C2544" s="1" t="n">
        <v>46082</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42160-2023</t>
        </is>
      </c>
      <c r="B2545" s="1" t="n">
        <v>45177</v>
      </c>
      <c r="C2545" s="1" t="n">
        <v>46082</v>
      </c>
      <c r="D2545" t="inlineStr">
        <is>
          <t>VÄSTERNORRLANDS LÄN</t>
        </is>
      </c>
      <c r="E2545" t="inlineStr">
        <is>
          <t>SOLLEFTEÅ</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39469-2024</t>
        </is>
      </c>
      <c r="B2546" s="1" t="n">
        <v>45551</v>
      </c>
      <c r="C2546" s="1" t="n">
        <v>46082</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31646-2022</t>
        </is>
      </c>
      <c r="B2547" s="1" t="n">
        <v>44775.94166666667</v>
      </c>
      <c r="C2547" s="1" t="n">
        <v>46082</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18220-2025</t>
        </is>
      </c>
      <c r="B2548" s="1" t="n">
        <v>45761.7190625</v>
      </c>
      <c r="C2548" s="1" t="n">
        <v>46082</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45118-2022</t>
        </is>
      </c>
      <c r="B2549" s="1" t="n">
        <v>44843</v>
      </c>
      <c r="C2549" s="1" t="n">
        <v>46082</v>
      </c>
      <c r="D2549" t="inlineStr">
        <is>
          <t>VÄSTERNORRLANDS LÄN</t>
        </is>
      </c>
      <c r="E2549" t="inlineStr">
        <is>
          <t>SOLLEFTEÅ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54255-2022</t>
        </is>
      </c>
      <c r="B2550" s="1" t="n">
        <v>44881.95225694445</v>
      </c>
      <c r="C2550" s="1" t="n">
        <v>46082</v>
      </c>
      <c r="D2550" t="inlineStr">
        <is>
          <t>VÄSTERNORRLANDS LÄN</t>
        </is>
      </c>
      <c r="E2550" t="inlineStr">
        <is>
          <t>SOLLEFTEÅ</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16670-2022</t>
        </is>
      </c>
      <c r="B2551" s="1" t="n">
        <v>44672.93802083333</v>
      </c>
      <c r="C2551" s="1" t="n">
        <v>46082</v>
      </c>
      <c r="D2551" t="inlineStr">
        <is>
          <t>VÄSTERNORRLANDS LÄN</t>
        </is>
      </c>
      <c r="E2551" t="inlineStr">
        <is>
          <t>SOLLEFTEÅ</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2185-2025</t>
        </is>
      </c>
      <c r="B2552" s="1" t="n">
        <v>45673</v>
      </c>
      <c r="C2552" s="1" t="n">
        <v>46082</v>
      </c>
      <c r="D2552" t="inlineStr">
        <is>
          <t>VÄSTERNORRLANDS LÄN</t>
        </is>
      </c>
      <c r="E2552" t="inlineStr">
        <is>
          <t>SOLLEFTEÅ</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59501-2023</t>
        </is>
      </c>
      <c r="B2553" s="1" t="n">
        <v>45254</v>
      </c>
      <c r="C2553" s="1" t="n">
        <v>46082</v>
      </c>
      <c r="D2553" t="inlineStr">
        <is>
          <t>VÄSTERNORRLANDS LÄN</t>
        </is>
      </c>
      <c r="E2553" t="inlineStr">
        <is>
          <t>SOLLEFTEÅ</t>
        </is>
      </c>
      <c r="F2553" t="inlineStr">
        <is>
          <t>Holmen skog AB</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12644-2025</t>
        </is>
      </c>
      <c r="B2554" s="1" t="n">
        <v>45733.38726851852</v>
      </c>
      <c r="C2554" s="1" t="n">
        <v>46082</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21344-2023</t>
        </is>
      </c>
      <c r="B2555" s="1" t="n">
        <v>45062</v>
      </c>
      <c r="C2555" s="1" t="n">
        <v>46082</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61089-2024</t>
        </is>
      </c>
      <c r="B2556" s="1" t="n">
        <v>45644</v>
      </c>
      <c r="C2556" s="1" t="n">
        <v>46082</v>
      </c>
      <c r="D2556" t="inlineStr">
        <is>
          <t>VÄSTERNORRLANDS LÄN</t>
        </is>
      </c>
      <c r="E2556" t="inlineStr">
        <is>
          <t>SOLLEFTEÅ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48964-2023</t>
        </is>
      </c>
      <c r="B2557" s="1" t="n">
        <v>45204</v>
      </c>
      <c r="C2557" s="1" t="n">
        <v>46082</v>
      </c>
      <c r="D2557" t="inlineStr">
        <is>
          <t>VÄSTERNORRLANDS LÄN</t>
        </is>
      </c>
      <c r="E2557" t="inlineStr">
        <is>
          <t>SOLLEFTEÅ</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47177-2023</t>
        </is>
      </c>
      <c r="B2558" s="1" t="n">
        <v>45201</v>
      </c>
      <c r="C2558" s="1" t="n">
        <v>46082</v>
      </c>
      <c r="D2558" t="inlineStr">
        <is>
          <t>VÄSTERNORRLANDS LÄN</t>
        </is>
      </c>
      <c r="E2558" t="inlineStr">
        <is>
          <t>SOLLEFTEÅ</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24208-2024</t>
        </is>
      </c>
      <c r="B2559" s="1" t="n">
        <v>45456.9678125</v>
      </c>
      <c r="C2559" s="1" t="n">
        <v>46082</v>
      </c>
      <c r="D2559" t="inlineStr">
        <is>
          <t>VÄSTERNORRLANDS LÄN</t>
        </is>
      </c>
      <c r="E2559" t="inlineStr">
        <is>
          <t>SOLLEFTEÅ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24211-2024</t>
        </is>
      </c>
      <c r="B2560" s="1" t="n">
        <v>45456.9681712963</v>
      </c>
      <c r="C2560" s="1" t="n">
        <v>46082</v>
      </c>
      <c r="D2560" t="inlineStr">
        <is>
          <t>VÄSTERNORRLANDS LÄN</t>
        </is>
      </c>
      <c r="E2560" t="inlineStr">
        <is>
          <t>SOLLEFTEÅ</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9096-2023</t>
        </is>
      </c>
      <c r="B2561" s="1" t="n">
        <v>44979.94303240741</v>
      </c>
      <c r="C2561" s="1" t="n">
        <v>46082</v>
      </c>
      <c r="D2561" t="inlineStr">
        <is>
          <t>VÄSTERNORRLANDS LÄN</t>
        </is>
      </c>
      <c r="E2561" t="inlineStr">
        <is>
          <t>SOLLEFTEÅ</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43525-2021</t>
        </is>
      </c>
      <c r="B2562" s="1" t="n">
        <v>44433</v>
      </c>
      <c r="C2562" s="1" t="n">
        <v>46082</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11338-2025</t>
        </is>
      </c>
      <c r="B2563" s="1" t="n">
        <v>45726.48987268518</v>
      </c>
      <c r="C2563" s="1" t="n">
        <v>46082</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56398-2024</t>
        </is>
      </c>
      <c r="B2564" s="1" t="n">
        <v>45625.35395833333</v>
      </c>
      <c r="C2564" s="1" t="n">
        <v>46082</v>
      </c>
      <c r="D2564" t="inlineStr">
        <is>
          <t>VÄSTERNORRLANDS LÄN</t>
        </is>
      </c>
      <c r="E2564" t="inlineStr">
        <is>
          <t>SOLLEFTEÅ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37201-2024</t>
        </is>
      </c>
      <c r="B2565" s="1" t="n">
        <v>45539</v>
      </c>
      <c r="C2565" s="1" t="n">
        <v>46082</v>
      </c>
      <c r="D2565" t="inlineStr">
        <is>
          <t>VÄSTERNORRLANDS LÄN</t>
        </is>
      </c>
      <c r="E2565" t="inlineStr">
        <is>
          <t>SOLLEFTEÅ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18861-2023</t>
        </is>
      </c>
      <c r="B2566" s="1" t="n">
        <v>45042</v>
      </c>
      <c r="C2566" s="1" t="n">
        <v>46082</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54485-2024</t>
        </is>
      </c>
      <c r="B2567" s="1" t="n">
        <v>45617.5625462963</v>
      </c>
      <c r="C2567" s="1" t="n">
        <v>46082</v>
      </c>
      <c r="D2567" t="inlineStr">
        <is>
          <t>VÄSTERNORRLANDS LÄN</t>
        </is>
      </c>
      <c r="E2567" t="inlineStr">
        <is>
          <t>SOLLEFTEÅ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48001-2024</t>
        </is>
      </c>
      <c r="B2568" s="1" t="n">
        <v>45589.44826388889</v>
      </c>
      <c r="C2568" s="1" t="n">
        <v>46082</v>
      </c>
      <c r="D2568" t="inlineStr">
        <is>
          <t>VÄSTERNORRLANDS LÄN</t>
        </is>
      </c>
      <c r="E2568" t="inlineStr">
        <is>
          <t>SOLLEFTEÅ</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42979-2024</t>
        </is>
      </c>
      <c r="B2569" s="1" t="n">
        <v>45567.37438657408</v>
      </c>
      <c r="C2569" s="1" t="n">
        <v>46082</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46082</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46082</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9689-2024</t>
        </is>
      </c>
      <c r="B2572" s="1" t="n">
        <v>45362</v>
      </c>
      <c r="C2572" s="1" t="n">
        <v>46082</v>
      </c>
      <c r="D2572" t="inlineStr">
        <is>
          <t>VÄSTERNORRLANDS LÄN</t>
        </is>
      </c>
      <c r="E2572" t="inlineStr">
        <is>
          <t>SOLLEFTEÅ</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25139-2024</t>
        </is>
      </c>
      <c r="B2573" s="1" t="n">
        <v>45462.48130787037</v>
      </c>
      <c r="C2573" s="1" t="n">
        <v>46082</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38769-2024</t>
        </is>
      </c>
      <c r="B2574" s="1" t="n">
        <v>45547.44914351852</v>
      </c>
      <c r="C2574" s="1" t="n">
        <v>46082</v>
      </c>
      <c r="D2574" t="inlineStr">
        <is>
          <t>VÄSTERNORRLANDS LÄN</t>
        </is>
      </c>
      <c r="E2574" t="inlineStr">
        <is>
          <t>SOLLEFTEÅ</t>
        </is>
      </c>
      <c r="F2574" t="inlineStr">
        <is>
          <t>SCA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34804-2022</t>
        </is>
      </c>
      <c r="B2575" s="1" t="n">
        <v>44795.94761574074</v>
      </c>
      <c r="C2575" s="1" t="n">
        <v>46082</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6376-2025</t>
        </is>
      </c>
      <c r="B2576" s="1" t="n">
        <v>45699</v>
      </c>
      <c r="C2576" s="1" t="n">
        <v>46082</v>
      </c>
      <c r="D2576" t="inlineStr">
        <is>
          <t>VÄSTERNORRLANDS LÄN</t>
        </is>
      </c>
      <c r="E2576" t="inlineStr">
        <is>
          <t>SOLLEFTEÅ</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769-2025</t>
        </is>
      </c>
      <c r="B2577" s="1" t="n">
        <v>45659</v>
      </c>
      <c r="C2577" s="1" t="n">
        <v>46082</v>
      </c>
      <c r="D2577" t="inlineStr">
        <is>
          <t>VÄSTERNORRLANDS LÄN</t>
        </is>
      </c>
      <c r="E2577" t="inlineStr">
        <is>
          <t>SOLLEFTEÅ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4905-2025</t>
        </is>
      </c>
      <c r="B2578" s="1" t="n">
        <v>45688.68043981482</v>
      </c>
      <c r="C2578" s="1" t="n">
        <v>46082</v>
      </c>
      <c r="D2578" t="inlineStr">
        <is>
          <t>VÄSTERNORRLANDS LÄN</t>
        </is>
      </c>
      <c r="E2578" t="inlineStr">
        <is>
          <t>SOLLEFTEÅ</t>
        </is>
      </c>
      <c r="F2578" t="inlineStr">
        <is>
          <t>SCA</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6733-2025</t>
        </is>
      </c>
      <c r="B2579" s="1" t="n">
        <v>45700.59425925926</v>
      </c>
      <c r="C2579" s="1" t="n">
        <v>46082</v>
      </c>
      <c r="D2579" t="inlineStr">
        <is>
          <t>VÄSTERNORRLANDS LÄN</t>
        </is>
      </c>
      <c r="E2579" t="inlineStr">
        <is>
          <t>SOLLEFTEÅ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14036-2025</t>
        </is>
      </c>
      <c r="B2580" s="1" t="n">
        <v>45740.36508101852</v>
      </c>
      <c r="C2580" s="1" t="n">
        <v>46082</v>
      </c>
      <c r="D2580" t="inlineStr">
        <is>
          <t>VÄSTERNORRLANDS LÄN</t>
        </is>
      </c>
      <c r="E2580" t="inlineStr">
        <is>
          <t>SOLLEFTEÅ</t>
        </is>
      </c>
      <c r="F2580" t="inlineStr">
        <is>
          <t>SCA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16467-2024</t>
        </is>
      </c>
      <c r="B2581" s="1" t="n">
        <v>45408</v>
      </c>
      <c r="C2581" s="1" t="n">
        <v>46082</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17049-2022</t>
        </is>
      </c>
      <c r="B2582" s="1" t="n">
        <v>44676</v>
      </c>
      <c r="C2582" s="1" t="n">
        <v>46082</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c r="U2582">
        <f>HYPERLINK("https://klasma.github.io/Logging_2283/knärot/A 17049-2022 karta knärot.png", "A 17049-2022")</f>
        <v/>
      </c>
      <c r="V2582">
        <f>HYPERLINK("https://klasma.github.io/Logging_2283/klagomål/A 17049-2022 FSC-klagomål.docx", "A 17049-2022")</f>
        <v/>
      </c>
      <c r="W2582">
        <f>HYPERLINK("https://klasma.github.io/Logging_2283/klagomålsmail/A 17049-2022 FSC-klagomål mail.docx", "A 17049-2022")</f>
        <v/>
      </c>
      <c r="X2582">
        <f>HYPERLINK("https://klasma.github.io/Logging_2283/tillsyn/A 17049-2022 tillsynsbegäran.docx", "A 17049-2022")</f>
        <v/>
      </c>
      <c r="Y2582">
        <f>HYPERLINK("https://klasma.github.io/Logging_2283/tillsynsmail/A 17049-2022 tillsynsbegäran mail.docx", "A 17049-2022")</f>
        <v/>
      </c>
    </row>
    <row r="2583" ht="15" customHeight="1">
      <c r="A2583" t="inlineStr">
        <is>
          <t>A 59647-2022</t>
        </is>
      </c>
      <c r="B2583" s="1" t="n">
        <v>44907.96577546297</v>
      </c>
      <c r="C2583" s="1" t="n">
        <v>46082</v>
      </c>
      <c r="D2583" t="inlineStr">
        <is>
          <t>VÄSTERNORRLANDS LÄN</t>
        </is>
      </c>
      <c r="E2583" t="inlineStr">
        <is>
          <t>SOLLEFTEÅ</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20859-2023</t>
        </is>
      </c>
      <c r="B2584" s="1" t="n">
        <v>45058.94212962963</v>
      </c>
      <c r="C2584" s="1" t="n">
        <v>46082</v>
      </c>
      <c r="D2584" t="inlineStr">
        <is>
          <t>VÄSTERNORRLANDS LÄN</t>
        </is>
      </c>
      <c r="E2584" t="inlineStr">
        <is>
          <t>SOLLEFTEÅ</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52455-2024</t>
        </is>
      </c>
      <c r="B2585" s="1" t="n">
        <v>45609.50984953704</v>
      </c>
      <c r="C2585" s="1" t="n">
        <v>46082</v>
      </c>
      <c r="D2585" t="inlineStr">
        <is>
          <t>VÄSTERNORRLANDS LÄN</t>
        </is>
      </c>
      <c r="E2585" t="inlineStr">
        <is>
          <t>SOLLEFTEÅ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2422-2025</t>
        </is>
      </c>
      <c r="B2586" s="1" t="n">
        <v>45674.38592592593</v>
      </c>
      <c r="C2586" s="1" t="n">
        <v>46082</v>
      </c>
      <c r="D2586" t="inlineStr">
        <is>
          <t>VÄSTERNORRLANDS LÄN</t>
        </is>
      </c>
      <c r="E2586" t="inlineStr">
        <is>
          <t>SOLLEFTEÅ</t>
        </is>
      </c>
      <c r="F2586" t="inlineStr">
        <is>
          <t>SCA</t>
        </is>
      </c>
      <c r="G2586" t="n">
        <v>27.9</v>
      </c>
      <c r="H2586" t="n">
        <v>0</v>
      </c>
      <c r="I2586" t="n">
        <v>0</v>
      </c>
      <c r="J2586" t="n">
        <v>0</v>
      </c>
      <c r="K2586" t="n">
        <v>0</v>
      </c>
      <c r="L2586" t="n">
        <v>0</v>
      </c>
      <c r="M2586" t="n">
        <v>0</v>
      </c>
      <c r="N2586" t="n">
        <v>0</v>
      </c>
      <c r="O2586" t="n">
        <v>0</v>
      </c>
      <c r="P2586" t="n">
        <v>0</v>
      </c>
      <c r="Q2586" t="n">
        <v>0</v>
      </c>
      <c r="R2586" s="2" t="inlineStr"/>
    </row>
    <row r="2587" ht="15" customHeight="1">
      <c r="A2587" t="inlineStr">
        <is>
          <t>A 11094-2023</t>
        </is>
      </c>
      <c r="B2587" s="1" t="n">
        <v>44986</v>
      </c>
      <c r="C2587" s="1" t="n">
        <v>46082</v>
      </c>
      <c r="D2587" t="inlineStr">
        <is>
          <t>VÄSTERNORRLANDS LÄN</t>
        </is>
      </c>
      <c r="E2587" t="inlineStr">
        <is>
          <t>SOLLEFTEÅ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56256-2023</t>
        </is>
      </c>
      <c r="B2588" s="1" t="n">
        <v>45240</v>
      </c>
      <c r="C2588" s="1" t="n">
        <v>46082</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56262-2023</t>
        </is>
      </c>
      <c r="B2589" s="1" t="n">
        <v>45240</v>
      </c>
      <c r="C2589" s="1" t="n">
        <v>46082</v>
      </c>
      <c r="D2589" t="inlineStr">
        <is>
          <t>VÄSTERNORRLANDS LÄN</t>
        </is>
      </c>
      <c r="E2589" t="inlineStr">
        <is>
          <t>SOLLEFTEÅ</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50716-2023</t>
        </is>
      </c>
      <c r="B2590" s="1" t="n">
        <v>45210</v>
      </c>
      <c r="C2590" s="1" t="n">
        <v>46082</v>
      </c>
      <c r="D2590" t="inlineStr">
        <is>
          <t>VÄSTERNORRLANDS LÄN</t>
        </is>
      </c>
      <c r="E2590" t="inlineStr">
        <is>
          <t>SOLLEFTEÅ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14252-2025</t>
        </is>
      </c>
      <c r="B2591" s="1" t="n">
        <v>45740.61601851852</v>
      </c>
      <c r="C2591" s="1" t="n">
        <v>46082</v>
      </c>
      <c r="D2591" t="inlineStr">
        <is>
          <t>VÄSTERNORRLANDS LÄN</t>
        </is>
      </c>
      <c r="E2591" t="inlineStr">
        <is>
          <t>SOLLEFTEÅ</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10950-2025</t>
        </is>
      </c>
      <c r="B2592" s="1" t="n">
        <v>45723.34474537037</v>
      </c>
      <c r="C2592" s="1" t="n">
        <v>46082</v>
      </c>
      <c r="D2592" t="inlineStr">
        <is>
          <t>VÄSTERNORRLANDS LÄN</t>
        </is>
      </c>
      <c r="E2592" t="inlineStr">
        <is>
          <t>SOLLEFTEÅ</t>
        </is>
      </c>
      <c r="F2592" t="inlineStr">
        <is>
          <t>SCA</t>
        </is>
      </c>
      <c r="G2592" t="n">
        <v>32.3</v>
      </c>
      <c r="H2592" t="n">
        <v>0</v>
      </c>
      <c r="I2592" t="n">
        <v>0</v>
      </c>
      <c r="J2592" t="n">
        <v>0</v>
      </c>
      <c r="K2592" t="n">
        <v>0</v>
      </c>
      <c r="L2592" t="n">
        <v>0</v>
      </c>
      <c r="M2592" t="n">
        <v>0</v>
      </c>
      <c r="N2592" t="n">
        <v>0</v>
      </c>
      <c r="O2592" t="n">
        <v>0</v>
      </c>
      <c r="P2592" t="n">
        <v>0</v>
      </c>
      <c r="Q2592" t="n">
        <v>0</v>
      </c>
      <c r="R2592" s="2" t="inlineStr"/>
    </row>
    <row r="2593" ht="15" customHeight="1">
      <c r="A2593" t="inlineStr">
        <is>
          <t>A 15260-2025</t>
        </is>
      </c>
      <c r="B2593" s="1" t="n">
        <v>45744.65659722222</v>
      </c>
      <c r="C2593" s="1" t="n">
        <v>46082</v>
      </c>
      <c r="D2593" t="inlineStr">
        <is>
          <t>VÄSTERNORRLANDS LÄN</t>
        </is>
      </c>
      <c r="E2593" t="inlineStr">
        <is>
          <t>SOLLEFTEÅ</t>
        </is>
      </c>
      <c r="F2593" t="inlineStr">
        <is>
          <t>SCA</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50549-2024</t>
        </is>
      </c>
      <c r="B2594" s="1" t="n">
        <v>45601</v>
      </c>
      <c r="C2594" s="1" t="n">
        <v>46082</v>
      </c>
      <c r="D2594" t="inlineStr">
        <is>
          <t>VÄSTERNORRLANDS LÄN</t>
        </is>
      </c>
      <c r="E2594" t="inlineStr">
        <is>
          <t>SOLLEFTEÅ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50624-2024</t>
        </is>
      </c>
      <c r="B2595" s="1" t="n">
        <v>45601.65728009259</v>
      </c>
      <c r="C2595" s="1" t="n">
        <v>46082</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11711-2025</t>
        </is>
      </c>
      <c r="B2596" s="1" t="n">
        <v>45727.59398148148</v>
      </c>
      <c r="C2596" s="1" t="n">
        <v>46082</v>
      </c>
      <c r="D2596" t="inlineStr">
        <is>
          <t>VÄSTERNORRLANDS LÄN</t>
        </is>
      </c>
      <c r="E2596" t="inlineStr">
        <is>
          <t>SOLLEFTEÅ</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34878-2024</t>
        </is>
      </c>
      <c r="B2597" s="1" t="n">
        <v>45527</v>
      </c>
      <c r="C2597" s="1" t="n">
        <v>46082</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55759-2024</t>
        </is>
      </c>
      <c r="B2598" s="1" t="n">
        <v>45623.3647337963</v>
      </c>
      <c r="C2598" s="1" t="n">
        <v>46082</v>
      </c>
      <c r="D2598" t="inlineStr">
        <is>
          <t>VÄSTERNORRLANDS LÄN</t>
        </is>
      </c>
      <c r="E2598" t="inlineStr">
        <is>
          <t>SOLLEFTEÅ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56388-2024</t>
        </is>
      </c>
      <c r="B2599" s="1" t="n">
        <v>45625.34449074074</v>
      </c>
      <c r="C2599" s="1" t="n">
        <v>46082</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57892-2024</t>
        </is>
      </c>
      <c r="B2600" s="1" t="n">
        <v>45631.46910879629</v>
      </c>
      <c r="C2600" s="1" t="n">
        <v>46082</v>
      </c>
      <c r="D2600" t="inlineStr">
        <is>
          <t>VÄSTERNORRLANDS LÄN</t>
        </is>
      </c>
      <c r="E2600" t="inlineStr">
        <is>
          <t>SOLLEFTEÅ</t>
        </is>
      </c>
      <c r="F2600" t="inlineStr">
        <is>
          <t>SCA</t>
        </is>
      </c>
      <c r="G2600" t="n">
        <v>13.8</v>
      </c>
      <c r="H2600" t="n">
        <v>0</v>
      </c>
      <c r="I2600" t="n">
        <v>0</v>
      </c>
      <c r="J2600" t="n">
        <v>0</v>
      </c>
      <c r="K2600" t="n">
        <v>0</v>
      </c>
      <c r="L2600" t="n">
        <v>0</v>
      </c>
      <c r="M2600" t="n">
        <v>0</v>
      </c>
      <c r="N2600" t="n">
        <v>0</v>
      </c>
      <c r="O2600" t="n">
        <v>0</v>
      </c>
      <c r="P2600" t="n">
        <v>0</v>
      </c>
      <c r="Q2600" t="n">
        <v>0</v>
      </c>
      <c r="R2600" s="2" t="inlineStr"/>
    </row>
    <row r="2601" ht="15" customHeight="1">
      <c r="A2601" t="inlineStr">
        <is>
          <t>A 20223-2024</t>
        </is>
      </c>
      <c r="B2601" s="1" t="n">
        <v>45434</v>
      </c>
      <c r="C2601" s="1" t="n">
        <v>46082</v>
      </c>
      <c r="D2601" t="inlineStr">
        <is>
          <t>VÄSTERNORRLANDS LÄN</t>
        </is>
      </c>
      <c r="E2601" t="inlineStr">
        <is>
          <t>SOLLEFTEÅ</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51227-2024</t>
        </is>
      </c>
      <c r="B2602" s="1" t="n">
        <v>45603.65729166667</v>
      </c>
      <c r="C2602" s="1" t="n">
        <v>46082</v>
      </c>
      <c r="D2602" t="inlineStr">
        <is>
          <t>VÄSTERNORRLANDS LÄN</t>
        </is>
      </c>
      <c r="E2602" t="inlineStr">
        <is>
          <t>SOLLEFTEÅ</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60831-2024</t>
        </is>
      </c>
      <c r="B2603" s="1" t="n">
        <v>45644</v>
      </c>
      <c r="C2603" s="1" t="n">
        <v>46082</v>
      </c>
      <c r="D2603" t="inlineStr">
        <is>
          <t>VÄSTERNORRLANDS LÄN</t>
        </is>
      </c>
      <c r="E2603" t="inlineStr">
        <is>
          <t>SOLLEFTEÅ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14097-2025</t>
        </is>
      </c>
      <c r="B2604" s="1" t="n">
        <v>45740.44875</v>
      </c>
      <c r="C2604" s="1" t="n">
        <v>46082</v>
      </c>
      <c r="D2604" t="inlineStr">
        <is>
          <t>VÄSTERNORRLANDS LÄN</t>
        </is>
      </c>
      <c r="E2604" t="inlineStr">
        <is>
          <t>SOLLEFTEÅ</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46082</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44172-2024</t>
        </is>
      </c>
      <c r="B2606" s="1" t="n">
        <v>45572.74454861111</v>
      </c>
      <c r="C2606" s="1" t="n">
        <v>46082</v>
      </c>
      <c r="D2606" t="inlineStr">
        <is>
          <t>VÄSTERNORRLANDS LÄN</t>
        </is>
      </c>
      <c r="E2606" t="inlineStr">
        <is>
          <t>SOLLEFTEÅ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295-2025</t>
        </is>
      </c>
      <c r="B2607" s="1" t="n">
        <v>45660.53206018519</v>
      </c>
      <c r="C2607" s="1" t="n">
        <v>46082</v>
      </c>
      <c r="D2607" t="inlineStr">
        <is>
          <t>VÄSTERNORRLANDS LÄN</t>
        </is>
      </c>
      <c r="E2607" t="inlineStr">
        <is>
          <t>SOLLEFTEÅ</t>
        </is>
      </c>
      <c r="F2607" t="inlineStr">
        <is>
          <t>SCA</t>
        </is>
      </c>
      <c r="G2607" t="n">
        <v>30.7</v>
      </c>
      <c r="H2607" t="n">
        <v>0</v>
      </c>
      <c r="I2607" t="n">
        <v>0</v>
      </c>
      <c r="J2607" t="n">
        <v>0</v>
      </c>
      <c r="K2607" t="n">
        <v>0</v>
      </c>
      <c r="L2607" t="n">
        <v>0</v>
      </c>
      <c r="M2607" t="n">
        <v>0</v>
      </c>
      <c r="N2607" t="n">
        <v>0</v>
      </c>
      <c r="O2607" t="n">
        <v>0</v>
      </c>
      <c r="P2607" t="n">
        <v>0</v>
      </c>
      <c r="Q2607" t="n">
        <v>0</v>
      </c>
      <c r="R2607" s="2" t="inlineStr"/>
    </row>
    <row r="2608" ht="15" customHeight="1">
      <c r="A2608" t="inlineStr">
        <is>
          <t>A 55149-2024</t>
        </is>
      </c>
      <c r="B2608" s="1" t="n">
        <v>45621.49055555555</v>
      </c>
      <c r="C2608" s="1" t="n">
        <v>46082</v>
      </c>
      <c r="D2608" t="inlineStr">
        <is>
          <t>VÄSTERNORRLANDS LÄN</t>
        </is>
      </c>
      <c r="E2608" t="inlineStr">
        <is>
          <t>SOLLEFTEÅ</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43487-2023</t>
        </is>
      </c>
      <c r="B2609" s="1" t="n">
        <v>45181</v>
      </c>
      <c r="C2609" s="1" t="n">
        <v>46082</v>
      </c>
      <c r="D2609" t="inlineStr">
        <is>
          <t>VÄSTERNORRLANDS LÄN</t>
        </is>
      </c>
      <c r="E2609" t="inlineStr">
        <is>
          <t>SOLLEFTEÅ</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8105-2025</t>
        </is>
      </c>
      <c r="B2610" s="1" t="n">
        <v>45707.6990625</v>
      </c>
      <c r="C2610" s="1" t="n">
        <v>46082</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13150-2025</t>
        </is>
      </c>
      <c r="B2611" s="1" t="n">
        <v>45735.34439814815</v>
      </c>
      <c r="C2611" s="1" t="n">
        <v>46082</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8476-2025</t>
        </is>
      </c>
      <c r="B2612" s="1" t="n">
        <v>45709.47894675926</v>
      </c>
      <c r="C2612" s="1" t="n">
        <v>46082</v>
      </c>
      <c r="D2612" t="inlineStr">
        <is>
          <t>VÄSTERNORRLANDS LÄN</t>
        </is>
      </c>
      <c r="E2612" t="inlineStr">
        <is>
          <t>SOLLEFTEÅ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3319-2025</t>
        </is>
      </c>
      <c r="B2613" s="1" t="n">
        <v>45679</v>
      </c>
      <c r="C2613" s="1" t="n">
        <v>46082</v>
      </c>
      <c r="D2613" t="inlineStr">
        <is>
          <t>VÄSTERNORRLANDS LÄN</t>
        </is>
      </c>
      <c r="E2613" t="inlineStr">
        <is>
          <t>SOLLEFTEÅ</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49673-2024</t>
        </is>
      </c>
      <c r="B2614" s="1" t="n">
        <v>45596.65657407408</v>
      </c>
      <c r="C2614" s="1" t="n">
        <v>46082</v>
      </c>
      <c r="D2614" t="inlineStr">
        <is>
          <t>VÄSTERNORRLANDS LÄN</t>
        </is>
      </c>
      <c r="E2614" t="inlineStr">
        <is>
          <t>SOLLEFTEÅ</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12683-2025</t>
        </is>
      </c>
      <c r="B2615" s="1" t="n">
        <v>45733.44483796296</v>
      </c>
      <c r="C2615" s="1" t="n">
        <v>46082</v>
      </c>
      <c r="D2615" t="inlineStr">
        <is>
          <t>VÄSTERNORRLANDS LÄN</t>
        </is>
      </c>
      <c r="E2615" t="inlineStr">
        <is>
          <t>SOLLEFTEÅ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51681-2023</t>
        </is>
      </c>
      <c r="B2616" s="1" t="n">
        <v>45215</v>
      </c>
      <c r="C2616" s="1" t="n">
        <v>46082</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61845-2024</t>
        </is>
      </c>
      <c r="B2617" s="1" t="n">
        <v>45646</v>
      </c>
      <c r="C2617" s="1" t="n">
        <v>46082</v>
      </c>
      <c r="D2617" t="inlineStr">
        <is>
          <t>VÄSTERNORRLANDS LÄN</t>
        </is>
      </c>
      <c r="E2617" t="inlineStr">
        <is>
          <t>SOLLEFTEÅ</t>
        </is>
      </c>
      <c r="G2617" t="n">
        <v>9.4</v>
      </c>
      <c r="H2617" t="n">
        <v>0</v>
      </c>
      <c r="I2617" t="n">
        <v>0</v>
      </c>
      <c r="J2617" t="n">
        <v>0</v>
      </c>
      <c r="K2617" t="n">
        <v>0</v>
      </c>
      <c r="L2617" t="n">
        <v>0</v>
      </c>
      <c r="M2617" t="n">
        <v>0</v>
      </c>
      <c r="N2617" t="n">
        <v>0</v>
      </c>
      <c r="O2617" t="n">
        <v>0</v>
      </c>
      <c r="P2617" t="n">
        <v>0</v>
      </c>
      <c r="Q2617" t="n">
        <v>0</v>
      </c>
      <c r="R2617" s="2" t="inlineStr"/>
    </row>
    <row r="2618" ht="15" customHeight="1">
      <c r="A2618" t="inlineStr">
        <is>
          <t>A 61849-2024</t>
        </is>
      </c>
      <c r="B2618" s="1" t="n">
        <v>45646</v>
      </c>
      <c r="C2618" s="1" t="n">
        <v>46082</v>
      </c>
      <c r="D2618" t="inlineStr">
        <is>
          <t>VÄSTERNORRLANDS LÄN</t>
        </is>
      </c>
      <c r="E2618" t="inlineStr">
        <is>
          <t>SOLLEFTEÅ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13860-2025</t>
        </is>
      </c>
      <c r="B2619" s="1" t="n">
        <v>45737.57387731481</v>
      </c>
      <c r="C2619" s="1" t="n">
        <v>46082</v>
      </c>
      <c r="D2619" t="inlineStr">
        <is>
          <t>VÄSTERNORRLANDS LÄN</t>
        </is>
      </c>
      <c r="E2619" t="inlineStr">
        <is>
          <t>SOLLEFTEÅ</t>
        </is>
      </c>
      <c r="F2619" t="inlineStr">
        <is>
          <t>SCA</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50844-2023</t>
        </is>
      </c>
      <c r="B2620" s="1" t="n">
        <v>45217</v>
      </c>
      <c r="C2620" s="1" t="n">
        <v>46082</v>
      </c>
      <c r="D2620" t="inlineStr">
        <is>
          <t>VÄSTERNORRLANDS LÄN</t>
        </is>
      </c>
      <c r="E2620" t="inlineStr">
        <is>
          <t>SOLLEFTEÅ</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17664-2023</t>
        </is>
      </c>
      <c r="B2621" s="1" t="n">
        <v>45036.94416666667</v>
      </c>
      <c r="C2621" s="1" t="n">
        <v>46082</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14353-2025</t>
        </is>
      </c>
      <c r="B2622" s="1" t="n">
        <v>45741.36502314815</v>
      </c>
      <c r="C2622" s="1" t="n">
        <v>46082</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2580-2025</t>
        </is>
      </c>
      <c r="B2623" s="1" t="n">
        <v>45674</v>
      </c>
      <c r="C2623" s="1" t="n">
        <v>46082</v>
      </c>
      <c r="D2623" t="inlineStr">
        <is>
          <t>VÄSTERNORRLANDS LÄN</t>
        </is>
      </c>
      <c r="E2623" t="inlineStr">
        <is>
          <t>SOLLEFTEÅ</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4935-2025</t>
        </is>
      </c>
      <c r="B2624" s="1" t="n">
        <v>45688.68496527777</v>
      </c>
      <c r="C2624" s="1" t="n">
        <v>46082</v>
      </c>
      <c r="D2624" t="inlineStr">
        <is>
          <t>VÄSTERNORRLANDS LÄN</t>
        </is>
      </c>
      <c r="E2624" t="inlineStr">
        <is>
          <t>SOLLEFTEÅ</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9608-2025</t>
        </is>
      </c>
      <c r="B2625" s="1" t="n">
        <v>45715.65699074074</v>
      </c>
      <c r="C2625" s="1" t="n">
        <v>46082</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20638-2025</t>
        </is>
      </c>
      <c r="B2626" s="1" t="n">
        <v>45776.36480324074</v>
      </c>
      <c r="C2626" s="1" t="n">
        <v>46082</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20725-2025</t>
        </is>
      </c>
      <c r="B2627" s="1" t="n">
        <v>45776.51074074074</v>
      </c>
      <c r="C2627" s="1" t="n">
        <v>46082</v>
      </c>
      <c r="D2627" t="inlineStr">
        <is>
          <t>VÄSTERNORRLANDS LÄN</t>
        </is>
      </c>
      <c r="E2627" t="inlineStr">
        <is>
          <t>SOLLEFTEÅ</t>
        </is>
      </c>
      <c r="F2627" t="inlineStr">
        <is>
          <t>SCA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20793-2025</t>
        </is>
      </c>
      <c r="B2628" s="1" t="n">
        <v>45776</v>
      </c>
      <c r="C2628" s="1" t="n">
        <v>46082</v>
      </c>
      <c r="D2628" t="inlineStr">
        <is>
          <t>VÄSTERNORRLANDS LÄN</t>
        </is>
      </c>
      <c r="E2628" t="inlineStr">
        <is>
          <t>SOLLEFTEÅ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20867-2025</t>
        </is>
      </c>
      <c r="B2629" s="1" t="n">
        <v>45777.34471064815</v>
      </c>
      <c r="C2629" s="1" t="n">
        <v>46082</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21088-2025</t>
        </is>
      </c>
      <c r="B2630" s="1" t="n">
        <v>45777.61498842593</v>
      </c>
      <c r="C2630" s="1" t="n">
        <v>46082</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21109-2025</t>
        </is>
      </c>
      <c r="B2631" s="1" t="n">
        <v>45777.67744212963</v>
      </c>
      <c r="C2631" s="1" t="n">
        <v>46082</v>
      </c>
      <c r="D2631" t="inlineStr">
        <is>
          <t>VÄSTERNORRLANDS LÄN</t>
        </is>
      </c>
      <c r="E2631" t="inlineStr">
        <is>
          <t>SOLLEFTEÅ</t>
        </is>
      </c>
      <c r="F2631" t="inlineStr">
        <is>
          <t>SCA</t>
        </is>
      </c>
      <c r="G2631" t="n">
        <v>38.2</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45322.94880787037</v>
      </c>
      <c r="C2632" s="1" t="n">
        <v>46082</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52087-2023</t>
        </is>
      </c>
      <c r="B2633" s="1" t="n">
        <v>45223</v>
      </c>
      <c r="C2633" s="1" t="n">
        <v>46082</v>
      </c>
      <c r="D2633" t="inlineStr">
        <is>
          <t>VÄSTERNORRLANDS LÄN</t>
        </is>
      </c>
      <c r="E2633" t="inlineStr">
        <is>
          <t>SOLLEFTEÅ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21553-2025</t>
        </is>
      </c>
      <c r="B2634" s="1" t="n">
        <v>45782.67805555555</v>
      </c>
      <c r="C2634" s="1" t="n">
        <v>46082</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21555-2025</t>
        </is>
      </c>
      <c r="B2635" s="1" t="n">
        <v>45782.67828703704</v>
      </c>
      <c r="C2635" s="1" t="n">
        <v>46082</v>
      </c>
      <c r="D2635" t="inlineStr">
        <is>
          <t>VÄSTERNORRLANDS LÄN</t>
        </is>
      </c>
      <c r="E2635" t="inlineStr">
        <is>
          <t>SOLLEFTEÅ</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21564-2025</t>
        </is>
      </c>
      <c r="B2636" s="1" t="n">
        <v>45782.69837962963</v>
      </c>
      <c r="C2636" s="1" t="n">
        <v>46082</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21348-2025</t>
        </is>
      </c>
      <c r="B2637" s="1" t="n">
        <v>45782.40679398148</v>
      </c>
      <c r="C2637" s="1" t="n">
        <v>46082</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21346-2025</t>
        </is>
      </c>
      <c r="B2638" s="1" t="n">
        <v>45782.40670138889</v>
      </c>
      <c r="C2638" s="1" t="n">
        <v>46082</v>
      </c>
      <c r="D2638" t="inlineStr">
        <is>
          <t>VÄSTERNORRLANDS LÄN</t>
        </is>
      </c>
      <c r="E2638" t="inlineStr">
        <is>
          <t>SOLLEFTEÅ</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21429-2025</t>
        </is>
      </c>
      <c r="B2639" s="1" t="n">
        <v>45782.51084490741</v>
      </c>
      <c r="C2639" s="1" t="n">
        <v>46082</v>
      </c>
      <c r="D2639" t="inlineStr">
        <is>
          <t>VÄSTERNORRLANDS LÄN</t>
        </is>
      </c>
      <c r="E2639" t="inlineStr">
        <is>
          <t>SOLLEFTEÅ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6058-2024</t>
        </is>
      </c>
      <c r="B2640" s="1" t="n">
        <v>45336.75866898148</v>
      </c>
      <c r="C2640" s="1" t="n">
        <v>46082</v>
      </c>
      <c r="D2640" t="inlineStr">
        <is>
          <t>VÄSTERNORRLANDS LÄN</t>
        </is>
      </c>
      <c r="E2640" t="inlineStr">
        <is>
          <t>SOLLEFTEÅ</t>
        </is>
      </c>
      <c r="F2640" t="inlineStr">
        <is>
          <t>Övriga Aktiebolag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21455-2025</t>
        </is>
      </c>
      <c r="B2641" s="1" t="n">
        <v>45782.55332175926</v>
      </c>
      <c r="C2641" s="1" t="n">
        <v>46082</v>
      </c>
      <c r="D2641" t="inlineStr">
        <is>
          <t>VÄSTERNORRLANDS LÄN</t>
        </is>
      </c>
      <c r="E2641" t="inlineStr">
        <is>
          <t>SOLLEFTEÅ</t>
        </is>
      </c>
      <c r="F2641" t="inlineStr">
        <is>
          <t>SCA</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21491-2025</t>
        </is>
      </c>
      <c r="B2642" s="1" t="n">
        <v>45782.59578703704</v>
      </c>
      <c r="C2642" s="1" t="n">
        <v>46082</v>
      </c>
      <c r="D2642" t="inlineStr">
        <is>
          <t>VÄSTERNORRLANDS LÄN</t>
        </is>
      </c>
      <c r="E2642" t="inlineStr">
        <is>
          <t>SOLLEFTEÅ</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51527-2024</t>
        </is>
      </c>
      <c r="B2643" s="1" t="n">
        <v>45604</v>
      </c>
      <c r="C2643" s="1" t="n">
        <v>46082</v>
      </c>
      <c r="D2643" t="inlineStr">
        <is>
          <t>VÄSTERNORRLANDS LÄN</t>
        </is>
      </c>
      <c r="E2643" t="inlineStr">
        <is>
          <t>SOLLEFTEÅ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21565-2025</t>
        </is>
      </c>
      <c r="B2644" s="1" t="n">
        <v>45782</v>
      </c>
      <c r="C2644" s="1" t="n">
        <v>46082</v>
      </c>
      <c r="D2644" t="inlineStr">
        <is>
          <t>VÄSTERNORRLANDS LÄN</t>
        </is>
      </c>
      <c r="E2644" t="inlineStr">
        <is>
          <t>SOLLEFTEÅ</t>
        </is>
      </c>
      <c r="F2644" t="inlineStr">
        <is>
          <t>SCA</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45719-2022</t>
        </is>
      </c>
      <c r="B2645" s="1" t="n">
        <v>44845.95533564815</v>
      </c>
      <c r="C2645" s="1" t="n">
        <v>46082</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21481-2025</t>
        </is>
      </c>
      <c r="B2646" s="1" t="n">
        <v>45782.59451388889</v>
      </c>
      <c r="C2646" s="1" t="n">
        <v>46082</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21489-2025</t>
        </is>
      </c>
      <c r="B2647" s="1" t="n">
        <v>45782.59555555556</v>
      </c>
      <c r="C2647" s="1" t="n">
        <v>46082</v>
      </c>
      <c r="D2647" t="inlineStr">
        <is>
          <t>VÄSTERNORRLANDS LÄN</t>
        </is>
      </c>
      <c r="E2647" t="inlineStr">
        <is>
          <t>SOLLEFTEÅ</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21269-2025</t>
        </is>
      </c>
      <c r="B2648" s="1" t="n">
        <v>45779.62265046296</v>
      </c>
      <c r="C2648" s="1" t="n">
        <v>46082</v>
      </c>
      <c r="D2648" t="inlineStr">
        <is>
          <t>VÄSTERNORRLANDS LÄN</t>
        </is>
      </c>
      <c r="E2648" t="inlineStr">
        <is>
          <t>SOLLEFTEÅ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21897-2025</t>
        </is>
      </c>
      <c r="B2649" s="1" t="n">
        <v>45784.45376157408</v>
      </c>
      <c r="C2649" s="1" t="n">
        <v>46082</v>
      </c>
      <c r="D2649" t="inlineStr">
        <is>
          <t>VÄSTERNORRLANDS LÄN</t>
        </is>
      </c>
      <c r="E2649" t="inlineStr">
        <is>
          <t>SOLLEFTEÅ</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8337-2025</t>
        </is>
      </c>
      <c r="B2650" s="1" t="n">
        <v>45708.6597337963</v>
      </c>
      <c r="C2650" s="1" t="n">
        <v>46082</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21983-2025</t>
        </is>
      </c>
      <c r="B2651" s="1" t="n">
        <v>45784.65678240741</v>
      </c>
      <c r="C2651" s="1" t="n">
        <v>46082</v>
      </c>
      <c r="D2651" t="inlineStr">
        <is>
          <t>VÄSTERNORRLANDS LÄN</t>
        </is>
      </c>
      <c r="E2651" t="inlineStr">
        <is>
          <t>SOLLEFTEÅ</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7107-2024</t>
        </is>
      </c>
      <c r="B2652" s="1" t="n">
        <v>45343</v>
      </c>
      <c r="C2652" s="1" t="n">
        <v>46082</v>
      </c>
      <c r="D2652" t="inlineStr">
        <is>
          <t>VÄSTERNORRLANDS LÄN</t>
        </is>
      </c>
      <c r="E2652" t="inlineStr">
        <is>
          <t>SOLLEFTEÅ</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21898-2025</t>
        </is>
      </c>
      <c r="B2653" s="1" t="n">
        <v>45784.45386574074</v>
      </c>
      <c r="C2653" s="1" t="n">
        <v>46082</v>
      </c>
      <c r="D2653" t="inlineStr">
        <is>
          <t>VÄSTERNORRLANDS LÄN</t>
        </is>
      </c>
      <c r="E2653" t="inlineStr">
        <is>
          <t>SOLLEFTEÅ</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21896-2025</t>
        </is>
      </c>
      <c r="B2654" s="1" t="n">
        <v>45784.45366898148</v>
      </c>
      <c r="C2654" s="1" t="n">
        <v>46082</v>
      </c>
      <c r="D2654" t="inlineStr">
        <is>
          <t>VÄSTERNORRLANDS LÄN</t>
        </is>
      </c>
      <c r="E2654" t="inlineStr">
        <is>
          <t>SOLLEFTEÅ</t>
        </is>
      </c>
      <c r="G2654" t="n">
        <v>16.1</v>
      </c>
      <c r="H2654" t="n">
        <v>0</v>
      </c>
      <c r="I2654" t="n">
        <v>0</v>
      </c>
      <c r="J2654" t="n">
        <v>0</v>
      </c>
      <c r="K2654" t="n">
        <v>0</v>
      </c>
      <c r="L2654" t="n">
        <v>0</v>
      </c>
      <c r="M2654" t="n">
        <v>0</v>
      </c>
      <c r="N2654" t="n">
        <v>0</v>
      </c>
      <c r="O2654" t="n">
        <v>0</v>
      </c>
      <c r="P2654" t="n">
        <v>0</v>
      </c>
      <c r="Q2654" t="n">
        <v>0</v>
      </c>
      <c r="R2654" s="2" t="inlineStr"/>
    </row>
    <row r="2655" ht="15" customHeight="1">
      <c r="A2655" t="inlineStr">
        <is>
          <t>A 21863-2025</t>
        </is>
      </c>
      <c r="B2655" s="1" t="n">
        <v>45784.36532407408</v>
      </c>
      <c r="C2655" s="1" t="n">
        <v>46082</v>
      </c>
      <c r="D2655" t="inlineStr">
        <is>
          <t>VÄSTERNORRLANDS LÄN</t>
        </is>
      </c>
      <c r="E2655" t="inlineStr">
        <is>
          <t>SOLLEFTEÅ</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21669-2025</t>
        </is>
      </c>
      <c r="B2656" s="1" t="n">
        <v>45783.46905092592</v>
      </c>
      <c r="C2656" s="1" t="n">
        <v>46082</v>
      </c>
      <c r="D2656" t="inlineStr">
        <is>
          <t>VÄSTERNORRLANDS LÄN</t>
        </is>
      </c>
      <c r="E2656" t="inlineStr">
        <is>
          <t>SOLLEFTEÅ</t>
        </is>
      </c>
      <c r="F2656" t="inlineStr">
        <is>
          <t>SCA</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21687-2025</t>
        </is>
      </c>
      <c r="B2657" s="1" t="n">
        <v>45783.49135416667</v>
      </c>
      <c r="C2657" s="1" t="n">
        <v>46082</v>
      </c>
      <c r="D2657" t="inlineStr">
        <is>
          <t>VÄSTERNORRLANDS LÄN</t>
        </is>
      </c>
      <c r="E2657" t="inlineStr">
        <is>
          <t>SOLLEFTEÅ</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21985-2025</t>
        </is>
      </c>
      <c r="B2658" s="1" t="n">
        <v>45784.65689814815</v>
      </c>
      <c r="C2658" s="1" t="n">
        <v>46082</v>
      </c>
      <c r="D2658" t="inlineStr">
        <is>
          <t>VÄSTERNORRLANDS LÄN</t>
        </is>
      </c>
      <c r="E2658" t="inlineStr">
        <is>
          <t>SOLLEFTEÅ</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46207-2023</t>
        </is>
      </c>
      <c r="B2659" s="1" t="n">
        <v>45190</v>
      </c>
      <c r="C2659" s="1" t="n">
        <v>46082</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56249-2024</t>
        </is>
      </c>
      <c r="B2660" s="1" t="n">
        <v>45624.63584490741</v>
      </c>
      <c r="C2660" s="1" t="n">
        <v>46082</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13521-2023</t>
        </is>
      </c>
      <c r="B2661" s="1" t="n">
        <v>45005</v>
      </c>
      <c r="C2661" s="1" t="n">
        <v>46082</v>
      </c>
      <c r="D2661" t="inlineStr">
        <is>
          <t>VÄSTERNORRLANDS LÄN</t>
        </is>
      </c>
      <c r="E2661" t="inlineStr">
        <is>
          <t>SOLLEFTEÅ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22182-2025</t>
        </is>
      </c>
      <c r="B2662" s="1" t="n">
        <v>45785.61640046296</v>
      </c>
      <c r="C2662" s="1" t="n">
        <v>46082</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4838-2025</t>
        </is>
      </c>
      <c r="B2663" s="1" t="n">
        <v>45688.67167824074</v>
      </c>
      <c r="C2663" s="1" t="n">
        <v>46082</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60389-2024</t>
        </is>
      </c>
      <c r="B2664" s="1" t="n">
        <v>45643.48988425926</v>
      </c>
      <c r="C2664" s="1" t="n">
        <v>46082</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21099-2024</t>
        </is>
      </c>
      <c r="B2665" s="1" t="n">
        <v>45439</v>
      </c>
      <c r="C2665" s="1" t="n">
        <v>46082</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60361-2024</t>
        </is>
      </c>
      <c r="B2666" s="1" t="n">
        <v>45643.44851851852</v>
      </c>
      <c r="C2666" s="1" t="n">
        <v>46082</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22184-2025</t>
        </is>
      </c>
      <c r="B2667" s="1" t="n">
        <v>45785.61679398148</v>
      </c>
      <c r="C2667" s="1" t="n">
        <v>46082</v>
      </c>
      <c r="D2667" t="inlineStr">
        <is>
          <t>VÄSTERNORRLANDS LÄN</t>
        </is>
      </c>
      <c r="E2667" t="inlineStr">
        <is>
          <t>SOLLEFTEÅ</t>
        </is>
      </c>
      <c r="F2667" t="inlineStr">
        <is>
          <t>SCA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22211-2025</t>
        </is>
      </c>
      <c r="B2668" s="1" t="n">
        <v>45785.65752314815</v>
      </c>
      <c r="C2668" s="1" t="n">
        <v>46082</v>
      </c>
      <c r="D2668" t="inlineStr">
        <is>
          <t>VÄSTERNORRLANDS LÄN</t>
        </is>
      </c>
      <c r="E2668" t="inlineStr">
        <is>
          <t>SOLLEFTEÅ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22036-2025</t>
        </is>
      </c>
      <c r="B2669" s="1" t="n">
        <v>45785.31820601852</v>
      </c>
      <c r="C2669" s="1" t="n">
        <v>46082</v>
      </c>
      <c r="D2669" t="inlineStr">
        <is>
          <t>VÄSTERNORRLANDS LÄN</t>
        </is>
      </c>
      <c r="E2669" t="inlineStr">
        <is>
          <t>SOLLEFTEÅ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22218-2025</t>
        </is>
      </c>
      <c r="B2670" s="1" t="n">
        <v>45785.65840277778</v>
      </c>
      <c r="C2670" s="1" t="n">
        <v>46082</v>
      </c>
      <c r="D2670" t="inlineStr">
        <is>
          <t>VÄSTERNORRLANDS LÄN</t>
        </is>
      </c>
      <c r="E2670" t="inlineStr">
        <is>
          <t>SOLLEFTEÅ</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50864-2024</t>
        </is>
      </c>
      <c r="B2671" s="1" t="n">
        <v>45602.63653935185</v>
      </c>
      <c r="C2671" s="1" t="n">
        <v>46082</v>
      </c>
      <c r="D2671" t="inlineStr">
        <is>
          <t>VÄSTERNORRLANDS LÄN</t>
        </is>
      </c>
      <c r="E2671" t="inlineStr">
        <is>
          <t>SOLLEFTEÅ</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22046-2025</t>
        </is>
      </c>
      <c r="B2672" s="1" t="n">
        <v>45785.34412037037</v>
      </c>
      <c r="C2672" s="1" t="n">
        <v>46082</v>
      </c>
      <c r="D2672" t="inlineStr">
        <is>
          <t>VÄSTERNORRLANDS LÄN</t>
        </is>
      </c>
      <c r="E2672" t="inlineStr">
        <is>
          <t>SOLLEFTEÅ</t>
        </is>
      </c>
      <c r="F2672" t="inlineStr">
        <is>
          <t>SCA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22106-2025</t>
        </is>
      </c>
      <c r="B2673" s="1" t="n">
        <v>45785.48988425926</v>
      </c>
      <c r="C2673" s="1" t="n">
        <v>46082</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22704-2025</t>
        </is>
      </c>
      <c r="B2674" s="1" t="n">
        <v>45789.55251157407</v>
      </c>
      <c r="C2674" s="1" t="n">
        <v>46082</v>
      </c>
      <c r="D2674" t="inlineStr">
        <is>
          <t>VÄSTERNORRLANDS LÄN</t>
        </is>
      </c>
      <c r="E2674" t="inlineStr">
        <is>
          <t>SOLLEFTEÅ</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26172-2024</t>
        </is>
      </c>
      <c r="B2675" s="1" t="n">
        <v>45468</v>
      </c>
      <c r="C2675" s="1" t="n">
        <v>46082</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22615-2025</t>
        </is>
      </c>
      <c r="B2676" s="1" t="n">
        <v>45789.42741898148</v>
      </c>
      <c r="C2676" s="1" t="n">
        <v>46082</v>
      </c>
      <c r="D2676" t="inlineStr">
        <is>
          <t>VÄSTERNORRLANDS LÄN</t>
        </is>
      </c>
      <c r="E2676" t="inlineStr">
        <is>
          <t>SOLLEFTEÅ</t>
        </is>
      </c>
      <c r="F2676" t="inlineStr">
        <is>
          <t>SCA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41028-2024</t>
        </is>
      </c>
      <c r="B2677" s="1" t="n">
        <v>45559.34466435185</v>
      </c>
      <c r="C2677" s="1" t="n">
        <v>46082</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22767-2025</t>
        </is>
      </c>
      <c r="B2678" s="1" t="n">
        <v>45789.63309027778</v>
      </c>
      <c r="C2678" s="1" t="n">
        <v>46082</v>
      </c>
      <c r="D2678" t="inlineStr">
        <is>
          <t>VÄSTERNORRLANDS LÄN</t>
        </is>
      </c>
      <c r="E2678" t="inlineStr">
        <is>
          <t>SOLLEFTEÅ</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22815-2025</t>
        </is>
      </c>
      <c r="B2679" s="1" t="n">
        <v>45789.69826388889</v>
      </c>
      <c r="C2679" s="1" t="n">
        <v>46082</v>
      </c>
      <c r="D2679" t="inlineStr">
        <is>
          <t>VÄSTERNORRLANDS LÄN</t>
        </is>
      </c>
      <c r="E2679" t="inlineStr">
        <is>
          <t>SOLLEFTEÅ</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22737-2025</t>
        </is>
      </c>
      <c r="B2680" s="1" t="n">
        <v>45789.59130787037</v>
      </c>
      <c r="C2680" s="1" t="n">
        <v>46082</v>
      </c>
      <c r="D2680" t="inlineStr">
        <is>
          <t>VÄSTERNORRLANDS LÄN</t>
        </is>
      </c>
      <c r="E2680" t="inlineStr">
        <is>
          <t>SOLLEFTEÅ</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22287-2025</t>
        </is>
      </c>
      <c r="B2681" s="1" t="n">
        <v>45786.34409722222</v>
      </c>
      <c r="C2681" s="1" t="n">
        <v>46082</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22810-2025</t>
        </is>
      </c>
      <c r="B2682" s="1" t="n">
        <v>45789.68076388889</v>
      </c>
      <c r="C2682" s="1" t="n">
        <v>46082</v>
      </c>
      <c r="D2682" t="inlineStr">
        <is>
          <t>VÄSTERNORRLANDS LÄN</t>
        </is>
      </c>
      <c r="E2682" t="inlineStr">
        <is>
          <t>SOLLEFTEÅ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22854-2025</t>
        </is>
      </c>
      <c r="B2683" s="1" t="n">
        <v>45790.34457175926</v>
      </c>
      <c r="C2683" s="1" t="n">
        <v>46082</v>
      </c>
      <c r="D2683" t="inlineStr">
        <is>
          <t>VÄSTERNORRLANDS LÄN</t>
        </is>
      </c>
      <c r="E2683" t="inlineStr">
        <is>
          <t>SOLLEFTEÅ</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20389-2025</t>
        </is>
      </c>
      <c r="B2684" s="1" t="n">
        <v>45775</v>
      </c>
      <c r="C2684" s="1" t="n">
        <v>46082</v>
      </c>
      <c r="D2684" t="inlineStr">
        <is>
          <t>VÄSTERNORRLANDS LÄN</t>
        </is>
      </c>
      <c r="E2684" t="inlineStr">
        <is>
          <t>SOLLEFTEÅ</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967-2025</t>
        </is>
      </c>
      <c r="B2685" s="1" t="n">
        <v>45666</v>
      </c>
      <c r="C2685" s="1" t="n">
        <v>46082</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22866-2025</t>
        </is>
      </c>
      <c r="B2686" s="1" t="n">
        <v>45790.36519675926</v>
      </c>
      <c r="C2686" s="1" t="n">
        <v>46082</v>
      </c>
      <c r="D2686" t="inlineStr">
        <is>
          <t>VÄSTERNORRLANDS LÄN</t>
        </is>
      </c>
      <c r="E2686" t="inlineStr">
        <is>
          <t>SOLLEFTEÅ</t>
        </is>
      </c>
      <c r="F2686" t="inlineStr">
        <is>
          <t>SCA</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22562-2025</t>
        </is>
      </c>
      <c r="B2687" s="1" t="n">
        <v>45789.34736111111</v>
      </c>
      <c r="C2687" s="1" t="n">
        <v>46082</v>
      </c>
      <c r="D2687" t="inlineStr">
        <is>
          <t>VÄSTERNORRLANDS LÄN</t>
        </is>
      </c>
      <c r="E2687" t="inlineStr">
        <is>
          <t>SOLLEFTEÅ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22803-2025</t>
        </is>
      </c>
      <c r="B2688" s="1" t="n">
        <v>45789</v>
      </c>
      <c r="C2688" s="1" t="n">
        <v>46082</v>
      </c>
      <c r="D2688" t="inlineStr">
        <is>
          <t>VÄSTERNORRLANDS LÄN</t>
        </is>
      </c>
      <c r="E2688" t="inlineStr">
        <is>
          <t>SOLLEFTEÅ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22853-2025</t>
        </is>
      </c>
      <c r="B2689" s="1" t="n">
        <v>45790.34443287037</v>
      </c>
      <c r="C2689" s="1" t="n">
        <v>46082</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22569-2025</t>
        </is>
      </c>
      <c r="B2690" s="1" t="n">
        <v>45789.36363425926</v>
      </c>
      <c r="C2690" s="1" t="n">
        <v>46082</v>
      </c>
      <c r="D2690" t="inlineStr">
        <is>
          <t>VÄSTERNORRLANDS LÄN</t>
        </is>
      </c>
      <c r="E2690" t="inlineStr">
        <is>
          <t>SOLLEFTEÅ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23522-2025</t>
        </is>
      </c>
      <c r="B2691" s="1" t="n">
        <v>45792.51415509259</v>
      </c>
      <c r="C2691" s="1" t="n">
        <v>46082</v>
      </c>
      <c r="D2691" t="inlineStr">
        <is>
          <t>VÄSTERNORRLANDS LÄN</t>
        </is>
      </c>
      <c r="E2691" t="inlineStr">
        <is>
          <t>SOLLEFTEÅ</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23634-2025</t>
        </is>
      </c>
      <c r="B2692" s="1" t="n">
        <v>45792.67803240741</v>
      </c>
      <c r="C2692" s="1" t="n">
        <v>46082</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23478-2025</t>
        </is>
      </c>
      <c r="B2693" s="1" t="n">
        <v>45792</v>
      </c>
      <c r="C2693" s="1" t="n">
        <v>46082</v>
      </c>
      <c r="D2693" t="inlineStr">
        <is>
          <t>VÄSTERNORRLANDS LÄN</t>
        </is>
      </c>
      <c r="E2693" t="inlineStr">
        <is>
          <t>SOLLEFTEÅ</t>
        </is>
      </c>
      <c r="F2693" t="inlineStr">
        <is>
          <t>Holmen skog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23515-2025</t>
        </is>
      </c>
      <c r="B2694" s="1" t="n">
        <v>45792</v>
      </c>
      <c r="C2694" s="1" t="n">
        <v>46082</v>
      </c>
      <c r="D2694" t="inlineStr">
        <is>
          <t>VÄSTERNORRLANDS LÄN</t>
        </is>
      </c>
      <c r="E2694" t="inlineStr">
        <is>
          <t>SOLLEFTEÅ</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42915-2024</t>
        </is>
      </c>
      <c r="B2695" s="1" t="n">
        <v>45566</v>
      </c>
      <c r="C2695" s="1" t="n">
        <v>46082</v>
      </c>
      <c r="D2695" t="inlineStr">
        <is>
          <t>VÄSTERNORRLANDS LÄN</t>
        </is>
      </c>
      <c r="E2695" t="inlineStr">
        <is>
          <t>SOLLEFTEÅ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23409-2025</t>
        </is>
      </c>
      <c r="B2696" s="1" t="n">
        <v>45792.34560185186</v>
      </c>
      <c r="C2696" s="1" t="n">
        <v>46082</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25338-2022</t>
        </is>
      </c>
      <c r="B2697" s="1" t="n">
        <v>44731</v>
      </c>
      <c r="C2697" s="1" t="n">
        <v>46082</v>
      </c>
      <c r="D2697" t="inlineStr">
        <is>
          <t>VÄSTERNORRLANDS LÄN</t>
        </is>
      </c>
      <c r="E2697" t="inlineStr">
        <is>
          <t>SOLLEFTEÅ</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23090-2025</t>
        </is>
      </c>
      <c r="B2698" s="1" t="n">
        <v>45791.34443287037</v>
      </c>
      <c r="C2698" s="1" t="n">
        <v>46082</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918-2023</t>
        </is>
      </c>
      <c r="B2699" s="1" t="n">
        <v>44931.95329861111</v>
      </c>
      <c r="C2699" s="1" t="n">
        <v>46082</v>
      </c>
      <c r="D2699" t="inlineStr">
        <is>
          <t>VÄSTERNORRLANDS LÄN</t>
        </is>
      </c>
      <c r="E2699" t="inlineStr">
        <is>
          <t>SOLLEFTEÅ</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22514-2025</t>
        </is>
      </c>
      <c r="B2700" s="1" t="n">
        <v>45786.67755787037</v>
      </c>
      <c r="C2700" s="1" t="n">
        <v>46082</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23339-2025</t>
        </is>
      </c>
      <c r="B2701" s="1" t="n">
        <v>45791.65577546296</v>
      </c>
      <c r="C2701" s="1" t="n">
        <v>46082</v>
      </c>
      <c r="D2701" t="inlineStr">
        <is>
          <t>VÄSTERNORRLANDS LÄN</t>
        </is>
      </c>
      <c r="E2701" t="inlineStr">
        <is>
          <t>SOLLEFTEÅ</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23542-2025</t>
        </is>
      </c>
      <c r="B2702" s="1" t="n">
        <v>45792.56184027778</v>
      </c>
      <c r="C2702" s="1" t="n">
        <v>46082</v>
      </c>
      <c r="D2702" t="inlineStr">
        <is>
          <t>VÄSTERNORRLANDS LÄN</t>
        </is>
      </c>
      <c r="E2702" t="inlineStr">
        <is>
          <t>SOLLEFTEÅ</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23564-2025</t>
        </is>
      </c>
      <c r="B2703" s="1" t="n">
        <v>45792.58840277778</v>
      </c>
      <c r="C2703" s="1" t="n">
        <v>46082</v>
      </c>
      <c r="D2703" t="inlineStr">
        <is>
          <t>VÄSTERNORRLANDS LÄN</t>
        </is>
      </c>
      <c r="E2703" t="inlineStr">
        <is>
          <t>SOLLEFTEÅ</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33110-2024</t>
        </is>
      </c>
      <c r="B2704" s="1" t="n">
        <v>45517</v>
      </c>
      <c r="C2704" s="1" t="n">
        <v>46082</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23974-2025</t>
        </is>
      </c>
      <c r="B2705" s="1" t="n">
        <v>45796.38594907407</v>
      </c>
      <c r="C2705" s="1" t="n">
        <v>46082</v>
      </c>
      <c r="D2705" t="inlineStr">
        <is>
          <t>VÄSTERNORRLANDS LÄN</t>
        </is>
      </c>
      <c r="E2705" t="inlineStr">
        <is>
          <t>SOLLEFTEÅ</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55610-2021</t>
        </is>
      </c>
      <c r="B2706" s="1" t="n">
        <v>44475.94237268518</v>
      </c>
      <c r="C2706" s="1" t="n">
        <v>46082</v>
      </c>
      <c r="D2706" t="inlineStr">
        <is>
          <t>VÄSTERNORRLANDS LÄN</t>
        </is>
      </c>
      <c r="E2706" t="inlineStr">
        <is>
          <t>SOLLEFTEÅ</t>
        </is>
      </c>
      <c r="F2706" t="inlineStr">
        <is>
          <t>SCA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31886-2024</t>
        </is>
      </c>
      <c r="B2707" s="1" t="n">
        <v>45509.95780092593</v>
      </c>
      <c r="C2707" s="1" t="n">
        <v>46082</v>
      </c>
      <c r="D2707" t="inlineStr">
        <is>
          <t>VÄSTERNORRLANDS LÄN</t>
        </is>
      </c>
      <c r="E2707" t="inlineStr">
        <is>
          <t>SOLLEFTEÅ</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62523-2023</t>
        </is>
      </c>
      <c r="B2708" s="1" t="n">
        <v>45267</v>
      </c>
      <c r="C2708" s="1" t="n">
        <v>46082</v>
      </c>
      <c r="D2708" t="inlineStr">
        <is>
          <t>VÄSTERNORRLANDS LÄN</t>
        </is>
      </c>
      <c r="E2708" t="inlineStr">
        <is>
          <t>SOLLEFTEÅ</t>
        </is>
      </c>
      <c r="G2708" t="n">
        <v>33.6</v>
      </c>
      <c r="H2708" t="n">
        <v>0</v>
      </c>
      <c r="I2708" t="n">
        <v>0</v>
      </c>
      <c r="J2708" t="n">
        <v>0</v>
      </c>
      <c r="K2708" t="n">
        <v>0</v>
      </c>
      <c r="L2708" t="n">
        <v>0</v>
      </c>
      <c r="M2708" t="n">
        <v>0</v>
      </c>
      <c r="N2708" t="n">
        <v>0</v>
      </c>
      <c r="O2708" t="n">
        <v>0</v>
      </c>
      <c r="P2708" t="n">
        <v>0</v>
      </c>
      <c r="Q2708" t="n">
        <v>0</v>
      </c>
      <c r="R2708" s="2" t="inlineStr"/>
    </row>
    <row r="2709" ht="15" customHeight="1">
      <c r="A2709" t="inlineStr">
        <is>
          <t>A 23889-2025</t>
        </is>
      </c>
      <c r="B2709" s="1" t="n">
        <v>45793.79209490741</v>
      </c>
      <c r="C2709" s="1" t="n">
        <v>46082</v>
      </c>
      <c r="D2709" t="inlineStr">
        <is>
          <t>VÄSTERNORRLANDS LÄN</t>
        </is>
      </c>
      <c r="E2709" t="inlineStr">
        <is>
          <t>SOLLEFTEÅ</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34983-2023</t>
        </is>
      </c>
      <c r="B2710" s="1" t="n">
        <v>45141</v>
      </c>
      <c r="C2710" s="1" t="n">
        <v>46082</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37648-2021</t>
        </is>
      </c>
      <c r="B2711" s="1" t="n">
        <v>44400</v>
      </c>
      <c r="C2711" s="1" t="n">
        <v>46082</v>
      </c>
      <c r="D2711" t="inlineStr">
        <is>
          <t>VÄSTERNORRLANDS LÄN</t>
        </is>
      </c>
      <c r="E2711" t="inlineStr">
        <is>
          <t>SOLLEFTEÅ</t>
        </is>
      </c>
      <c r="G2711" t="n">
        <v>33.6</v>
      </c>
      <c r="H2711" t="n">
        <v>0</v>
      </c>
      <c r="I2711" t="n">
        <v>0</v>
      </c>
      <c r="J2711" t="n">
        <v>0</v>
      </c>
      <c r="K2711" t="n">
        <v>0</v>
      </c>
      <c r="L2711" t="n">
        <v>0</v>
      </c>
      <c r="M2711" t="n">
        <v>0</v>
      </c>
      <c r="N2711" t="n">
        <v>0</v>
      </c>
      <c r="O2711" t="n">
        <v>0</v>
      </c>
      <c r="P2711" t="n">
        <v>0</v>
      </c>
      <c r="Q2711" t="n">
        <v>0</v>
      </c>
      <c r="R2711" s="2" t="inlineStr"/>
    </row>
    <row r="2712" ht="15" customHeight="1">
      <c r="A2712" t="inlineStr">
        <is>
          <t>A 2699-2025</t>
        </is>
      </c>
      <c r="B2712" s="1" t="n">
        <v>45677.40665509259</v>
      </c>
      <c r="C2712" s="1" t="n">
        <v>46082</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52602-2024</t>
        </is>
      </c>
      <c r="B2713" s="1" t="n">
        <v>45609</v>
      </c>
      <c r="C2713" s="1" t="n">
        <v>46082</v>
      </c>
      <c r="D2713" t="inlineStr">
        <is>
          <t>VÄSTERNORRLANDS LÄN</t>
        </is>
      </c>
      <c r="E2713" t="inlineStr">
        <is>
          <t>SOLLEFTEÅ</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41787-2024</t>
        </is>
      </c>
      <c r="B2714" s="1" t="n">
        <v>45561.34986111111</v>
      </c>
      <c r="C2714" s="1" t="n">
        <v>46082</v>
      </c>
      <c r="D2714" t="inlineStr">
        <is>
          <t>VÄSTERNORRLANDS LÄN</t>
        </is>
      </c>
      <c r="E2714" t="inlineStr">
        <is>
          <t>SOLLEFTEÅ</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23735-2025</t>
        </is>
      </c>
      <c r="B2715" s="1" t="n">
        <v>45793.42777777778</v>
      </c>
      <c r="C2715" s="1" t="n">
        <v>46082</v>
      </c>
      <c r="D2715" t="inlineStr">
        <is>
          <t>VÄSTERNORRLANDS LÄN</t>
        </is>
      </c>
      <c r="E2715" t="inlineStr">
        <is>
          <t>SOLLEFTEÅ</t>
        </is>
      </c>
      <c r="F2715" t="inlineStr">
        <is>
          <t>SCA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28290-2024</t>
        </is>
      </c>
      <c r="B2716" s="1" t="n">
        <v>45477.46743055555</v>
      </c>
      <c r="C2716" s="1" t="n">
        <v>46082</v>
      </c>
      <c r="D2716" t="inlineStr">
        <is>
          <t>VÄSTERNORRLANDS LÄN</t>
        </is>
      </c>
      <c r="E2716" t="inlineStr">
        <is>
          <t>SOLLEFTEÅ</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35358-2021</t>
        </is>
      </c>
      <c r="B2717" s="1" t="n">
        <v>44384.93591435185</v>
      </c>
      <c r="C2717" s="1" t="n">
        <v>46082</v>
      </c>
      <c r="D2717" t="inlineStr">
        <is>
          <t>VÄSTERNORRLANDS LÄN</t>
        </is>
      </c>
      <c r="E2717" t="inlineStr">
        <is>
          <t>SOLLEFTEÅ</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23977-2025</t>
        </is>
      </c>
      <c r="B2718" s="1" t="n">
        <v>45796.38637731481</v>
      </c>
      <c r="C2718" s="1" t="n">
        <v>46082</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23997-2025</t>
        </is>
      </c>
      <c r="B2719" s="1" t="n">
        <v>45796.42061342593</v>
      </c>
      <c r="C2719" s="1" t="n">
        <v>46082</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23738-2025</t>
        </is>
      </c>
      <c r="B2720" s="1" t="n">
        <v>45793.42819444444</v>
      </c>
      <c r="C2720" s="1" t="n">
        <v>46082</v>
      </c>
      <c r="D2720" t="inlineStr">
        <is>
          <t>VÄSTERNORRLANDS LÄN</t>
        </is>
      </c>
      <c r="E2720" t="inlineStr">
        <is>
          <t>SOLLEFTEÅ</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23871-2025</t>
        </is>
      </c>
      <c r="B2721" s="1" t="n">
        <v>45793.67741898148</v>
      </c>
      <c r="C2721" s="1" t="n">
        <v>46082</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1268-2024</t>
        </is>
      </c>
      <c r="B2722" s="1" t="n">
        <v>45302</v>
      </c>
      <c r="C2722" s="1" t="n">
        <v>46082</v>
      </c>
      <c r="D2722" t="inlineStr">
        <is>
          <t>VÄSTERNORRLANDS LÄN</t>
        </is>
      </c>
      <c r="E2722" t="inlineStr">
        <is>
          <t>SOLLEFTEÅ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21100-2024</t>
        </is>
      </c>
      <c r="B2723" s="1" t="n">
        <v>45439.95072916667</v>
      </c>
      <c r="C2723" s="1" t="n">
        <v>46082</v>
      </c>
      <c r="D2723" t="inlineStr">
        <is>
          <t>VÄSTERNORRLANDS LÄN</t>
        </is>
      </c>
      <c r="E2723" t="inlineStr">
        <is>
          <t>SOLLEFTEÅ</t>
        </is>
      </c>
      <c r="F2723" t="inlineStr">
        <is>
          <t>SCA</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16365-2022</t>
        </is>
      </c>
      <c r="B2724" s="1" t="n">
        <v>44670.9406712963</v>
      </c>
      <c r="C2724" s="1" t="n">
        <v>46082</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23734-2025</t>
        </is>
      </c>
      <c r="B2725" s="1" t="n">
        <v>45793.4275462963</v>
      </c>
      <c r="C2725" s="1" t="n">
        <v>46082</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24693-2025</t>
        </is>
      </c>
      <c r="B2726" s="1" t="n">
        <v>45798.6775462963</v>
      </c>
      <c r="C2726" s="1" t="n">
        <v>46082</v>
      </c>
      <c r="D2726" t="inlineStr">
        <is>
          <t>VÄSTERNORRLANDS LÄN</t>
        </is>
      </c>
      <c r="E2726" t="inlineStr">
        <is>
          <t>SOLLEFTEÅ</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24488-2025</t>
        </is>
      </c>
      <c r="B2727" s="1" t="n">
        <v>45798.38576388889</v>
      </c>
      <c r="C2727" s="1" t="n">
        <v>46082</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24393-2025</t>
        </is>
      </c>
      <c r="B2728" s="1" t="n">
        <v>45797.63653935185</v>
      </c>
      <c r="C2728" s="1" t="n">
        <v>46082</v>
      </c>
      <c r="D2728" t="inlineStr">
        <is>
          <t>VÄSTERNORRLANDS LÄN</t>
        </is>
      </c>
      <c r="E2728" t="inlineStr">
        <is>
          <t>SOLLEFTEÅ</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24552-2025</t>
        </is>
      </c>
      <c r="B2729" s="1" t="n">
        <v>45798.44865740741</v>
      </c>
      <c r="C2729" s="1" t="n">
        <v>46082</v>
      </c>
      <c r="D2729" t="inlineStr">
        <is>
          <t>VÄSTERNORRLANDS LÄN</t>
        </is>
      </c>
      <c r="E2729" t="inlineStr">
        <is>
          <t>SOLLEFTEÅ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24532-2025</t>
        </is>
      </c>
      <c r="B2730" s="1" t="n">
        <v>45798.42820601852</v>
      </c>
      <c r="C2730" s="1" t="n">
        <v>46082</v>
      </c>
      <c r="D2730" t="inlineStr">
        <is>
          <t>VÄSTERNORRLANDS LÄN</t>
        </is>
      </c>
      <c r="E2730" t="inlineStr">
        <is>
          <t>SOLLEFTEÅ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24420-2025</t>
        </is>
      </c>
      <c r="B2731" s="1" t="n">
        <v>45797.67771990741</v>
      </c>
      <c r="C2731" s="1" t="n">
        <v>46082</v>
      </c>
      <c r="D2731" t="inlineStr">
        <is>
          <t>VÄSTERNORRLANDS LÄN</t>
        </is>
      </c>
      <c r="E2731" t="inlineStr">
        <is>
          <t>SOLLEFTEÅ</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24530-2025</t>
        </is>
      </c>
      <c r="B2732" s="1" t="n">
        <v>45798.42799768518</v>
      </c>
      <c r="C2732" s="1" t="n">
        <v>46082</v>
      </c>
      <c r="D2732" t="inlineStr">
        <is>
          <t>VÄSTERNORRLANDS LÄN</t>
        </is>
      </c>
      <c r="E2732" t="inlineStr">
        <is>
          <t>SOLLEFTEÅ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24531-2025</t>
        </is>
      </c>
      <c r="B2733" s="1" t="n">
        <v>45798.42810185185</v>
      </c>
      <c r="C2733" s="1" t="n">
        <v>46082</v>
      </c>
      <c r="D2733" t="inlineStr">
        <is>
          <t>VÄSTERNORRLANDS LÄN</t>
        </is>
      </c>
      <c r="E2733" t="inlineStr">
        <is>
          <t>SOLLEFTEÅ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25313-2025</t>
        </is>
      </c>
      <c r="B2734" s="1" t="n">
        <v>45799</v>
      </c>
      <c r="C2734" s="1" t="n">
        <v>46082</v>
      </c>
      <c r="D2734" t="inlineStr">
        <is>
          <t>VÄSTERNORRLANDS LÄN</t>
        </is>
      </c>
      <c r="E2734" t="inlineStr">
        <is>
          <t>SOLLEFTEÅ</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24730-2025</t>
        </is>
      </c>
      <c r="B2735" s="1" t="n">
        <v>45799.34150462963</v>
      </c>
      <c r="C2735" s="1" t="n">
        <v>46082</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25238-2025</t>
        </is>
      </c>
      <c r="B2736" s="1" t="n">
        <v>45800.49016203704</v>
      </c>
      <c r="C2736" s="1" t="n">
        <v>46082</v>
      </c>
      <c r="D2736" t="inlineStr">
        <is>
          <t>VÄSTERNORRLANDS LÄN</t>
        </is>
      </c>
      <c r="E2736" t="inlineStr">
        <is>
          <t>SOLLEFTEÅ</t>
        </is>
      </c>
      <c r="F2736" t="inlineStr">
        <is>
          <t>SCA</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25132-2025</t>
        </is>
      </c>
      <c r="B2737" s="1" t="n">
        <v>45800</v>
      </c>
      <c r="C2737" s="1" t="n">
        <v>46082</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44045-2022</t>
        </is>
      </c>
      <c r="B2738" s="1" t="n">
        <v>44838</v>
      </c>
      <c r="C2738" s="1" t="n">
        <v>46082</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25297-2025</t>
        </is>
      </c>
      <c r="B2739" s="1" t="n">
        <v>45800.5684837963</v>
      </c>
      <c r="C2739" s="1" t="n">
        <v>46082</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24759-2025</t>
        </is>
      </c>
      <c r="B2740" s="1" t="n">
        <v>45799.38284722222</v>
      </c>
      <c r="C2740" s="1" t="n">
        <v>46082</v>
      </c>
      <c r="D2740" t="inlineStr">
        <is>
          <t>VÄSTERNORRLANDS LÄN</t>
        </is>
      </c>
      <c r="E2740" t="inlineStr">
        <is>
          <t>SOLLEFTEÅ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24760-2025</t>
        </is>
      </c>
      <c r="B2741" s="1" t="n">
        <v>45799</v>
      </c>
      <c r="C2741" s="1" t="n">
        <v>46082</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25145-2025</t>
        </is>
      </c>
      <c r="B2742" s="1" t="n">
        <v>45800</v>
      </c>
      <c r="C2742" s="1" t="n">
        <v>46082</v>
      </c>
      <c r="D2742" t="inlineStr">
        <is>
          <t>VÄSTERNORRLANDS LÄN</t>
        </is>
      </c>
      <c r="E2742" t="inlineStr">
        <is>
          <t>SOLLEFTEÅ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24787-2025</t>
        </is>
      </c>
      <c r="B2743" s="1" t="n">
        <v>45799.42791666667</v>
      </c>
      <c r="C2743" s="1" t="n">
        <v>46082</v>
      </c>
      <c r="D2743" t="inlineStr">
        <is>
          <t>VÄSTERNORRLANDS LÄN</t>
        </is>
      </c>
      <c r="E2743" t="inlineStr">
        <is>
          <t>SOLLEFTEÅ</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59371-2022</t>
        </is>
      </c>
      <c r="B2744" s="1" t="n">
        <v>44904</v>
      </c>
      <c r="C2744" s="1" t="n">
        <v>46082</v>
      </c>
      <c r="D2744" t="inlineStr">
        <is>
          <t>VÄSTERNORRLANDS LÄN</t>
        </is>
      </c>
      <c r="E2744" t="inlineStr">
        <is>
          <t>SOLLEFTEÅ</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25939-2025</t>
        </is>
      </c>
      <c r="B2745" s="1" t="n">
        <v>45804.5943287037</v>
      </c>
      <c r="C2745" s="1" t="n">
        <v>46082</v>
      </c>
      <c r="D2745" t="inlineStr">
        <is>
          <t>VÄSTERNORRLANDS LÄN</t>
        </is>
      </c>
      <c r="E2745" t="inlineStr">
        <is>
          <t>SOLLEFTEÅ</t>
        </is>
      </c>
      <c r="F2745" t="inlineStr">
        <is>
          <t>SCA</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25517-2025</t>
        </is>
      </c>
      <c r="B2746" s="1" t="n">
        <v>45803.37570601852</v>
      </c>
      <c r="C2746" s="1" t="n">
        <v>46082</v>
      </c>
      <c r="D2746" t="inlineStr">
        <is>
          <t>VÄSTERNORRLANDS LÄN</t>
        </is>
      </c>
      <c r="E2746" t="inlineStr">
        <is>
          <t>SOLLEFTEÅ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25833-2025</t>
        </is>
      </c>
      <c r="B2747" s="1" t="n">
        <v>45804.44827546296</v>
      </c>
      <c r="C2747" s="1" t="n">
        <v>46082</v>
      </c>
      <c r="D2747" t="inlineStr">
        <is>
          <t>VÄSTERNORRLANDS LÄN</t>
        </is>
      </c>
      <c r="E2747" t="inlineStr">
        <is>
          <t>SOLLEFTEÅ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25856-2025</t>
        </is>
      </c>
      <c r="B2748" s="1" t="n">
        <v>45804.46944444445</v>
      </c>
      <c r="C2748" s="1" t="n">
        <v>46082</v>
      </c>
      <c r="D2748" t="inlineStr">
        <is>
          <t>VÄSTERNORRLANDS LÄN</t>
        </is>
      </c>
      <c r="E2748" t="inlineStr">
        <is>
          <t>SOLLEFTEÅ</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25963-2025</t>
        </is>
      </c>
      <c r="B2749" s="1" t="n">
        <v>45804.61568287037</v>
      </c>
      <c r="C2749" s="1" t="n">
        <v>46082</v>
      </c>
      <c r="D2749" t="inlineStr">
        <is>
          <t>VÄSTERNORRLANDS LÄN</t>
        </is>
      </c>
      <c r="E2749" t="inlineStr">
        <is>
          <t>SOLLEFTEÅ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25855-2025</t>
        </is>
      </c>
      <c r="B2750" s="1" t="n">
        <v>45804.46934027778</v>
      </c>
      <c r="C2750" s="1" t="n">
        <v>46082</v>
      </c>
      <c r="D2750" t="inlineStr">
        <is>
          <t>VÄSTERNORRLANDS LÄN</t>
        </is>
      </c>
      <c r="E2750" t="inlineStr">
        <is>
          <t>SOLLEFTEÅ</t>
        </is>
      </c>
      <c r="F2750" t="inlineStr">
        <is>
          <t>SCA</t>
        </is>
      </c>
      <c r="G2750" t="n">
        <v>8.6</v>
      </c>
      <c r="H2750" t="n">
        <v>0</v>
      </c>
      <c r="I2750" t="n">
        <v>0</v>
      </c>
      <c r="J2750" t="n">
        <v>0</v>
      </c>
      <c r="K2750" t="n">
        <v>0</v>
      </c>
      <c r="L2750" t="n">
        <v>0</v>
      </c>
      <c r="M2750" t="n">
        <v>0</v>
      </c>
      <c r="N2750" t="n">
        <v>0</v>
      </c>
      <c r="O2750" t="n">
        <v>0</v>
      </c>
      <c r="P2750" t="n">
        <v>0</v>
      </c>
      <c r="Q2750" t="n">
        <v>0</v>
      </c>
      <c r="R2750" s="2" t="inlineStr"/>
    </row>
    <row r="2751">
      <c r="A2751" t="inlineStr">
        <is>
          <t>A 25857-2025</t>
        </is>
      </c>
      <c r="B2751" s="1" t="n">
        <v>45804.46956018519</v>
      </c>
      <c r="C2751" s="1" t="n">
        <v>46082</v>
      </c>
      <c r="D2751" t="inlineStr">
        <is>
          <t>VÄSTERNORRLANDS LÄN</t>
        </is>
      </c>
      <c r="E2751" t="inlineStr">
        <is>
          <t>SOLLEFTEÅ</t>
        </is>
      </c>
      <c r="F2751" t="inlineStr">
        <is>
          <t>SCA</t>
        </is>
      </c>
      <c r="G2751" t="n">
        <v>2.4</v>
      </c>
      <c r="H2751" t="n">
        <v>0</v>
      </c>
      <c r="I2751" t="n">
        <v>0</v>
      </c>
      <c r="J2751" t="n">
        <v>0</v>
      </c>
      <c r="K2751" t="n">
        <v>0</v>
      </c>
      <c r="L2751" t="n">
        <v>0</v>
      </c>
      <c r="M2751" t="n">
        <v>0</v>
      </c>
      <c r="N2751" t="n">
        <v>0</v>
      </c>
      <c r="O2751" t="n">
        <v>0</v>
      </c>
      <c r="P2751" t="n">
        <v>0</v>
      </c>
      <c r="Q2751" t="n">
        <v>0</v>
      </c>
      <c r="R2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2026-03-01T11:11:57Z</dcterms:created>
  <dcterms:modified xmlns:dcterms="http://purl.org/dc/terms/" xmlns:xsi="http://www.w3.org/2001/XMLSchema-instance" xsi:type="dcterms:W3CDTF">2026-03-01T11:11:59Z</dcterms:modified>
</cp:coreProperties>
</file>